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it_kuznecovia\Documents\ProjectsDjango\webASD\po6\static\"/>
    </mc:Choice>
  </mc:AlternateContent>
  <bookViews>
    <workbookView xWindow="0" yWindow="0" windowWidth="19200" windowHeight="11535"/>
  </bookViews>
  <sheets>
    <sheet name="Экипаж" sheetId="3" r:id="rId1"/>
    <sheet name="Детализация" sheetId="4" r:id="rId2"/>
  </sheets>
  <definedNames>
    <definedName name="_xlnm._FilterDatabase" localSheetId="1" hidden="1">Детализация!$A$5:$D$5</definedName>
  </definedNames>
  <calcPr calcId="162913"/>
</workbook>
</file>

<file path=xl/calcChain.xml><?xml version="1.0" encoding="utf-8"?>
<calcChain xmlns="http://schemas.openxmlformats.org/spreadsheetml/2006/main">
  <c r="G6" i="3" l="1"/>
  <c r="E6" i="3" l="1"/>
  <c r="F6" i="4"/>
  <c r="M6" i="3" l="1"/>
  <c r="L6" i="3"/>
  <c r="K6" i="3"/>
  <c r="J6" i="3"/>
  <c r="I6" i="3"/>
  <c r="H6" i="3"/>
  <c r="F6" i="3"/>
  <c r="B6" i="3"/>
  <c r="D6" i="3"/>
  <c r="C6" i="3" s="1"/>
  <c r="E6" i="4"/>
</calcChain>
</file>

<file path=xl/sharedStrings.xml><?xml version="1.0" encoding="utf-8"?>
<sst xmlns="http://schemas.openxmlformats.org/spreadsheetml/2006/main" count="35" uniqueCount="21">
  <si>
    <t>за месяц:</t>
  </si>
  <si>
    <t>Фамилия И.О.</t>
  </si>
  <si>
    <t>Кол-во смен</t>
  </si>
  <si>
    <t>Кол-во ночных смен</t>
  </si>
  <si>
    <t>Ночные часы</t>
  </si>
  <si>
    <t>Время переэкскавации, ч</t>
  </si>
  <si>
    <t>Объем переэкскавации, м3</t>
  </si>
  <si>
    <t>Время перегона, ч</t>
  </si>
  <si>
    <t>Время на ТО, ч</t>
  </si>
  <si>
    <t>Аварийный ремонт, ч</t>
  </si>
  <si>
    <t>Время на ППР, ч</t>
  </si>
  <si>
    <t>Простои по эл. части, ч</t>
  </si>
  <si>
    <t>Другие простои, ч</t>
  </si>
  <si>
    <t>GET_WALKING_REPORT_CREW</t>
  </si>
  <si>
    <t>Дата</t>
  </si>
  <si>
    <t>Смена</t>
  </si>
  <si>
    <t>Детализация по машинистам ЭШ 6/45</t>
  </si>
  <si>
    <t>Отчет по машинистам ЭШ 6/45</t>
  </si>
  <si>
    <t>Наименование</t>
  </si>
  <si>
    <t>АО "Золото Северного Урала"</t>
  </si>
  <si>
    <t>Объем повторной переэкскавации,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</si>
</sst>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C19]dd\ mmmm\ yyyy\ \г\.;@"/>
    <numFmt numFmtId="165" formatCode="[$-419]mmmm\ yyyy;@"/>
  </numFmts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</cellStyleXfs>
  <cellXfs count="23">
    <xf numFmtId="0" fontId="0" fillId="0" borderId="0" xfId="0"/>
    <xf numFmtId="0" fontId="1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</cellXfs>
  <cellStyles count="4">
    <cellStyle name="Обычный" xfId="0" builtinId="0"/>
    <cellStyle name="Обычный 2" xfId="1"/>
    <cellStyle name="Обычный 3 2 2" xfId="3"/>
    <cellStyle name="Процентный 2" xfId="2"/>
  </cellStyles>
  <dxfs count="3">
    <dxf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простая" pivot="0" count="3">
      <tableStyleElement type="wholeTable" dxfId="2"/>
      <tableStyleElement type="total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F3" sqref="F3:M3"/>
    </sheetView>
  </sheetViews>
  <sheetFormatPr defaultRowHeight="15" x14ac:dyDescent="0.25"/>
  <cols>
    <col min="1" max="1" width="29.5703125" customWidth="1"/>
    <col min="2" max="2" width="8.28515625" bestFit="1" customWidth="1"/>
    <col min="3" max="3" width="9" bestFit="1" customWidth="1"/>
    <col min="4" max="4" width="9.42578125" bestFit="1" customWidth="1"/>
    <col min="5" max="5" width="11.42578125" customWidth="1"/>
    <col min="6" max="6" width="12.7109375" bestFit="1" customWidth="1"/>
    <col min="7" max="13" width="12.7109375" customWidth="1"/>
  </cols>
  <sheetData>
    <row r="1" spans="1:13" ht="20.25" customHeight="1" x14ac:dyDescent="0.25">
      <c r="A1" s="20" t="s">
        <v>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 x14ac:dyDescent="0.25">
      <c r="A2" s="9"/>
      <c r="B2" s="2"/>
      <c r="C2" s="2"/>
      <c r="D2" s="2"/>
      <c r="E2" s="12"/>
      <c r="F2" s="2"/>
      <c r="G2" s="18"/>
      <c r="H2" s="12"/>
      <c r="I2" s="12"/>
      <c r="J2" s="12"/>
      <c r="K2" s="12"/>
      <c r="L2" s="12"/>
    </row>
    <row r="3" spans="1:13" ht="15.75" x14ac:dyDescent="0.25">
      <c r="A3" s="9"/>
      <c r="B3" s="10"/>
      <c r="C3" s="11"/>
      <c r="D3" s="9"/>
      <c r="E3" s="10" t="s">
        <v>0</v>
      </c>
      <c r="F3" s="21" t="s">
        <v>13</v>
      </c>
      <c r="G3" s="21"/>
      <c r="H3" s="21"/>
      <c r="I3" s="21"/>
      <c r="J3" s="21"/>
      <c r="K3" s="21"/>
      <c r="L3" s="21"/>
      <c r="M3" s="21"/>
    </row>
    <row r="4" spans="1:13" ht="16.5" thickBot="1" x14ac:dyDescent="0.3">
      <c r="A4" s="4" t="s">
        <v>19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3" ht="63.75" thickBot="1" x14ac:dyDescent="0.3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20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7" t="s">
        <v>12</v>
      </c>
    </row>
    <row r="6" spans="1:13" ht="15.75" x14ac:dyDescent="0.25">
      <c r="A6" s="8"/>
      <c r="B6" s="3">
        <f>COUNTIF(Детализация!B:B,A6)</f>
        <v>0</v>
      </c>
      <c r="C6" s="3">
        <f>D6/7</f>
        <v>0</v>
      </c>
      <c r="D6" s="3">
        <f>SUMIF(Детализация!B:B,A6,Детализация!E:E)</f>
        <v>0</v>
      </c>
      <c r="E6" s="17">
        <f>SUMIF(Детализация!B:B,A6,Детализация!F:F)</f>
        <v>0</v>
      </c>
      <c r="F6" s="16">
        <f>SUMIF(Детализация!B:B,A6,Детализация!G:G)</f>
        <v>0</v>
      </c>
      <c r="G6" s="16">
        <f>SUMIF(Детализация!B:B,A6,Детализация!H:H)</f>
        <v>0</v>
      </c>
      <c r="H6" s="17">
        <f>SUMIF(Детализация!B:B,A6,Детализация!I:I)</f>
        <v>0</v>
      </c>
      <c r="I6" s="17">
        <f>SUMIF(Детализация!B:B,A6,Детализация!J:J)</f>
        <v>0</v>
      </c>
      <c r="J6" s="17">
        <f>SUMIF(Детализация!B:B,A6,Детализация!K:K)</f>
        <v>0</v>
      </c>
      <c r="K6" s="17">
        <f>SUMIF(Детализация!B:B,A6,Детализация!L:L)</f>
        <v>0</v>
      </c>
      <c r="L6" s="17">
        <f>SUMIF(Детализация!B:B,A6,Детализация!M:M)</f>
        <v>0</v>
      </c>
      <c r="M6" s="17">
        <f>SUMIF(Детализация!B:B,A6,Детализация!N:N)</f>
        <v>0</v>
      </c>
    </row>
    <row r="7" spans="1:13" ht="15.75" x14ac:dyDescent="0.25">
      <c r="A7" s="4"/>
      <c r="B7" s="4"/>
      <c r="C7" s="4"/>
      <c r="D7" s="4"/>
      <c r="E7" s="4"/>
    </row>
    <row r="8" spans="1:13" ht="15.75" x14ac:dyDescent="0.25">
      <c r="A8" s="4"/>
      <c r="B8" s="4"/>
      <c r="C8" s="4"/>
      <c r="D8" s="4"/>
      <c r="E8" s="4"/>
    </row>
    <row r="9" spans="1:13" ht="15.75" x14ac:dyDescent="0.25">
      <c r="A9" s="4"/>
      <c r="B9" s="4"/>
      <c r="C9" s="4"/>
      <c r="D9" s="4"/>
      <c r="E9" s="4"/>
    </row>
    <row r="10" spans="1:13" ht="15.75" x14ac:dyDescent="0.25">
      <c r="A10" s="4"/>
      <c r="B10" s="4"/>
      <c r="C10" s="4"/>
      <c r="D10" s="4"/>
      <c r="E10" s="4"/>
    </row>
    <row r="11" spans="1:13" ht="15.75" x14ac:dyDescent="0.25">
      <c r="A11" s="4"/>
      <c r="B11" s="4"/>
      <c r="C11" s="4"/>
      <c r="D11" s="4"/>
      <c r="E11" s="4"/>
    </row>
    <row r="12" spans="1:13" ht="15.75" x14ac:dyDescent="0.25">
      <c r="A12" s="4"/>
      <c r="B12" s="4"/>
      <c r="C12" s="4"/>
      <c r="D12" s="4"/>
      <c r="E12" s="4"/>
    </row>
    <row r="13" spans="1:13" ht="15.75" x14ac:dyDescent="0.25">
      <c r="A13" s="4"/>
      <c r="B13" s="4"/>
      <c r="C13" s="4"/>
      <c r="D13" s="4"/>
      <c r="E13" s="4"/>
    </row>
    <row r="14" spans="1:13" ht="15.75" x14ac:dyDescent="0.25">
      <c r="A14" s="4"/>
      <c r="B14" s="4"/>
      <c r="C14" s="4"/>
      <c r="D14" s="4"/>
      <c r="E14" s="4"/>
    </row>
  </sheetData>
  <mergeCells count="2">
    <mergeCell ref="A1:M1"/>
    <mergeCell ref="F3: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F3" sqref="F3:N3"/>
    </sheetView>
  </sheetViews>
  <sheetFormatPr defaultRowHeight="15" x14ac:dyDescent="0.25"/>
  <cols>
    <col min="1" max="1" width="24.5703125" customWidth="1"/>
    <col min="2" max="2" width="29.5703125" customWidth="1"/>
    <col min="3" max="3" width="17.140625" customWidth="1"/>
    <col min="4" max="4" width="8.7109375" customWidth="1"/>
    <col min="5" max="5" width="10.140625" customWidth="1"/>
    <col min="6" max="6" width="11.42578125" customWidth="1"/>
    <col min="7" max="8" width="13.140625" customWidth="1"/>
    <col min="9" max="14" width="12.7109375" customWidth="1"/>
  </cols>
  <sheetData>
    <row r="1" spans="1:14" ht="20.25" customHeight="1" x14ac:dyDescent="0.25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25">
      <c r="B2" s="9"/>
      <c r="C2" s="13"/>
      <c r="D2" s="13"/>
      <c r="E2" s="13"/>
      <c r="F2" s="13"/>
      <c r="G2" s="13"/>
      <c r="H2" s="18"/>
      <c r="I2" s="13"/>
      <c r="J2" s="13"/>
      <c r="K2" s="13"/>
      <c r="L2" s="13"/>
      <c r="M2" s="13"/>
    </row>
    <row r="3" spans="1:14" ht="15.75" x14ac:dyDescent="0.25">
      <c r="B3" s="9"/>
      <c r="C3" s="10"/>
      <c r="D3" s="22" t="s">
        <v>0</v>
      </c>
      <c r="E3" s="22"/>
      <c r="F3" s="21" t="s">
        <v>13</v>
      </c>
      <c r="G3" s="21"/>
      <c r="H3" s="21"/>
      <c r="I3" s="21"/>
      <c r="J3" s="21"/>
      <c r="K3" s="21"/>
      <c r="L3" s="21"/>
      <c r="M3" s="21"/>
      <c r="N3" s="21"/>
    </row>
    <row r="4" spans="1:14" ht="16.5" thickBot="1" x14ac:dyDescent="0.3">
      <c r="A4" s="4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ht="63.75" thickBot="1" x14ac:dyDescent="0.3">
      <c r="A5" s="5" t="s">
        <v>18</v>
      </c>
      <c r="B5" s="19" t="s">
        <v>1</v>
      </c>
      <c r="C5" s="6" t="s">
        <v>14</v>
      </c>
      <c r="D5" s="6" t="s">
        <v>15</v>
      </c>
      <c r="E5" s="6" t="s">
        <v>4</v>
      </c>
      <c r="F5" s="6" t="s">
        <v>5</v>
      </c>
      <c r="G5" s="6" t="s">
        <v>6</v>
      </c>
      <c r="H5" s="6" t="s">
        <v>20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7" t="s">
        <v>12</v>
      </c>
    </row>
    <row r="6" spans="1:14" ht="15.75" x14ac:dyDescent="0.25">
      <c r="A6" s="8"/>
      <c r="B6" s="8"/>
      <c r="C6" s="15"/>
      <c r="D6" s="3"/>
      <c r="E6" s="3" t="str">
        <f>IF(D6=2,7,"")</f>
        <v/>
      </c>
      <c r="F6" s="3">
        <f>IF(11-SUM(I6:N6) &lt; 0,0,11-SUM(I6:N6))</f>
        <v>11</v>
      </c>
      <c r="G6" s="3"/>
      <c r="H6" s="16"/>
      <c r="I6" s="14"/>
      <c r="J6" s="14"/>
      <c r="K6" s="14"/>
      <c r="L6" s="14"/>
      <c r="M6" s="14"/>
      <c r="N6" s="14"/>
    </row>
    <row r="7" spans="1:14" ht="15.75" x14ac:dyDescent="0.25">
      <c r="B7" s="4"/>
      <c r="C7" s="4"/>
      <c r="D7" s="4"/>
      <c r="E7" s="4"/>
      <c r="F7" s="4"/>
    </row>
    <row r="8" spans="1:14" ht="15.75" x14ac:dyDescent="0.25">
      <c r="B8" s="4"/>
      <c r="C8" s="4"/>
      <c r="D8" s="4"/>
      <c r="E8" s="4"/>
      <c r="F8" s="4"/>
    </row>
    <row r="9" spans="1:14" ht="15.75" x14ac:dyDescent="0.25">
      <c r="B9" s="4"/>
      <c r="C9" s="4"/>
      <c r="D9" s="4"/>
      <c r="E9" s="4"/>
      <c r="F9" s="4"/>
    </row>
    <row r="10" spans="1:14" ht="15.75" x14ac:dyDescent="0.25">
      <c r="B10" s="4"/>
      <c r="C10" s="4"/>
      <c r="D10" s="4"/>
      <c r="E10" s="4"/>
      <c r="F10" s="4"/>
    </row>
    <row r="11" spans="1:14" ht="15.75" x14ac:dyDescent="0.25">
      <c r="B11" s="4"/>
      <c r="C11" s="4"/>
      <c r="D11" s="4"/>
      <c r="E11" s="4"/>
      <c r="F11" s="4"/>
    </row>
    <row r="12" spans="1:14" ht="15.75" x14ac:dyDescent="0.25">
      <c r="B12" s="4"/>
      <c r="C12" s="4"/>
      <c r="D12" s="4"/>
      <c r="E12" s="4"/>
      <c r="F12" s="4"/>
    </row>
    <row r="13" spans="1:14" ht="15.75" x14ac:dyDescent="0.25">
      <c r="B13" s="4"/>
      <c r="C13" s="4"/>
      <c r="D13" s="4"/>
      <c r="E13" s="4"/>
      <c r="F13" s="4"/>
    </row>
    <row r="14" spans="1:14" ht="15.75" x14ac:dyDescent="0.25">
      <c r="B14" s="4"/>
      <c r="C14" s="4"/>
      <c r="D14" s="4"/>
      <c r="E14" s="4"/>
      <c r="F14" s="4"/>
    </row>
  </sheetData>
  <autoFilter ref="A5:D5"/>
  <mergeCells count="3">
    <mergeCell ref="D3:E3"/>
    <mergeCell ref="F3:N3"/>
    <mergeCell ref="A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Экипаж</vt:lpstr>
      <vt:lpstr>Детализация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Иван Андреевич</dc:creator>
  <cp:keywords>Отчет для бригадиров</cp:keywords>
  <cp:lastModifiedBy>Кузнецов Иван Андреевич</cp:lastModifiedBy>
  <cp:lastPrinted>2013-01-28T03:27:27Z</cp:lastPrinted>
  <dcterms:created xsi:type="dcterms:W3CDTF">2011-04-07T08:38:38Z</dcterms:created>
  <dcterms:modified xsi:type="dcterms:W3CDTF">2026-03-04T08:20:46Z</dcterms:modified>
</cp:coreProperties>
</file>