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it_kuznecovia\Documents\ProjectsDjango\webASD\po6\static\"/>
    </mc:Choice>
  </mc:AlternateContent>
  <bookViews>
    <workbookView xWindow="0" yWindow="0" windowWidth="28800" windowHeight="13950" tabRatio="826" activeTab="8"/>
  </bookViews>
  <sheets>
    <sheet name="Техника new" sheetId="15" r:id="rId1"/>
    <sheet name="Техника" sheetId="14" r:id="rId2"/>
    <sheet name="рапорт по руде" sheetId="3" state="hidden" r:id="rId3"/>
    <sheet name="БелАЗы " sheetId="5" r:id="rId4"/>
    <sheet name="Бульдозеры" sheetId="8" r:id="rId5"/>
    <sheet name="Экскаваторы" sheetId="7" r:id="rId6"/>
    <sheet name="Бурение" sheetId="9" r:id="rId7"/>
    <sheet name="Сводка внутр." sheetId="11" r:id="rId8"/>
    <sheet name="Суточный рапорт" sheetId="16" r:id="rId9"/>
    <sheet name="рапорт БелАЗ" sheetId="17" r:id="rId10"/>
    <sheet name="данные по маст. и дисп." sheetId="18" r:id="rId11"/>
  </sheets>
  <definedNames>
    <definedName name="_xlnm._FilterDatabase" localSheetId="8" hidden="1">'Суточный рапорт'!$A$1:$CZ$156</definedName>
    <definedName name="Z_3F312A0E_DF4A_4A92_9F0F_6B2059264CC1_.wvu.Cols" localSheetId="3" hidden="1">'БелАЗы '!#REF!</definedName>
    <definedName name="Z_3F312A0E_DF4A_4A92_9F0F_6B2059264CC1_.wvu.Cols" localSheetId="4" hidden="1">Бульдозеры!#REF!</definedName>
    <definedName name="Z_3F312A0E_DF4A_4A92_9F0F_6B2059264CC1_.wvu.Cols" localSheetId="6" hidden="1">Бурение!$A:$A</definedName>
    <definedName name="Z_3F312A0E_DF4A_4A92_9F0F_6B2059264CC1_.wvu.Cols" localSheetId="5" hidden="1">Экскаваторы!#REF!,Экскаваторы!$BF:$BG</definedName>
    <definedName name="Z_3F312A0E_DF4A_4A92_9F0F_6B2059264CC1_.wvu.PrintArea" localSheetId="9" hidden="1">'рапорт БелАЗ'!$A$1:$CV$61</definedName>
    <definedName name="Z_3F312A0E_DF4A_4A92_9F0F_6B2059264CC1_.wvu.PrintArea" localSheetId="7" hidden="1">'Сводка внутр.'!$A$1:$R$66</definedName>
    <definedName name="Z_3F312A0E_DF4A_4A92_9F0F_6B2059264CC1_.wvu.PrintArea" localSheetId="8" hidden="1">'Суточный рапорт'!$A$1:$CZ$157</definedName>
    <definedName name="Z_3F312A0E_DF4A_4A92_9F0F_6B2059264CC1_.wvu.Rows" localSheetId="3" hidden="1">'БелАЗы '!#REF!,'БелАЗы '!#REF!,'БелАЗы '!#REF!,'БелАЗы '!#REF!</definedName>
    <definedName name="Z_3F312A0E_DF4A_4A92_9F0F_6B2059264CC1_.wvu.Rows" localSheetId="4" hidden="1">Бульдозеры!#REF!,Бульдозеры!#REF!</definedName>
    <definedName name="Z_3F312A0E_DF4A_4A92_9F0F_6B2059264CC1_.wvu.Rows" localSheetId="6" hidden="1">Бурение!#REF!</definedName>
    <definedName name="Z_3F312A0E_DF4A_4A92_9F0F_6B2059264CC1_.wvu.Rows" localSheetId="9" hidden="1">'рапорт БелАЗ'!#REF!,'рапорт БелАЗ'!#REF!</definedName>
    <definedName name="Z_3F312A0E_DF4A_4A92_9F0F_6B2059264CC1_.wvu.Rows" localSheetId="8" hidden="1">'Суточный рапорт'!#REF!</definedName>
    <definedName name="Z_3F312A0E_DF4A_4A92_9F0F_6B2059264CC1_.wvu.Rows" localSheetId="5" hidden="1">Экскаваторы!#REF!,Экскаваторы!#REF!</definedName>
    <definedName name="_xlnm.Print_Area" localSheetId="9">'рапорт БелАЗ'!$A$1:$CV$61</definedName>
    <definedName name="_xlnm.Print_Area" localSheetId="7">'Сводка внутр.'!$A$1:$R$66</definedName>
    <definedName name="_xlnm.Print_Area" localSheetId="8">'Суточный рапорт'!$A$1:$CZ$156</definedName>
  </definedNames>
  <calcPr calcId="162913"/>
  <customWorkbookViews>
    <customWorkbookView name="Habibrahmanov - Личное представление" guid="{3F312A0E-DF4A-4A92-9F0F-6B2059264CC1}" mergeInterval="0" personalView="1" maximized="1" windowWidth="1276" windowHeight="780" tabRatio="871" activeSheetId="2"/>
  </customWorkbookViews>
</workbook>
</file>

<file path=xl/calcChain.xml><?xml version="1.0" encoding="utf-8"?>
<calcChain xmlns="http://schemas.openxmlformats.org/spreadsheetml/2006/main">
  <c r="K19" i="15" l="1"/>
  <c r="K26" i="15" l="1"/>
  <c r="G26" i="15"/>
  <c r="F26" i="15"/>
  <c r="E26" i="15"/>
  <c r="D26" i="15"/>
  <c r="C26" i="15"/>
  <c r="B26" i="15"/>
  <c r="H46" i="7"/>
  <c r="AV26" i="14"/>
  <c r="AT26" i="14"/>
  <c r="AS26" i="14"/>
  <c r="AU26" i="14" s="1"/>
  <c r="AQ26" i="14"/>
  <c r="AP26" i="14"/>
  <c r="AO26" i="14"/>
  <c r="AN26" i="14"/>
  <c r="AR26" i="14" s="1"/>
  <c r="AM26" i="14"/>
  <c r="AK26" i="14"/>
  <c r="AJ26" i="14"/>
  <c r="AI26" i="14"/>
  <c r="AH26" i="14"/>
  <c r="AG26" i="14"/>
  <c r="AF26" i="14"/>
  <c r="AE26" i="14"/>
  <c r="AD26" i="14"/>
  <c r="AL26" i="14" s="1"/>
  <c r="AB26" i="14"/>
  <c r="AC26" i="14" s="1"/>
  <c r="AA26" i="14"/>
  <c r="Z26" i="14"/>
  <c r="Y26" i="14"/>
  <c r="X26" i="14"/>
  <c r="U26" i="14"/>
  <c r="T26" i="14"/>
  <c r="R26" i="14"/>
  <c r="Q26" i="14"/>
  <c r="P26" i="14"/>
  <c r="V26" i="14" s="1"/>
  <c r="M26" i="14"/>
  <c r="K26" i="14"/>
  <c r="L26" i="14" s="1"/>
  <c r="N26" i="14" s="1"/>
  <c r="J26" i="14"/>
  <c r="H26" i="14"/>
  <c r="G26" i="14"/>
  <c r="I26" i="14" s="1"/>
  <c r="F26" i="14"/>
  <c r="B26" i="14"/>
  <c r="C19" i="15"/>
  <c r="AV19" i="14"/>
  <c r="AV18" i="14"/>
  <c r="AT19" i="14"/>
  <c r="AT18" i="14"/>
  <c r="AS19" i="14"/>
  <c r="AU19" i="14" s="1"/>
  <c r="AS18" i="14"/>
  <c r="AQ19" i="14"/>
  <c r="AQ18" i="14"/>
  <c r="AP19" i="14"/>
  <c r="AP18" i="14"/>
  <c r="AO19" i="14"/>
  <c r="AO18" i="14"/>
  <c r="AN19" i="14"/>
  <c r="AR19" i="14" s="1"/>
  <c r="AN18" i="14"/>
  <c r="AK19" i="14"/>
  <c r="AK18" i="14"/>
  <c r="AI19" i="14"/>
  <c r="AI18" i="14"/>
  <c r="AH19" i="14"/>
  <c r="AH18" i="14"/>
  <c r="AG19" i="14"/>
  <c r="AG18" i="14"/>
  <c r="AF19" i="14"/>
  <c r="AF18" i="14"/>
  <c r="AE19" i="14"/>
  <c r="AE18" i="14"/>
  <c r="AD19" i="14"/>
  <c r="AL19" i="14" s="1"/>
  <c r="G19" i="15" s="1"/>
  <c r="AD18" i="14"/>
  <c r="AB19" i="14"/>
  <c r="AB18" i="14"/>
  <c r="AA19" i="14"/>
  <c r="F19" i="15" s="1"/>
  <c r="AA18" i="14"/>
  <c r="Z19" i="14"/>
  <c r="E19" i="15" s="1"/>
  <c r="Z18" i="14"/>
  <c r="Y19" i="14"/>
  <c r="Y18" i="14"/>
  <c r="X19" i="14"/>
  <c r="AC19" i="14" s="1"/>
  <c r="X18" i="14"/>
  <c r="U19" i="14"/>
  <c r="V19" i="14" s="1"/>
  <c r="W19" i="14" s="1"/>
  <c r="D19" i="15" s="1"/>
  <c r="U18" i="14"/>
  <c r="R19" i="14"/>
  <c r="R18" i="14"/>
  <c r="Q19" i="14"/>
  <c r="Q18" i="14"/>
  <c r="P19" i="14"/>
  <c r="P18" i="14"/>
  <c r="O19" i="14"/>
  <c r="O18" i="14"/>
  <c r="M19" i="14"/>
  <c r="K19" i="14"/>
  <c r="L19" i="14" s="1"/>
  <c r="N19" i="14" s="1"/>
  <c r="K18" i="14"/>
  <c r="J19" i="14"/>
  <c r="J18" i="14"/>
  <c r="I19" i="14"/>
  <c r="I18" i="14"/>
  <c r="B19" i="14"/>
  <c r="B18" i="14"/>
  <c r="F19" i="14"/>
  <c r="F18" i="14"/>
  <c r="AP7" i="8"/>
  <c r="AP10" i="8"/>
  <c r="AP14" i="8"/>
  <c r="AP11" i="8"/>
  <c r="A19" i="14"/>
  <c r="B19" i="15" s="1"/>
  <c r="A18" i="14"/>
  <c r="C17" i="8"/>
  <c r="C13" i="8"/>
  <c r="AR17" i="8"/>
  <c r="AQ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F17" i="8"/>
  <c r="E17" i="8"/>
  <c r="D17" i="8"/>
  <c r="AP13" i="8"/>
  <c r="AR13" i="8" s="1"/>
  <c r="AJ13" i="8"/>
  <c r="AL13" i="8" s="1"/>
  <c r="AM13" i="8" s="1"/>
  <c r="AG13" i="8"/>
  <c r="AB13" i="8"/>
  <c r="T13" i="8"/>
  <c r="M13" i="8"/>
  <c r="N13" i="8" s="1"/>
  <c r="G13" i="8" s="1"/>
  <c r="H13" i="8"/>
  <c r="AP9" i="8"/>
  <c r="AR9" i="8" s="1"/>
  <c r="AJ9" i="8"/>
  <c r="AL9" i="8" s="1"/>
  <c r="AM9" i="8" s="1"/>
  <c r="AN9" i="8" s="1"/>
  <c r="AG9" i="8"/>
  <c r="AB9" i="8"/>
  <c r="T9" i="8"/>
  <c r="M9" i="8"/>
  <c r="N9" i="8" s="1"/>
  <c r="G9" i="8" s="1"/>
  <c r="H9" i="8"/>
  <c r="W26" i="14" l="1"/>
  <c r="AW26" i="14"/>
  <c r="AX26" i="14" s="1"/>
  <c r="AY26" i="14" s="1"/>
  <c r="AW19" i="14"/>
  <c r="AX19" i="14" s="1"/>
  <c r="AY19" i="14" s="1"/>
  <c r="AN13" i="8"/>
  <c r="BG46" i="7"/>
  <c r="BF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O46" i="7"/>
  <c r="N46" i="7"/>
  <c r="M46" i="7"/>
  <c r="L46" i="7"/>
  <c r="J46" i="7"/>
  <c r="I46" i="7"/>
  <c r="G46" i="7"/>
  <c r="F46" i="7"/>
  <c r="E46" i="7"/>
  <c r="D46" i="7"/>
  <c r="BG31" i="7"/>
  <c r="AZ31" i="7"/>
  <c r="AW31" i="7"/>
  <c r="AQ31" i="7"/>
  <c r="BB31" i="7" s="1"/>
  <c r="BC31" i="7" s="1"/>
  <c r="AH31" i="7"/>
  <c r="AA31" i="7"/>
  <c r="Q31" i="7"/>
  <c r="U31" i="7" s="1"/>
  <c r="BG16" i="7"/>
  <c r="AZ16" i="7"/>
  <c r="AW16" i="7"/>
  <c r="AQ16" i="7"/>
  <c r="BB16" i="7" s="1"/>
  <c r="BC16" i="7" s="1"/>
  <c r="AH16" i="7"/>
  <c r="AA16" i="7"/>
  <c r="Q16" i="7"/>
  <c r="U16" i="7" s="1"/>
  <c r="AB31" i="7" l="1"/>
  <c r="P31" i="7" s="1"/>
  <c r="AB16" i="7"/>
  <c r="P16" i="7" s="1"/>
  <c r="E112" i="11"/>
  <c r="D112" i="11"/>
  <c r="BD31" i="7" l="1"/>
  <c r="BD16" i="7"/>
  <c r="J20" i="7"/>
  <c r="J35" i="7"/>
  <c r="B27" i="15" l="1"/>
  <c r="O20" i="14"/>
  <c r="H27" i="14"/>
  <c r="R27" i="14"/>
  <c r="AV27" i="14"/>
  <c r="AT27" i="14"/>
  <c r="AS27" i="14"/>
  <c r="AU27" i="14" s="1"/>
  <c r="AQ27" i="14"/>
  <c r="AP27" i="14"/>
  <c r="AO27" i="14"/>
  <c r="AN27" i="14"/>
  <c r="AM27" i="14"/>
  <c r="AK27" i="14"/>
  <c r="AJ27" i="14"/>
  <c r="AI27" i="14"/>
  <c r="AH27" i="14"/>
  <c r="AG27" i="14"/>
  <c r="AF27" i="14"/>
  <c r="AE27" i="14"/>
  <c r="AD27" i="14"/>
  <c r="AB27" i="14"/>
  <c r="AA27" i="14"/>
  <c r="Z27" i="14"/>
  <c r="Y27" i="14"/>
  <c r="X27" i="14"/>
  <c r="U27" i="14"/>
  <c r="T27" i="14"/>
  <c r="Q27" i="14"/>
  <c r="P27" i="14"/>
  <c r="M27" i="14"/>
  <c r="J27" i="14"/>
  <c r="G27" i="14"/>
  <c r="I27" i="14" s="1"/>
  <c r="B27" i="14"/>
  <c r="BF43" i="7"/>
  <c r="BF42" i="7"/>
  <c r="BG42" i="7"/>
  <c r="BG28" i="7"/>
  <c r="BG43" i="7" s="1"/>
  <c r="BG27" i="7"/>
  <c r="BG13" i="7"/>
  <c r="BG12" i="7"/>
  <c r="BA19" i="7"/>
  <c r="AY19" i="7"/>
  <c r="AX19" i="7"/>
  <c r="AV19" i="7"/>
  <c r="AU19" i="7"/>
  <c r="AT19" i="7"/>
  <c r="AS19" i="7"/>
  <c r="AR19" i="7"/>
  <c r="AP19" i="7"/>
  <c r="AO19" i="7"/>
  <c r="AN19" i="7"/>
  <c r="AM19" i="7"/>
  <c r="AL19" i="7"/>
  <c r="AK19" i="7"/>
  <c r="AJ19" i="7"/>
  <c r="AI19" i="7"/>
  <c r="AG19" i="7"/>
  <c r="AF19" i="7"/>
  <c r="AE19" i="7"/>
  <c r="AD19" i="7"/>
  <c r="AC19" i="7"/>
  <c r="T19" i="7"/>
  <c r="Z19" i="7"/>
  <c r="Y19" i="7"/>
  <c r="X19" i="7"/>
  <c r="W19" i="7"/>
  <c r="V19" i="7"/>
  <c r="R19" i="7"/>
  <c r="O19" i="7"/>
  <c r="N19" i="7"/>
  <c r="M19" i="7"/>
  <c r="L19" i="7"/>
  <c r="I20" i="7"/>
  <c r="H19" i="7"/>
  <c r="F20" i="7"/>
  <c r="G19" i="7"/>
  <c r="F19" i="7"/>
  <c r="E19" i="7"/>
  <c r="D19" i="7"/>
  <c r="J42" i="7"/>
  <c r="J41" i="7"/>
  <c r="J40" i="7"/>
  <c r="E34" i="7"/>
  <c r="F34" i="7"/>
  <c r="F35" i="7"/>
  <c r="I35" i="7"/>
  <c r="K35" i="7"/>
  <c r="K20" i="7"/>
  <c r="L34" i="7"/>
  <c r="D34" i="7"/>
  <c r="G34" i="7"/>
  <c r="J34" i="7" s="1"/>
  <c r="H34" i="7"/>
  <c r="M34" i="7"/>
  <c r="N34" i="7"/>
  <c r="O34" i="7"/>
  <c r="R34" i="7"/>
  <c r="T34" i="7"/>
  <c r="V34" i="7"/>
  <c r="W34" i="7"/>
  <c r="X34" i="7"/>
  <c r="Y34" i="7"/>
  <c r="Z34" i="7"/>
  <c r="AC34" i="7"/>
  <c r="AD34" i="7"/>
  <c r="AE34" i="7"/>
  <c r="AF34" i="7"/>
  <c r="AG34" i="7"/>
  <c r="AI34" i="7"/>
  <c r="AJ34" i="7"/>
  <c r="AK34" i="7"/>
  <c r="AL34" i="7"/>
  <c r="AM34" i="7"/>
  <c r="AN34" i="7"/>
  <c r="AO34" i="7"/>
  <c r="AP34" i="7"/>
  <c r="AR34" i="7"/>
  <c r="AS34" i="7"/>
  <c r="AT34" i="7"/>
  <c r="AU34" i="7"/>
  <c r="AV34" i="7"/>
  <c r="AX34" i="7"/>
  <c r="AY34" i="7"/>
  <c r="BA34" i="7"/>
  <c r="BF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O47" i="7"/>
  <c r="K27" i="14" s="1"/>
  <c r="L27" i="14" s="1"/>
  <c r="N27" i="14" s="1"/>
  <c r="N47" i="7"/>
  <c r="M47" i="7"/>
  <c r="L47" i="7"/>
  <c r="J47" i="7"/>
  <c r="I47" i="7"/>
  <c r="H47" i="7"/>
  <c r="G47" i="7"/>
  <c r="F47" i="7"/>
  <c r="F27" i="14" s="1"/>
  <c r="C27" i="15" s="1"/>
  <c r="E47" i="7"/>
  <c r="D47" i="7"/>
  <c r="BG32" i="7"/>
  <c r="BG47" i="7" s="1"/>
  <c r="AZ32" i="7"/>
  <c r="AW32" i="7"/>
  <c r="AQ32" i="7"/>
  <c r="BB32" i="7" s="1"/>
  <c r="BC32" i="7" s="1"/>
  <c r="AH32" i="7"/>
  <c r="AA32" i="7"/>
  <c r="Q32" i="7"/>
  <c r="U32" i="7" s="1"/>
  <c r="Q17" i="7"/>
  <c r="BB17" i="7"/>
  <c r="BC17" i="7" s="1"/>
  <c r="AZ17" i="7"/>
  <c r="AW17" i="7"/>
  <c r="AQ17" i="7"/>
  <c r="AH17" i="7"/>
  <c r="AA17" i="7"/>
  <c r="U17" i="7"/>
  <c r="BG17" i="7"/>
  <c r="AR27" i="14" l="1"/>
  <c r="E27" i="15" s="1"/>
  <c r="F27" i="15"/>
  <c r="AL27" i="14"/>
  <c r="G27" i="15" s="1"/>
  <c r="AC27" i="14"/>
  <c r="V27" i="14"/>
  <c r="W27" i="14" s="1"/>
  <c r="D27" i="15" s="1"/>
  <c r="AB32" i="7"/>
  <c r="P32" i="7" s="1"/>
  <c r="BD32" i="7"/>
  <c r="AB17" i="7"/>
  <c r="P17" i="7" s="1"/>
  <c r="CS55" i="16"/>
  <c r="CT56" i="16"/>
  <c r="CS56" i="16"/>
  <c r="AX56" i="16"/>
  <c r="CT55" i="16"/>
  <c r="AX55" i="16"/>
  <c r="AX52" i="16"/>
  <c r="CS52" i="16"/>
  <c r="CT52" i="16"/>
  <c r="CT53" i="16"/>
  <c r="CT59" i="16"/>
  <c r="CT60" i="16"/>
  <c r="AW27" i="14" l="1"/>
  <c r="AX27" i="14" s="1"/>
  <c r="AY27" i="14" s="1"/>
  <c r="K27" i="15"/>
  <c r="BD17" i="7"/>
  <c r="CS150" i="16"/>
  <c r="AX150" i="16"/>
  <c r="E127" i="11" l="1"/>
  <c r="D127" i="11"/>
  <c r="B25" i="15" l="1"/>
  <c r="AH15" i="7"/>
  <c r="AA15" i="7"/>
  <c r="Q15" i="7"/>
  <c r="U15" i="7" s="1"/>
  <c r="AX53" i="16" s="1"/>
  <c r="Q30" i="7"/>
  <c r="U30" i="7" s="1"/>
  <c r="CS53" i="16" s="1"/>
  <c r="AA30" i="7"/>
  <c r="AH30" i="7"/>
  <c r="AQ30" i="7"/>
  <c r="AQ45" i="7" s="1"/>
  <c r="AW30" i="7"/>
  <c r="AZ30" i="7"/>
  <c r="BF45" i="7"/>
  <c r="BG30" i="7"/>
  <c r="BG15" i="7"/>
  <c r="AZ15" i="7"/>
  <c r="AW15" i="7"/>
  <c r="AQ15" i="7"/>
  <c r="R45" i="7"/>
  <c r="S45" i="7"/>
  <c r="T45" i="7"/>
  <c r="V45" i="7"/>
  <c r="W45" i="7"/>
  <c r="X45" i="7"/>
  <c r="R25" i="14" s="1"/>
  <c r="Y45" i="7"/>
  <c r="T25" i="14" s="1"/>
  <c r="Z45" i="7"/>
  <c r="U25" i="14" s="1"/>
  <c r="AA45" i="7"/>
  <c r="AC45" i="7"/>
  <c r="AD45" i="7"/>
  <c r="Y25" i="14" s="1"/>
  <c r="AE45" i="7"/>
  <c r="AF45" i="7"/>
  <c r="AA25" i="14" s="1"/>
  <c r="AG45" i="7"/>
  <c r="AB25" i="14" s="1"/>
  <c r="AI45" i="7"/>
  <c r="AJ45" i="7"/>
  <c r="AE25" i="14" s="1"/>
  <c r="AK45" i="7"/>
  <c r="AL45" i="7"/>
  <c r="AM45" i="7"/>
  <c r="AH25" i="14" s="1"/>
  <c r="AN45" i="7"/>
  <c r="AI25" i="14" s="1"/>
  <c r="AO45" i="7"/>
  <c r="AP45" i="7"/>
  <c r="AR45" i="7"/>
  <c r="AM25" i="14" s="1"/>
  <c r="AS45" i="7"/>
  <c r="AT45" i="7"/>
  <c r="AU45" i="7"/>
  <c r="AP25" i="14" s="1"/>
  <c r="AV45" i="7"/>
  <c r="AQ25" i="14" s="1"/>
  <c r="AX45" i="7"/>
  <c r="AS25" i="14" s="1"/>
  <c r="AY45" i="7"/>
  <c r="AT25" i="14" s="1"/>
  <c r="AU25" i="14" s="1"/>
  <c r="BA45" i="7"/>
  <c r="AV25" i="14" s="1"/>
  <c r="L45" i="7"/>
  <c r="M45" i="7"/>
  <c r="N45" i="7"/>
  <c r="O45" i="7"/>
  <c r="D45" i="7"/>
  <c r="E45" i="7"/>
  <c r="F45" i="7"/>
  <c r="G45" i="7"/>
  <c r="H45" i="7"/>
  <c r="I45" i="7"/>
  <c r="J45" i="7"/>
  <c r="F25" i="14" s="1"/>
  <c r="C25" i="15" s="1"/>
  <c r="AO25" i="14"/>
  <c r="AN25" i="14"/>
  <c r="AK25" i="14"/>
  <c r="AJ25" i="14"/>
  <c r="AG25" i="14"/>
  <c r="AF25" i="14"/>
  <c r="AD25" i="14"/>
  <c r="Z25" i="14"/>
  <c r="X25" i="14"/>
  <c r="Q25" i="14"/>
  <c r="P25" i="14"/>
  <c r="K25" i="14"/>
  <c r="L25" i="14" s="1"/>
  <c r="N25" i="14" s="1"/>
  <c r="J25" i="14"/>
  <c r="G25" i="14"/>
  <c r="BG45" i="7" l="1"/>
  <c r="F25" i="15"/>
  <c r="BB15" i="7"/>
  <c r="BC15" i="7" s="1"/>
  <c r="AW45" i="7"/>
  <c r="AZ45" i="7"/>
  <c r="AH45" i="7"/>
  <c r="AB15" i="7"/>
  <c r="U45" i="7"/>
  <c r="Q45" i="7"/>
  <c r="AB30" i="7"/>
  <c r="BB30" i="7"/>
  <c r="BC30" i="7" s="1"/>
  <c r="BB45" i="7"/>
  <c r="AL25" i="14"/>
  <c r="G25" i="15" s="1"/>
  <c r="AR25" i="14"/>
  <c r="V25" i="14"/>
  <c r="AC25" i="14"/>
  <c r="E117" i="11"/>
  <c r="D117" i="11"/>
  <c r="AW25" i="14" l="1"/>
  <c r="AX25" i="14" s="1"/>
  <c r="AB45" i="7"/>
  <c r="B25" i="14" s="1"/>
  <c r="P30" i="7"/>
  <c r="H25" i="14"/>
  <c r="I25" i="14" s="1"/>
  <c r="W25" i="14" s="1"/>
  <c r="E25" i="15"/>
  <c r="BD15" i="7"/>
  <c r="P15" i="7"/>
  <c r="BD30" i="7"/>
  <c r="BD45" i="7" s="1"/>
  <c r="BC45" i="7"/>
  <c r="AX155" i="16"/>
  <c r="D25" i="15" l="1"/>
  <c r="K25" i="15" s="1"/>
  <c r="AY25" i="14"/>
  <c r="D21" i="8"/>
  <c r="A8" i="14" l="1"/>
  <c r="B8" i="15" s="1"/>
  <c r="A7" i="14"/>
  <c r="D41" i="11" l="1"/>
  <c r="M29" i="5"/>
  <c r="Q6" i="7" l="1"/>
  <c r="U6" i="7" s="1"/>
  <c r="AA6" i="7"/>
  <c r="AH6" i="7"/>
  <c r="AQ6" i="7"/>
  <c r="AW6" i="7"/>
  <c r="AZ6" i="7"/>
  <c r="BG6" i="7"/>
  <c r="Q21" i="7"/>
  <c r="U21" i="7" s="1"/>
  <c r="AA21" i="7"/>
  <c r="AH21" i="7"/>
  <c r="AQ21" i="7"/>
  <c r="AW21" i="7"/>
  <c r="AZ21" i="7"/>
  <c r="BG21" i="7"/>
  <c r="D36" i="7"/>
  <c r="E36" i="7"/>
  <c r="F36" i="7"/>
  <c r="G36" i="7"/>
  <c r="H36" i="7"/>
  <c r="I36" i="7"/>
  <c r="J36" i="7"/>
  <c r="L36" i="7"/>
  <c r="M36" i="7"/>
  <c r="N36" i="7"/>
  <c r="O36" i="7"/>
  <c r="R36" i="7"/>
  <c r="S36" i="7"/>
  <c r="T36" i="7"/>
  <c r="V36" i="7"/>
  <c r="W36" i="7"/>
  <c r="X36" i="7"/>
  <c r="Y36" i="7"/>
  <c r="Z36" i="7"/>
  <c r="AC36" i="7"/>
  <c r="AD36" i="7"/>
  <c r="AE36" i="7"/>
  <c r="AF36" i="7"/>
  <c r="AG36" i="7"/>
  <c r="AI36" i="7"/>
  <c r="AJ36" i="7"/>
  <c r="AK36" i="7"/>
  <c r="AL36" i="7"/>
  <c r="AM36" i="7"/>
  <c r="AN36" i="7"/>
  <c r="AO36" i="7"/>
  <c r="AP36" i="7"/>
  <c r="AR36" i="7"/>
  <c r="AS36" i="7"/>
  <c r="AT36" i="7"/>
  <c r="AU36" i="7"/>
  <c r="AV36" i="7"/>
  <c r="AX36" i="7"/>
  <c r="AY36" i="7"/>
  <c r="BA36" i="7"/>
  <c r="BF36" i="7"/>
  <c r="BG36" i="7" s="1"/>
  <c r="B23" i="15"/>
  <c r="AQ36" i="7" l="1"/>
  <c r="AH36" i="7"/>
  <c r="AB6" i="7"/>
  <c r="U36" i="7"/>
  <c r="AB21" i="7"/>
  <c r="P21" i="7" s="1"/>
  <c r="AZ36" i="7"/>
  <c r="Q36" i="7"/>
  <c r="BB6" i="7"/>
  <c r="BC6" i="7" s="1"/>
  <c r="BD6" i="7" s="1"/>
  <c r="AW36" i="7"/>
  <c r="BB21" i="7"/>
  <c r="AA36" i="7"/>
  <c r="P6" i="7" l="1"/>
  <c r="BB36" i="7"/>
  <c r="AB36" i="7"/>
  <c r="BC21" i="7"/>
  <c r="BD21" i="7" s="1"/>
  <c r="BD36" i="7" s="1"/>
  <c r="BC36" i="7" l="1"/>
  <c r="E33" i="11"/>
  <c r="D96" i="11" l="1"/>
  <c r="E42" i="11"/>
  <c r="F96" i="11"/>
  <c r="E96" i="11"/>
  <c r="G32" i="9" l="1"/>
  <c r="E47" i="11" s="1"/>
  <c r="G33" i="9"/>
  <c r="G34" i="9"/>
  <c r="E49" i="11" s="1"/>
  <c r="G35" i="9"/>
  <c r="G36" i="9"/>
  <c r="G37" i="9"/>
  <c r="G38" i="9"/>
  <c r="G39" i="9"/>
  <c r="G40" i="9"/>
  <c r="G41" i="9"/>
  <c r="G42" i="9"/>
  <c r="G43" i="9"/>
  <c r="G44" i="9"/>
  <c r="G31" i="9"/>
  <c r="E48" i="11" s="1"/>
  <c r="E46" i="11" l="1"/>
  <c r="E39" i="11" l="1"/>
  <c r="E41" i="11"/>
  <c r="E40" i="11"/>
  <c r="I89" i="11"/>
  <c r="H89" i="11"/>
  <c r="G89" i="11"/>
  <c r="I88" i="11"/>
  <c r="H88" i="11"/>
  <c r="G88" i="11"/>
  <c r="E38" i="11" l="1"/>
  <c r="AX102" i="16"/>
  <c r="F71" i="11" l="1"/>
  <c r="D71" i="11"/>
  <c r="K71" i="11"/>
  <c r="I71" i="11"/>
  <c r="B71" i="11"/>
  <c r="H71" i="11" l="1"/>
  <c r="AX129" i="16" l="1"/>
  <c r="CS129" i="16"/>
  <c r="CS125" i="16"/>
  <c r="AX125" i="16"/>
  <c r="E71" i="11" l="1"/>
  <c r="C71" i="11"/>
  <c r="CS144" i="16"/>
  <c r="F74" i="11" s="1"/>
  <c r="AX144" i="16"/>
  <c r="D74" i="11" s="1"/>
  <c r="G71" i="11" l="1"/>
  <c r="G81" i="11" s="1"/>
  <c r="CS105" i="16"/>
  <c r="CS102" i="16"/>
  <c r="K74" i="11" l="1"/>
  <c r="I74" i="11"/>
  <c r="E74" i="11"/>
  <c r="C74" i="11"/>
  <c r="B74" i="11"/>
  <c r="G74" i="11" l="1"/>
  <c r="H74" i="11"/>
  <c r="K72" i="11"/>
  <c r="I72" i="11"/>
  <c r="F72" i="11"/>
  <c r="D72" i="11"/>
  <c r="B72" i="11"/>
  <c r="H72" i="11" l="1"/>
  <c r="E52" i="11" l="1"/>
  <c r="AX117" i="16" l="1"/>
  <c r="D70" i="11" s="1"/>
  <c r="K70" i="11"/>
  <c r="K69" i="11"/>
  <c r="K68" i="11"/>
  <c r="K67" i="11"/>
  <c r="I70" i="11"/>
  <c r="E70" i="11"/>
  <c r="C70" i="11"/>
  <c r="B70" i="11"/>
  <c r="I69" i="11"/>
  <c r="E69" i="11"/>
  <c r="C69" i="11"/>
  <c r="B69" i="11"/>
  <c r="I68" i="11"/>
  <c r="E68" i="11"/>
  <c r="C68" i="11"/>
  <c r="B68" i="11"/>
  <c r="I67" i="11"/>
  <c r="E67" i="11"/>
  <c r="C67" i="11"/>
  <c r="B67" i="11"/>
  <c r="C2" i="16" l="1"/>
  <c r="I91" i="11" l="1"/>
  <c r="H91" i="11"/>
  <c r="G91" i="11"/>
  <c r="I90" i="11"/>
  <c r="H90" i="11"/>
  <c r="G90" i="11"/>
  <c r="CS138" i="16" l="1"/>
  <c r="CS117" i="16"/>
  <c r="F70" i="11" s="1"/>
  <c r="CS114" i="16"/>
  <c r="F69" i="11" s="1"/>
  <c r="CS111" i="16"/>
  <c r="F68" i="11" s="1"/>
  <c r="AX138" i="16"/>
  <c r="AX114" i="16"/>
  <c r="D69" i="11" s="1"/>
  <c r="AX111" i="16"/>
  <c r="D68" i="11" s="1"/>
  <c r="AX108" i="16"/>
  <c r="D67" i="11" s="1"/>
  <c r="AX105" i="16"/>
  <c r="F73" i="11" l="1"/>
  <c r="D73" i="11"/>
  <c r="D75" i="11" s="1"/>
  <c r="CS152" i="16" l="1"/>
  <c r="CS146" i="16"/>
  <c r="CS140" i="16"/>
  <c r="CS155" i="16" s="1"/>
  <c r="CS134" i="16"/>
  <c r="CS131" i="16"/>
  <c r="E72" i="11"/>
  <c r="CS123" i="16"/>
  <c r="CS120" i="16"/>
  <c r="AX134" i="16"/>
  <c r="K73" i="11" l="1"/>
  <c r="I73" i="11"/>
  <c r="B73" i="11"/>
  <c r="CS24" i="16" l="1"/>
  <c r="AX24" i="16"/>
  <c r="CS27" i="16"/>
  <c r="H73" i="11" l="1"/>
  <c r="CS96" i="16" l="1"/>
  <c r="AX96" i="16"/>
  <c r="D20" i="9"/>
  <c r="D15" i="9"/>
  <c r="D9" i="9"/>
  <c r="AQ11" i="8" l="1"/>
  <c r="AQ7" i="8" l="1"/>
  <c r="BS27" i="5" l="1"/>
  <c r="BS21" i="5"/>
  <c r="BS28" i="5" s="1"/>
  <c r="BS16" i="5"/>
  <c r="BS31" i="5" s="1"/>
  <c r="BS10" i="5"/>
  <c r="BR27" i="5"/>
  <c r="BR21" i="5"/>
  <c r="BR28" i="5" s="1"/>
  <c r="BR16" i="5"/>
  <c r="BR31" i="5" s="1"/>
  <c r="BR10" i="5"/>
  <c r="BR17" i="5" l="1"/>
  <c r="BR29" i="5" s="1"/>
  <c r="D10" i="11" s="1"/>
  <c r="E10" i="11" s="1"/>
  <c r="BS17" i="5"/>
  <c r="BS29" i="5" s="1"/>
  <c r="BS30" i="5"/>
  <c r="BR30" i="5"/>
  <c r="AX4" i="16" l="1"/>
  <c r="E73" i="11" l="1"/>
  <c r="E75" i="11" s="1"/>
  <c r="AX152" i="16"/>
  <c r="AX146" i="16"/>
  <c r="AX140" i="16"/>
  <c r="AX131" i="16"/>
  <c r="C72" i="11"/>
  <c r="CT155" i="16" l="1"/>
  <c r="G72" i="11"/>
  <c r="I77" i="11" l="1"/>
  <c r="I76" i="11"/>
  <c r="E77" i="11"/>
  <c r="C77" i="11"/>
  <c r="B77" i="11"/>
  <c r="F77" i="11"/>
  <c r="AX123" i="16"/>
  <c r="D77" i="11" s="1"/>
  <c r="H77" i="11" l="1"/>
  <c r="H69" i="11"/>
  <c r="G69" i="11"/>
  <c r="G68" i="11"/>
  <c r="G67" i="11"/>
  <c r="G70" i="11"/>
  <c r="H70" i="11"/>
  <c r="H68" i="11"/>
  <c r="G77" i="11"/>
  <c r="G79" i="11" l="1"/>
  <c r="AP12" i="8"/>
  <c r="AP8" i="8"/>
  <c r="E45" i="11" l="1"/>
  <c r="AR14" i="8" l="1"/>
  <c r="AR12" i="8"/>
  <c r="AR10" i="8" l="1"/>
  <c r="AR8" i="8"/>
  <c r="G86" i="11" l="1"/>
  <c r="H86" i="11"/>
  <c r="I86" i="11"/>
  <c r="G87" i="11"/>
  <c r="H87" i="11"/>
  <c r="I87" i="11"/>
  <c r="G93" i="11"/>
  <c r="H93" i="11"/>
  <c r="I93" i="11"/>
  <c r="G92" i="11"/>
  <c r="H92" i="11"/>
  <c r="I92" i="11"/>
  <c r="I96" i="11" l="1"/>
  <c r="G96" i="11"/>
  <c r="AD15" i="8"/>
  <c r="AO15" i="14" s="1"/>
  <c r="AD16" i="8"/>
  <c r="AO16" i="14" s="1"/>
  <c r="AD18" i="8"/>
  <c r="AG14" i="8"/>
  <c r="H14" i="8"/>
  <c r="H12" i="8"/>
  <c r="H11" i="8"/>
  <c r="CS59" i="16" s="1"/>
  <c r="H10" i="8"/>
  <c r="H8" i="8"/>
  <c r="H7" i="8"/>
  <c r="AX59" i="16" s="1"/>
  <c r="AO14" i="14" l="1"/>
  <c r="CS93" i="16"/>
  <c r="CS90" i="16"/>
  <c r="CS87" i="16"/>
  <c r="CS84" i="16"/>
  <c r="AX93" i="16"/>
  <c r="AX90" i="16"/>
  <c r="AX87" i="16"/>
  <c r="AX84" i="16"/>
  <c r="C19" i="9" l="1"/>
  <c r="C17" i="9"/>
  <c r="C16" i="9"/>
  <c r="C13" i="9"/>
  <c r="C11" i="9"/>
  <c r="C10" i="9"/>
  <c r="C7" i="9"/>
  <c r="C5" i="9"/>
  <c r="C4" i="9"/>
  <c r="D16" i="9"/>
  <c r="AX120" i="16" l="1"/>
  <c r="D107" i="11" l="1"/>
  <c r="E107" i="11"/>
  <c r="F76" i="11" l="1"/>
  <c r="D76" i="11"/>
  <c r="D78" i="11" l="1"/>
  <c r="F78" i="11"/>
  <c r="E55" i="11" l="1"/>
  <c r="E59" i="11" l="1"/>
  <c r="CS4" i="16" l="1"/>
  <c r="CS11" i="16"/>
  <c r="AX11" i="16"/>
  <c r="CT12" i="16"/>
  <c r="CT11" i="16"/>
  <c r="N17" i="11"/>
  <c r="O17" i="11"/>
  <c r="Q8" i="7"/>
  <c r="U8" i="7" s="1"/>
  <c r="AX12" i="16" s="1"/>
  <c r="AA8" i="7"/>
  <c r="AH8" i="7"/>
  <c r="AQ8" i="7"/>
  <c r="AW8" i="7"/>
  <c r="AZ8" i="7"/>
  <c r="Q23" i="7"/>
  <c r="AA23" i="7"/>
  <c r="AH23" i="7"/>
  <c r="AQ23" i="7"/>
  <c r="AW23" i="7"/>
  <c r="AZ23" i="7"/>
  <c r="D38" i="7"/>
  <c r="E38" i="7"/>
  <c r="F38" i="7"/>
  <c r="E24" i="11" s="1"/>
  <c r="G38" i="7"/>
  <c r="H38" i="7"/>
  <c r="I38" i="7"/>
  <c r="J38" i="7"/>
  <c r="L38" i="7"/>
  <c r="M38" i="7"/>
  <c r="N38" i="7"/>
  <c r="J8" i="14" s="1"/>
  <c r="O38" i="7"/>
  <c r="K8" i="14" s="1"/>
  <c r="L8" i="14" s="1"/>
  <c r="N8" i="14" s="1"/>
  <c r="R38" i="7"/>
  <c r="S38" i="7"/>
  <c r="G8" i="14" s="1"/>
  <c r="T38" i="7"/>
  <c r="V38" i="7"/>
  <c r="P8" i="14" s="1"/>
  <c r="W38" i="7"/>
  <c r="Q8" i="14" s="1"/>
  <c r="X38" i="7"/>
  <c r="R8" i="14" s="1"/>
  <c r="Y38" i="7"/>
  <c r="T8" i="14" s="1"/>
  <c r="Z38" i="7"/>
  <c r="U8" i="14" s="1"/>
  <c r="AC38" i="7"/>
  <c r="X8" i="14" s="1"/>
  <c r="AD38" i="7"/>
  <c r="Y8" i="14" s="1"/>
  <c r="AE38" i="7"/>
  <c r="Z8" i="14" s="1"/>
  <c r="AF38" i="7"/>
  <c r="AA8" i="14" s="1"/>
  <c r="AG38" i="7"/>
  <c r="AB8" i="14" s="1"/>
  <c r="AI38" i="7"/>
  <c r="AD8" i="14" s="1"/>
  <c r="AJ38" i="7"/>
  <c r="AE8" i="14" s="1"/>
  <c r="AK38" i="7"/>
  <c r="AF8" i="14" s="1"/>
  <c r="AL38" i="7"/>
  <c r="AG8" i="14" s="1"/>
  <c r="AM38" i="7"/>
  <c r="AH8" i="14" s="1"/>
  <c r="AN38" i="7"/>
  <c r="AI8" i="14" s="1"/>
  <c r="AO38" i="7"/>
  <c r="AJ8" i="14" s="1"/>
  <c r="AP38" i="7"/>
  <c r="AK8" i="14" s="1"/>
  <c r="AR38" i="7"/>
  <c r="AM8" i="14" s="1"/>
  <c r="AS38" i="7"/>
  <c r="AN8" i="14" s="1"/>
  <c r="AT38" i="7"/>
  <c r="AO8" i="14" s="1"/>
  <c r="AU38" i="7"/>
  <c r="AP8" i="14" s="1"/>
  <c r="AV38" i="7"/>
  <c r="AQ8" i="14" s="1"/>
  <c r="AX38" i="7"/>
  <c r="AS8" i="14" s="1"/>
  <c r="AY38" i="7"/>
  <c r="AT8" i="14" s="1"/>
  <c r="BA38" i="7"/>
  <c r="AV8" i="14" s="1"/>
  <c r="S25" i="7"/>
  <c r="S10" i="7"/>
  <c r="AE15" i="8"/>
  <c r="AP15" i="14" s="1"/>
  <c r="AE16" i="8"/>
  <c r="AP16" i="14" s="1"/>
  <c r="AE18" i="8"/>
  <c r="AU37" i="7"/>
  <c r="AU39" i="7"/>
  <c r="AP7" i="14" s="1"/>
  <c r="AU40" i="7"/>
  <c r="AP9" i="14" s="1"/>
  <c r="AU41" i="7"/>
  <c r="AP21" i="14" s="1"/>
  <c r="AU42" i="7"/>
  <c r="AP22" i="14" s="1"/>
  <c r="AU43" i="7"/>
  <c r="AP23" i="14" s="1"/>
  <c r="AU44" i="7"/>
  <c r="AP24" i="14" s="1"/>
  <c r="Q26" i="5"/>
  <c r="Q22" i="5"/>
  <c r="Q23" i="5"/>
  <c r="Q24" i="5"/>
  <c r="Q25" i="5"/>
  <c r="Q19" i="5"/>
  <c r="Q20" i="5"/>
  <c r="Q18" i="5"/>
  <c r="Q11" i="5"/>
  <c r="Q12" i="5"/>
  <c r="Q13" i="5"/>
  <c r="Q14" i="5"/>
  <c r="Q15" i="5"/>
  <c r="Q8" i="5"/>
  <c r="Q9" i="5"/>
  <c r="Q7" i="5"/>
  <c r="W7" i="5" s="1"/>
  <c r="Q7" i="7"/>
  <c r="U7" i="7" s="1"/>
  <c r="H16" i="11" s="1"/>
  <c r="AO27" i="5"/>
  <c r="AO21" i="5"/>
  <c r="AO16" i="5"/>
  <c r="AO10" i="5"/>
  <c r="AP10" i="14"/>
  <c r="AP11" i="14"/>
  <c r="AP12" i="14"/>
  <c r="D17" i="9"/>
  <c r="CG2" i="16"/>
  <c r="BO2" i="16"/>
  <c r="AK2" i="16"/>
  <c r="T2" i="16"/>
  <c r="C16" i="8"/>
  <c r="A16" i="14" s="1"/>
  <c r="C18" i="8"/>
  <c r="C15" i="8"/>
  <c r="A15" i="14" s="1"/>
  <c r="B11" i="15"/>
  <c r="B12" i="15"/>
  <c r="J11" i="14"/>
  <c r="K11" i="14"/>
  <c r="O11" i="14"/>
  <c r="P11" i="14"/>
  <c r="Q11" i="14"/>
  <c r="S11" i="14"/>
  <c r="U11" i="14"/>
  <c r="X11" i="14"/>
  <c r="Y11" i="14"/>
  <c r="Z11" i="14"/>
  <c r="AA11" i="14"/>
  <c r="AB11" i="14"/>
  <c r="AD11" i="14"/>
  <c r="AE11" i="14"/>
  <c r="AF11" i="14"/>
  <c r="AG11" i="14"/>
  <c r="AH11" i="14"/>
  <c r="AI11" i="14"/>
  <c r="AJ11" i="14"/>
  <c r="AK11" i="14"/>
  <c r="AN11" i="14"/>
  <c r="AO11" i="14"/>
  <c r="AQ11" i="14"/>
  <c r="AS11" i="14"/>
  <c r="AT11" i="14"/>
  <c r="AV11" i="14"/>
  <c r="H19" i="5"/>
  <c r="K19" i="5"/>
  <c r="V19" i="5"/>
  <c r="AC19" i="5"/>
  <c r="AL19" i="5"/>
  <c r="AQ19" i="5"/>
  <c r="AT19" i="5"/>
  <c r="AT8" i="5"/>
  <c r="AQ8" i="5"/>
  <c r="AL8" i="5"/>
  <c r="AC8" i="5"/>
  <c r="V8" i="5"/>
  <c r="K8" i="5"/>
  <c r="AY7" i="17" s="1"/>
  <c r="H8" i="5"/>
  <c r="F11" i="14" s="1"/>
  <c r="C12" i="15" s="1"/>
  <c r="H9" i="5"/>
  <c r="CS49" i="16"/>
  <c r="CS46" i="16"/>
  <c r="CS43" i="16"/>
  <c r="CS40" i="16"/>
  <c r="CS20" i="16"/>
  <c r="CS14" i="16"/>
  <c r="CS8" i="16"/>
  <c r="CS5" i="16"/>
  <c r="AX49" i="16"/>
  <c r="AX46" i="16"/>
  <c r="AX43" i="16"/>
  <c r="AX40" i="16"/>
  <c r="AX14" i="16"/>
  <c r="AX8" i="16"/>
  <c r="AX5" i="16"/>
  <c r="AX20" i="16"/>
  <c r="J27" i="5"/>
  <c r="I27" i="5"/>
  <c r="G27" i="5"/>
  <c r="F27" i="5"/>
  <c r="E27" i="5"/>
  <c r="D27" i="5"/>
  <c r="K26" i="5"/>
  <c r="CU52" i="17" s="1"/>
  <c r="H26" i="5"/>
  <c r="K25" i="5"/>
  <c r="CU49" i="17" s="1"/>
  <c r="H25" i="5"/>
  <c r="K24" i="5"/>
  <c r="H24" i="5"/>
  <c r="K23" i="5"/>
  <c r="CU43" i="17" s="1"/>
  <c r="H23" i="5"/>
  <c r="K22" i="5"/>
  <c r="CU40" i="17" s="1"/>
  <c r="H22" i="5"/>
  <c r="CU37" i="17"/>
  <c r="CU31" i="17"/>
  <c r="CU28" i="17"/>
  <c r="CU25" i="17"/>
  <c r="CU19" i="17"/>
  <c r="CU16" i="17"/>
  <c r="CU13" i="17"/>
  <c r="J21" i="5"/>
  <c r="I21" i="5"/>
  <c r="G21" i="5"/>
  <c r="F21" i="5"/>
  <c r="E21" i="5"/>
  <c r="D21" i="5"/>
  <c r="K20" i="5"/>
  <c r="CU10" i="17" s="1"/>
  <c r="H20" i="5"/>
  <c r="K18" i="5"/>
  <c r="CU4" i="17" s="1"/>
  <c r="H18" i="5"/>
  <c r="J16" i="5"/>
  <c r="I16" i="5"/>
  <c r="K7" i="5"/>
  <c r="D10" i="14" s="1"/>
  <c r="J10" i="5"/>
  <c r="AY19" i="17"/>
  <c r="AY31" i="17"/>
  <c r="AY34" i="17"/>
  <c r="K11" i="5"/>
  <c r="AY40" i="17" s="1"/>
  <c r="K12" i="5"/>
  <c r="AY43" i="17" s="1"/>
  <c r="K13" i="5"/>
  <c r="AY46" i="17" s="1"/>
  <c r="K14" i="5"/>
  <c r="K15" i="5"/>
  <c r="H11" i="5"/>
  <c r="H12" i="5"/>
  <c r="H13" i="5"/>
  <c r="H14" i="5"/>
  <c r="H15" i="5"/>
  <c r="K9" i="5"/>
  <c r="H7" i="5"/>
  <c r="I10" i="5"/>
  <c r="D10" i="5"/>
  <c r="E10" i="5"/>
  <c r="F10" i="5"/>
  <c r="G10" i="5"/>
  <c r="D16" i="5"/>
  <c r="E16" i="5"/>
  <c r="F16" i="5"/>
  <c r="G16" i="5"/>
  <c r="D43" i="7"/>
  <c r="E43" i="7"/>
  <c r="F43" i="7"/>
  <c r="E29" i="11" s="1"/>
  <c r="G43" i="7"/>
  <c r="H43" i="7"/>
  <c r="I43" i="7"/>
  <c r="J43" i="7"/>
  <c r="L43" i="7"/>
  <c r="M43" i="7"/>
  <c r="N43" i="7"/>
  <c r="J23" i="14" s="1"/>
  <c r="O43" i="7"/>
  <c r="K23" i="14" s="1"/>
  <c r="L23" i="14" s="1"/>
  <c r="N23" i="14" s="1"/>
  <c r="R43" i="7"/>
  <c r="S43" i="7"/>
  <c r="T43" i="7"/>
  <c r="V43" i="7"/>
  <c r="P23" i="14" s="1"/>
  <c r="W43" i="7"/>
  <c r="Q23" i="14" s="1"/>
  <c r="X43" i="7"/>
  <c r="R23" i="14" s="1"/>
  <c r="Y43" i="7"/>
  <c r="T23" i="14" s="1"/>
  <c r="Z43" i="7"/>
  <c r="U23" i="14" s="1"/>
  <c r="AC43" i="7"/>
  <c r="X23" i="14" s="1"/>
  <c r="AD43" i="7"/>
  <c r="Y23" i="14" s="1"/>
  <c r="AE43" i="7"/>
  <c r="Z23" i="14" s="1"/>
  <c r="AF43" i="7"/>
  <c r="AA23" i="14" s="1"/>
  <c r="AG43" i="7"/>
  <c r="AB23" i="14" s="1"/>
  <c r="AI43" i="7"/>
  <c r="AD23" i="14" s="1"/>
  <c r="AJ43" i="7"/>
  <c r="AE23" i="14" s="1"/>
  <c r="AK43" i="7"/>
  <c r="AF23" i="14" s="1"/>
  <c r="AL43" i="7"/>
  <c r="AG23" i="14" s="1"/>
  <c r="AM43" i="7"/>
  <c r="AH23" i="14" s="1"/>
  <c r="AN43" i="7"/>
  <c r="AI23" i="14" s="1"/>
  <c r="AO43" i="7"/>
  <c r="AJ23" i="14" s="1"/>
  <c r="AP43" i="7"/>
  <c r="AK23" i="14" s="1"/>
  <c r="AR43" i="7"/>
  <c r="AM23" i="14" s="1"/>
  <c r="AS43" i="7"/>
  <c r="AN23" i="14" s="1"/>
  <c r="AT43" i="7"/>
  <c r="AO23" i="14" s="1"/>
  <c r="AV43" i="7"/>
  <c r="AQ23" i="14" s="1"/>
  <c r="AX43" i="7"/>
  <c r="AS23" i="14" s="1"/>
  <c r="AY43" i="7"/>
  <c r="AT23" i="14" s="1"/>
  <c r="BA43" i="7"/>
  <c r="AV23" i="14" s="1"/>
  <c r="D44" i="7"/>
  <c r="E44" i="7"/>
  <c r="F44" i="7"/>
  <c r="E28" i="11" s="1"/>
  <c r="G44" i="7"/>
  <c r="H44" i="7"/>
  <c r="I44" i="7"/>
  <c r="J44" i="7"/>
  <c r="L44" i="7"/>
  <c r="M44" i="7"/>
  <c r="N44" i="7"/>
  <c r="J24" i="14" s="1"/>
  <c r="O44" i="7"/>
  <c r="K24" i="14" s="1"/>
  <c r="L24" i="14" s="1"/>
  <c r="N24" i="14" s="1"/>
  <c r="R44" i="7"/>
  <c r="S44" i="7"/>
  <c r="T44" i="7"/>
  <c r="V44" i="7"/>
  <c r="P24" i="14" s="1"/>
  <c r="W44" i="7"/>
  <c r="Q24" i="14" s="1"/>
  <c r="X44" i="7"/>
  <c r="R24" i="14" s="1"/>
  <c r="Y44" i="7"/>
  <c r="T24" i="14" s="1"/>
  <c r="Z44" i="7"/>
  <c r="U24" i="14" s="1"/>
  <c r="AC44" i="7"/>
  <c r="X24" i="14" s="1"/>
  <c r="AD44" i="7"/>
  <c r="Y24" i="14" s="1"/>
  <c r="AE44" i="7"/>
  <c r="Z24" i="14" s="1"/>
  <c r="AF44" i="7"/>
  <c r="AA24" i="14" s="1"/>
  <c r="AG44" i="7"/>
  <c r="AB24" i="14" s="1"/>
  <c r="AI44" i="7"/>
  <c r="AD24" i="14" s="1"/>
  <c r="AJ44" i="7"/>
  <c r="AE24" i="14" s="1"/>
  <c r="AK44" i="7"/>
  <c r="AF24" i="14" s="1"/>
  <c r="AL44" i="7"/>
  <c r="AG24" i="14" s="1"/>
  <c r="AM44" i="7"/>
  <c r="AH24" i="14" s="1"/>
  <c r="AN44" i="7"/>
  <c r="AI24" i="14" s="1"/>
  <c r="AO44" i="7"/>
  <c r="AJ24" i="14" s="1"/>
  <c r="AP44" i="7"/>
  <c r="AK24" i="14" s="1"/>
  <c r="AR44" i="7"/>
  <c r="AM24" i="14" s="1"/>
  <c r="AS44" i="7"/>
  <c r="AN24" i="14" s="1"/>
  <c r="AT44" i="7"/>
  <c r="AO24" i="14" s="1"/>
  <c r="AV44" i="7"/>
  <c r="AQ24" i="14" s="1"/>
  <c r="AX44" i="7"/>
  <c r="AS24" i="14" s="1"/>
  <c r="AY44" i="7"/>
  <c r="AT24" i="14" s="1"/>
  <c r="BA44" i="7"/>
  <c r="AV24" i="14" s="1"/>
  <c r="D42" i="7"/>
  <c r="AX62" i="16"/>
  <c r="CS68" i="16"/>
  <c r="CS71" i="16"/>
  <c r="AX65" i="16"/>
  <c r="AX71" i="16"/>
  <c r="AX77" i="16"/>
  <c r="AX80" i="16"/>
  <c r="Y10" i="14"/>
  <c r="Y12" i="14"/>
  <c r="P16" i="8"/>
  <c r="Y16" i="14" s="1"/>
  <c r="P15" i="8"/>
  <c r="Y15" i="14" s="1"/>
  <c r="P18" i="8"/>
  <c r="Y16" i="5"/>
  <c r="Y21" i="5"/>
  <c r="Y27" i="5"/>
  <c r="Y10" i="5"/>
  <c r="Q29" i="7"/>
  <c r="U29" i="7" s="1"/>
  <c r="I19" i="11" s="1"/>
  <c r="Q28" i="7"/>
  <c r="U28" i="7" s="1"/>
  <c r="CS44" i="16" s="1"/>
  <c r="Q27" i="7"/>
  <c r="U27" i="7" s="1"/>
  <c r="CS50" i="16" s="1"/>
  <c r="Q26" i="7"/>
  <c r="U26" i="7" s="1"/>
  <c r="CS47" i="16" s="1"/>
  <c r="Q24" i="7"/>
  <c r="Q22" i="7"/>
  <c r="U22" i="7" s="1"/>
  <c r="I16" i="11" s="1"/>
  <c r="Q9" i="7"/>
  <c r="Q11" i="7"/>
  <c r="U11" i="7" s="1"/>
  <c r="Q12" i="7"/>
  <c r="U12" i="7" s="1"/>
  <c r="AX50" i="16" s="1"/>
  <c r="Q13" i="7"/>
  <c r="Q14" i="7"/>
  <c r="AD37" i="7"/>
  <c r="AD39" i="7"/>
  <c r="Y7" i="14" s="1"/>
  <c r="AD40" i="7"/>
  <c r="Y9" i="14" s="1"/>
  <c r="AD41" i="7"/>
  <c r="Y21" i="14" s="1"/>
  <c r="AD42" i="7"/>
  <c r="Y22" i="14" s="1"/>
  <c r="N27" i="5"/>
  <c r="N21" i="5"/>
  <c r="O21" i="5"/>
  <c r="O30" i="5" s="1"/>
  <c r="M21" i="5"/>
  <c r="M16" i="5"/>
  <c r="N10" i="5"/>
  <c r="O10" i="5"/>
  <c r="M10" i="5"/>
  <c r="K10" i="14"/>
  <c r="O10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32" i="14"/>
  <c r="C33" i="14"/>
  <c r="C34" i="14"/>
  <c r="C35" i="14"/>
  <c r="M7" i="14" s="1"/>
  <c r="C36" i="14"/>
  <c r="C37" i="14"/>
  <c r="M8" i="14" s="1"/>
  <c r="C38" i="14"/>
  <c r="M10" i="14" s="1"/>
  <c r="C39" i="14"/>
  <c r="M11" i="14" s="1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M15" i="14" s="1"/>
  <c r="C55" i="14"/>
  <c r="C56" i="14"/>
  <c r="C57" i="14"/>
  <c r="M16" i="14" s="1"/>
  <c r="C58" i="14"/>
  <c r="C59" i="14"/>
  <c r="C60" i="14"/>
  <c r="C61" i="14"/>
  <c r="M18" i="14" s="1"/>
  <c r="C62" i="14"/>
  <c r="M21" i="14" s="1"/>
  <c r="C63" i="14"/>
  <c r="M22" i="14" s="1"/>
  <c r="C64" i="14"/>
  <c r="M23" i="14" s="1"/>
  <c r="C65" i="14"/>
  <c r="C66" i="14"/>
  <c r="C67" i="14"/>
  <c r="C32" i="14"/>
  <c r="O12" i="14"/>
  <c r="J12" i="14"/>
  <c r="K12" i="14"/>
  <c r="J10" i="14"/>
  <c r="O6" i="14"/>
  <c r="D15" i="8"/>
  <c r="J15" i="14" s="1"/>
  <c r="E15" i="8"/>
  <c r="K15" i="14" s="1"/>
  <c r="L15" i="14" s="1"/>
  <c r="N15" i="14" s="1"/>
  <c r="F15" i="8"/>
  <c r="O15" i="14" s="1"/>
  <c r="D16" i="8"/>
  <c r="J16" i="14" s="1"/>
  <c r="E16" i="8"/>
  <c r="K16" i="14" s="1"/>
  <c r="L16" i="14" s="1"/>
  <c r="N16" i="14" s="1"/>
  <c r="F16" i="8"/>
  <c r="O16" i="14" s="1"/>
  <c r="D18" i="8"/>
  <c r="E18" i="8"/>
  <c r="L18" i="14" s="1"/>
  <c r="N18" i="14" s="1"/>
  <c r="F18" i="8"/>
  <c r="O16" i="5"/>
  <c r="O27" i="5"/>
  <c r="N16" i="5"/>
  <c r="N31" i="5" s="1"/>
  <c r="M27" i="5"/>
  <c r="O37" i="7"/>
  <c r="O39" i="7"/>
  <c r="K7" i="14" s="1"/>
  <c r="L7" i="14" s="1"/>
  <c r="N7" i="14" s="1"/>
  <c r="O41" i="7"/>
  <c r="K21" i="14" s="1"/>
  <c r="O42" i="7"/>
  <c r="K22" i="14" s="1"/>
  <c r="N37" i="7"/>
  <c r="N39" i="7"/>
  <c r="J7" i="14" s="1"/>
  <c r="N41" i="7"/>
  <c r="J21" i="14" s="1"/>
  <c r="N42" i="7"/>
  <c r="J22" i="14" s="1"/>
  <c r="M39" i="7"/>
  <c r="M37" i="7"/>
  <c r="M41" i="7"/>
  <c r="M42" i="7"/>
  <c r="E76" i="11"/>
  <c r="E78" i="11" s="1"/>
  <c r="C76" i="11"/>
  <c r="C78" i="11" s="1"/>
  <c r="B76" i="11"/>
  <c r="L39" i="7"/>
  <c r="B22" i="15"/>
  <c r="CT49" i="16"/>
  <c r="CT50" i="16"/>
  <c r="E42" i="7"/>
  <c r="R42" i="7"/>
  <c r="F42" i="7"/>
  <c r="E27" i="11" s="1"/>
  <c r="G42" i="7"/>
  <c r="H42" i="7"/>
  <c r="I42" i="7"/>
  <c r="L42" i="7"/>
  <c r="S42" i="7"/>
  <c r="T42" i="7"/>
  <c r="V42" i="7"/>
  <c r="P22" i="14" s="1"/>
  <c r="W42" i="7"/>
  <c r="Q22" i="14" s="1"/>
  <c r="X42" i="7"/>
  <c r="R22" i="14" s="1"/>
  <c r="Y42" i="7"/>
  <c r="T22" i="14" s="1"/>
  <c r="Z42" i="7"/>
  <c r="U22" i="14" s="1"/>
  <c r="AE42" i="7"/>
  <c r="Z22" i="14" s="1"/>
  <c r="AF42" i="7"/>
  <c r="AA22" i="14" s="1"/>
  <c r="AG42" i="7"/>
  <c r="AB22" i="14" s="1"/>
  <c r="AI42" i="7"/>
  <c r="AD22" i="14" s="1"/>
  <c r="AJ42" i="7"/>
  <c r="AE22" i="14" s="1"/>
  <c r="AK42" i="7"/>
  <c r="AF22" i="14" s="1"/>
  <c r="AL42" i="7"/>
  <c r="AG22" i="14" s="1"/>
  <c r="AM42" i="7"/>
  <c r="AH22" i="14" s="1"/>
  <c r="AN42" i="7"/>
  <c r="AI22" i="14" s="1"/>
  <c r="AO42" i="7"/>
  <c r="AJ22" i="14" s="1"/>
  <c r="AP42" i="7"/>
  <c r="AK22" i="14" s="1"/>
  <c r="AR42" i="7"/>
  <c r="AM22" i="14" s="1"/>
  <c r="AS42" i="7"/>
  <c r="AN22" i="14" s="1"/>
  <c r="AT42" i="7"/>
  <c r="AO22" i="14" s="1"/>
  <c r="AV42" i="7"/>
  <c r="AQ22" i="14" s="1"/>
  <c r="AX42" i="7"/>
  <c r="AS22" i="14" s="1"/>
  <c r="AY42" i="7"/>
  <c r="AT22" i="14" s="1"/>
  <c r="BA42" i="7"/>
  <c r="AV22" i="14" s="1"/>
  <c r="D41" i="7"/>
  <c r="AA27" i="7"/>
  <c r="AQ27" i="7"/>
  <c r="AH27" i="7"/>
  <c r="AW27" i="7"/>
  <c r="AZ27" i="7"/>
  <c r="AA12" i="7"/>
  <c r="AQ12" i="7"/>
  <c r="AW12" i="7"/>
  <c r="AZ12" i="7"/>
  <c r="CS99" i="16"/>
  <c r="AX99" i="16"/>
  <c r="E40" i="3"/>
  <c r="F40" i="3" s="1"/>
  <c r="E39" i="3"/>
  <c r="E38" i="3"/>
  <c r="G38" i="3" s="1"/>
  <c r="E37" i="3"/>
  <c r="G37" i="3" s="1"/>
  <c r="E24" i="3"/>
  <c r="E23" i="3"/>
  <c r="G23" i="3" s="1"/>
  <c r="E22" i="3"/>
  <c r="G22" i="3" s="1"/>
  <c r="E21" i="3"/>
  <c r="G21" i="3" s="1"/>
  <c r="M7" i="8"/>
  <c r="N7" i="8" s="1"/>
  <c r="M14" i="8"/>
  <c r="M12" i="8"/>
  <c r="N12" i="8" s="1"/>
  <c r="M11" i="8"/>
  <c r="N11" i="8" s="1"/>
  <c r="M8" i="8"/>
  <c r="N8" i="8" s="1"/>
  <c r="M10" i="8"/>
  <c r="N10" i="8" s="1"/>
  <c r="CT18" i="16"/>
  <c r="CT17" i="16"/>
  <c r="CT14" i="16"/>
  <c r="CT15" i="16"/>
  <c r="N18" i="11"/>
  <c r="O18" i="11"/>
  <c r="D39" i="7"/>
  <c r="E39" i="7"/>
  <c r="G39" i="7"/>
  <c r="H39" i="7"/>
  <c r="I39" i="7"/>
  <c r="J39" i="7"/>
  <c r="R39" i="7"/>
  <c r="S39" i="7"/>
  <c r="T39" i="7"/>
  <c r="V39" i="7"/>
  <c r="P7" i="14" s="1"/>
  <c r="W39" i="7"/>
  <c r="Q7" i="14" s="1"/>
  <c r="X39" i="7"/>
  <c r="R7" i="14" s="1"/>
  <c r="Y39" i="7"/>
  <c r="T7" i="14" s="1"/>
  <c r="Z39" i="7"/>
  <c r="U7" i="14" s="1"/>
  <c r="AE39" i="7"/>
  <c r="Z7" i="14" s="1"/>
  <c r="AF39" i="7"/>
  <c r="AA7" i="14" s="1"/>
  <c r="AG39" i="7"/>
  <c r="AB7" i="14" s="1"/>
  <c r="AI39" i="7"/>
  <c r="AD7" i="14" s="1"/>
  <c r="AJ39" i="7"/>
  <c r="AE7" i="14" s="1"/>
  <c r="AK39" i="7"/>
  <c r="AF7" i="14" s="1"/>
  <c r="AL39" i="7"/>
  <c r="AG7" i="14" s="1"/>
  <c r="AM39" i="7"/>
  <c r="AH7" i="14" s="1"/>
  <c r="AN39" i="7"/>
  <c r="AI7" i="14" s="1"/>
  <c r="AO39" i="7"/>
  <c r="AJ7" i="14" s="1"/>
  <c r="AP39" i="7"/>
  <c r="AK7" i="14" s="1"/>
  <c r="AR39" i="7"/>
  <c r="AM7" i="14" s="1"/>
  <c r="AS39" i="7"/>
  <c r="AN7" i="14" s="1"/>
  <c r="AT39" i="7"/>
  <c r="AO7" i="14" s="1"/>
  <c r="AV39" i="7"/>
  <c r="AQ7" i="14" s="1"/>
  <c r="AX39" i="7"/>
  <c r="AS7" i="14" s="1"/>
  <c r="AY39" i="7"/>
  <c r="AT7" i="14" s="1"/>
  <c r="BA39" i="7"/>
  <c r="AV7" i="14" s="1"/>
  <c r="AA24" i="7"/>
  <c r="AQ24" i="7"/>
  <c r="AW24" i="7"/>
  <c r="AZ24" i="7"/>
  <c r="AA9" i="7"/>
  <c r="AQ9" i="7"/>
  <c r="J18" i="11" s="1"/>
  <c r="AW9" i="7"/>
  <c r="AZ9" i="7"/>
  <c r="B7" i="15"/>
  <c r="AU27" i="5"/>
  <c r="AS27" i="5"/>
  <c r="AR27" i="5"/>
  <c r="AP27" i="5"/>
  <c r="AN27" i="5"/>
  <c r="AM27" i="5"/>
  <c r="AK27" i="5"/>
  <c r="AJ27" i="5"/>
  <c r="AI27" i="5"/>
  <c r="AH27" i="5"/>
  <c r="AG27" i="5"/>
  <c r="AF27" i="5"/>
  <c r="AE27" i="5"/>
  <c r="AD27" i="5"/>
  <c r="AB27" i="5"/>
  <c r="AA27" i="5"/>
  <c r="Z27" i="5"/>
  <c r="U27" i="5"/>
  <c r="T27" i="5"/>
  <c r="S27" i="5"/>
  <c r="R27" i="5"/>
  <c r="V25" i="5"/>
  <c r="AC25" i="5"/>
  <c r="AL25" i="5"/>
  <c r="AQ25" i="5"/>
  <c r="AT25" i="5"/>
  <c r="V26" i="5"/>
  <c r="AC26" i="5"/>
  <c r="AL26" i="5"/>
  <c r="AQ26" i="5"/>
  <c r="AT26" i="5"/>
  <c r="AU16" i="5"/>
  <c r="AS16" i="5"/>
  <c r="AR16" i="5"/>
  <c r="AP16" i="5"/>
  <c r="AN16" i="5"/>
  <c r="AN31" i="5" s="1"/>
  <c r="AM16" i="5"/>
  <c r="AK16" i="5"/>
  <c r="AJ16" i="5"/>
  <c r="AI16" i="5"/>
  <c r="AI31" i="5" s="1"/>
  <c r="AH16" i="5"/>
  <c r="AG16" i="5"/>
  <c r="AF16" i="5"/>
  <c r="AE16" i="5"/>
  <c r="AB16" i="5"/>
  <c r="AA16" i="5"/>
  <c r="Z16" i="5"/>
  <c r="N32" i="11" s="1"/>
  <c r="U16" i="5"/>
  <c r="T16" i="5"/>
  <c r="S16" i="5"/>
  <c r="R16" i="5"/>
  <c r="V14" i="5"/>
  <c r="AC14" i="5"/>
  <c r="AL14" i="5"/>
  <c r="AQ14" i="5"/>
  <c r="AT14" i="5"/>
  <c r="V15" i="5"/>
  <c r="AL15" i="5"/>
  <c r="AQ15" i="5"/>
  <c r="AT15" i="5"/>
  <c r="DB10" i="17"/>
  <c r="DB11" i="17"/>
  <c r="DB12" i="17"/>
  <c r="DB13" i="17"/>
  <c r="DB14" i="17"/>
  <c r="DB15" i="17"/>
  <c r="DB16" i="17"/>
  <c r="DB17" i="17"/>
  <c r="DB18" i="17"/>
  <c r="DB19" i="17"/>
  <c r="DB20" i="17"/>
  <c r="DB21" i="17"/>
  <c r="DB22" i="17"/>
  <c r="DB23" i="17"/>
  <c r="DB24" i="17"/>
  <c r="DB25" i="17"/>
  <c r="DB26" i="17"/>
  <c r="DB27" i="17"/>
  <c r="DC10" i="17"/>
  <c r="DC11" i="17"/>
  <c r="DC12" i="17"/>
  <c r="CT81" i="16"/>
  <c r="CT80" i="16"/>
  <c r="AN10" i="14"/>
  <c r="AO10" i="14"/>
  <c r="AQ10" i="14"/>
  <c r="AN12" i="14"/>
  <c r="AQ24" i="5"/>
  <c r="AQ23" i="5"/>
  <c r="AQ22" i="5"/>
  <c r="AP21" i="5"/>
  <c r="AN21" i="5"/>
  <c r="AM21" i="5"/>
  <c r="AQ20" i="5"/>
  <c r="AQ18" i="5"/>
  <c r="AQ11" i="5"/>
  <c r="AQ12" i="5"/>
  <c r="AQ13" i="5"/>
  <c r="AQ9" i="5"/>
  <c r="AQ7" i="5"/>
  <c r="AM10" i="5"/>
  <c r="AM17" i="5" s="1"/>
  <c r="AN10" i="5"/>
  <c r="DB41" i="17"/>
  <c r="CT72" i="16"/>
  <c r="CT71" i="16"/>
  <c r="CS30" i="16"/>
  <c r="AS37" i="7"/>
  <c r="AT37" i="7"/>
  <c r="AS40" i="7"/>
  <c r="AN9" i="14" s="1"/>
  <c r="AT40" i="7"/>
  <c r="AO9" i="14" s="1"/>
  <c r="AS41" i="7"/>
  <c r="AN21" i="14" s="1"/>
  <c r="AT41" i="7"/>
  <c r="AO21" i="14" s="1"/>
  <c r="AE37" i="7"/>
  <c r="AE40" i="7"/>
  <c r="Z9" i="14" s="1"/>
  <c r="AE41" i="7"/>
  <c r="Z21" i="14" s="1"/>
  <c r="AF37" i="7"/>
  <c r="AG37" i="7"/>
  <c r="AI37" i="7"/>
  <c r="AJ37" i="7"/>
  <c r="AK37" i="7"/>
  <c r="AL37" i="7"/>
  <c r="AM37" i="7"/>
  <c r="AN37" i="7"/>
  <c r="AO37" i="7"/>
  <c r="AP37" i="7"/>
  <c r="AR37" i="7"/>
  <c r="AV37" i="7"/>
  <c r="AX37" i="7"/>
  <c r="AY37" i="7"/>
  <c r="BA37" i="7"/>
  <c r="AF40" i="7"/>
  <c r="AA9" i="14" s="1"/>
  <c r="AG40" i="7"/>
  <c r="AB9" i="14" s="1"/>
  <c r="AI40" i="7"/>
  <c r="AD9" i="14" s="1"/>
  <c r="AJ40" i="7"/>
  <c r="AE9" i="14" s="1"/>
  <c r="AK40" i="7"/>
  <c r="AF9" i="14" s="1"/>
  <c r="AL40" i="7"/>
  <c r="AG9" i="14" s="1"/>
  <c r="AM40" i="7"/>
  <c r="AH9" i="14" s="1"/>
  <c r="AN40" i="7"/>
  <c r="AI9" i="14" s="1"/>
  <c r="AO40" i="7"/>
  <c r="AJ9" i="14" s="1"/>
  <c r="AP40" i="7"/>
  <c r="AK9" i="14" s="1"/>
  <c r="AR40" i="7"/>
  <c r="AM9" i="14" s="1"/>
  <c r="AV40" i="7"/>
  <c r="AQ9" i="14" s="1"/>
  <c r="AX40" i="7"/>
  <c r="AS9" i="14" s="1"/>
  <c r="AY40" i="7"/>
  <c r="AT9" i="14" s="1"/>
  <c r="BA40" i="7"/>
  <c r="AV9" i="14" s="1"/>
  <c r="AF41" i="7"/>
  <c r="AA21" i="14" s="1"/>
  <c r="AG41" i="7"/>
  <c r="AB21" i="14" s="1"/>
  <c r="AI41" i="7"/>
  <c r="AD21" i="14" s="1"/>
  <c r="AJ41" i="7"/>
  <c r="AE21" i="14" s="1"/>
  <c r="AK41" i="7"/>
  <c r="AF21" i="14" s="1"/>
  <c r="AL41" i="7"/>
  <c r="AG21" i="14" s="1"/>
  <c r="AM41" i="7"/>
  <c r="AH21" i="14" s="1"/>
  <c r="AN41" i="7"/>
  <c r="AI21" i="14" s="1"/>
  <c r="AO41" i="7"/>
  <c r="AJ21" i="14" s="1"/>
  <c r="AP41" i="7"/>
  <c r="AK21" i="14" s="1"/>
  <c r="AR41" i="7"/>
  <c r="AM21" i="14" s="1"/>
  <c r="AV41" i="7"/>
  <c r="AQ21" i="14" s="1"/>
  <c r="AX41" i="7"/>
  <c r="AS21" i="14" s="1"/>
  <c r="AY41" i="7"/>
  <c r="AT21" i="14" s="1"/>
  <c r="BA41" i="7"/>
  <c r="AV21" i="14" s="1"/>
  <c r="B13" i="15"/>
  <c r="O50" i="11"/>
  <c r="N50" i="11"/>
  <c r="N19" i="11"/>
  <c r="O19" i="11"/>
  <c r="O20" i="11"/>
  <c r="N20" i="11"/>
  <c r="N16" i="11"/>
  <c r="O16" i="11"/>
  <c r="O15" i="11"/>
  <c r="N15" i="11"/>
  <c r="AV12" i="14"/>
  <c r="AV10" i="14"/>
  <c r="AS12" i="14"/>
  <c r="AT12" i="14"/>
  <c r="AT10" i="14"/>
  <c r="AS10" i="14"/>
  <c r="AO12" i="14"/>
  <c r="AQ12" i="14"/>
  <c r="AE10" i="14"/>
  <c r="AF10" i="14"/>
  <c r="AG10" i="14"/>
  <c r="AH10" i="14"/>
  <c r="AI10" i="14"/>
  <c r="AJ10" i="14"/>
  <c r="AK10" i="14"/>
  <c r="AE12" i="14"/>
  <c r="AF12" i="14"/>
  <c r="AG12" i="14"/>
  <c r="AH12" i="14"/>
  <c r="AI12" i="14"/>
  <c r="AJ12" i="14"/>
  <c r="AK12" i="14"/>
  <c r="AD12" i="14"/>
  <c r="AD10" i="14"/>
  <c r="AE21" i="5"/>
  <c r="AE10" i="5"/>
  <c r="AL7" i="5"/>
  <c r="X12" i="14"/>
  <c r="Z12" i="14"/>
  <c r="AA12" i="14"/>
  <c r="AB12" i="14"/>
  <c r="Z10" i="14"/>
  <c r="AA10" i="14"/>
  <c r="AB10" i="14"/>
  <c r="U12" i="14"/>
  <c r="U10" i="14"/>
  <c r="S12" i="14"/>
  <c r="S10" i="14"/>
  <c r="Q10" i="14"/>
  <c r="Q12" i="14"/>
  <c r="P12" i="14"/>
  <c r="P10" i="14"/>
  <c r="A9" i="14"/>
  <c r="B9" i="15" s="1"/>
  <c r="F9" i="14"/>
  <c r="C9" i="15" s="1"/>
  <c r="I15" i="8"/>
  <c r="P15" i="14" s="1"/>
  <c r="J15" i="8"/>
  <c r="Q15" i="14" s="1"/>
  <c r="K15" i="8"/>
  <c r="R15" i="14" s="1"/>
  <c r="L15" i="8"/>
  <c r="U15" i="14" s="1"/>
  <c r="Q15" i="8"/>
  <c r="Z15" i="14" s="1"/>
  <c r="R15" i="8"/>
  <c r="AA15" i="14" s="1"/>
  <c r="S15" i="8"/>
  <c r="AB15" i="14" s="1"/>
  <c r="U15" i="8"/>
  <c r="AD15" i="14" s="1"/>
  <c r="V15" i="8"/>
  <c r="AE15" i="14" s="1"/>
  <c r="W15" i="8"/>
  <c r="AF15" i="14" s="1"/>
  <c r="X15" i="8"/>
  <c r="AG15" i="14" s="1"/>
  <c r="Y15" i="8"/>
  <c r="AH15" i="14" s="1"/>
  <c r="Z15" i="8"/>
  <c r="AI15" i="14" s="1"/>
  <c r="AA15" i="8"/>
  <c r="AK15" i="14" s="1"/>
  <c r="AC15" i="8"/>
  <c r="AN15" i="14" s="1"/>
  <c r="AF15" i="8"/>
  <c r="AQ15" i="14" s="1"/>
  <c r="AH15" i="8"/>
  <c r="AS15" i="14" s="1"/>
  <c r="AI15" i="8"/>
  <c r="AT15" i="14" s="1"/>
  <c r="AK15" i="8"/>
  <c r="AV15" i="14" s="1"/>
  <c r="I16" i="8"/>
  <c r="P16" i="14" s="1"/>
  <c r="J16" i="8"/>
  <c r="Q16" i="14" s="1"/>
  <c r="K16" i="8"/>
  <c r="R16" i="14" s="1"/>
  <c r="L16" i="8"/>
  <c r="U16" i="14" s="1"/>
  <c r="Q16" i="8"/>
  <c r="Z16" i="14" s="1"/>
  <c r="R16" i="8"/>
  <c r="AA16" i="14" s="1"/>
  <c r="S16" i="8"/>
  <c r="AB16" i="14" s="1"/>
  <c r="U16" i="8"/>
  <c r="AD16" i="14" s="1"/>
  <c r="V16" i="8"/>
  <c r="AE16" i="14" s="1"/>
  <c r="W16" i="8"/>
  <c r="AF16" i="14" s="1"/>
  <c r="X16" i="8"/>
  <c r="AG16" i="14" s="1"/>
  <c r="Y16" i="8"/>
  <c r="AH16" i="14" s="1"/>
  <c r="Z16" i="8"/>
  <c r="AI16" i="14" s="1"/>
  <c r="AA16" i="8"/>
  <c r="AK16" i="14" s="1"/>
  <c r="AC16" i="8"/>
  <c r="AN16" i="14" s="1"/>
  <c r="AF16" i="8"/>
  <c r="AQ16" i="14" s="1"/>
  <c r="AH16" i="8"/>
  <c r="AS16" i="14" s="1"/>
  <c r="AI16" i="8"/>
  <c r="AT16" i="14" s="1"/>
  <c r="AK16" i="8"/>
  <c r="AV16" i="14" s="1"/>
  <c r="I18" i="8"/>
  <c r="J18" i="8"/>
  <c r="K18" i="8"/>
  <c r="L18" i="8"/>
  <c r="Q18" i="8"/>
  <c r="R18" i="8"/>
  <c r="S18" i="8"/>
  <c r="U18" i="8"/>
  <c r="V18" i="8"/>
  <c r="W18" i="8"/>
  <c r="X18" i="8"/>
  <c r="Y18" i="8"/>
  <c r="Z18" i="8"/>
  <c r="AA18" i="8"/>
  <c r="AC18" i="8"/>
  <c r="AF18" i="8"/>
  <c r="AH18" i="8"/>
  <c r="AI18" i="8"/>
  <c r="AK18" i="8"/>
  <c r="AJ14" i="8"/>
  <c r="AB14" i="8"/>
  <c r="AJ12" i="8"/>
  <c r="AG12" i="8"/>
  <c r="AB12" i="8"/>
  <c r="AJ11" i="8"/>
  <c r="AG11" i="8"/>
  <c r="AB11" i="8"/>
  <c r="AG8" i="8"/>
  <c r="AJ8" i="8"/>
  <c r="AG10" i="8"/>
  <c r="AJ10" i="8"/>
  <c r="AJ7" i="8"/>
  <c r="AG7" i="8"/>
  <c r="AB8" i="8"/>
  <c r="T8" i="8"/>
  <c r="AB10" i="8"/>
  <c r="AB7" i="8"/>
  <c r="AI21" i="5"/>
  <c r="AT24" i="5"/>
  <c r="AL24" i="5"/>
  <c r="V24" i="5"/>
  <c r="W24" i="5" s="1"/>
  <c r="P24" i="5" s="1"/>
  <c r="AT23" i="5"/>
  <c r="AL23" i="5"/>
  <c r="AC23" i="5"/>
  <c r="V23" i="5"/>
  <c r="AT22" i="5"/>
  <c r="AV22" i="5" s="1"/>
  <c r="AW22" i="5" s="1"/>
  <c r="AL22" i="5"/>
  <c r="AC22" i="5"/>
  <c r="V22" i="5"/>
  <c r="AU21" i="5"/>
  <c r="AU28" i="5" s="1"/>
  <c r="AS21" i="5"/>
  <c r="AR21" i="5"/>
  <c r="AK21" i="5"/>
  <c r="AJ21" i="5"/>
  <c r="AH21" i="5"/>
  <c r="AG21" i="5"/>
  <c r="AF21" i="5"/>
  <c r="AD21" i="5"/>
  <c r="AB21" i="5"/>
  <c r="AA21" i="5"/>
  <c r="Z21" i="5"/>
  <c r="Z28" i="5" s="1"/>
  <c r="U21" i="5"/>
  <c r="T21" i="5"/>
  <c r="S21" i="5"/>
  <c r="R21" i="5"/>
  <c r="AT20" i="5"/>
  <c r="AL20" i="5"/>
  <c r="V20" i="5"/>
  <c r="AC20" i="5"/>
  <c r="AT18" i="5"/>
  <c r="AL18" i="5"/>
  <c r="V18" i="5"/>
  <c r="AT11" i="5"/>
  <c r="AT12" i="5"/>
  <c r="AT13" i="5"/>
  <c r="AT9" i="5"/>
  <c r="AT7" i="5"/>
  <c r="X10" i="14"/>
  <c r="AL11" i="5"/>
  <c r="AL12" i="5"/>
  <c r="AL13" i="5"/>
  <c r="AL9" i="5"/>
  <c r="V11" i="5"/>
  <c r="V12" i="5"/>
  <c r="W12" i="5" s="1"/>
  <c r="V13" i="5"/>
  <c r="V9" i="5"/>
  <c r="V7" i="5"/>
  <c r="R10" i="5"/>
  <c r="S10" i="5"/>
  <c r="T10" i="5"/>
  <c r="U10" i="5"/>
  <c r="Z10" i="5"/>
  <c r="AA10" i="5"/>
  <c r="AA30" i="5" s="1"/>
  <c r="AB10" i="5"/>
  <c r="AG10" i="5"/>
  <c r="AH10" i="5"/>
  <c r="AI10" i="5"/>
  <c r="AJ10" i="5"/>
  <c r="AJ30" i="5" s="1"/>
  <c r="AK10" i="5"/>
  <c r="AP10" i="5"/>
  <c r="AR10" i="5"/>
  <c r="AS10" i="5"/>
  <c r="AU10" i="5"/>
  <c r="I48" i="7"/>
  <c r="E12" i="11" s="1"/>
  <c r="V37" i="7"/>
  <c r="W37" i="7"/>
  <c r="X37" i="7"/>
  <c r="Y37" i="7"/>
  <c r="Z37" i="7"/>
  <c r="V40" i="7"/>
  <c r="P9" i="14" s="1"/>
  <c r="W40" i="7"/>
  <c r="Q9" i="14" s="1"/>
  <c r="X40" i="7"/>
  <c r="R9" i="14" s="1"/>
  <c r="Y40" i="7"/>
  <c r="T9" i="14" s="1"/>
  <c r="Z40" i="7"/>
  <c r="U9" i="14" s="1"/>
  <c r="V41" i="7"/>
  <c r="P21" i="14" s="1"/>
  <c r="W41" i="7"/>
  <c r="Q21" i="14" s="1"/>
  <c r="X41" i="7"/>
  <c r="R21" i="14" s="1"/>
  <c r="Y41" i="7"/>
  <c r="T21" i="14" s="1"/>
  <c r="Z41" i="7"/>
  <c r="U21" i="14" s="1"/>
  <c r="R37" i="7"/>
  <c r="S37" i="7"/>
  <c r="T37" i="7"/>
  <c r="R40" i="7"/>
  <c r="T40" i="7"/>
  <c r="L41" i="7"/>
  <c r="R41" i="7"/>
  <c r="S41" i="7"/>
  <c r="T41" i="7"/>
  <c r="I41" i="7"/>
  <c r="H41" i="7"/>
  <c r="G41" i="7"/>
  <c r="E41" i="7"/>
  <c r="I37" i="7"/>
  <c r="G37" i="7"/>
  <c r="H37" i="7"/>
  <c r="D37" i="7"/>
  <c r="E37" i="7"/>
  <c r="AZ29" i="7"/>
  <c r="AW29" i="7"/>
  <c r="AQ29" i="7"/>
  <c r="K19" i="11" s="1"/>
  <c r="AA29" i="7"/>
  <c r="AZ28" i="7"/>
  <c r="AW28" i="7"/>
  <c r="AQ28" i="7"/>
  <c r="AA28" i="7"/>
  <c r="AZ26" i="7"/>
  <c r="AW26" i="7"/>
  <c r="AQ26" i="7"/>
  <c r="AA26" i="7"/>
  <c r="AZ25" i="7"/>
  <c r="AW25" i="7"/>
  <c r="AQ25" i="7"/>
  <c r="AA25" i="7"/>
  <c r="AZ22" i="7"/>
  <c r="AW22" i="7"/>
  <c r="AQ22" i="7"/>
  <c r="AA22" i="7"/>
  <c r="AA7" i="7"/>
  <c r="AA10" i="7"/>
  <c r="AA11" i="7"/>
  <c r="AA13" i="7"/>
  <c r="AA14" i="7"/>
  <c r="AZ7" i="7"/>
  <c r="AZ10" i="7"/>
  <c r="AZ11" i="7"/>
  <c r="AZ13" i="7"/>
  <c r="AZ14" i="7"/>
  <c r="AW7" i="7"/>
  <c r="AW10" i="7"/>
  <c r="AW11" i="7"/>
  <c r="AW13" i="7"/>
  <c r="AW14" i="7"/>
  <c r="AQ7" i="7"/>
  <c r="AQ10" i="7"/>
  <c r="AQ11" i="7"/>
  <c r="AQ13" i="7"/>
  <c r="J20" i="11" s="1"/>
  <c r="AQ14" i="7"/>
  <c r="AH10" i="7"/>
  <c r="X21" i="5"/>
  <c r="AC18" i="5"/>
  <c r="E63" i="11"/>
  <c r="R8" i="3"/>
  <c r="T8" i="3"/>
  <c r="V8" i="3"/>
  <c r="X8" i="3"/>
  <c r="M11" i="3"/>
  <c r="D18" i="9"/>
  <c r="D19" i="9"/>
  <c r="H9" i="3"/>
  <c r="H10" i="3"/>
  <c r="H11" i="3"/>
  <c r="I10" i="3"/>
  <c r="I9" i="3"/>
  <c r="I11" i="3"/>
  <c r="CT69" i="16"/>
  <c r="CT68" i="16"/>
  <c r="CT66" i="16"/>
  <c r="CT65" i="16"/>
  <c r="CT78" i="16"/>
  <c r="CT77" i="16"/>
  <c r="I31" i="3"/>
  <c r="I30" i="3"/>
  <c r="I12" i="3"/>
  <c r="I14" i="3"/>
  <c r="I15" i="3"/>
  <c r="I20" i="3"/>
  <c r="H31" i="3"/>
  <c r="H30" i="3"/>
  <c r="H12" i="3"/>
  <c r="H14" i="3"/>
  <c r="H15" i="3"/>
  <c r="H20" i="3"/>
  <c r="I19" i="3"/>
  <c r="I29" i="3"/>
  <c r="I38" i="3" s="1"/>
  <c r="I25" i="3"/>
  <c r="I13" i="3"/>
  <c r="H19" i="3"/>
  <c r="H29" i="3"/>
  <c r="H25" i="3"/>
  <c r="H13" i="3"/>
  <c r="R10" i="3"/>
  <c r="S10" i="3"/>
  <c r="T10" i="3"/>
  <c r="U10" i="3"/>
  <c r="V10" i="3"/>
  <c r="W10" i="3"/>
  <c r="X10" i="3"/>
  <c r="Y10" i="3"/>
  <c r="R11" i="3"/>
  <c r="S11" i="3"/>
  <c r="T11" i="3"/>
  <c r="U11" i="3"/>
  <c r="V11" i="3"/>
  <c r="W11" i="3"/>
  <c r="X11" i="3"/>
  <c r="Y11" i="3"/>
  <c r="R12" i="3"/>
  <c r="S12" i="3"/>
  <c r="T12" i="3"/>
  <c r="U12" i="3"/>
  <c r="V12" i="3"/>
  <c r="W12" i="3"/>
  <c r="X12" i="3"/>
  <c r="Y12" i="3"/>
  <c r="R13" i="3"/>
  <c r="S13" i="3"/>
  <c r="T13" i="3"/>
  <c r="U13" i="3"/>
  <c r="V13" i="3"/>
  <c r="W13" i="3"/>
  <c r="X13" i="3"/>
  <c r="Y13" i="3"/>
  <c r="R14" i="3"/>
  <c r="S14" i="3"/>
  <c r="T14" i="3"/>
  <c r="U14" i="3"/>
  <c r="V14" i="3"/>
  <c r="W14" i="3"/>
  <c r="X14" i="3"/>
  <c r="Y14" i="3"/>
  <c r="R15" i="3"/>
  <c r="S15" i="3"/>
  <c r="T15" i="3"/>
  <c r="U15" i="3"/>
  <c r="V15" i="3"/>
  <c r="W15" i="3"/>
  <c r="X15" i="3"/>
  <c r="Y15" i="3"/>
  <c r="Y22" i="3" s="1"/>
  <c r="R16" i="3"/>
  <c r="S16" i="3"/>
  <c r="T16" i="3"/>
  <c r="U16" i="3"/>
  <c r="V16" i="3"/>
  <c r="W16" i="3"/>
  <c r="X16" i="3"/>
  <c r="Y16" i="3"/>
  <c r="R17" i="3"/>
  <c r="S17" i="3"/>
  <c r="T17" i="3"/>
  <c r="U17" i="3"/>
  <c r="V17" i="3"/>
  <c r="W17" i="3"/>
  <c r="X17" i="3"/>
  <c r="Y17" i="3"/>
  <c r="R18" i="3"/>
  <c r="S18" i="3"/>
  <c r="T18" i="3"/>
  <c r="U18" i="3"/>
  <c r="V18" i="3"/>
  <c r="W18" i="3"/>
  <c r="X18" i="3"/>
  <c r="Y18" i="3"/>
  <c r="R19" i="3"/>
  <c r="S19" i="3"/>
  <c r="T19" i="3"/>
  <c r="U19" i="3"/>
  <c r="U24" i="3" s="1"/>
  <c r="V19" i="3"/>
  <c r="W19" i="3"/>
  <c r="X19" i="3"/>
  <c r="Y19" i="3"/>
  <c r="R20" i="3"/>
  <c r="R24" i="3" s="1"/>
  <c r="S20" i="3"/>
  <c r="T20" i="3"/>
  <c r="U20" i="3"/>
  <c r="V20" i="3"/>
  <c r="W20" i="3"/>
  <c r="X20" i="3"/>
  <c r="X24" i="3" s="1"/>
  <c r="Y20" i="3"/>
  <c r="Y9" i="3"/>
  <c r="X9" i="3"/>
  <c r="W9" i="3"/>
  <c r="V9" i="3"/>
  <c r="U9" i="3"/>
  <c r="T9" i="3"/>
  <c r="S9" i="3"/>
  <c r="R9" i="3"/>
  <c r="Q26" i="3"/>
  <c r="R26" i="3"/>
  <c r="S26" i="3"/>
  <c r="T26" i="3"/>
  <c r="U26" i="3"/>
  <c r="V26" i="3"/>
  <c r="W26" i="3"/>
  <c r="X26" i="3"/>
  <c r="Y26" i="3"/>
  <c r="Q27" i="3"/>
  <c r="R27" i="3"/>
  <c r="S27" i="3"/>
  <c r="T27" i="3"/>
  <c r="U27" i="3"/>
  <c r="V27" i="3"/>
  <c r="W27" i="3"/>
  <c r="X27" i="3"/>
  <c r="Y27" i="3"/>
  <c r="Q28" i="3"/>
  <c r="R28" i="3"/>
  <c r="S28" i="3"/>
  <c r="T28" i="3"/>
  <c r="T37" i="3" s="1"/>
  <c r="U28" i="3"/>
  <c r="V28" i="3"/>
  <c r="W28" i="3"/>
  <c r="X28" i="3"/>
  <c r="X37" i="3" s="1"/>
  <c r="Y28" i="3"/>
  <c r="Q29" i="3"/>
  <c r="R29" i="3"/>
  <c r="S29" i="3"/>
  <c r="T29" i="3"/>
  <c r="U29" i="3"/>
  <c r="V29" i="3"/>
  <c r="W29" i="3"/>
  <c r="X29" i="3"/>
  <c r="Y29" i="3"/>
  <c r="Q30" i="3"/>
  <c r="R30" i="3"/>
  <c r="S30" i="3"/>
  <c r="T30" i="3"/>
  <c r="U30" i="3"/>
  <c r="V30" i="3"/>
  <c r="W30" i="3"/>
  <c r="X30" i="3"/>
  <c r="Y30" i="3"/>
  <c r="Q31" i="3"/>
  <c r="R31" i="3"/>
  <c r="S31" i="3"/>
  <c r="T31" i="3"/>
  <c r="U31" i="3"/>
  <c r="V31" i="3"/>
  <c r="W31" i="3"/>
  <c r="X31" i="3"/>
  <c r="Y31" i="3"/>
  <c r="Q32" i="3"/>
  <c r="R32" i="3"/>
  <c r="S32" i="3"/>
  <c r="T32" i="3"/>
  <c r="U32" i="3"/>
  <c r="V32" i="3"/>
  <c r="W32" i="3"/>
  <c r="X32" i="3"/>
  <c r="Y32" i="3"/>
  <c r="Q33" i="3"/>
  <c r="R33" i="3"/>
  <c r="S33" i="3"/>
  <c r="T33" i="3"/>
  <c r="U33" i="3"/>
  <c r="V33" i="3"/>
  <c r="W33" i="3"/>
  <c r="X33" i="3"/>
  <c r="Y33" i="3"/>
  <c r="Q34" i="3"/>
  <c r="R34" i="3"/>
  <c r="R39" i="3" s="1"/>
  <c r="S34" i="3"/>
  <c r="T34" i="3"/>
  <c r="U34" i="3"/>
  <c r="V34" i="3"/>
  <c r="W34" i="3"/>
  <c r="X34" i="3"/>
  <c r="Y34" i="3"/>
  <c r="Q35" i="3"/>
  <c r="R35" i="3"/>
  <c r="S35" i="3"/>
  <c r="T35" i="3"/>
  <c r="U35" i="3"/>
  <c r="V35" i="3"/>
  <c r="W35" i="3"/>
  <c r="X35" i="3"/>
  <c r="Y35" i="3"/>
  <c r="Q36" i="3"/>
  <c r="R36" i="3"/>
  <c r="S36" i="3"/>
  <c r="T36" i="3"/>
  <c r="U36" i="3"/>
  <c r="V36" i="3"/>
  <c r="W36" i="3"/>
  <c r="X36" i="3"/>
  <c r="Y36" i="3"/>
  <c r="Y25" i="3"/>
  <c r="X25" i="3"/>
  <c r="W25" i="3"/>
  <c r="V25" i="3"/>
  <c r="U25" i="3"/>
  <c r="T25" i="3"/>
  <c r="S25" i="3"/>
  <c r="R25" i="3"/>
  <c r="Q25" i="3"/>
  <c r="Q10" i="3"/>
  <c r="Q11" i="3"/>
  <c r="Q12" i="3"/>
  <c r="Q9" i="3"/>
  <c r="Q13" i="3"/>
  <c r="Q14" i="3"/>
  <c r="Q15" i="3"/>
  <c r="Q16" i="3"/>
  <c r="Q17" i="3"/>
  <c r="Q18" i="3"/>
  <c r="Q19" i="3"/>
  <c r="Q20" i="3"/>
  <c r="P32" i="3"/>
  <c r="P33" i="3"/>
  <c r="P34" i="3"/>
  <c r="P35" i="3"/>
  <c r="P36" i="3"/>
  <c r="P31" i="3"/>
  <c r="P26" i="3"/>
  <c r="P30" i="3"/>
  <c r="P29" i="3"/>
  <c r="P28" i="3"/>
  <c r="P27" i="3"/>
  <c r="P25" i="3"/>
  <c r="P11" i="3"/>
  <c r="P20" i="3"/>
  <c r="P19" i="3"/>
  <c r="P18" i="3"/>
  <c r="P17" i="3"/>
  <c r="P16" i="3"/>
  <c r="P15" i="3"/>
  <c r="P14" i="3"/>
  <c r="P13" i="3"/>
  <c r="P12" i="3"/>
  <c r="P10" i="3"/>
  <c r="P9" i="3"/>
  <c r="O9" i="3"/>
  <c r="K36" i="3"/>
  <c r="K35" i="3"/>
  <c r="K34" i="3"/>
  <c r="K33" i="3"/>
  <c r="K32" i="3"/>
  <c r="K31" i="3"/>
  <c r="K30" i="3"/>
  <c r="K29" i="3"/>
  <c r="K28" i="3"/>
  <c r="K27" i="3"/>
  <c r="K26" i="3"/>
  <c r="K25" i="3"/>
  <c r="K37" i="3" s="1"/>
  <c r="K20" i="3"/>
  <c r="K19" i="3"/>
  <c r="K18" i="3"/>
  <c r="K17" i="3"/>
  <c r="K16" i="3"/>
  <c r="K15" i="3"/>
  <c r="K14" i="3"/>
  <c r="K13" i="3"/>
  <c r="K12" i="3"/>
  <c r="K11" i="3"/>
  <c r="K10" i="3"/>
  <c r="K9" i="3"/>
  <c r="L14" i="3"/>
  <c r="M14" i="3"/>
  <c r="N14" i="3"/>
  <c r="O14" i="3"/>
  <c r="AC14" i="3"/>
  <c r="AD14" i="3"/>
  <c r="AF14" i="3"/>
  <c r="AG14" i="3"/>
  <c r="AH14" i="3"/>
  <c r="AL14" i="3"/>
  <c r="AM14" i="3"/>
  <c r="AO14" i="3"/>
  <c r="AP14" i="3"/>
  <c r="AQ14" i="3"/>
  <c r="AU14" i="3"/>
  <c r="AV14" i="3"/>
  <c r="AX14" i="3"/>
  <c r="AY14" i="3"/>
  <c r="AZ14" i="3"/>
  <c r="BD14" i="3"/>
  <c r="BE14" i="3"/>
  <c r="BG14" i="3"/>
  <c r="BH14" i="3"/>
  <c r="BI14" i="3"/>
  <c r="BM14" i="3"/>
  <c r="BN14" i="3"/>
  <c r="BP14" i="3"/>
  <c r="BQ14" i="3"/>
  <c r="BU14" i="3"/>
  <c r="BV14" i="3"/>
  <c r="BX14" i="3"/>
  <c r="BY14" i="3"/>
  <c r="CC14" i="3"/>
  <c r="CD14" i="3"/>
  <c r="CF14" i="3"/>
  <c r="CG14" i="3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Z8" i="3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G36" i="3"/>
  <c r="CF36" i="3"/>
  <c r="CG35" i="3"/>
  <c r="CF35" i="3"/>
  <c r="CG34" i="3"/>
  <c r="CF34" i="3"/>
  <c r="CG33" i="3"/>
  <c r="CF33" i="3"/>
  <c r="CG32" i="3"/>
  <c r="CF32" i="3"/>
  <c r="CG31" i="3"/>
  <c r="CF31" i="3"/>
  <c r="CG30" i="3"/>
  <c r="CF30" i="3"/>
  <c r="CG29" i="3"/>
  <c r="CF29" i="3"/>
  <c r="CG28" i="3"/>
  <c r="CF28" i="3"/>
  <c r="CG27" i="3"/>
  <c r="CF27" i="3"/>
  <c r="CG26" i="3"/>
  <c r="CF26" i="3"/>
  <c r="CF37" i="3" s="1"/>
  <c r="CG25" i="3"/>
  <c r="CG37" i="3" s="1"/>
  <c r="CF25" i="3"/>
  <c r="CF10" i="3"/>
  <c r="CG10" i="3"/>
  <c r="CF11" i="3"/>
  <c r="CG11" i="3"/>
  <c r="CF12" i="3"/>
  <c r="CG12" i="3"/>
  <c r="CF13" i="3"/>
  <c r="CG13" i="3"/>
  <c r="CF15" i="3"/>
  <c r="CG15" i="3"/>
  <c r="CF16" i="3"/>
  <c r="CG16" i="3"/>
  <c r="CF17" i="3"/>
  <c r="CG17" i="3"/>
  <c r="CG23" i="3" s="1"/>
  <c r="CF18" i="3"/>
  <c r="CG18" i="3"/>
  <c r="CF19" i="3"/>
  <c r="CG19" i="3"/>
  <c r="CF20" i="3"/>
  <c r="CG20" i="3"/>
  <c r="CG9" i="3"/>
  <c r="CF9" i="3"/>
  <c r="CD19" i="3"/>
  <c r="CD20" i="3"/>
  <c r="CD35" i="3"/>
  <c r="CD36" i="3"/>
  <c r="CC19" i="3"/>
  <c r="CC20" i="3"/>
  <c r="CC35" i="3"/>
  <c r="CC36" i="3"/>
  <c r="BZ24" i="3"/>
  <c r="CB24" i="3" s="1"/>
  <c r="BZ40" i="3"/>
  <c r="CB40" i="3" s="1"/>
  <c r="CD16" i="3"/>
  <c r="CD17" i="3"/>
  <c r="CD18" i="3"/>
  <c r="CD32" i="3"/>
  <c r="CD33" i="3"/>
  <c r="CD34" i="3"/>
  <c r="CC16" i="3"/>
  <c r="CC17" i="3"/>
  <c r="CC18" i="3"/>
  <c r="CC32" i="3"/>
  <c r="CC33" i="3"/>
  <c r="CC34" i="3"/>
  <c r="BZ23" i="3"/>
  <c r="BZ39" i="3"/>
  <c r="CA39" i="3" s="1"/>
  <c r="CB39" i="3"/>
  <c r="CD13" i="3"/>
  <c r="CD15" i="3"/>
  <c r="CD29" i="3"/>
  <c r="CD30" i="3"/>
  <c r="CD31" i="3"/>
  <c r="CC13" i="3"/>
  <c r="CC15" i="3"/>
  <c r="CC29" i="3"/>
  <c r="CC30" i="3"/>
  <c r="CC31" i="3"/>
  <c r="BZ22" i="3"/>
  <c r="BZ38" i="3"/>
  <c r="CD9" i="3"/>
  <c r="CD10" i="3"/>
  <c r="CD11" i="3"/>
  <c r="CD12" i="3"/>
  <c r="CD25" i="3"/>
  <c r="CD26" i="3"/>
  <c r="CD27" i="3"/>
  <c r="CD28" i="3"/>
  <c r="CC9" i="3"/>
  <c r="CC10" i="3"/>
  <c r="CC11" i="3"/>
  <c r="CC12" i="3"/>
  <c r="CC21" i="3" s="1"/>
  <c r="CC25" i="3"/>
  <c r="CC26" i="3"/>
  <c r="CC27" i="3"/>
  <c r="CC28" i="3"/>
  <c r="BZ21" i="3"/>
  <c r="BZ37" i="3"/>
  <c r="CA37" i="3" s="1"/>
  <c r="BX26" i="3"/>
  <c r="BY26" i="3"/>
  <c r="BX27" i="3"/>
  <c r="BY27" i="3"/>
  <c r="BX28" i="3"/>
  <c r="BY28" i="3"/>
  <c r="BX29" i="3"/>
  <c r="BY29" i="3"/>
  <c r="BX30" i="3"/>
  <c r="BY30" i="3"/>
  <c r="BX31" i="3"/>
  <c r="BY31" i="3"/>
  <c r="BX32" i="3"/>
  <c r="BY32" i="3"/>
  <c r="BX33" i="3"/>
  <c r="BY33" i="3"/>
  <c r="BX34" i="3"/>
  <c r="BY34" i="3"/>
  <c r="BX35" i="3"/>
  <c r="BY35" i="3"/>
  <c r="BX36" i="3"/>
  <c r="BY36" i="3"/>
  <c r="BX25" i="3"/>
  <c r="BY25" i="3"/>
  <c r="BX10" i="3"/>
  <c r="BY10" i="3"/>
  <c r="BX11" i="3"/>
  <c r="BY11" i="3"/>
  <c r="BX12" i="3"/>
  <c r="BY12" i="3"/>
  <c r="BX13" i="3"/>
  <c r="BY13" i="3"/>
  <c r="BX15" i="3"/>
  <c r="BY15" i="3"/>
  <c r="BX16" i="3"/>
  <c r="BY16" i="3"/>
  <c r="BX17" i="3"/>
  <c r="BY17" i="3"/>
  <c r="BX18" i="3"/>
  <c r="BY18" i="3"/>
  <c r="BX19" i="3"/>
  <c r="BY19" i="3"/>
  <c r="BX20" i="3"/>
  <c r="BY20" i="3"/>
  <c r="BY9" i="3"/>
  <c r="BX9" i="3"/>
  <c r="BV19" i="3"/>
  <c r="BV20" i="3"/>
  <c r="BV35" i="3"/>
  <c r="BV36" i="3"/>
  <c r="BU19" i="3"/>
  <c r="BU20" i="3"/>
  <c r="BU35" i="3"/>
  <c r="BU36" i="3"/>
  <c r="BR24" i="3"/>
  <c r="BR40" i="3"/>
  <c r="BS40" i="3" s="1"/>
  <c r="BV16" i="3"/>
  <c r="BV17" i="3"/>
  <c r="BV18" i="3"/>
  <c r="BV32" i="3"/>
  <c r="BV33" i="3"/>
  <c r="BV34" i="3"/>
  <c r="BU16" i="3"/>
  <c r="BU17" i="3"/>
  <c r="BU18" i="3"/>
  <c r="BU32" i="3"/>
  <c r="BU33" i="3"/>
  <c r="BU34" i="3"/>
  <c r="BR23" i="3"/>
  <c r="BT23" i="3" s="1"/>
  <c r="BR39" i="3"/>
  <c r="BR43" i="3" s="1"/>
  <c r="BS43" i="3" s="1"/>
  <c r="BV13" i="3"/>
  <c r="BV15" i="3"/>
  <c r="BV29" i="3"/>
  <c r="BV30" i="3"/>
  <c r="BV31" i="3"/>
  <c r="BU13" i="3"/>
  <c r="BU15" i="3"/>
  <c r="BU29" i="3"/>
  <c r="BU30" i="3"/>
  <c r="BU31" i="3"/>
  <c r="BR22" i="3"/>
  <c r="BR38" i="3"/>
  <c r="BV9" i="3"/>
  <c r="BV10" i="3"/>
  <c r="BV11" i="3"/>
  <c r="BV12" i="3"/>
  <c r="BV25" i="3"/>
  <c r="BV26" i="3"/>
  <c r="BV27" i="3"/>
  <c r="BV28" i="3"/>
  <c r="BU9" i="3"/>
  <c r="BU10" i="3"/>
  <c r="BU11" i="3"/>
  <c r="BU12" i="3"/>
  <c r="BU25" i="3"/>
  <c r="BU26" i="3"/>
  <c r="BU27" i="3"/>
  <c r="BU28" i="3"/>
  <c r="BR21" i="3"/>
  <c r="BR37" i="3"/>
  <c r="BP26" i="3"/>
  <c r="BQ26" i="3"/>
  <c r="BP27" i="3"/>
  <c r="BQ27" i="3"/>
  <c r="BP28" i="3"/>
  <c r="BQ28" i="3"/>
  <c r="BP29" i="3"/>
  <c r="BQ29" i="3"/>
  <c r="BP30" i="3"/>
  <c r="BP38" i="3" s="1"/>
  <c r="BQ30" i="3"/>
  <c r="BP31" i="3"/>
  <c r="BQ31" i="3"/>
  <c r="BP32" i="3"/>
  <c r="BP39" i="3" s="1"/>
  <c r="BQ32" i="3"/>
  <c r="BP33" i="3"/>
  <c r="BQ33" i="3"/>
  <c r="BP34" i="3"/>
  <c r="BQ34" i="3"/>
  <c r="BP35" i="3"/>
  <c r="BQ35" i="3"/>
  <c r="BP36" i="3"/>
  <c r="BP40" i="3" s="1"/>
  <c r="BQ36" i="3"/>
  <c r="BP25" i="3"/>
  <c r="BQ25" i="3"/>
  <c r="BN36" i="3"/>
  <c r="BM36" i="3"/>
  <c r="BN35" i="3"/>
  <c r="BM35" i="3"/>
  <c r="BN34" i="3"/>
  <c r="BM34" i="3"/>
  <c r="BN33" i="3"/>
  <c r="BM33" i="3"/>
  <c r="BN32" i="3"/>
  <c r="BM32" i="3"/>
  <c r="BN31" i="3"/>
  <c r="BM31" i="3"/>
  <c r="BN30" i="3"/>
  <c r="BM30" i="3"/>
  <c r="BN29" i="3"/>
  <c r="BM29" i="3"/>
  <c r="BN28" i="3"/>
  <c r="BM28" i="3"/>
  <c r="BN27" i="3"/>
  <c r="BM27" i="3"/>
  <c r="BN26" i="3"/>
  <c r="BM26" i="3"/>
  <c r="BN25" i="3"/>
  <c r="BM25" i="3"/>
  <c r="BM10" i="3"/>
  <c r="BN10" i="3"/>
  <c r="BM11" i="3"/>
  <c r="BN11" i="3"/>
  <c r="BM12" i="3"/>
  <c r="BN12" i="3"/>
  <c r="BM13" i="3"/>
  <c r="BN13" i="3"/>
  <c r="BM15" i="3"/>
  <c r="BN15" i="3"/>
  <c r="BM16" i="3"/>
  <c r="BN16" i="3"/>
  <c r="BM17" i="3"/>
  <c r="BM23" i="3" s="1"/>
  <c r="BN17" i="3"/>
  <c r="BM18" i="3"/>
  <c r="BN18" i="3"/>
  <c r="BM19" i="3"/>
  <c r="BM24" i="3" s="1"/>
  <c r="BN19" i="3"/>
  <c r="BM20" i="3"/>
  <c r="BN20" i="3"/>
  <c r="BM9" i="3"/>
  <c r="BN9" i="3"/>
  <c r="BP10" i="3"/>
  <c r="BQ10" i="3"/>
  <c r="BP11" i="3"/>
  <c r="BQ11" i="3"/>
  <c r="BP12" i="3"/>
  <c r="BQ12" i="3"/>
  <c r="BP13" i="3"/>
  <c r="BQ13" i="3"/>
  <c r="BP15" i="3"/>
  <c r="BQ15" i="3"/>
  <c r="BP16" i="3"/>
  <c r="BQ16" i="3"/>
  <c r="BP17" i="3"/>
  <c r="BQ17" i="3"/>
  <c r="BP18" i="3"/>
  <c r="BQ18" i="3"/>
  <c r="BP19" i="3"/>
  <c r="BQ19" i="3"/>
  <c r="BP20" i="3"/>
  <c r="BQ20" i="3"/>
  <c r="BQ9" i="3"/>
  <c r="BP9" i="3"/>
  <c r="BG26" i="3"/>
  <c r="BH26" i="3"/>
  <c r="BI26" i="3"/>
  <c r="BG27" i="3"/>
  <c r="BH27" i="3"/>
  <c r="BI27" i="3"/>
  <c r="BG28" i="3"/>
  <c r="BH28" i="3"/>
  <c r="BI28" i="3"/>
  <c r="BG29" i="3"/>
  <c r="BH29" i="3"/>
  <c r="BI29" i="3"/>
  <c r="BG30" i="3"/>
  <c r="BH30" i="3"/>
  <c r="BH38" i="3" s="1"/>
  <c r="BI30" i="3"/>
  <c r="BG31" i="3"/>
  <c r="BH31" i="3"/>
  <c r="BI31" i="3"/>
  <c r="BG32" i="3"/>
  <c r="BH32" i="3"/>
  <c r="BI32" i="3"/>
  <c r="BG33" i="3"/>
  <c r="BH33" i="3"/>
  <c r="BI33" i="3"/>
  <c r="BG34" i="3"/>
  <c r="BH34" i="3"/>
  <c r="BI34" i="3"/>
  <c r="BG35" i="3"/>
  <c r="BH35" i="3"/>
  <c r="BH40" i="3" s="1"/>
  <c r="BI35" i="3"/>
  <c r="BG36" i="3"/>
  <c r="BH36" i="3"/>
  <c r="BI36" i="3"/>
  <c r="BI25" i="3"/>
  <c r="BH25" i="3"/>
  <c r="BG25" i="3"/>
  <c r="BG10" i="3"/>
  <c r="BH10" i="3"/>
  <c r="BH21" i="3" s="1"/>
  <c r="BI10" i="3"/>
  <c r="BG11" i="3"/>
  <c r="BH11" i="3"/>
  <c r="BI11" i="3"/>
  <c r="BG12" i="3"/>
  <c r="BH12" i="3"/>
  <c r="BI12" i="3"/>
  <c r="BG13" i="3"/>
  <c r="BH13" i="3"/>
  <c r="BI13" i="3"/>
  <c r="BG15" i="3"/>
  <c r="BH15" i="3"/>
  <c r="BI15" i="3"/>
  <c r="BG16" i="3"/>
  <c r="BH16" i="3"/>
  <c r="BI16" i="3"/>
  <c r="BG17" i="3"/>
  <c r="BH17" i="3"/>
  <c r="BI17" i="3"/>
  <c r="BG18" i="3"/>
  <c r="BH18" i="3"/>
  <c r="BI18" i="3"/>
  <c r="BG19" i="3"/>
  <c r="BH19" i="3"/>
  <c r="BI19" i="3"/>
  <c r="BG20" i="3"/>
  <c r="BH20" i="3"/>
  <c r="BI20" i="3"/>
  <c r="BI9" i="3"/>
  <c r="BH9" i="3"/>
  <c r="BG9" i="3"/>
  <c r="AX26" i="3"/>
  <c r="AY26" i="3"/>
  <c r="AZ26" i="3"/>
  <c r="AX27" i="3"/>
  <c r="AY27" i="3"/>
  <c r="AZ27" i="3"/>
  <c r="AX28" i="3"/>
  <c r="AY28" i="3"/>
  <c r="AZ28" i="3"/>
  <c r="AX29" i="3"/>
  <c r="AY29" i="3"/>
  <c r="AZ29" i="3"/>
  <c r="AX30" i="3"/>
  <c r="AY30" i="3"/>
  <c r="AZ30" i="3"/>
  <c r="AX31" i="3"/>
  <c r="AY31" i="3"/>
  <c r="AZ31" i="3"/>
  <c r="AX32" i="3"/>
  <c r="AY32" i="3"/>
  <c r="AZ32" i="3"/>
  <c r="AX33" i="3"/>
  <c r="AY33" i="3"/>
  <c r="AZ33" i="3"/>
  <c r="AX34" i="3"/>
  <c r="AY34" i="3"/>
  <c r="AZ34" i="3"/>
  <c r="AX35" i="3"/>
  <c r="AY35" i="3"/>
  <c r="AZ35" i="3"/>
  <c r="AX36" i="3"/>
  <c r="AY36" i="3"/>
  <c r="AZ36" i="3"/>
  <c r="AZ40" i="3" s="1"/>
  <c r="AZ25" i="3"/>
  <c r="AY25" i="3"/>
  <c r="AX10" i="3"/>
  <c r="AY10" i="3"/>
  <c r="AZ10" i="3"/>
  <c r="AX11" i="3"/>
  <c r="AY11" i="3"/>
  <c r="AZ11" i="3"/>
  <c r="AX12" i="3"/>
  <c r="AY12" i="3"/>
  <c r="AZ12" i="3"/>
  <c r="AX13" i="3"/>
  <c r="AY13" i="3"/>
  <c r="AZ13" i="3"/>
  <c r="AX15" i="3"/>
  <c r="AY15" i="3"/>
  <c r="AZ15" i="3"/>
  <c r="AX16" i="3"/>
  <c r="AY16" i="3"/>
  <c r="AZ16" i="3"/>
  <c r="AZ23" i="3" s="1"/>
  <c r="AX17" i="3"/>
  <c r="AY17" i="3"/>
  <c r="AZ17" i="3"/>
  <c r="AX18" i="3"/>
  <c r="AX23" i="3" s="1"/>
  <c r="AY18" i="3"/>
  <c r="AZ18" i="3"/>
  <c r="AX19" i="3"/>
  <c r="AY19" i="3"/>
  <c r="AZ19" i="3"/>
  <c r="AX20" i="3"/>
  <c r="AY20" i="3"/>
  <c r="AZ20" i="3"/>
  <c r="AZ24" i="3" s="1"/>
  <c r="AZ9" i="3"/>
  <c r="AY9" i="3"/>
  <c r="AO26" i="3"/>
  <c r="AP26" i="3"/>
  <c r="AQ26" i="3"/>
  <c r="AO27" i="3"/>
  <c r="AP27" i="3"/>
  <c r="AQ27" i="3"/>
  <c r="AO28" i="3"/>
  <c r="AP28" i="3"/>
  <c r="AQ28" i="3"/>
  <c r="AO29" i="3"/>
  <c r="AP29" i="3"/>
  <c r="AQ29" i="3"/>
  <c r="AO30" i="3"/>
  <c r="AP30" i="3"/>
  <c r="AQ30" i="3"/>
  <c r="AO31" i="3"/>
  <c r="AP31" i="3"/>
  <c r="AQ31" i="3"/>
  <c r="AO32" i="3"/>
  <c r="AP32" i="3"/>
  <c r="AQ32" i="3"/>
  <c r="AO33" i="3"/>
  <c r="AP33" i="3"/>
  <c r="AQ33" i="3"/>
  <c r="AO34" i="3"/>
  <c r="AP34" i="3"/>
  <c r="AQ34" i="3"/>
  <c r="AO35" i="3"/>
  <c r="AP35" i="3"/>
  <c r="AQ35" i="3"/>
  <c r="AO36" i="3"/>
  <c r="AP36" i="3"/>
  <c r="AQ36" i="3"/>
  <c r="AQ25" i="3"/>
  <c r="AP25" i="3"/>
  <c r="AO10" i="3"/>
  <c r="AP10" i="3"/>
  <c r="AQ10" i="3"/>
  <c r="AO11" i="3"/>
  <c r="AP11" i="3"/>
  <c r="AQ11" i="3"/>
  <c r="AO12" i="3"/>
  <c r="AP12" i="3"/>
  <c r="AQ12" i="3"/>
  <c r="AO13" i="3"/>
  <c r="AP13" i="3"/>
  <c r="AQ13" i="3"/>
  <c r="AO15" i="3"/>
  <c r="AP15" i="3"/>
  <c r="AQ15" i="3"/>
  <c r="AO16" i="3"/>
  <c r="AP16" i="3"/>
  <c r="AQ16" i="3"/>
  <c r="AO17" i="3"/>
  <c r="AP17" i="3"/>
  <c r="AQ17" i="3"/>
  <c r="AO18" i="3"/>
  <c r="AP18" i="3"/>
  <c r="AQ18" i="3"/>
  <c r="AO19" i="3"/>
  <c r="AP19" i="3"/>
  <c r="AQ19" i="3"/>
  <c r="AO20" i="3"/>
  <c r="AP20" i="3"/>
  <c r="AQ20" i="3"/>
  <c r="AQ9" i="3"/>
  <c r="AP9" i="3"/>
  <c r="AX25" i="3"/>
  <c r="AX9" i="3"/>
  <c r="AO25" i="3"/>
  <c r="AO9" i="3"/>
  <c r="AF9" i="3"/>
  <c r="BJ24" i="3"/>
  <c r="BJ40" i="3"/>
  <c r="BK40" i="3" s="1"/>
  <c r="BJ23" i="3"/>
  <c r="BL23" i="3" s="1"/>
  <c r="BJ39" i="3"/>
  <c r="BK39" i="3" s="1"/>
  <c r="BJ22" i="3"/>
  <c r="BJ38" i="3"/>
  <c r="BK38" i="3" s="1"/>
  <c r="BJ21" i="3"/>
  <c r="BL21" i="3" s="1"/>
  <c r="BJ37" i="3"/>
  <c r="BL37" i="3" s="1"/>
  <c r="BE19" i="3"/>
  <c r="BE20" i="3"/>
  <c r="BE35" i="3"/>
  <c r="BE36" i="3"/>
  <c r="BD19" i="3"/>
  <c r="BD20" i="3"/>
  <c r="BD35" i="3"/>
  <c r="BD36" i="3"/>
  <c r="BA24" i="3"/>
  <c r="BA40" i="3"/>
  <c r="BC40" i="3" s="1"/>
  <c r="BE16" i="3"/>
  <c r="BE17" i="3"/>
  <c r="BE18" i="3"/>
  <c r="BE32" i="3"/>
  <c r="BE33" i="3"/>
  <c r="BE34" i="3"/>
  <c r="BD16" i="3"/>
  <c r="BD17" i="3"/>
  <c r="BD18" i="3"/>
  <c r="BD32" i="3"/>
  <c r="BD33" i="3"/>
  <c r="BD34" i="3"/>
  <c r="BA23" i="3"/>
  <c r="BC23" i="3" s="1"/>
  <c r="BA39" i="3"/>
  <c r="BC39" i="3" s="1"/>
  <c r="BE13" i="3"/>
  <c r="BE15" i="3"/>
  <c r="BE29" i="3"/>
  <c r="BE30" i="3"/>
  <c r="BE31" i="3"/>
  <c r="BD13" i="3"/>
  <c r="BD15" i="3"/>
  <c r="BD29" i="3"/>
  <c r="BD30" i="3"/>
  <c r="BD31" i="3"/>
  <c r="BA22" i="3"/>
  <c r="BB22" i="3" s="1"/>
  <c r="BA38" i="3"/>
  <c r="BC38" i="3" s="1"/>
  <c r="BE9" i="3"/>
  <c r="BE10" i="3"/>
  <c r="BE11" i="3"/>
  <c r="BE12" i="3"/>
  <c r="BE25" i="3"/>
  <c r="BE26" i="3"/>
  <c r="BE27" i="3"/>
  <c r="BE28" i="3"/>
  <c r="BD9" i="3"/>
  <c r="BD10" i="3"/>
  <c r="BD11" i="3"/>
  <c r="BD12" i="3"/>
  <c r="BD25" i="3"/>
  <c r="BD26" i="3"/>
  <c r="BD27" i="3"/>
  <c r="BD28" i="3"/>
  <c r="BA21" i="3"/>
  <c r="BA37" i="3"/>
  <c r="BB37" i="3" s="1"/>
  <c r="AV19" i="3"/>
  <c r="AV20" i="3"/>
  <c r="AV35" i="3"/>
  <c r="AV36" i="3"/>
  <c r="AU19" i="3"/>
  <c r="AU20" i="3"/>
  <c r="AU35" i="3"/>
  <c r="AU36" i="3"/>
  <c r="AR24" i="3"/>
  <c r="AR40" i="3"/>
  <c r="AS40" i="3" s="1"/>
  <c r="AV16" i="3"/>
  <c r="AV17" i="3"/>
  <c r="AV18" i="3"/>
  <c r="AV32" i="3"/>
  <c r="AV33" i="3"/>
  <c r="AV34" i="3"/>
  <c r="AU16" i="3"/>
  <c r="AU17" i="3"/>
  <c r="AU18" i="3"/>
  <c r="AU32" i="3"/>
  <c r="AU33" i="3"/>
  <c r="AU34" i="3"/>
  <c r="AR23" i="3"/>
  <c r="AT23" i="3" s="1"/>
  <c r="AR39" i="3"/>
  <c r="AT39" i="3" s="1"/>
  <c r="AV13" i="3"/>
  <c r="AV15" i="3"/>
  <c r="AV29" i="3"/>
  <c r="AV30" i="3"/>
  <c r="AV31" i="3"/>
  <c r="AU13" i="3"/>
  <c r="AU15" i="3"/>
  <c r="AU29" i="3"/>
  <c r="AU30" i="3"/>
  <c r="AU31" i="3"/>
  <c r="AR22" i="3"/>
  <c r="AR38" i="3"/>
  <c r="AV9" i="3"/>
  <c r="AV10" i="3"/>
  <c r="AV11" i="3"/>
  <c r="AV12" i="3"/>
  <c r="AV25" i="3"/>
  <c r="AV26" i="3"/>
  <c r="AV27" i="3"/>
  <c r="AV28" i="3"/>
  <c r="AU9" i="3"/>
  <c r="AU10" i="3"/>
  <c r="AU11" i="3"/>
  <c r="AU12" i="3"/>
  <c r="AU25" i="3"/>
  <c r="AU26" i="3"/>
  <c r="AU27" i="3"/>
  <c r="AU28" i="3"/>
  <c r="AR21" i="3"/>
  <c r="AR37" i="3"/>
  <c r="AL9" i="3"/>
  <c r="AM19" i="3"/>
  <c r="AM20" i="3"/>
  <c r="AM35" i="3"/>
  <c r="AM36" i="3"/>
  <c r="AL19" i="3"/>
  <c r="AL20" i="3"/>
  <c r="AL35" i="3"/>
  <c r="AL36" i="3"/>
  <c r="AL40" i="3" s="1"/>
  <c r="AI24" i="3"/>
  <c r="AK24" i="3" s="1"/>
  <c r="AI40" i="3"/>
  <c r="AM16" i="3"/>
  <c r="AM17" i="3"/>
  <c r="AM18" i="3"/>
  <c r="AM32" i="3"/>
  <c r="AM33" i="3"/>
  <c r="AM34" i="3"/>
  <c r="AL16" i="3"/>
  <c r="AL17" i="3"/>
  <c r="AL18" i="3"/>
  <c r="AL32" i="3"/>
  <c r="AL33" i="3"/>
  <c r="AL34" i="3"/>
  <c r="AI23" i="3"/>
  <c r="AI39" i="3"/>
  <c r="AM13" i="3"/>
  <c r="AM15" i="3"/>
  <c r="AM29" i="3"/>
  <c r="AM30" i="3"/>
  <c r="AM31" i="3"/>
  <c r="AL13" i="3"/>
  <c r="AL15" i="3"/>
  <c r="AL29" i="3"/>
  <c r="AL30" i="3"/>
  <c r="AL31" i="3"/>
  <c r="AI22" i="3"/>
  <c r="AK22" i="3" s="1"/>
  <c r="AI38" i="3"/>
  <c r="AJ38" i="3" s="1"/>
  <c r="AM9" i="3"/>
  <c r="AM10" i="3"/>
  <c r="AM11" i="3"/>
  <c r="AM12" i="3"/>
  <c r="AM25" i="3"/>
  <c r="AM26" i="3"/>
  <c r="AM27" i="3"/>
  <c r="AM28" i="3"/>
  <c r="AL10" i="3"/>
  <c r="AL11" i="3"/>
  <c r="AL12" i="3"/>
  <c r="AL25" i="3"/>
  <c r="AL26" i="3"/>
  <c r="AL27" i="3"/>
  <c r="AL28" i="3"/>
  <c r="AI21" i="3"/>
  <c r="AI37" i="3"/>
  <c r="AK37" i="3" s="1"/>
  <c r="AH36" i="3"/>
  <c r="AH35" i="3"/>
  <c r="AH34" i="3"/>
  <c r="AH33" i="3"/>
  <c r="AH32" i="3"/>
  <c r="AH31" i="3"/>
  <c r="AH30" i="3"/>
  <c r="AH29" i="3"/>
  <c r="AH28" i="3"/>
  <c r="AH27" i="3"/>
  <c r="AH26" i="3"/>
  <c r="AH25" i="3"/>
  <c r="AH10" i="3"/>
  <c r="AH11" i="3"/>
  <c r="AH12" i="3"/>
  <c r="AH13" i="3"/>
  <c r="AH15" i="3"/>
  <c r="AH16" i="3"/>
  <c r="AH17" i="3"/>
  <c r="AH18" i="3"/>
  <c r="AH19" i="3"/>
  <c r="AH20" i="3"/>
  <c r="AH24" i="3" s="1"/>
  <c r="AH9" i="3"/>
  <c r="AG32" i="3"/>
  <c r="AG33" i="3"/>
  <c r="AG34" i="3"/>
  <c r="AG25" i="3"/>
  <c r="AG26" i="3"/>
  <c r="AG27" i="3"/>
  <c r="AG28" i="3"/>
  <c r="AG29" i="3"/>
  <c r="AG30" i="3"/>
  <c r="AG31" i="3"/>
  <c r="AG35" i="3"/>
  <c r="AG36" i="3"/>
  <c r="AG9" i="3"/>
  <c r="AG10" i="3"/>
  <c r="AG11" i="3"/>
  <c r="AG12" i="3"/>
  <c r="AG13" i="3"/>
  <c r="AG15" i="3"/>
  <c r="AG16" i="3"/>
  <c r="AG17" i="3"/>
  <c r="AG18" i="3"/>
  <c r="AG19" i="3"/>
  <c r="AG20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16" i="3"/>
  <c r="AD17" i="3"/>
  <c r="AD18" i="3"/>
  <c r="AD20" i="3"/>
  <c r="AD19" i="3"/>
  <c r="AD10" i="3"/>
  <c r="AD11" i="3"/>
  <c r="AD12" i="3"/>
  <c r="AD13" i="3"/>
  <c r="AD15" i="3"/>
  <c r="AD9" i="3"/>
  <c r="AC36" i="3"/>
  <c r="AC35" i="3"/>
  <c r="AC34" i="3"/>
  <c r="AC33" i="3"/>
  <c r="AC32" i="3"/>
  <c r="AC31" i="3"/>
  <c r="AC38" i="3" s="1"/>
  <c r="AC30" i="3"/>
  <c r="AC29" i="3"/>
  <c r="AC28" i="3"/>
  <c r="AC27" i="3"/>
  <c r="AC26" i="3"/>
  <c r="AC25" i="3"/>
  <c r="AC16" i="3"/>
  <c r="AC17" i="3"/>
  <c r="AC18" i="3"/>
  <c r="AC20" i="3"/>
  <c r="AC19" i="3"/>
  <c r="AC24" i="3" s="1"/>
  <c r="AC15" i="3"/>
  <c r="AC13" i="3"/>
  <c r="AC10" i="3"/>
  <c r="AC11" i="3"/>
  <c r="AC12" i="3"/>
  <c r="AC9" i="3"/>
  <c r="B24" i="15"/>
  <c r="B21" i="15"/>
  <c r="AC11" i="5"/>
  <c r="AC13" i="5"/>
  <c r="AC7" i="5"/>
  <c r="AC9" i="5"/>
  <c r="CT44" i="16"/>
  <c r="CT43" i="16"/>
  <c r="B18" i="15"/>
  <c r="A77" i="16" s="1"/>
  <c r="C14" i="8"/>
  <c r="CT5" i="16"/>
  <c r="CT6" i="16"/>
  <c r="CT8" i="16"/>
  <c r="CT9" i="16"/>
  <c r="CT20" i="16"/>
  <c r="CT21" i="16"/>
  <c r="CT40" i="16"/>
  <c r="CT41" i="16"/>
  <c r="CT46" i="16"/>
  <c r="CT47" i="16"/>
  <c r="CT62" i="16"/>
  <c r="CT63" i="16"/>
  <c r="BG7" i="7"/>
  <c r="BG10" i="7"/>
  <c r="BG11" i="7"/>
  <c r="BG14" i="7"/>
  <c r="BG18" i="7"/>
  <c r="BF19" i="7"/>
  <c r="BG19" i="7" s="1"/>
  <c r="BG22" i="7"/>
  <c r="BG25" i="7"/>
  <c r="BG26" i="7"/>
  <c r="BG29" i="7"/>
  <c r="BG33" i="7"/>
  <c r="BG48" i="7" s="1"/>
  <c r="BF34" i="7"/>
  <c r="BG34" i="7" s="1"/>
  <c r="BF37" i="7"/>
  <c r="BG37" i="7" s="1"/>
  <c r="BF40" i="7"/>
  <c r="BF41" i="7"/>
  <c r="BF44" i="7"/>
  <c r="BF48" i="7"/>
  <c r="AF10" i="5"/>
  <c r="L9" i="3"/>
  <c r="M9" i="3"/>
  <c r="N9" i="3"/>
  <c r="L10" i="3"/>
  <c r="M10" i="3"/>
  <c r="N10" i="3"/>
  <c r="O10" i="3"/>
  <c r="AF10" i="3"/>
  <c r="L11" i="3"/>
  <c r="N11" i="3"/>
  <c r="O11" i="3"/>
  <c r="AF11" i="3"/>
  <c r="L12" i="3"/>
  <c r="M12" i="3"/>
  <c r="N12" i="3"/>
  <c r="O12" i="3"/>
  <c r="AF12" i="3"/>
  <c r="L13" i="3"/>
  <c r="M13" i="3"/>
  <c r="N13" i="3"/>
  <c r="O13" i="3"/>
  <c r="O22" i="3" s="1"/>
  <c r="AF13" i="3"/>
  <c r="L15" i="3"/>
  <c r="M15" i="3"/>
  <c r="N15" i="3"/>
  <c r="O15" i="3"/>
  <c r="AF15" i="3"/>
  <c r="H16" i="3"/>
  <c r="I16" i="3"/>
  <c r="L16" i="3"/>
  <c r="M16" i="3"/>
  <c r="N16" i="3"/>
  <c r="O16" i="3"/>
  <c r="AF16" i="3"/>
  <c r="H17" i="3"/>
  <c r="I17" i="3"/>
  <c r="L17" i="3"/>
  <c r="M17" i="3"/>
  <c r="N17" i="3"/>
  <c r="O17" i="3"/>
  <c r="AF17" i="3"/>
  <c r="H18" i="3"/>
  <c r="I18" i="3"/>
  <c r="L18" i="3"/>
  <c r="M18" i="3"/>
  <c r="N18" i="3"/>
  <c r="O18" i="3"/>
  <c r="AF18" i="3"/>
  <c r="L19" i="3"/>
  <c r="M19" i="3"/>
  <c r="N19" i="3"/>
  <c r="O19" i="3"/>
  <c r="AF19" i="3"/>
  <c r="L20" i="3"/>
  <c r="M20" i="3"/>
  <c r="N20" i="3"/>
  <c r="O20" i="3"/>
  <c r="AF20" i="3"/>
  <c r="Z21" i="3"/>
  <c r="AB21" i="3" s="1"/>
  <c r="Z22" i="3"/>
  <c r="AA22" i="3" s="1"/>
  <c r="Z23" i="3"/>
  <c r="AA23" i="3" s="1"/>
  <c r="Z24" i="3"/>
  <c r="L25" i="3"/>
  <c r="M25" i="3"/>
  <c r="N25" i="3"/>
  <c r="O25" i="3"/>
  <c r="AF25" i="3"/>
  <c r="H26" i="3"/>
  <c r="I26" i="3"/>
  <c r="L26" i="3"/>
  <c r="M26" i="3"/>
  <c r="N26" i="3"/>
  <c r="O26" i="3"/>
  <c r="AF26" i="3"/>
  <c r="H27" i="3"/>
  <c r="I27" i="3"/>
  <c r="L27" i="3"/>
  <c r="M27" i="3"/>
  <c r="N27" i="3"/>
  <c r="O27" i="3"/>
  <c r="AF27" i="3"/>
  <c r="H28" i="3"/>
  <c r="I28" i="3"/>
  <c r="L28" i="3"/>
  <c r="M28" i="3"/>
  <c r="N28" i="3"/>
  <c r="O28" i="3"/>
  <c r="AF28" i="3"/>
  <c r="L29" i="3"/>
  <c r="M29" i="3"/>
  <c r="N29" i="3"/>
  <c r="O29" i="3"/>
  <c r="AF29" i="3"/>
  <c r="L30" i="3"/>
  <c r="M30" i="3"/>
  <c r="N30" i="3"/>
  <c r="O30" i="3"/>
  <c r="AF30" i="3"/>
  <c r="L31" i="3"/>
  <c r="M31" i="3"/>
  <c r="N31" i="3"/>
  <c r="N38" i="3" s="1"/>
  <c r="O31" i="3"/>
  <c r="AF31" i="3"/>
  <c r="H32" i="3"/>
  <c r="I32" i="3"/>
  <c r="L32" i="3"/>
  <c r="M32" i="3"/>
  <c r="N32" i="3"/>
  <c r="O32" i="3"/>
  <c r="AF32" i="3"/>
  <c r="H33" i="3"/>
  <c r="I33" i="3"/>
  <c r="L33" i="3"/>
  <c r="M33" i="3"/>
  <c r="N33" i="3"/>
  <c r="O33" i="3"/>
  <c r="AF33" i="3"/>
  <c r="H34" i="3"/>
  <c r="I34" i="3"/>
  <c r="L34" i="3"/>
  <c r="M34" i="3"/>
  <c r="N34" i="3"/>
  <c r="O34" i="3"/>
  <c r="AF34" i="3"/>
  <c r="H35" i="3"/>
  <c r="I35" i="3"/>
  <c r="L35" i="3"/>
  <c r="M35" i="3"/>
  <c r="N35" i="3"/>
  <c r="O35" i="3"/>
  <c r="AF35" i="3"/>
  <c r="H36" i="3"/>
  <c r="I36" i="3"/>
  <c r="L36" i="3"/>
  <c r="M36" i="3"/>
  <c r="N36" i="3"/>
  <c r="O36" i="3"/>
  <c r="AF36" i="3"/>
  <c r="Z37" i="3"/>
  <c r="AB37" i="3" s="1"/>
  <c r="Z38" i="3"/>
  <c r="AA38" i="3" s="1"/>
  <c r="Z39" i="3"/>
  <c r="AA39" i="3" s="1"/>
  <c r="Z40" i="3"/>
  <c r="AB40" i="3" s="1"/>
  <c r="AD10" i="5"/>
  <c r="L37" i="7"/>
  <c r="J37" i="7"/>
  <c r="F24" i="3"/>
  <c r="G24" i="3"/>
  <c r="AS23" i="3"/>
  <c r="F39" i="7"/>
  <c r="E25" i="11" s="1"/>
  <c r="E22" i="11"/>
  <c r="F41" i="7"/>
  <c r="E26" i="11" s="1"/>
  <c r="F37" i="7"/>
  <c r="E23" i="11" s="1"/>
  <c r="E44" i="3"/>
  <c r="X10" i="5"/>
  <c r="AH7" i="7"/>
  <c r="AD16" i="5"/>
  <c r="AH11" i="7"/>
  <c r="AC41" i="7"/>
  <c r="X21" i="14" s="1"/>
  <c r="AC24" i="5"/>
  <c r="AC15" i="5"/>
  <c r="AC42" i="7"/>
  <c r="X22" i="14" s="1"/>
  <c r="AH12" i="7"/>
  <c r="AC39" i="7"/>
  <c r="X7" i="14" s="1"/>
  <c r="AH9" i="7"/>
  <c r="AH28" i="7"/>
  <c r="AH24" i="7"/>
  <c r="AC12" i="5"/>
  <c r="X27" i="5"/>
  <c r="AH13" i="7"/>
  <c r="AH22" i="7"/>
  <c r="AC37" i="7"/>
  <c r="X16" i="5"/>
  <c r="AH29" i="7"/>
  <c r="AH26" i="7"/>
  <c r="AH14" i="7"/>
  <c r="AH25" i="7"/>
  <c r="AH34" i="7" s="1"/>
  <c r="AC40" i="7"/>
  <c r="X9" i="14" s="1"/>
  <c r="T7" i="8"/>
  <c r="T10" i="8"/>
  <c r="T12" i="8"/>
  <c r="T14" i="8"/>
  <c r="O18" i="8"/>
  <c r="T11" i="8"/>
  <c r="O15" i="8"/>
  <c r="X15" i="14" s="1"/>
  <c r="O16" i="8"/>
  <c r="X16" i="14" s="1"/>
  <c r="E44" i="11"/>
  <c r="CS6" i="16"/>
  <c r="BT24" i="3"/>
  <c r="Q40" i="7"/>
  <c r="H9" i="14" s="1"/>
  <c r="BS23" i="3"/>
  <c r="AJ37" i="3"/>
  <c r="AA21" i="3"/>
  <c r="BK21" i="3"/>
  <c r="CS65" i="16"/>
  <c r="CS80" i="16"/>
  <c r="CA22" i="3"/>
  <c r="CB22" i="3"/>
  <c r="AT40" i="3"/>
  <c r="AU38" i="3"/>
  <c r="CF39" i="3"/>
  <c r="AS39" i="3"/>
  <c r="CG21" i="3"/>
  <c r="V24" i="3"/>
  <c r="G40" i="3"/>
  <c r="H40" i="3"/>
  <c r="P22" i="3"/>
  <c r="BL40" i="3"/>
  <c r="CB37" i="3"/>
  <c r="CF38" i="3"/>
  <c r="AY28" i="17"/>
  <c r="AF20" i="14" l="1"/>
  <c r="AV20" i="14"/>
  <c r="U25" i="7"/>
  <c r="I50" i="11" s="1"/>
  <c r="S34" i="7"/>
  <c r="U24" i="7"/>
  <c r="Q34" i="7"/>
  <c r="AO20" i="14"/>
  <c r="AA34" i="7"/>
  <c r="AQ34" i="7"/>
  <c r="AW34" i="7"/>
  <c r="AZ34" i="7"/>
  <c r="AD20" i="14"/>
  <c r="AB20" i="14"/>
  <c r="AQ20" i="14"/>
  <c r="U20" i="14"/>
  <c r="AM20" i="14"/>
  <c r="AE20" i="14"/>
  <c r="AW19" i="7"/>
  <c r="AA20" i="14"/>
  <c r="AH19" i="7"/>
  <c r="T20" i="14"/>
  <c r="AK20" i="14"/>
  <c r="L21" i="14"/>
  <c r="N21" i="14" s="1"/>
  <c r="K20" i="14"/>
  <c r="R20" i="14"/>
  <c r="AJ20" i="14"/>
  <c r="AN20" i="14"/>
  <c r="X20" i="14"/>
  <c r="AZ19" i="7"/>
  <c r="Q20" i="14"/>
  <c r="AI20" i="14"/>
  <c r="AT20" i="14"/>
  <c r="Y20" i="14"/>
  <c r="AP20" i="14"/>
  <c r="P20" i="14"/>
  <c r="AH20" i="14"/>
  <c r="AA19" i="7"/>
  <c r="J20" i="14"/>
  <c r="AS20" i="14"/>
  <c r="AQ19" i="7"/>
  <c r="AG20" i="14"/>
  <c r="Z20" i="14"/>
  <c r="U9" i="7"/>
  <c r="AB9" i="7" s="1"/>
  <c r="Q19" i="7"/>
  <c r="U10" i="7"/>
  <c r="AX21" i="16" s="1"/>
  <c r="S19" i="7"/>
  <c r="Q43" i="7"/>
  <c r="H23" i="14" s="1"/>
  <c r="F23" i="14"/>
  <c r="C23" i="15" s="1"/>
  <c r="M24" i="14"/>
  <c r="M25" i="14"/>
  <c r="F22" i="14"/>
  <c r="AR8" i="14"/>
  <c r="F8" i="15"/>
  <c r="V8" i="14"/>
  <c r="AL8" i="14"/>
  <c r="G8" i="15" s="1"/>
  <c r="AC8" i="14"/>
  <c r="AU8" i="14"/>
  <c r="F8" i="14"/>
  <c r="C8" i="15" s="1"/>
  <c r="AH28" i="5"/>
  <c r="AY52" i="17"/>
  <c r="E17" i="11"/>
  <c r="E18" i="11"/>
  <c r="E15" i="11"/>
  <c r="F23" i="15"/>
  <c r="AU17" i="5"/>
  <c r="AU29" i="5" s="1"/>
  <c r="U17" i="5"/>
  <c r="J31" i="5"/>
  <c r="AI30" i="5"/>
  <c r="AE17" i="5"/>
  <c r="E31" i="5"/>
  <c r="AT21" i="5"/>
  <c r="AV19" i="5"/>
  <c r="AW19" i="5" s="1"/>
  <c r="W23" i="5"/>
  <c r="P23" i="5" s="1"/>
  <c r="AM30" i="5"/>
  <c r="W14" i="5"/>
  <c r="P14" i="5" s="1"/>
  <c r="AO17" i="5"/>
  <c r="W23" i="3"/>
  <c r="U30" i="5"/>
  <c r="Z43" i="3"/>
  <c r="AB43" i="3" s="1"/>
  <c r="O24" i="3"/>
  <c r="AG40" i="3"/>
  <c r="BD24" i="3"/>
  <c r="AQ37" i="3"/>
  <c r="I24" i="3"/>
  <c r="AX24" i="3"/>
  <c r="AV25" i="5"/>
  <c r="AW25" i="5" s="1"/>
  <c r="AC22" i="3"/>
  <c r="S23" i="3"/>
  <c r="K16" i="11"/>
  <c r="AB39" i="3"/>
  <c r="BL38" i="3"/>
  <c r="AV40" i="3"/>
  <c r="BA44" i="3"/>
  <c r="BC44" i="3" s="1"/>
  <c r="AQ40" i="3"/>
  <c r="AS30" i="5"/>
  <c r="BB24" i="3"/>
  <c r="BC37" i="3"/>
  <c r="AB23" i="3"/>
  <c r="BI22" i="3"/>
  <c r="BY22" i="3"/>
  <c r="BY42" i="3" s="1"/>
  <c r="BY38" i="3"/>
  <c r="BZ43" i="3"/>
  <c r="Y24" i="3"/>
  <c r="U22" i="3"/>
  <c r="AP28" i="5"/>
  <c r="AZ42" i="7"/>
  <c r="BB40" i="3"/>
  <c r="BZ44" i="3"/>
  <c r="CB44" i="3" s="1"/>
  <c r="BT40" i="3"/>
  <c r="I40" i="3"/>
  <c r="AF24" i="3"/>
  <c r="H22" i="3"/>
  <c r="H21" i="3"/>
  <c r="AV7" i="5"/>
  <c r="AW7" i="5" s="1"/>
  <c r="AX7" i="5" s="1"/>
  <c r="M31" i="5"/>
  <c r="AO31" i="5"/>
  <c r="I11" i="14"/>
  <c r="AJ24" i="3"/>
  <c r="AM21" i="3"/>
  <c r="AU40" i="3"/>
  <c r="W19" i="5"/>
  <c r="P19" i="5" s="1"/>
  <c r="F23" i="3"/>
  <c r="O39" i="3"/>
  <c r="N24" i="3"/>
  <c r="AX37" i="3"/>
  <c r="AP24" i="3"/>
  <c r="AP44" i="3" s="1"/>
  <c r="AO24" i="3"/>
  <c r="AQ23" i="3"/>
  <c r="P40" i="3"/>
  <c r="W40" i="3"/>
  <c r="K15" i="11"/>
  <c r="AT10" i="5"/>
  <c r="AT30" i="5" s="1"/>
  <c r="O31" i="5"/>
  <c r="AP22" i="3"/>
  <c r="E21" i="11"/>
  <c r="E32" i="11" s="1"/>
  <c r="AG22" i="3"/>
  <c r="AH22" i="3"/>
  <c r="AL38" i="3"/>
  <c r="AU24" i="3"/>
  <c r="AU44" i="3" s="1"/>
  <c r="BY39" i="3"/>
  <c r="CG39" i="3"/>
  <c r="Y30" i="5"/>
  <c r="CG41" i="3"/>
  <c r="AB38" i="3"/>
  <c r="CA24" i="3"/>
  <c r="AR43" i="3"/>
  <c r="AY37" i="17"/>
  <c r="I44" i="3"/>
  <c r="AD21" i="3"/>
  <c r="AG39" i="3"/>
  <c r="AH37" i="3"/>
  <c r="AH39" i="3"/>
  <c r="AV38" i="3"/>
  <c r="AR44" i="3"/>
  <c r="AP21" i="3"/>
  <c r="CF23" i="3"/>
  <c r="CF22" i="3"/>
  <c r="CG40" i="3"/>
  <c r="BC22" i="3"/>
  <c r="BB39" i="3"/>
  <c r="BK23" i="3"/>
  <c r="BP22" i="3"/>
  <c r="BP42" i="3" s="1"/>
  <c r="BN39" i="3"/>
  <c r="BN40" i="3"/>
  <c r="BU24" i="3"/>
  <c r="BX24" i="3"/>
  <c r="BX23" i="3"/>
  <c r="BX37" i="3"/>
  <c r="BX40" i="3"/>
  <c r="BX39" i="3"/>
  <c r="BX43" i="3" s="1"/>
  <c r="CC23" i="3"/>
  <c r="CD39" i="3"/>
  <c r="Q24" i="3"/>
  <c r="Q21" i="3"/>
  <c r="R37" i="3"/>
  <c r="V37" i="3"/>
  <c r="V40" i="3"/>
  <c r="R40" i="3"/>
  <c r="R44" i="3" s="1"/>
  <c r="W21" i="3"/>
  <c r="T22" i="3"/>
  <c r="I37" i="3"/>
  <c r="I22" i="3"/>
  <c r="I42" i="3" s="1"/>
  <c r="I21" i="3"/>
  <c r="S17" i="5"/>
  <c r="AG30" i="5"/>
  <c r="AK30" i="5"/>
  <c r="AN28" i="5"/>
  <c r="R31" i="5"/>
  <c r="AF31" i="5"/>
  <c r="W26" i="5"/>
  <c r="P26" i="5" s="1"/>
  <c r="AT44" i="3"/>
  <c r="AS44" i="3"/>
  <c r="BQ37" i="3"/>
  <c r="BX38" i="3"/>
  <c r="CB21" i="3"/>
  <c r="CA21" i="3"/>
  <c r="BZ41" i="3"/>
  <c r="AG28" i="5"/>
  <c r="F21" i="3"/>
  <c r="E41" i="3"/>
  <c r="AY13" i="17"/>
  <c r="AL10" i="5"/>
  <c r="C11" i="14"/>
  <c r="CU7" i="17"/>
  <c r="BL39" i="3"/>
  <c r="CA40" i="3"/>
  <c r="AU39" i="3"/>
  <c r="BD40" i="3"/>
  <c r="BD44" i="3" s="1"/>
  <c r="X39" i="3"/>
  <c r="X21" i="3"/>
  <c r="X41" i="3" s="1"/>
  <c r="AR28" i="5"/>
  <c r="AT27" i="5"/>
  <c r="AT28" i="5" s="1"/>
  <c r="AN30" i="5"/>
  <c r="D31" i="5"/>
  <c r="AY22" i="17"/>
  <c r="W18" i="5"/>
  <c r="AN17" i="5"/>
  <c r="AN29" i="5" s="1"/>
  <c r="L40" i="3"/>
  <c r="H39" i="3"/>
  <c r="AF38" i="3"/>
  <c r="M38" i="3"/>
  <c r="M42" i="3" s="1"/>
  <c r="AB24" i="3"/>
  <c r="AA24" i="3"/>
  <c r="L22" i="3"/>
  <c r="AL21" i="3"/>
  <c r="AT38" i="3"/>
  <c r="AS38" i="3"/>
  <c r="P38" i="3"/>
  <c r="AZ44" i="3"/>
  <c r="BS38" i="3"/>
  <c r="BT38" i="3"/>
  <c r="N30" i="5"/>
  <c r="N29" i="5" s="1"/>
  <c r="N28" i="5"/>
  <c r="E17" i="5"/>
  <c r="AY10" i="17"/>
  <c r="D12" i="14"/>
  <c r="AJ40" i="3"/>
  <c r="AK40" i="3"/>
  <c r="AU23" i="3"/>
  <c r="AT24" i="3"/>
  <c r="AS24" i="3"/>
  <c r="BE40" i="3"/>
  <c r="T21" i="3"/>
  <c r="S24" i="3"/>
  <c r="AR31" i="5"/>
  <c r="W25" i="5"/>
  <c r="P25" i="5" s="1"/>
  <c r="J17" i="5"/>
  <c r="AQ10" i="5"/>
  <c r="CA44" i="3"/>
  <c r="C12" i="14"/>
  <c r="F38" i="3"/>
  <c r="F37" i="3"/>
  <c r="AQ21" i="3"/>
  <c r="AQ41" i="3" s="1"/>
  <c r="AY22" i="3"/>
  <c r="AY42" i="3" s="1"/>
  <c r="AY38" i="3"/>
  <c r="BI24" i="3"/>
  <c r="BG39" i="3"/>
  <c r="BP21" i="3"/>
  <c r="BS24" i="3"/>
  <c r="BR44" i="3"/>
  <c r="BY23" i="3"/>
  <c r="BY43" i="3" s="1"/>
  <c r="CC22" i="3"/>
  <c r="CD22" i="3"/>
  <c r="CD40" i="3"/>
  <c r="CF42" i="3"/>
  <c r="N40" i="3"/>
  <c r="N44" i="3" s="1"/>
  <c r="AD24" i="3"/>
  <c r="AI41" i="3"/>
  <c r="AK41" i="3" s="1"/>
  <c r="AM23" i="3"/>
  <c r="AV39" i="3"/>
  <c r="AV23" i="3"/>
  <c r="AP23" i="3"/>
  <c r="AO23" i="3"/>
  <c r="AQ22" i="3"/>
  <c r="AP37" i="3"/>
  <c r="AY23" i="3"/>
  <c r="AX22" i="3"/>
  <c r="AZ21" i="3"/>
  <c r="BP24" i="3"/>
  <c r="BM21" i="3"/>
  <c r="BV39" i="3"/>
  <c r="BX21" i="3"/>
  <c r="BX41" i="3" s="1"/>
  <c r="CD38" i="3"/>
  <c r="CC39" i="3"/>
  <c r="CC43" i="3" s="1"/>
  <c r="CG22" i="3"/>
  <c r="CF40" i="3"/>
  <c r="BX22" i="3"/>
  <c r="K22" i="3"/>
  <c r="K38" i="3"/>
  <c r="X40" i="3"/>
  <c r="Q39" i="3"/>
  <c r="V39" i="3"/>
  <c r="Y37" i="3"/>
  <c r="U28" i="5"/>
  <c r="AH30" i="5"/>
  <c r="AS28" i="5"/>
  <c r="G30" i="5"/>
  <c r="E28" i="5"/>
  <c r="J28" i="5"/>
  <c r="H27" i="5"/>
  <c r="O37" i="3"/>
  <c r="O21" i="3"/>
  <c r="BE37" i="3"/>
  <c r="BE24" i="3"/>
  <c r="AQ24" i="3"/>
  <c r="BG40" i="3"/>
  <c r="BH39" i="3"/>
  <c r="BI38" i="3"/>
  <c r="BQ24" i="3"/>
  <c r="BQ22" i="3"/>
  <c r="BN23" i="3"/>
  <c r="BN43" i="3" s="1"/>
  <c r="BQ40" i="3"/>
  <c r="BQ39" i="3"/>
  <c r="BQ38" i="3"/>
  <c r="BQ42" i="3" s="1"/>
  <c r="BR41" i="3"/>
  <c r="BT41" i="3" s="1"/>
  <c r="BV37" i="3"/>
  <c r="CG38" i="3"/>
  <c r="T30" i="5"/>
  <c r="G28" i="5"/>
  <c r="AG15" i="8"/>
  <c r="AN17" i="14"/>
  <c r="AN14" i="14"/>
  <c r="AB28" i="7"/>
  <c r="P28" i="7" s="1"/>
  <c r="L10" i="14"/>
  <c r="N10" i="14" s="1"/>
  <c r="L11" i="14"/>
  <c r="N11" i="14" s="1"/>
  <c r="L12" i="14"/>
  <c r="N12" i="14" s="1"/>
  <c r="BG44" i="7"/>
  <c r="AJ49" i="7"/>
  <c r="BB13" i="7"/>
  <c r="BC13" i="7" s="1"/>
  <c r="L16" i="11"/>
  <c r="G22" i="14"/>
  <c r="S49" i="7"/>
  <c r="AH38" i="7"/>
  <c r="L20" i="11"/>
  <c r="AB22" i="7"/>
  <c r="P22" i="7" s="1"/>
  <c r="AB27" i="7"/>
  <c r="P27" i="7" s="1"/>
  <c r="I20" i="11"/>
  <c r="H49" i="7"/>
  <c r="AW41" i="7"/>
  <c r="AS49" i="7"/>
  <c r="G49" i="7"/>
  <c r="E16" i="11"/>
  <c r="AW43" i="7"/>
  <c r="AZ37" i="7"/>
  <c r="Q41" i="7"/>
  <c r="H21" i="14" s="1"/>
  <c r="CS9" i="16"/>
  <c r="Q42" i="7"/>
  <c r="H22" i="14" s="1"/>
  <c r="V49" i="7"/>
  <c r="J50" i="11"/>
  <c r="E49" i="7"/>
  <c r="K50" i="11"/>
  <c r="AQ41" i="7"/>
  <c r="AQ43" i="7"/>
  <c r="AQ39" i="7"/>
  <c r="U41" i="7"/>
  <c r="E19" i="11"/>
  <c r="E20" i="11"/>
  <c r="AQ15" i="8"/>
  <c r="F12" i="15"/>
  <c r="AL10" i="8"/>
  <c r="AM10" i="8" s="1"/>
  <c r="N14" i="8"/>
  <c r="G14" i="8" s="1"/>
  <c r="AB16" i="8"/>
  <c r="AU7" i="14"/>
  <c r="AG13" i="14"/>
  <c r="AU15" i="14"/>
  <c r="S13" i="14"/>
  <c r="O13" i="14"/>
  <c r="AI17" i="14"/>
  <c r="AO13" i="14"/>
  <c r="AJ13" i="14"/>
  <c r="AF13" i="14"/>
  <c r="J17" i="14"/>
  <c r="Y14" i="14"/>
  <c r="H21" i="5"/>
  <c r="AI17" i="5"/>
  <c r="AI29" i="5" s="1"/>
  <c r="AP30" i="5"/>
  <c r="Q21" i="5"/>
  <c r="O29" i="5"/>
  <c r="B10" i="14"/>
  <c r="G17" i="5"/>
  <c r="AF17" i="5"/>
  <c r="AC10" i="5"/>
  <c r="AC30" i="5" s="1"/>
  <c r="AV9" i="5"/>
  <c r="AW9" i="5" s="1"/>
  <c r="R30" i="5"/>
  <c r="AV14" i="5"/>
  <c r="AW14" i="5" s="1"/>
  <c r="AB31" i="5"/>
  <c r="AS31" i="5"/>
  <c r="AE31" i="5"/>
  <c r="AI28" i="5"/>
  <c r="M17" i="5"/>
  <c r="M28" i="5"/>
  <c r="Y28" i="5"/>
  <c r="F10" i="14"/>
  <c r="C11" i="15" s="1"/>
  <c r="I17" i="5"/>
  <c r="D28" i="5"/>
  <c r="T28" i="5"/>
  <c r="D17" i="5"/>
  <c r="D30" i="5"/>
  <c r="T17" i="5"/>
  <c r="AG31" i="5"/>
  <c r="AD31" i="5"/>
  <c r="AK17" i="5"/>
  <c r="AG17" i="5"/>
  <c r="AV13" i="5"/>
  <c r="AW13" i="5" s="1"/>
  <c r="W20" i="5"/>
  <c r="P20" i="5" s="1"/>
  <c r="AM28" i="5"/>
  <c r="AM29" i="5" s="1"/>
  <c r="U31" i="5"/>
  <c r="S31" i="5"/>
  <c r="AA28" i="5"/>
  <c r="AL16" i="5"/>
  <c r="J32" i="11" s="1"/>
  <c r="K21" i="5"/>
  <c r="P12" i="5"/>
  <c r="AR30" i="5"/>
  <c r="AR17" i="5"/>
  <c r="W13" i="5"/>
  <c r="P13" i="5" s="1"/>
  <c r="R28" i="5"/>
  <c r="F31" i="5"/>
  <c r="J30" i="5"/>
  <c r="M30" i="5"/>
  <c r="D11" i="14"/>
  <c r="H10" i="5"/>
  <c r="X31" i="5"/>
  <c r="AD28" i="5"/>
  <c r="AD30" i="5"/>
  <c r="O17" i="5"/>
  <c r="AY25" i="17"/>
  <c r="W8" i="5"/>
  <c r="AV8" i="5"/>
  <c r="AW8" i="5" s="1"/>
  <c r="S28" i="5"/>
  <c r="AF28" i="5"/>
  <c r="AJ28" i="5"/>
  <c r="AU30" i="5"/>
  <c r="AQ27" i="5"/>
  <c r="AV23" i="5"/>
  <c r="AW23" i="5" s="1"/>
  <c r="AJ31" i="5"/>
  <c r="N17" i="5"/>
  <c r="AC21" i="5"/>
  <c r="I10" i="14"/>
  <c r="X17" i="5"/>
  <c r="AV12" i="5"/>
  <c r="AW12" i="5" s="1"/>
  <c r="AX12" i="5" s="1"/>
  <c r="AV18" i="5"/>
  <c r="AW18" i="5" s="1"/>
  <c r="AV11" i="5"/>
  <c r="AW11" i="5" s="1"/>
  <c r="O28" i="5"/>
  <c r="Y31" i="5"/>
  <c r="H16" i="5"/>
  <c r="F12" i="14"/>
  <c r="C13" i="15" s="1"/>
  <c r="AO28" i="5"/>
  <c r="AL11" i="8"/>
  <c r="AM11" i="8" s="1"/>
  <c r="AR16" i="8"/>
  <c r="K17" i="14"/>
  <c r="AJ18" i="8"/>
  <c r="CS77" i="16"/>
  <c r="AL8" i="8"/>
  <c r="AM8" i="8" s="1"/>
  <c r="AB18" i="8"/>
  <c r="AJ15" i="8"/>
  <c r="AG16" i="8"/>
  <c r="AB14" i="14"/>
  <c r="H18" i="8"/>
  <c r="AG17" i="14"/>
  <c r="AQ16" i="8"/>
  <c r="AJ16" i="8"/>
  <c r="F16" i="15"/>
  <c r="AK17" i="14"/>
  <c r="G10" i="8"/>
  <c r="AX68" i="16"/>
  <c r="H15" i="8"/>
  <c r="I15" i="14" s="1"/>
  <c r="M18" i="8"/>
  <c r="O14" i="14"/>
  <c r="AL7" i="8"/>
  <c r="AM7" i="8" s="1"/>
  <c r="AG18" i="8"/>
  <c r="V16" i="14"/>
  <c r="CS62" i="16"/>
  <c r="AR15" i="8"/>
  <c r="X17" i="14"/>
  <c r="G11" i="8"/>
  <c r="BB24" i="7"/>
  <c r="BC24" i="7" s="1"/>
  <c r="AH37" i="7"/>
  <c r="BB26" i="7"/>
  <c r="BC26" i="7" s="1"/>
  <c r="AB8" i="7"/>
  <c r="P8" i="7" s="1"/>
  <c r="BB29" i="7"/>
  <c r="BC29" i="7" s="1"/>
  <c r="T49" i="7"/>
  <c r="D49" i="7"/>
  <c r="M50" i="11"/>
  <c r="M19" i="11"/>
  <c r="X49" i="7"/>
  <c r="AG49" i="7"/>
  <c r="AA42" i="7"/>
  <c r="N49" i="7"/>
  <c r="F24" i="15"/>
  <c r="K20" i="11"/>
  <c r="G21" i="14"/>
  <c r="BB14" i="7"/>
  <c r="BC14" i="7" s="1"/>
  <c r="L19" i="11"/>
  <c r="L15" i="11"/>
  <c r="V21" i="14"/>
  <c r="K18" i="11"/>
  <c r="AW44" i="7"/>
  <c r="CS41" i="16"/>
  <c r="J15" i="11"/>
  <c r="BB11" i="7"/>
  <c r="BC11" i="7" s="1"/>
  <c r="L50" i="11"/>
  <c r="AA41" i="7"/>
  <c r="AA37" i="7"/>
  <c r="BB28" i="7"/>
  <c r="BC28" i="7" s="1"/>
  <c r="AZ43" i="7"/>
  <c r="V9" i="14"/>
  <c r="AE49" i="7"/>
  <c r="G24" i="14"/>
  <c r="U13" i="7"/>
  <c r="AC49" i="7"/>
  <c r="AH40" i="7"/>
  <c r="J19" i="7"/>
  <c r="AT49" i="7"/>
  <c r="AZ44" i="7"/>
  <c r="Y49" i="7"/>
  <c r="F7" i="14"/>
  <c r="C7" i="15" s="1"/>
  <c r="U42" i="7"/>
  <c r="AL24" i="14"/>
  <c r="G24" i="15" s="1"/>
  <c r="AU49" i="7"/>
  <c r="Q37" i="7"/>
  <c r="BB22" i="7"/>
  <c r="BC22" i="7" s="1"/>
  <c r="AH43" i="7"/>
  <c r="AR49" i="7"/>
  <c r="M16" i="11"/>
  <c r="AT6" i="14"/>
  <c r="BB9" i="7"/>
  <c r="BC9" i="7" s="1"/>
  <c r="BB12" i="7"/>
  <c r="BC12" i="7" s="1"/>
  <c r="AH42" i="7"/>
  <c r="V22" i="14"/>
  <c r="M20" i="11"/>
  <c r="M49" i="7"/>
  <c r="Q44" i="7"/>
  <c r="H24" i="14" s="1"/>
  <c r="U14" i="7"/>
  <c r="U44" i="7" s="1"/>
  <c r="F24" i="14"/>
  <c r="C24" i="15" s="1"/>
  <c r="AQ44" i="7"/>
  <c r="J19" i="11"/>
  <c r="AP49" i="7"/>
  <c r="AL49" i="7"/>
  <c r="AA44" i="7"/>
  <c r="BB25" i="7"/>
  <c r="M18" i="11"/>
  <c r="AA39" i="7"/>
  <c r="J17" i="11"/>
  <c r="AQ38" i="7"/>
  <c r="E50" i="11"/>
  <c r="X6" i="14"/>
  <c r="BG49" i="7"/>
  <c r="AY49" i="7"/>
  <c r="AA43" i="7"/>
  <c r="L18" i="11"/>
  <c r="W49" i="7"/>
  <c r="AF49" i="7"/>
  <c r="AZ41" i="7"/>
  <c r="AL23" i="14"/>
  <c r="G23" i="15" s="1"/>
  <c r="AC23" i="14"/>
  <c r="AQ40" i="7"/>
  <c r="BB7" i="7"/>
  <c r="BC7" i="7" s="1"/>
  <c r="AH39" i="7"/>
  <c r="F49" i="7"/>
  <c r="AM49" i="7"/>
  <c r="AI49" i="7"/>
  <c r="AB24" i="7"/>
  <c r="AJ41" i="3"/>
  <c r="AX6" i="16"/>
  <c r="H15" i="11"/>
  <c r="F39" i="3"/>
  <c r="G39" i="3"/>
  <c r="F17" i="5"/>
  <c r="AY49" i="17"/>
  <c r="K27" i="5"/>
  <c r="CU46" i="17"/>
  <c r="I12" i="14"/>
  <c r="Q10" i="5"/>
  <c r="Q39" i="7"/>
  <c r="H7" i="14" s="1"/>
  <c r="I18" i="11"/>
  <c r="K13" i="14"/>
  <c r="AY4" i="17"/>
  <c r="C10" i="14"/>
  <c r="K16" i="5"/>
  <c r="T41" i="3"/>
  <c r="K10" i="5"/>
  <c r="BC24" i="3"/>
  <c r="S30" i="5"/>
  <c r="AA17" i="5"/>
  <c r="AA29" i="5" s="1"/>
  <c r="E43" i="3"/>
  <c r="G12" i="8"/>
  <c r="G44" i="3"/>
  <c r="F44" i="3"/>
  <c r="AK39" i="3"/>
  <c r="AJ39" i="3"/>
  <c r="AY21" i="3"/>
  <c r="BS22" i="3"/>
  <c r="BT22" i="3"/>
  <c r="BR42" i="3"/>
  <c r="BY21" i="3"/>
  <c r="CA38" i="3"/>
  <c r="CB38" i="3"/>
  <c r="R23" i="3"/>
  <c r="R43" i="3" s="1"/>
  <c r="R21" i="3"/>
  <c r="R41" i="3" s="1"/>
  <c r="X30" i="5"/>
  <c r="AK49" i="7"/>
  <c r="AL12" i="8"/>
  <c r="AM12" i="8" s="1"/>
  <c r="CS17" i="16"/>
  <c r="R49" i="7"/>
  <c r="I41" i="3"/>
  <c r="AQ16" i="5"/>
  <c r="M15" i="11"/>
  <c r="AB26" i="7"/>
  <c r="P26" i="7" s="1"/>
  <c r="R6" i="14"/>
  <c r="X13" i="14"/>
  <c r="AC24" i="14"/>
  <c r="CG43" i="3"/>
  <c r="CU34" i="17"/>
  <c r="Q27" i="5"/>
  <c r="AY16" i="17"/>
  <c r="AH41" i="7"/>
  <c r="L49" i="7"/>
  <c r="AF40" i="3"/>
  <c r="AH31" i="5"/>
  <c r="AH17" i="5"/>
  <c r="AH29" i="5" s="1"/>
  <c r="O32" i="11"/>
  <c r="Z31" i="5"/>
  <c r="G8" i="8"/>
  <c r="M16" i="8"/>
  <c r="I28" i="5"/>
  <c r="I30" i="5"/>
  <c r="T18" i="8"/>
  <c r="AC27" i="5"/>
  <c r="AC28" i="5" s="1"/>
  <c r="M40" i="3"/>
  <c r="BI40" i="3"/>
  <c r="BI44" i="3" s="1"/>
  <c r="BN24" i="3"/>
  <c r="BN44" i="3" s="1"/>
  <c r="BM39" i="3"/>
  <c r="BM43" i="3" s="1"/>
  <c r="W22" i="5"/>
  <c r="P22" i="5" s="1"/>
  <c r="AB15" i="8"/>
  <c r="CF43" i="3"/>
  <c r="AF39" i="3"/>
  <c r="L39" i="3"/>
  <c r="L43" i="3" s="1"/>
  <c r="O38" i="3"/>
  <c r="O42" i="3" s="1"/>
  <c r="N37" i="3"/>
  <c r="AG21" i="3"/>
  <c r="AP38" i="3"/>
  <c r="AX38" i="3"/>
  <c r="AZ37" i="3"/>
  <c r="AZ41" i="3" s="1"/>
  <c r="BH23" i="3"/>
  <c r="BH43" i="3" s="1"/>
  <c r="BU37" i="3"/>
  <c r="BY37" i="3"/>
  <c r="BY40" i="3"/>
  <c r="CD23" i="3"/>
  <c r="CD43" i="3" s="1"/>
  <c r="CG24" i="3"/>
  <c r="CG44" i="3" s="1"/>
  <c r="P23" i="3"/>
  <c r="P43" i="3" s="1"/>
  <c r="P39" i="3"/>
  <c r="X38" i="3"/>
  <c r="W37" i="3"/>
  <c r="W41" i="3" s="1"/>
  <c r="T23" i="3"/>
  <c r="AV13" i="14"/>
  <c r="T31" i="5"/>
  <c r="AW38" i="7"/>
  <c r="L37" i="3"/>
  <c r="M24" i="3"/>
  <c r="AG24" i="3"/>
  <c r="AG44" i="3" s="1"/>
  <c r="AL23" i="3"/>
  <c r="AM39" i="3"/>
  <c r="AM40" i="3"/>
  <c r="AU37" i="3"/>
  <c r="AV37" i="3"/>
  <c r="BD22" i="3"/>
  <c r="BD23" i="3"/>
  <c r="BE39" i="3"/>
  <c r="AO37" i="3"/>
  <c r="AP40" i="3"/>
  <c r="AO40" i="3"/>
  <c r="AO44" i="3" s="1"/>
  <c r="AQ39" i="3"/>
  <c r="AQ43" i="3" s="1"/>
  <c r="AY24" i="3"/>
  <c r="AX39" i="3"/>
  <c r="AX43" i="3" s="1"/>
  <c r="BV38" i="3"/>
  <c r="Q37" i="3"/>
  <c r="Q41" i="3" s="1"/>
  <c r="U37" i="3"/>
  <c r="AS17" i="5"/>
  <c r="AJ17" i="5"/>
  <c r="AJ29" i="5" s="1"/>
  <c r="AB17" i="5"/>
  <c r="W9" i="5"/>
  <c r="P9" i="5" s="1"/>
  <c r="F13" i="15"/>
  <c r="AQ21" i="5"/>
  <c r="AQ30" i="5" s="1"/>
  <c r="AU31" i="5"/>
  <c r="AA31" i="5"/>
  <c r="I50" i="7"/>
  <c r="E34" i="11" s="1"/>
  <c r="AB12" i="7"/>
  <c r="AD49" i="7"/>
  <c r="Y17" i="5"/>
  <c r="AU11" i="14"/>
  <c r="AZ38" i="7"/>
  <c r="AA38" i="7"/>
  <c r="L24" i="3"/>
  <c r="L44" i="3" s="1"/>
  <c r="M23" i="3"/>
  <c r="AF23" i="3"/>
  <c r="AF21" i="3"/>
  <c r="AD22" i="3"/>
  <c r="AD40" i="3"/>
  <c r="AD44" i="3" s="1"/>
  <c r="AI44" i="3"/>
  <c r="AV24" i="3"/>
  <c r="AV44" i="3" s="1"/>
  <c r="BA42" i="3"/>
  <c r="BD38" i="3"/>
  <c r="BG24" i="3"/>
  <c r="BV21" i="3"/>
  <c r="BV41" i="3" s="1"/>
  <c r="BU22" i="3"/>
  <c r="BU23" i="3"/>
  <c r="BZ42" i="3"/>
  <c r="CC24" i="3"/>
  <c r="T39" i="3"/>
  <c r="W24" i="3"/>
  <c r="AX49" i="7"/>
  <c r="Z49" i="7"/>
  <c r="R17" i="5"/>
  <c r="AK28" i="5"/>
  <c r="AQ17" i="14"/>
  <c r="AN13" i="14"/>
  <c r="W15" i="5"/>
  <c r="O49" i="7"/>
  <c r="E30" i="5"/>
  <c r="I31" i="5"/>
  <c r="F28" i="5"/>
  <c r="R22" i="3"/>
  <c r="AX9" i="16"/>
  <c r="I15" i="11"/>
  <c r="P42" i="3"/>
  <c r="AU43" i="3"/>
  <c r="AC42" i="3"/>
  <c r="X28" i="5"/>
  <c r="X29" i="5" s="1"/>
  <c r="V21" i="5"/>
  <c r="BX44" i="3"/>
  <c r="AJ23" i="3"/>
  <c r="AI43" i="3"/>
  <c r="AJ43" i="3" s="1"/>
  <c r="AK23" i="3"/>
  <c r="AT37" i="3"/>
  <c r="AS37" i="3"/>
  <c r="BS37" i="3"/>
  <c r="BT37" i="3"/>
  <c r="CA23" i="3"/>
  <c r="CB23" i="3"/>
  <c r="CS21" i="16"/>
  <c r="AL21" i="5"/>
  <c r="AL30" i="5" s="1"/>
  <c r="AC18" i="14"/>
  <c r="BL22" i="3"/>
  <c r="BK22" i="3"/>
  <c r="BJ42" i="3"/>
  <c r="BK24" i="3"/>
  <c r="BL24" i="3"/>
  <c r="BJ44" i="3"/>
  <c r="AX21" i="3"/>
  <c r="AX41" i="3" s="1"/>
  <c r="AP42" i="3"/>
  <c r="BI23" i="3"/>
  <c r="V23" i="3"/>
  <c r="V22" i="3"/>
  <c r="V21" i="3"/>
  <c r="V41" i="3" s="1"/>
  <c r="AX47" i="16"/>
  <c r="BT43" i="3"/>
  <c r="BB38" i="3"/>
  <c r="AV43" i="3"/>
  <c r="T15" i="8"/>
  <c r="AA40" i="3"/>
  <c r="Z44" i="3"/>
  <c r="AF30" i="5"/>
  <c r="AD37" i="3"/>
  <c r="AD41" i="3" s="1"/>
  <c r="AT22" i="3"/>
  <c r="AS22" i="3"/>
  <c r="AR42" i="3"/>
  <c r="BE38" i="3"/>
  <c r="BI42" i="3"/>
  <c r="V44" i="3"/>
  <c r="AQ18" i="8"/>
  <c r="AC37" i="3"/>
  <c r="AH23" i="3"/>
  <c r="AH43" i="3" s="1"/>
  <c r="AH21" i="3"/>
  <c r="AH38" i="3"/>
  <c r="AH42" i="3" s="1"/>
  <c r="AH40" i="3"/>
  <c r="AH44" i="3" s="1"/>
  <c r="AL37" i="3"/>
  <c r="AK38" i="3"/>
  <c r="BD21" i="3"/>
  <c r="BE21" i="3"/>
  <c r="BH24" i="3"/>
  <c r="BH44" i="3" s="1"/>
  <c r="BG38" i="3"/>
  <c r="BI37" i="3"/>
  <c r="BQ23" i="3"/>
  <c r="BQ43" i="3" s="1"/>
  <c r="BM37" i="3"/>
  <c r="BU40" i="3"/>
  <c r="BU44" i="3" s="1"/>
  <c r="BY24" i="3"/>
  <c r="BY44" i="3" s="1"/>
  <c r="CC38" i="3"/>
  <c r="CC42" i="3" s="1"/>
  <c r="S40" i="3"/>
  <c r="S44" i="3" s="1"/>
  <c r="AV24" i="5"/>
  <c r="AW24" i="5" s="1"/>
  <c r="AX24" i="5" s="1"/>
  <c r="AR16" i="14"/>
  <c r="M37" i="3"/>
  <c r="L23" i="3"/>
  <c r="AC21" i="3"/>
  <c r="AG37" i="3"/>
  <c r="AG41" i="3" s="1"/>
  <c r="AU21" i="3"/>
  <c r="AV21" i="3"/>
  <c r="AV41" i="3" s="1"/>
  <c r="AZ39" i="3"/>
  <c r="AZ43" i="3" s="1"/>
  <c r="BH37" i="3"/>
  <c r="BH41" i="3" s="1"/>
  <c r="BI39" i="3"/>
  <c r="BP44" i="3"/>
  <c r="BM22" i="3"/>
  <c r="BE22" i="3"/>
  <c r="BA49" i="7"/>
  <c r="F21" i="14"/>
  <c r="I39" i="3"/>
  <c r="AF37" i="3"/>
  <c r="AF41" i="3" s="1"/>
  <c r="N23" i="3"/>
  <c r="H23" i="3"/>
  <c r="M22" i="3"/>
  <c r="L21" i="3"/>
  <c r="L41" i="3" s="1"/>
  <c r="BG40" i="7"/>
  <c r="AD38" i="3"/>
  <c r="AD39" i="3"/>
  <c r="AL39" i="3"/>
  <c r="AL43" i="3" s="1"/>
  <c r="AM24" i="3"/>
  <c r="AP39" i="3"/>
  <c r="AQ38" i="3"/>
  <c r="AQ42" i="3" s="1"/>
  <c r="AY37" i="3"/>
  <c r="AY41" i="3" s="1"/>
  <c r="AX40" i="3"/>
  <c r="AX44" i="3" s="1"/>
  <c r="AY39" i="3"/>
  <c r="BG22" i="3"/>
  <c r="BI21" i="3"/>
  <c r="BI41" i="3" s="1"/>
  <c r="BG21" i="3"/>
  <c r="BP23" i="3"/>
  <c r="BP43" i="3" s="1"/>
  <c r="BN22" i="3"/>
  <c r="BP37" i="3"/>
  <c r="BP41" i="3" s="1"/>
  <c r="BT21" i="3"/>
  <c r="BS21" i="3"/>
  <c r="BV24" i="3"/>
  <c r="CF24" i="3"/>
  <c r="CF44" i="3" s="1"/>
  <c r="BX42" i="3"/>
  <c r="BH22" i="3"/>
  <c r="BH42" i="3" s="1"/>
  <c r="AM22" i="3"/>
  <c r="AF22" i="3"/>
  <c r="AF42" i="3" s="1"/>
  <c r="N22" i="3"/>
  <c r="N42" i="3" s="1"/>
  <c r="K21" i="3"/>
  <c r="K41" i="3" s="1"/>
  <c r="S39" i="3"/>
  <c r="S43" i="3" s="1"/>
  <c r="AN49" i="7"/>
  <c r="Q6" i="14"/>
  <c r="K23" i="3"/>
  <c r="P21" i="3"/>
  <c r="P37" i="3"/>
  <c r="Q23" i="3"/>
  <c r="Q43" i="3" s="1"/>
  <c r="S37" i="3"/>
  <c r="Q40" i="3"/>
  <c r="Q44" i="3" s="1"/>
  <c r="X22" i="3"/>
  <c r="H24" i="3"/>
  <c r="H44" i="3" s="1"/>
  <c r="BM40" i="3"/>
  <c r="BM44" i="3" s="1"/>
  <c r="CD37" i="3"/>
  <c r="K24" i="3"/>
  <c r="K40" i="3"/>
  <c r="P24" i="3"/>
  <c r="P44" i="3" s="1"/>
  <c r="T40" i="3"/>
  <c r="Y39" i="3"/>
  <c r="U39" i="3"/>
  <c r="W38" i="3"/>
  <c r="S38" i="3"/>
  <c r="T38" i="3"/>
  <c r="T42" i="3" s="1"/>
  <c r="S21" i="3"/>
  <c r="S41" i="3" s="1"/>
  <c r="AO49" i="7"/>
  <c r="AV49" i="7"/>
  <c r="AD14" i="14"/>
  <c r="AW39" i="7"/>
  <c r="BQ44" i="3"/>
  <c r="CD21" i="3"/>
  <c r="CD41" i="3" s="1"/>
  <c r="CC40" i="3"/>
  <c r="CF21" i="3"/>
  <c r="CF41" i="3" s="1"/>
  <c r="Q22" i="3"/>
  <c r="W39" i="3"/>
  <c r="W43" i="3" s="1"/>
  <c r="Y38" i="3"/>
  <c r="Y42" i="3" s="1"/>
  <c r="Q38" i="3"/>
  <c r="V38" i="3"/>
  <c r="R38" i="3"/>
  <c r="X23" i="3"/>
  <c r="X43" i="3" s="1"/>
  <c r="Y23" i="3"/>
  <c r="U23" i="3"/>
  <c r="Y21" i="3"/>
  <c r="H38" i="3"/>
  <c r="H42" i="3" s="1"/>
  <c r="AV20" i="5"/>
  <c r="AW20" i="5" s="1"/>
  <c r="AX20" i="5" s="1"/>
  <c r="V18" i="14"/>
  <c r="Q13" i="14"/>
  <c r="V12" i="14"/>
  <c r="AA17" i="14"/>
  <c r="L17" i="11"/>
  <c r="AL12" i="14"/>
  <c r="G13" i="15" s="1"/>
  <c r="AU9" i="14"/>
  <c r="AR9" i="14"/>
  <c r="AJ6" i="14"/>
  <c r="Z6" i="14"/>
  <c r="AN6" i="14"/>
  <c r="AH17" i="14"/>
  <c r="AU22" i="14"/>
  <c r="AC22" i="14"/>
  <c r="AU24" i="14"/>
  <c r="V24" i="14"/>
  <c r="AU23" i="14"/>
  <c r="V23" i="14"/>
  <c r="AP17" i="14"/>
  <c r="P6" i="14"/>
  <c r="M17" i="11"/>
  <c r="AA13" i="14"/>
  <c r="AE17" i="14"/>
  <c r="AV15" i="5"/>
  <c r="AW15" i="5" s="1"/>
  <c r="AK31" i="5"/>
  <c r="AV26" i="5"/>
  <c r="AW26" i="5" s="1"/>
  <c r="AM31" i="5"/>
  <c r="G7" i="14"/>
  <c r="G23" i="14"/>
  <c r="AO30" i="5"/>
  <c r="T6" i="14"/>
  <c r="U13" i="14"/>
  <c r="Z13" i="14"/>
  <c r="AL10" i="14"/>
  <c r="G11" i="15" s="1"/>
  <c r="AI13" i="14"/>
  <c r="AT13" i="14"/>
  <c r="AU21" i="14"/>
  <c r="Z17" i="14"/>
  <c r="AZ39" i="7"/>
  <c r="F22" i="15"/>
  <c r="Y6" i="14"/>
  <c r="F30" i="5"/>
  <c r="Y13" i="14"/>
  <c r="S40" i="7"/>
  <c r="G9" i="14" s="1"/>
  <c r="I9" i="14" s="1"/>
  <c r="H17" i="11"/>
  <c r="AL11" i="14"/>
  <c r="G12" i="15" s="1"/>
  <c r="AB13" i="14"/>
  <c r="B16" i="15"/>
  <c r="J13" i="14"/>
  <c r="AR23" i="14"/>
  <c r="AC11" i="14"/>
  <c r="AR24" i="14"/>
  <c r="AU10" i="14"/>
  <c r="AR10" i="14"/>
  <c r="AH6" i="14"/>
  <c r="AG6" i="14"/>
  <c r="Q17" i="14"/>
  <c r="J6" i="14"/>
  <c r="L22" i="14"/>
  <c r="N22" i="14" s="1"/>
  <c r="AH13" i="14"/>
  <c r="AR12" i="14"/>
  <c r="B15" i="15"/>
  <c r="AD13" i="14"/>
  <c r="AE13" i="14"/>
  <c r="AL9" i="14"/>
  <c r="G9" i="15" s="1"/>
  <c r="P17" i="14"/>
  <c r="AK6" i="14"/>
  <c r="AL22" i="14"/>
  <c r="G22" i="15" s="1"/>
  <c r="J14" i="14"/>
  <c r="M12" i="14"/>
  <c r="AC16" i="14"/>
  <c r="AS17" i="14"/>
  <c r="AU18" i="14"/>
  <c r="AS13" i="14"/>
  <c r="O17" i="14"/>
  <c r="AR11" i="14"/>
  <c r="AO17" i="14"/>
  <c r="AF17" i="14"/>
  <c r="AL18" i="14"/>
  <c r="G18" i="15" s="1"/>
  <c r="G17" i="15" s="1"/>
  <c r="F18" i="15"/>
  <c r="F11" i="15"/>
  <c r="AP13" i="14"/>
  <c r="G76" i="11"/>
  <c r="G78" i="11" s="1"/>
  <c r="D21" i="9"/>
  <c r="H76" i="11"/>
  <c r="H78" i="11" s="1"/>
  <c r="U14" i="14"/>
  <c r="AV14" i="14"/>
  <c r="AF14" i="14"/>
  <c r="AL15" i="14"/>
  <c r="Q14" i="14"/>
  <c r="AL21" i="14"/>
  <c r="AC21" i="14"/>
  <c r="AF6" i="14"/>
  <c r="AD6" i="14"/>
  <c r="U17" i="14"/>
  <c r="AL7" i="14"/>
  <c r="G7" i="15" s="1"/>
  <c r="U6" i="14"/>
  <c r="V7" i="14"/>
  <c r="AQ42" i="7"/>
  <c r="BB27" i="7"/>
  <c r="C22" i="15"/>
  <c r="K14" i="14"/>
  <c r="Q16" i="5"/>
  <c r="W11" i="5"/>
  <c r="AR21" i="14"/>
  <c r="AR7" i="14"/>
  <c r="AP6" i="14"/>
  <c r="AP14" i="14"/>
  <c r="AI6" i="14"/>
  <c r="U23" i="7"/>
  <c r="Q38" i="7"/>
  <c r="H8" i="14" s="1"/>
  <c r="I8" i="14" s="1"/>
  <c r="AV6" i="14"/>
  <c r="U37" i="7"/>
  <c r="AB7" i="7"/>
  <c r="K6" i="14"/>
  <c r="P14" i="14"/>
  <c r="AQ44" i="3"/>
  <c r="AK14" i="14"/>
  <c r="V10" i="14"/>
  <c r="P13" i="14"/>
  <c r="AA6" i="14"/>
  <c r="AC9" i="14"/>
  <c r="AS6" i="14"/>
  <c r="AE6" i="14"/>
  <c r="AP17" i="5"/>
  <c r="AP29" i="5" s="1"/>
  <c r="AP31" i="5"/>
  <c r="AM6" i="14"/>
  <c r="AR22" i="14"/>
  <c r="AS14" i="14"/>
  <c r="Z14" i="14"/>
  <c r="F15" i="15"/>
  <c r="AA14" i="14"/>
  <c r="AC15" i="14"/>
  <c r="AO6" i="14"/>
  <c r="AB17" i="14"/>
  <c r="AB6" i="14"/>
  <c r="F7" i="15"/>
  <c r="AC7" i="14"/>
  <c r="AQ6" i="14"/>
  <c r="F9" i="15"/>
  <c r="U40" i="7"/>
  <c r="H50" i="11"/>
  <c r="AA37" i="3"/>
  <c r="Z41" i="3"/>
  <c r="H37" i="3"/>
  <c r="H41" i="3" s="1"/>
  <c r="Z42" i="3"/>
  <c r="AB22" i="3"/>
  <c r="M21" i="3"/>
  <c r="CD42" i="3"/>
  <c r="AB11" i="7"/>
  <c r="AR18" i="14"/>
  <c r="BJ41" i="3"/>
  <c r="AK43" i="3"/>
  <c r="BL42" i="3"/>
  <c r="BK42" i="3"/>
  <c r="CA41" i="3"/>
  <c r="CB41" i="3"/>
  <c r="P7" i="5"/>
  <c r="AC16" i="5"/>
  <c r="AK21" i="3"/>
  <c r="AJ21" i="3"/>
  <c r="AR41" i="3"/>
  <c r="AT21" i="3"/>
  <c r="AS21" i="3"/>
  <c r="AU22" i="3"/>
  <c r="AU42" i="3" s="1"/>
  <c r="CA42" i="3"/>
  <c r="CB42" i="3"/>
  <c r="Z17" i="5"/>
  <c r="Z29" i="5" s="1"/>
  <c r="Z30" i="5"/>
  <c r="P18" i="5"/>
  <c r="AB28" i="5"/>
  <c r="AB30" i="5"/>
  <c r="AL27" i="5"/>
  <c r="AD17" i="5"/>
  <c r="BK37" i="3"/>
  <c r="AT43" i="3"/>
  <c r="AS43" i="3"/>
  <c r="T16" i="8"/>
  <c r="O23" i="3"/>
  <c r="O43" i="3" s="1"/>
  <c r="I23" i="3"/>
  <c r="I43" i="3" s="1"/>
  <c r="BG23" i="3"/>
  <c r="W44" i="3"/>
  <c r="J16" i="11"/>
  <c r="AQ37" i="7"/>
  <c r="AZ40" i="7"/>
  <c r="BB10" i="7"/>
  <c r="AA40" i="7"/>
  <c r="AB25" i="7"/>
  <c r="AH44" i="7"/>
  <c r="M39" i="3"/>
  <c r="AM37" i="3"/>
  <c r="AM41" i="3" s="1"/>
  <c r="AJ22" i="3"/>
  <c r="AI42" i="3"/>
  <c r="AM38" i="3"/>
  <c r="AM42" i="3" s="1"/>
  <c r="BA41" i="3"/>
  <c r="BC21" i="3"/>
  <c r="BB21" i="3"/>
  <c r="BD37" i="3"/>
  <c r="AO21" i="3"/>
  <c r="AO41" i="3" s="1"/>
  <c r="AO22" i="3"/>
  <c r="AO39" i="3"/>
  <c r="BM38" i="3"/>
  <c r="K39" i="3"/>
  <c r="K43" i="3" s="1"/>
  <c r="U21" i="3"/>
  <c r="U41" i="3" s="1"/>
  <c r="AB29" i="7"/>
  <c r="P29" i="7" s="1"/>
  <c r="V16" i="5"/>
  <c r="AT16" i="5"/>
  <c r="V27" i="5"/>
  <c r="R14" i="14"/>
  <c r="AT14" i="14"/>
  <c r="AQ14" i="14"/>
  <c r="AH14" i="14"/>
  <c r="V15" i="14"/>
  <c r="AE28" i="5"/>
  <c r="AE30" i="5"/>
  <c r="F21" i="15"/>
  <c r="AQ13" i="14"/>
  <c r="AD17" i="14"/>
  <c r="R17" i="14"/>
  <c r="F22" i="3"/>
  <c r="E42" i="3"/>
  <c r="J50" i="7"/>
  <c r="C99" i="16"/>
  <c r="AW42" i="7"/>
  <c r="X14" i="14"/>
  <c r="BG41" i="7"/>
  <c r="AR18" i="8"/>
  <c r="AC23" i="3"/>
  <c r="AC39" i="3"/>
  <c r="AD23" i="3"/>
  <c r="AD43" i="3" s="1"/>
  <c r="AG23" i="3"/>
  <c r="AG43" i="3" s="1"/>
  <c r="BA43" i="3"/>
  <c r="BB23" i="3"/>
  <c r="BU21" i="3"/>
  <c r="BU38" i="3"/>
  <c r="BT39" i="3"/>
  <c r="BS39" i="3"/>
  <c r="BU39" i="3"/>
  <c r="X44" i="3"/>
  <c r="AW40" i="7"/>
  <c r="F50" i="7"/>
  <c r="N39" i="3"/>
  <c r="L38" i="3"/>
  <c r="L42" i="3" s="1"/>
  <c r="N21" i="3"/>
  <c r="AC40" i="3"/>
  <c r="AC44" i="3" s="1"/>
  <c r="AL22" i="3"/>
  <c r="AL42" i="3" s="1"/>
  <c r="AL24" i="3"/>
  <c r="AL44" i="3" s="1"/>
  <c r="AV22" i="3"/>
  <c r="AV42" i="3" s="1"/>
  <c r="BD39" i="3"/>
  <c r="AZ22" i="3"/>
  <c r="BN21" i="3"/>
  <c r="BV23" i="3"/>
  <c r="Y40" i="3"/>
  <c r="Y44" i="3" s="1"/>
  <c r="U40" i="3"/>
  <c r="U44" i="3" s="1"/>
  <c r="T24" i="3"/>
  <c r="T44" i="3" s="1"/>
  <c r="W22" i="3"/>
  <c r="S22" i="3"/>
  <c r="S42" i="3" s="1"/>
  <c r="O40" i="3"/>
  <c r="O44" i="3" s="1"/>
  <c r="BF49" i="7"/>
  <c r="AG38" i="3"/>
  <c r="AG42" i="3" s="1"/>
  <c r="BE23" i="3"/>
  <c r="BE43" i="3" s="1"/>
  <c r="BJ43" i="3"/>
  <c r="AO38" i="3"/>
  <c r="AY40" i="3"/>
  <c r="AY44" i="3" s="1"/>
  <c r="AZ38" i="3"/>
  <c r="BG37" i="3"/>
  <c r="BQ21" i="3"/>
  <c r="BQ41" i="3" s="1"/>
  <c r="BN37" i="3"/>
  <c r="BN38" i="3"/>
  <c r="BN42" i="3" s="1"/>
  <c r="BV22" i="3"/>
  <c r="BV40" i="3"/>
  <c r="BV44" i="3" s="1"/>
  <c r="CC37" i="3"/>
  <c r="CC41" i="3" s="1"/>
  <c r="CD24" i="3"/>
  <c r="U38" i="3"/>
  <c r="AC10" i="14"/>
  <c r="AL16" i="14"/>
  <c r="G16" i="15" s="1"/>
  <c r="AW37" i="7"/>
  <c r="AU16" i="14"/>
  <c r="AI14" i="14"/>
  <c r="AE14" i="14"/>
  <c r="V10" i="5"/>
  <c r="AL14" i="8"/>
  <c r="AM14" i="8" s="1"/>
  <c r="AR15" i="14"/>
  <c r="AG14" i="14"/>
  <c r="AC12" i="14"/>
  <c r="AU12" i="14"/>
  <c r="AX14" i="5"/>
  <c r="AT17" i="14"/>
  <c r="AK13" i="14"/>
  <c r="AV17" i="14"/>
  <c r="M15" i="8"/>
  <c r="CU22" i="17"/>
  <c r="H96" i="11"/>
  <c r="Y17" i="14"/>
  <c r="V11" i="14"/>
  <c r="H16" i="8"/>
  <c r="I16" i="14" s="1"/>
  <c r="K17" i="11"/>
  <c r="BB23" i="7"/>
  <c r="BC23" i="7" s="1"/>
  <c r="G31" i="5"/>
  <c r="BB8" i="7"/>
  <c r="G10" i="15" l="1"/>
  <c r="P24" i="7"/>
  <c r="P34" i="7" s="1"/>
  <c r="AB34" i="7"/>
  <c r="AU20" i="14"/>
  <c r="CS15" i="16"/>
  <c r="U34" i="7"/>
  <c r="BC25" i="7"/>
  <c r="BC34" i="7" s="1"/>
  <c r="BB34" i="7"/>
  <c r="V20" i="14"/>
  <c r="H20" i="14"/>
  <c r="AC20" i="14"/>
  <c r="AL20" i="14"/>
  <c r="AB10" i="7"/>
  <c r="AB19" i="7" s="1"/>
  <c r="U19" i="7"/>
  <c r="U39" i="7"/>
  <c r="H18" i="11"/>
  <c r="G20" i="14"/>
  <c r="BB19" i="7"/>
  <c r="AX15" i="16"/>
  <c r="AR20" i="14"/>
  <c r="C21" i="15"/>
  <c r="F20" i="14"/>
  <c r="E8" i="15"/>
  <c r="AW8" i="14"/>
  <c r="AX8" i="14" s="1"/>
  <c r="W8" i="14"/>
  <c r="K28" i="5"/>
  <c r="E8" i="11"/>
  <c r="E31" i="11" s="1"/>
  <c r="E30" i="11" s="1"/>
  <c r="BD28" i="7"/>
  <c r="W11" i="14"/>
  <c r="D12" i="15" s="1"/>
  <c r="E23" i="15"/>
  <c r="AX11" i="5"/>
  <c r="AQ17" i="5"/>
  <c r="K17" i="5"/>
  <c r="K29" i="5" s="1"/>
  <c r="J29" i="5"/>
  <c r="AE29" i="5"/>
  <c r="H30" i="5"/>
  <c r="U29" i="5"/>
  <c r="H17" i="5"/>
  <c r="AX19" i="5"/>
  <c r="AK29" i="5"/>
  <c r="B12" i="14"/>
  <c r="AO29" i="5"/>
  <c r="G29" i="5"/>
  <c r="AX23" i="5"/>
  <c r="C13" i="14"/>
  <c r="H31" i="5"/>
  <c r="W21" i="5"/>
  <c r="Y29" i="5"/>
  <c r="S29" i="5"/>
  <c r="E29" i="5"/>
  <c r="E14" i="11" s="1"/>
  <c r="CD44" i="3"/>
  <c r="BM42" i="3"/>
  <c r="BD41" i="3"/>
  <c r="AA43" i="3"/>
  <c r="Y43" i="3"/>
  <c r="BE42" i="3"/>
  <c r="BE41" i="3"/>
  <c r="BB44" i="3"/>
  <c r="T29" i="5"/>
  <c r="K42" i="3"/>
  <c r="CG42" i="3"/>
  <c r="AX26" i="5"/>
  <c r="AH41" i="3"/>
  <c r="BG44" i="3"/>
  <c r="AQ28" i="5"/>
  <c r="AR29" i="5"/>
  <c r="AP41" i="3"/>
  <c r="U42" i="3"/>
  <c r="BG43" i="3"/>
  <c r="AB29" i="5"/>
  <c r="U43" i="3"/>
  <c r="AY43" i="3"/>
  <c r="AP43" i="3"/>
  <c r="AU41" i="3"/>
  <c r="BM41" i="3"/>
  <c r="AL41" i="3"/>
  <c r="V43" i="3"/>
  <c r="AF44" i="3"/>
  <c r="AF29" i="5"/>
  <c r="D29" i="5"/>
  <c r="CA43" i="3"/>
  <c r="CB43" i="3"/>
  <c r="AF43" i="3"/>
  <c r="BE44" i="3"/>
  <c r="AV27" i="5"/>
  <c r="BG42" i="3"/>
  <c r="AC41" i="3"/>
  <c r="H28" i="5"/>
  <c r="AS29" i="5"/>
  <c r="AM43" i="3"/>
  <c r="R29" i="5"/>
  <c r="AG29" i="5"/>
  <c r="BT44" i="3"/>
  <c r="BS44" i="3"/>
  <c r="Y41" i="3"/>
  <c r="H43" i="3"/>
  <c r="AX42" i="3"/>
  <c r="I29" i="5"/>
  <c r="M44" i="3"/>
  <c r="BS41" i="3"/>
  <c r="AX25" i="5"/>
  <c r="F41" i="3"/>
  <c r="G41" i="3"/>
  <c r="W42" i="3"/>
  <c r="BV43" i="3"/>
  <c r="BU43" i="3"/>
  <c r="AO43" i="3"/>
  <c r="X42" i="3"/>
  <c r="AM44" i="3"/>
  <c r="O41" i="3"/>
  <c r="J49" i="7"/>
  <c r="W16" i="14"/>
  <c r="D16" i="15" s="1"/>
  <c r="W15" i="14"/>
  <c r="BB43" i="7"/>
  <c r="I22" i="14"/>
  <c r="W22" i="14" s="1"/>
  <c r="D22" i="15" s="1"/>
  <c r="BC44" i="7"/>
  <c r="AH49" i="7"/>
  <c r="AQ49" i="7"/>
  <c r="BD22" i="7"/>
  <c r="AZ49" i="7"/>
  <c r="BB41" i="7"/>
  <c r="AA49" i="7"/>
  <c r="BB39" i="7"/>
  <c r="I21" i="14"/>
  <c r="BC39" i="7"/>
  <c r="BC41" i="7"/>
  <c r="F15" i="14"/>
  <c r="C15" i="15" s="1"/>
  <c r="F16" i="14"/>
  <c r="C16" i="15" s="1"/>
  <c r="N18" i="8"/>
  <c r="AN14" i="8"/>
  <c r="AM15" i="8"/>
  <c r="I17" i="14"/>
  <c r="E7" i="15"/>
  <c r="W12" i="14"/>
  <c r="D13" i="15" s="1"/>
  <c r="I13" i="14"/>
  <c r="E12" i="15"/>
  <c r="AC17" i="14"/>
  <c r="W9" i="14"/>
  <c r="D9" i="15" s="1"/>
  <c r="E9" i="15"/>
  <c r="AW23" i="14"/>
  <c r="AX23" i="14" s="1"/>
  <c r="F13" i="14"/>
  <c r="Q30" i="5"/>
  <c r="AW10" i="5"/>
  <c r="K31" i="5"/>
  <c r="AX13" i="5"/>
  <c r="AV10" i="5"/>
  <c r="P8" i="5"/>
  <c r="B11" i="14"/>
  <c r="AX15" i="5"/>
  <c r="AX8" i="5"/>
  <c r="AD29" i="5"/>
  <c r="Q17" i="5"/>
  <c r="AQ29" i="5"/>
  <c r="AQ31" i="5"/>
  <c r="W10" i="5"/>
  <c r="AL17" i="5"/>
  <c r="K30" i="5"/>
  <c r="D13" i="14" s="1"/>
  <c r="W18" i="14"/>
  <c r="D18" i="15" s="1"/>
  <c r="AU17" i="14"/>
  <c r="E16" i="15"/>
  <c r="AN7" i="8"/>
  <c r="N16" i="8"/>
  <c r="B16" i="14" s="1"/>
  <c r="AL15" i="8"/>
  <c r="AN11" i="8"/>
  <c r="AN8" i="8"/>
  <c r="AR17" i="14"/>
  <c r="AU6" i="14"/>
  <c r="BD24" i="7"/>
  <c r="U43" i="7"/>
  <c r="AB13" i="7"/>
  <c r="H20" i="11"/>
  <c r="BB44" i="7"/>
  <c r="AX44" i="16"/>
  <c r="I24" i="14"/>
  <c r="W24" i="14" s="1"/>
  <c r="D24" i="15" s="1"/>
  <c r="BD25" i="7"/>
  <c r="BD9" i="7"/>
  <c r="AX41" i="16"/>
  <c r="H19" i="11"/>
  <c r="C20" i="15"/>
  <c r="AB14" i="7"/>
  <c r="AB44" i="7" s="1"/>
  <c r="B24" i="14" s="1"/>
  <c r="BB37" i="7"/>
  <c r="AW49" i="7"/>
  <c r="I7" i="14"/>
  <c r="W7" i="14" s="1"/>
  <c r="D7" i="15" s="1"/>
  <c r="AN12" i="8"/>
  <c r="AM16" i="8"/>
  <c r="AB42" i="7"/>
  <c r="B22" i="14" s="1"/>
  <c r="P12" i="7"/>
  <c r="T43" i="3"/>
  <c r="BG41" i="3"/>
  <c r="AC43" i="3"/>
  <c r="K44" i="3"/>
  <c r="AL16" i="8"/>
  <c r="F43" i="3"/>
  <c r="G43" i="3"/>
  <c r="AW12" i="14"/>
  <c r="AX12" i="14" s="1"/>
  <c r="BD43" i="3"/>
  <c r="N43" i="3"/>
  <c r="BU41" i="3"/>
  <c r="AX18" i="16"/>
  <c r="AV16" i="5"/>
  <c r="E11" i="15"/>
  <c r="E24" i="15"/>
  <c r="R42" i="3"/>
  <c r="AD42" i="3"/>
  <c r="BD42" i="3"/>
  <c r="P9" i="7"/>
  <c r="AB39" i="7"/>
  <c r="B7" i="14" s="1"/>
  <c r="BY41" i="3"/>
  <c r="BD12" i="7"/>
  <c r="BC42" i="3"/>
  <c r="BB42" i="3"/>
  <c r="BT42" i="3"/>
  <c r="BS42" i="3"/>
  <c r="BV42" i="3"/>
  <c r="N41" i="3"/>
  <c r="M43" i="3"/>
  <c r="M41" i="3"/>
  <c r="BC37" i="7"/>
  <c r="H6" i="14"/>
  <c r="P15" i="5"/>
  <c r="CS18" i="16"/>
  <c r="BU42" i="3"/>
  <c r="C18" i="15"/>
  <c r="F14" i="15"/>
  <c r="AL13" i="14"/>
  <c r="Q49" i="7"/>
  <c r="CC44" i="3"/>
  <c r="AK44" i="3"/>
  <c r="AJ44" i="3"/>
  <c r="AX22" i="5"/>
  <c r="I32" i="11"/>
  <c r="Q28" i="5"/>
  <c r="F29" i="5"/>
  <c r="AX9" i="5"/>
  <c r="BD26" i="7"/>
  <c r="AZ42" i="3"/>
  <c r="AR6" i="14"/>
  <c r="Q42" i="3"/>
  <c r="AT42" i="3"/>
  <c r="AS42" i="3"/>
  <c r="V42" i="3"/>
  <c r="AX17" i="16"/>
  <c r="AV21" i="5"/>
  <c r="I23" i="14"/>
  <c r="W23" i="14" s="1"/>
  <c r="D23" i="15" s="1"/>
  <c r="AO42" i="3"/>
  <c r="AX18" i="5"/>
  <c r="AW21" i="5"/>
  <c r="E43" i="11"/>
  <c r="P41" i="3"/>
  <c r="AA44" i="3"/>
  <c r="AB44" i="3"/>
  <c r="BI43" i="3"/>
  <c r="BL44" i="3"/>
  <c r="BK44" i="3"/>
  <c r="F10" i="15"/>
  <c r="AW10" i="14"/>
  <c r="AW24" i="14"/>
  <c r="AX24" i="14" s="1"/>
  <c r="AC14" i="14"/>
  <c r="AW7" i="14"/>
  <c r="AX7" i="14" s="1"/>
  <c r="AW9" i="14"/>
  <c r="AX9" i="14" s="1"/>
  <c r="AW11" i="14"/>
  <c r="AX11" i="14" s="1"/>
  <c r="F6" i="15"/>
  <c r="F20" i="15"/>
  <c r="F17" i="15"/>
  <c r="AR13" i="14"/>
  <c r="BC10" i="7"/>
  <c r="BC19" i="7" s="1"/>
  <c r="BB40" i="7"/>
  <c r="AT41" i="3"/>
  <c r="AS41" i="3"/>
  <c r="AC17" i="5"/>
  <c r="AC29" i="5" s="1"/>
  <c r="AC31" i="5"/>
  <c r="AB41" i="7"/>
  <c r="B21" i="14" s="1"/>
  <c r="P11" i="7"/>
  <c r="BD11" i="7"/>
  <c r="AB41" i="3"/>
  <c r="AA41" i="3"/>
  <c r="AL17" i="14"/>
  <c r="P7" i="7"/>
  <c r="AB37" i="7"/>
  <c r="BD7" i="7"/>
  <c r="BC27" i="7"/>
  <c r="BB42" i="7"/>
  <c r="G21" i="15"/>
  <c r="G15" i="15"/>
  <c r="G14" i="15" s="1"/>
  <c r="AL14" i="14"/>
  <c r="C10" i="15"/>
  <c r="N15" i="8"/>
  <c r="B15" i="14" s="1"/>
  <c r="G7" i="8"/>
  <c r="V30" i="5"/>
  <c r="V17" i="5"/>
  <c r="AT31" i="5"/>
  <c r="AT17" i="5"/>
  <c r="AT29" i="5" s="1"/>
  <c r="AK42" i="3"/>
  <c r="AJ42" i="3"/>
  <c r="AL18" i="8"/>
  <c r="BC43" i="7"/>
  <c r="AW27" i="5"/>
  <c r="E22" i="15"/>
  <c r="AW22" i="14"/>
  <c r="AX22" i="14" s="1"/>
  <c r="P11" i="5"/>
  <c r="G6" i="14"/>
  <c r="BC43" i="3"/>
  <c r="BB43" i="3"/>
  <c r="F42" i="3"/>
  <c r="G42" i="3"/>
  <c r="W27" i="5"/>
  <c r="V31" i="5"/>
  <c r="L32" i="11"/>
  <c r="AN10" i="8"/>
  <c r="AM18" i="8"/>
  <c r="K32" i="11"/>
  <c r="AL31" i="5"/>
  <c r="AL28" i="5"/>
  <c r="BL41" i="3"/>
  <c r="BK41" i="3"/>
  <c r="E18" i="15"/>
  <c r="AW18" i="14"/>
  <c r="AX18" i="14" s="1"/>
  <c r="AA42" i="3"/>
  <c r="AB42" i="3"/>
  <c r="E13" i="15"/>
  <c r="BD29" i="7"/>
  <c r="AW16" i="5"/>
  <c r="H32" i="11"/>
  <c r="Q31" i="5"/>
  <c r="I14" i="14"/>
  <c r="BC8" i="7"/>
  <c r="BB38" i="7"/>
  <c r="V6" i="14"/>
  <c r="E15" i="15"/>
  <c r="AR14" i="14"/>
  <c r="AW16" i="14"/>
  <c r="AX16" i="14" s="1"/>
  <c r="AU14" i="14"/>
  <c r="AC13" i="14"/>
  <c r="BL43" i="3"/>
  <c r="BK43" i="3"/>
  <c r="BN41" i="3"/>
  <c r="V14" i="14"/>
  <c r="M32" i="11"/>
  <c r="V28" i="5"/>
  <c r="W16" i="5"/>
  <c r="BB41" i="3"/>
  <c r="BC41" i="3"/>
  <c r="AC6" i="14"/>
  <c r="V13" i="14"/>
  <c r="W10" i="14"/>
  <c r="AU13" i="14"/>
  <c r="AL6" i="14"/>
  <c r="I17" i="11"/>
  <c r="CS12" i="16"/>
  <c r="U38" i="7"/>
  <c r="AB23" i="7"/>
  <c r="AW21" i="14"/>
  <c r="E21" i="15"/>
  <c r="V17" i="14"/>
  <c r="AW15" i="14"/>
  <c r="AB40" i="7" l="1"/>
  <c r="B9" i="14" s="1"/>
  <c r="AW20" i="14"/>
  <c r="W21" i="14"/>
  <c r="I20" i="14"/>
  <c r="AY8" i="14"/>
  <c r="D8" i="15"/>
  <c r="K8" i="15" s="1"/>
  <c r="AY11" i="14"/>
  <c r="K12" i="15"/>
  <c r="E7" i="11"/>
  <c r="H29" i="5"/>
  <c r="E9" i="11"/>
  <c r="E11" i="11" s="1"/>
  <c r="K23" i="15"/>
  <c r="W28" i="5"/>
  <c r="AX21" i="5"/>
  <c r="W30" i="5"/>
  <c r="B13" i="14"/>
  <c r="W17" i="5"/>
  <c r="W29" i="5" s="1"/>
  <c r="AW17" i="5"/>
  <c r="Q29" i="5"/>
  <c r="AY12" i="14"/>
  <c r="B17" i="14"/>
  <c r="BD37" i="7"/>
  <c r="BD41" i="7"/>
  <c r="K7" i="15"/>
  <c r="AN18" i="8"/>
  <c r="AN15" i="8"/>
  <c r="AY22" i="14"/>
  <c r="K22" i="15"/>
  <c r="AY9" i="14"/>
  <c r="K9" i="15"/>
  <c r="K24" i="15"/>
  <c r="F14" i="14"/>
  <c r="C14" i="15"/>
  <c r="K16" i="15"/>
  <c r="AV17" i="5"/>
  <c r="W31" i="5"/>
  <c r="AV31" i="5"/>
  <c r="AX10" i="5"/>
  <c r="AL29" i="5"/>
  <c r="AY16" i="14"/>
  <c r="AN16" i="8"/>
  <c r="AY18" i="14"/>
  <c r="U49" i="7"/>
  <c r="BB49" i="7"/>
  <c r="AY24" i="14"/>
  <c r="P13" i="7"/>
  <c r="AB43" i="7"/>
  <c r="E6" i="15"/>
  <c r="BD13" i="7"/>
  <c r="BD43" i="7" s="1"/>
  <c r="BD39" i="7"/>
  <c r="AY7" i="14"/>
  <c r="K50" i="7"/>
  <c r="P14" i="7"/>
  <c r="BD14" i="7"/>
  <c r="BD44" i="7" s="1"/>
  <c r="AW30" i="5"/>
  <c r="C17" i="15"/>
  <c r="F17" i="14"/>
  <c r="AW13" i="14"/>
  <c r="B14" i="14"/>
  <c r="AV30" i="5"/>
  <c r="AV28" i="5"/>
  <c r="AY23" i="14"/>
  <c r="E20" i="15"/>
  <c r="AX10" i="14"/>
  <c r="AX13" i="14" s="1"/>
  <c r="E14" i="15"/>
  <c r="E10" i="15"/>
  <c r="D17" i="15"/>
  <c r="W17" i="14"/>
  <c r="AW6" i="14"/>
  <c r="D15" i="15"/>
  <c r="D14" i="15" s="1"/>
  <c r="W14" i="14"/>
  <c r="BC38" i="7"/>
  <c r="BD8" i="7"/>
  <c r="V29" i="5"/>
  <c r="K13" i="15"/>
  <c r="AX6" i="14"/>
  <c r="AX16" i="5"/>
  <c r="AW31" i="5"/>
  <c r="D11" i="15"/>
  <c r="W13" i="14"/>
  <c r="AW17" i="14"/>
  <c r="K18" i="15"/>
  <c r="E17" i="15"/>
  <c r="AX27" i="5"/>
  <c r="AW28" i="5"/>
  <c r="AX28" i="5" s="1"/>
  <c r="BC42" i="7"/>
  <c r="BD27" i="7"/>
  <c r="BD42" i="7" s="1"/>
  <c r="BC40" i="7"/>
  <c r="BD10" i="7"/>
  <c r="BD40" i="7" s="1"/>
  <c r="AB38" i="7"/>
  <c r="B8" i="14" s="1"/>
  <c r="P23" i="7"/>
  <c r="AX15" i="14"/>
  <c r="AW14" i="14"/>
  <c r="AX21" i="14"/>
  <c r="AX20" i="14" s="1"/>
  <c r="G6" i="15"/>
  <c r="I6" i="14"/>
  <c r="G20" i="15"/>
  <c r="BD23" i="7"/>
  <c r="BD34" i="7" l="1"/>
  <c r="D21" i="15"/>
  <c r="K21" i="15" s="1"/>
  <c r="W20" i="14"/>
  <c r="BD19" i="7"/>
  <c r="BD49" i="7" s="1"/>
  <c r="B23" i="14"/>
  <c r="B20" i="14" s="1"/>
  <c r="AX30" i="5"/>
  <c r="AX17" i="5"/>
  <c r="AX29" i="5" s="1"/>
  <c r="AV29" i="5"/>
  <c r="D20" i="15"/>
  <c r="K20" i="15" s="1"/>
  <c r="B6" i="14"/>
  <c r="AY10" i="14"/>
  <c r="AY13" i="14" s="1"/>
  <c r="K15" i="15"/>
  <c r="AW29" i="5"/>
  <c r="AB49" i="7"/>
  <c r="BC49" i="7"/>
  <c r="AX31" i="5"/>
  <c r="C6" i="15"/>
  <c r="F6" i="14"/>
  <c r="K17" i="15"/>
  <c r="K14" i="15"/>
  <c r="BD38" i="7"/>
  <c r="AY15" i="14"/>
  <c r="AY14" i="14" s="1"/>
  <c r="AX14" i="14"/>
  <c r="AY6" i="14"/>
  <c r="W6" i="14"/>
  <c r="AY21" i="14"/>
  <c r="AY20" i="14" s="1"/>
  <c r="AY17" i="14"/>
  <c r="AX17" i="14"/>
  <c r="D10" i="15"/>
  <c r="K10" i="15" s="1"/>
  <c r="K11" i="15"/>
  <c r="D6" i="15" l="1"/>
  <c r="C73" i="11" l="1"/>
  <c r="C75" i="11" s="1"/>
  <c r="G73" i="11" l="1"/>
  <c r="CS108" i="16"/>
  <c r="F67" i="11" s="1"/>
  <c r="F75" i="11" s="1"/>
  <c r="G75" i="11" l="1"/>
  <c r="G80" i="11"/>
  <c r="H67" i="11"/>
  <c r="H75" i="11" s="1"/>
</calcChain>
</file>

<file path=xl/comments1.xml><?xml version="1.0" encoding="utf-8"?>
<comments xmlns="http://schemas.openxmlformats.org/spreadsheetml/2006/main">
  <authors>
    <author>Изофатенко Евгений Владимирович</author>
  </authors>
  <commentList>
    <comment ref="AP7" authorId="0" shapeId="0">
      <text>
        <r>
          <rPr>
            <b/>
            <sz val="9"/>
            <color indexed="81"/>
            <rFont val="Tahoma"/>
            <family val="2"/>
            <charset val="204"/>
          </rPr>
          <t>менее 3.8 км/час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P8" authorId="0" shapeId="0">
      <text>
        <r>
          <rPr>
            <b/>
            <sz val="9"/>
            <color indexed="81"/>
            <rFont val="Tahoma"/>
            <family val="2"/>
            <charset val="204"/>
          </rPr>
          <t>менее 3.8 км/час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P9" authorId="0" shapeId="0">
      <text>
        <r>
          <rPr>
            <b/>
            <sz val="9"/>
            <color indexed="81"/>
            <rFont val="Tahoma"/>
            <family val="2"/>
            <charset val="204"/>
          </rPr>
          <t>менее 3.8 км/час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P10" authorId="0" shapeId="0">
      <text>
        <r>
          <rPr>
            <b/>
            <sz val="9"/>
            <color indexed="81"/>
            <rFont val="Tahoma"/>
            <family val="2"/>
            <charset val="204"/>
          </rPr>
          <t>менее 3.8 км/час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Изофатенко Евгений Владимирович</author>
    <author>Habibrahmanov</author>
  </authors>
  <commentList>
    <comment ref="D22" authorId="0" shapeId="0">
      <text>
        <r>
          <rPr>
            <b/>
            <sz val="9"/>
            <color indexed="81"/>
            <rFont val="Tahoma"/>
            <family val="2"/>
            <charset val="204"/>
          </rPr>
          <t>выемка горной массы со 180 горизонта и выше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  <charset val="204"/>
          </rPr>
          <t>выемка горной массы со 180 горизонта и выше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35" authorId="0" shapeId="0">
      <text>
        <r>
          <rPr>
            <b/>
            <sz val="8"/>
            <color indexed="81"/>
            <rFont val="Tahoma"/>
            <family val="2"/>
            <charset val="204"/>
          </rPr>
          <t>вывозка с внутрикарьерными перевозками (с АСД)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36" authorId="1" shapeId="0">
      <text>
        <r>
          <rPr>
            <b/>
            <sz val="8"/>
            <color indexed="81"/>
            <rFont val="Tahoma"/>
            <family val="2"/>
            <charset val="204"/>
          </rPr>
          <t>вывозка с внутрикарьерными перевозками (с АСД)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  <charset val="204"/>
          </rPr>
          <t>для свода параметров</t>
        </r>
      </text>
    </comment>
    <comment ref="E51" authorId="0" shapeId="0">
      <text>
        <r>
          <rPr>
            <b/>
            <sz val="8"/>
            <color indexed="81"/>
            <rFont val="Tahoma"/>
            <family val="2"/>
            <charset val="204"/>
          </rPr>
          <t>заполнять вручную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60" authorId="0" shapeId="0">
      <text>
        <r>
          <rPr>
            <b/>
            <sz val="8"/>
            <color indexed="81"/>
            <rFont val="Tahoma"/>
            <family val="2"/>
            <charset val="204"/>
          </rPr>
          <t>заполнять вручную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61" authorId="0" shapeId="0">
      <text>
        <r>
          <rPr>
            <b/>
            <sz val="8"/>
            <color indexed="81"/>
            <rFont val="Tahoma"/>
            <family val="2"/>
            <charset val="204"/>
          </rPr>
          <t>заполнять вручную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  <charset val="204"/>
          </rPr>
          <t>скала бункер ДСК (с АСД)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77" authorId="0" shapeId="0">
      <text>
        <r>
          <rPr>
            <sz val="9"/>
            <color indexed="81"/>
            <rFont val="Tahoma"/>
            <family val="2"/>
            <charset val="204"/>
          </rPr>
          <t>заполнять вручную 
Р-работа
Н-не работа</t>
        </r>
      </text>
    </comment>
  </commentList>
</comments>
</file>

<file path=xl/comments3.xml><?xml version="1.0" encoding="utf-8"?>
<comments xmlns="http://schemas.openxmlformats.org/spreadsheetml/2006/main">
  <authors>
    <author>Изофатенко Евгений Владимирович</author>
  </authors>
  <commentList>
    <comment ref="B83" authorId="0" shapeId="0">
      <text>
        <r>
          <rPr>
            <b/>
            <sz val="9"/>
            <color indexed="81"/>
            <rFont val="Tahoma"/>
            <family val="2"/>
            <charset val="204"/>
          </rPr>
          <t>контурное взрывание м2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83" authorId="0" shapeId="0">
      <text>
        <r>
          <rPr>
            <b/>
            <sz val="9"/>
            <color indexed="81"/>
            <rFont val="Tahoma"/>
            <family val="2"/>
            <charset val="204"/>
          </rPr>
          <t>взрыв м3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6" authorId="0" shapeId="0">
      <text>
        <r>
          <rPr>
            <sz val="9"/>
            <color indexed="81"/>
            <rFont val="Tahoma"/>
            <family val="2"/>
            <charset val="204"/>
          </rPr>
          <t xml:space="preserve">вставлять производительности насосов по данным водоотлива
</t>
        </r>
      </text>
    </comment>
  </commentList>
</comments>
</file>

<file path=xl/sharedStrings.xml><?xml version="1.0" encoding="utf-8"?>
<sst xmlns="http://schemas.openxmlformats.org/spreadsheetml/2006/main" count="4813" uniqueCount="536">
  <si>
    <t>Дата</t>
  </si>
  <si>
    <t>Смена</t>
  </si>
  <si>
    <t>Взрыв</t>
  </si>
  <si>
    <t>Итого простои</t>
  </si>
  <si>
    <t>Марка</t>
  </si>
  <si>
    <t>Время работы</t>
  </si>
  <si>
    <t>Заправка</t>
  </si>
  <si>
    <t>Перегоны</t>
  </si>
  <si>
    <t>ПРОСТОИ</t>
  </si>
  <si>
    <t>ТЕХНОЛОГИЧЕСКИЕ ПЕРЕРЫВЫ</t>
  </si>
  <si>
    <t>Место работы</t>
  </si>
  <si>
    <t>Сутки</t>
  </si>
  <si>
    <t>м куб</t>
  </si>
  <si>
    <t>Итого за 1см</t>
  </si>
  <si>
    <t>Итого за 2см</t>
  </si>
  <si>
    <t>Всего за сутки</t>
  </si>
  <si>
    <t>45 т</t>
  </si>
  <si>
    <t>Грузоподъемность самосвалов</t>
  </si>
  <si>
    <t>Гаражный номер</t>
  </si>
  <si>
    <t>Внутрикарьерные перевозки</t>
  </si>
  <si>
    <t>Время на перевозке</t>
  </si>
  <si>
    <t>Отсутствие погрузки</t>
  </si>
  <si>
    <t>Прочие</t>
  </si>
  <si>
    <t>Экскаваторы</t>
  </si>
  <si>
    <t>Погрузчики</t>
  </si>
  <si>
    <t>Всего за сут.</t>
  </si>
  <si>
    <t>Тип погрузочной машины</t>
  </si>
  <si>
    <t>ИТОГО на линии</t>
  </si>
  <si>
    <t>Простои, час.</t>
  </si>
  <si>
    <t>Примечания</t>
  </si>
  <si>
    <t>Подрядчики (скала) куб м</t>
  </si>
  <si>
    <t>Вспомогательные работы</t>
  </si>
  <si>
    <t>на рудном складе ЗИФ</t>
  </si>
  <si>
    <t>Итого время погрузки</t>
  </si>
  <si>
    <t>Отсутствие транспорта</t>
  </si>
  <si>
    <t>Отсутствие эл.энергии, ГСМ</t>
  </si>
  <si>
    <t>Работа с бутобоем</t>
  </si>
  <si>
    <t>Тип бурового станка</t>
  </si>
  <si>
    <t>Объем работ</t>
  </si>
  <si>
    <t>Простои</t>
  </si>
  <si>
    <t>1 смена</t>
  </si>
  <si>
    <t>2 смена</t>
  </si>
  <si>
    <t>Технологические перерывы</t>
  </si>
  <si>
    <t>Отсутствие запчастей</t>
  </si>
  <si>
    <t>м3</t>
  </si>
  <si>
    <t>Перевозка руды на ЗИФ (вл. вес)</t>
  </si>
  <si>
    <t>т</t>
  </si>
  <si>
    <t>Буровзрывные работы</t>
  </si>
  <si>
    <t>пог.м</t>
  </si>
  <si>
    <t>г</t>
  </si>
  <si>
    <t>Внутренняя сводка по горным работам</t>
  </si>
  <si>
    <t>Карьер</t>
  </si>
  <si>
    <t>№ п/п</t>
  </si>
  <si>
    <t>Наименование работ</t>
  </si>
  <si>
    <t>ед. изм.</t>
  </si>
  <si>
    <t>план</t>
  </si>
  <si>
    <t>факт</t>
  </si>
  <si>
    <t>откл. (+,-)</t>
  </si>
  <si>
    <t>выполнение, %</t>
  </si>
  <si>
    <t>Время, час.</t>
  </si>
  <si>
    <t>В работе</t>
  </si>
  <si>
    <t>В ремонте</t>
  </si>
  <si>
    <t>в т.ч.без бриг</t>
  </si>
  <si>
    <t>Количество, ед</t>
  </si>
  <si>
    <t>Дальность возки, км</t>
  </si>
  <si>
    <t>Ед. изм работы</t>
  </si>
  <si>
    <t>Выполненная работа за сутки</t>
  </si>
  <si>
    <t>Экскаваторы, всего</t>
  </si>
  <si>
    <t>Бульдозеры, всего</t>
  </si>
  <si>
    <t>Автогрейдер, всего</t>
  </si>
  <si>
    <t>Фронтальные погрузчики, всего</t>
  </si>
  <si>
    <t>Диспетчер</t>
  </si>
  <si>
    <t>БВР</t>
  </si>
  <si>
    <t>сутки</t>
  </si>
  <si>
    <t>ТО</t>
  </si>
  <si>
    <t>Тип оборудования, марка, бортовой (хоз.) номер</t>
  </si>
  <si>
    <t>Простои, час</t>
  </si>
  <si>
    <t>Планируемые</t>
  </si>
  <si>
    <t>Не планируемые</t>
  </si>
  <si>
    <t>Аварийный ремонт</t>
  </si>
  <si>
    <t>Отсутствие</t>
  </si>
  <si>
    <t>ППР</t>
  </si>
  <si>
    <t>ДВС</t>
  </si>
  <si>
    <t>Трансмиссия</t>
  </si>
  <si>
    <t>Ходовая часть</t>
  </si>
  <si>
    <t>Электрич. часть</t>
  </si>
  <si>
    <t>Гидравлич. часть</t>
  </si>
  <si>
    <t>Автошины</t>
  </si>
  <si>
    <t>Заполнять только здесь!!!</t>
  </si>
  <si>
    <t>м.куб</t>
  </si>
  <si>
    <t>Отработано за сутки, м/ч</t>
  </si>
  <si>
    <t>м3хкм</t>
  </si>
  <si>
    <t>Экскаваторы всего</t>
  </si>
  <si>
    <t xml:space="preserve">Бульдозеры всего </t>
  </si>
  <si>
    <t>"Движение руды по складам</t>
  </si>
  <si>
    <t>Выемка руды из карьера</t>
  </si>
  <si>
    <t>Сорт руды</t>
  </si>
  <si>
    <t>Au</t>
  </si>
  <si>
    <t>Ag</t>
  </si>
  <si>
    <t>содержание, г/т</t>
  </si>
  <si>
    <t>Склад ЗИФ КВ, тн</t>
  </si>
  <si>
    <t>Бункер ЗИФ КВ, тн</t>
  </si>
  <si>
    <t>№ блока</t>
  </si>
  <si>
    <t>БелАЗ-754701 №35</t>
  </si>
  <si>
    <t>Содержание , г/т</t>
  </si>
  <si>
    <t>Металл,кг</t>
  </si>
  <si>
    <t>склад бедной первич.руды</t>
  </si>
  <si>
    <t>ЗИФ УВП</t>
  </si>
  <si>
    <t>ЗИФ КВ</t>
  </si>
  <si>
    <t>Место разгрузки</t>
  </si>
  <si>
    <t>Склад бедной первич.руды</t>
  </si>
  <si>
    <t>пирог</t>
  </si>
  <si>
    <t>СAu</t>
  </si>
  <si>
    <t>СAg</t>
  </si>
  <si>
    <t>Вес руды из карьера разгруженной на местах разгрузки ,т</t>
  </si>
  <si>
    <t>забалансовый отвал</t>
  </si>
  <si>
    <t>код мест разгрузки</t>
  </si>
  <si>
    <t>код</t>
  </si>
  <si>
    <t>коды</t>
  </si>
  <si>
    <t>итого 2 см</t>
  </si>
  <si>
    <t>итого 1 см</t>
  </si>
  <si>
    <t>Руда, т (сух)</t>
  </si>
  <si>
    <t>Руда, тн (вл.вес)</t>
  </si>
  <si>
    <t>В простое тех.исправных, м/ч</t>
  </si>
  <si>
    <t>Caterpillar D-6R №27</t>
  </si>
  <si>
    <t>склад негабар</t>
  </si>
  <si>
    <t>просто склад</t>
  </si>
  <si>
    <t>Кол-во рейсов</t>
  </si>
  <si>
    <t xml:space="preserve"> - строительные нужды</t>
  </si>
  <si>
    <t>Среднее плечо по автопарку</t>
  </si>
  <si>
    <t>км</t>
  </si>
  <si>
    <t>CAT-988G №7</t>
  </si>
  <si>
    <t>HITACHI EX-1200 № 19 (Обр)</t>
  </si>
  <si>
    <t>ЭШ 6/45 №17</t>
  </si>
  <si>
    <t>со склада карьера на ЗИФ УВП (первич)</t>
  </si>
  <si>
    <t>CAT-962 №15</t>
  </si>
  <si>
    <t xml:space="preserve"> здесь заполнять причины простоев</t>
  </si>
  <si>
    <t>Перевозка руды</t>
  </si>
  <si>
    <t>Перевезено,т</t>
  </si>
  <si>
    <t>Кол-во автосамосвалов</t>
  </si>
  <si>
    <t>производительность</t>
  </si>
  <si>
    <t>количество рейсов за 1 час на 1 автосамосвал</t>
  </si>
  <si>
    <t>средняя загрузка самосвала</t>
  </si>
  <si>
    <t>среднее кол-во рейсов вып. 1 автосамосвалом</t>
  </si>
  <si>
    <t>55т</t>
  </si>
  <si>
    <t>Первичная руда</t>
  </si>
  <si>
    <t>Окисленная руда</t>
  </si>
  <si>
    <t>Суточный рапорт горного диспетчера по работе оборудования   карьера "Воронцовский"</t>
  </si>
  <si>
    <t>Оборудование</t>
  </si>
  <si>
    <t>Машинист экскаватора, погрузчика, бульдозера</t>
  </si>
  <si>
    <t>12-00</t>
  </si>
  <si>
    <t>Обём работ, м3;п.м.;ч.</t>
  </si>
  <si>
    <t>23-00</t>
  </si>
  <si>
    <t>Примечание (причины простоев)</t>
  </si>
  <si>
    <t>1 см.</t>
  </si>
  <si>
    <t>2 см.</t>
  </si>
  <si>
    <t>Подрядная техника</t>
  </si>
  <si>
    <t>CAT-962Н №15</t>
  </si>
  <si>
    <t>Бульдозеры</t>
  </si>
  <si>
    <t>Общая выемка, м3</t>
  </si>
  <si>
    <t>Водоотлив</t>
  </si>
  <si>
    <t>Примечание</t>
  </si>
  <si>
    <t>Аварийно-восстановительный ремонт</t>
  </si>
  <si>
    <t>Взрыв, перегоны</t>
  </si>
  <si>
    <t>Суточный рапорт горного диспетчера по работе а/м БелАЗ и Komatsu на карьере "Воронцовский"</t>
  </si>
  <si>
    <t>Смена первая. Мастер</t>
  </si>
  <si>
    <t>Механик</t>
  </si>
  <si>
    <t xml:space="preserve">Смена вторая. Мастер </t>
  </si>
  <si>
    <t>Водитель, Ф.И.О.</t>
  </si>
  <si>
    <t>Выполнено рейсов</t>
  </si>
  <si>
    <t>БелАЗ 7547 №35</t>
  </si>
  <si>
    <t>Komatsu HD 465-7 №39</t>
  </si>
  <si>
    <t>Komatsu HD 465-7 №40</t>
  </si>
  <si>
    <t>Komatsu HD 465-7 №44</t>
  </si>
  <si>
    <t>Komatsu HD 465-7 №43</t>
  </si>
  <si>
    <t>Komatsu HD 465-7 №45</t>
  </si>
  <si>
    <t>Komatsu HD 465-7 №42</t>
  </si>
  <si>
    <t>Komatsu HD 465-7 №46</t>
  </si>
  <si>
    <t>Komatsu HD 465-7 №41</t>
  </si>
  <si>
    <t>ВЗРЫВ</t>
  </si>
  <si>
    <t>Смена вторая.    Горный мастер</t>
  </si>
  <si>
    <t>Причина простоя</t>
  </si>
  <si>
    <t>ЮВК</t>
  </si>
  <si>
    <t>Воронцовский</t>
  </si>
  <si>
    <t>Дата начала простоя</t>
  </si>
  <si>
    <t>Дата окончания простоя</t>
  </si>
  <si>
    <t>ППР, ТО</t>
  </si>
  <si>
    <t>Автосамосвалы, всего</t>
  </si>
  <si>
    <t>Всего простои</t>
  </si>
  <si>
    <t>Характер работы</t>
  </si>
  <si>
    <t>Komatsu HD 465-7 №47</t>
  </si>
  <si>
    <t>Komatsu HD 465-7 №48</t>
  </si>
  <si>
    <t>Komatsu HD 465-7 №49</t>
  </si>
  <si>
    <t>Komatsu HD 465-7 №50</t>
  </si>
  <si>
    <t>СКБ</t>
  </si>
  <si>
    <t>Caterpillar 140М №4</t>
  </si>
  <si>
    <t xml:space="preserve">CAT-988H №16 </t>
  </si>
  <si>
    <t>CAT-988H №16</t>
  </si>
  <si>
    <r>
      <t>м</t>
    </r>
    <r>
      <rPr>
        <vertAlign val="superscript"/>
        <sz val="10"/>
        <rFont val="Times New Roman"/>
        <family val="1"/>
        <charset val="204"/>
      </rPr>
      <t>3</t>
    </r>
  </si>
  <si>
    <t>м³</t>
  </si>
  <si>
    <r>
      <t>м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Arial Cyr"/>
        <charset val="204"/>
      </rPr>
      <t/>
    </r>
  </si>
  <si>
    <r>
      <t>С</t>
    </r>
    <r>
      <rPr>
        <sz val="12"/>
        <rFont val="Times New Roman"/>
        <family val="1"/>
        <charset val="204"/>
      </rPr>
      <t>Au</t>
    </r>
  </si>
  <si>
    <r>
      <t>С</t>
    </r>
    <r>
      <rPr>
        <sz val="12"/>
        <rFont val="Times New Roman"/>
        <family val="1"/>
        <charset val="204"/>
      </rPr>
      <t>Ag</t>
    </r>
  </si>
  <si>
    <t>Вывозка с шихтовочной площадки №1</t>
  </si>
  <si>
    <t>ККД, тн</t>
  </si>
  <si>
    <t>МПСИ, тн</t>
  </si>
  <si>
    <t>Склад ЗИФ-УВП, тн</t>
  </si>
  <si>
    <t>Вывозка с шихтовочной площадки №2</t>
  </si>
  <si>
    <t>Вывозка с шихтовочной площадки №3</t>
  </si>
  <si>
    <t>Вывозка с шихтовочной площадки №4</t>
  </si>
  <si>
    <t>Вывозка заб руды с заб отвала №1</t>
  </si>
  <si>
    <t>Вывозка заб руды с заб отвала №2</t>
  </si>
  <si>
    <t>Вывозка с перегрузочного южного склада</t>
  </si>
  <si>
    <t>Шихтовочная площадка</t>
  </si>
  <si>
    <t>Южный перегрузочный склад</t>
  </si>
  <si>
    <t>УГСЭ</t>
  </si>
  <si>
    <t>CAT-988Н №16</t>
  </si>
  <si>
    <t>ЭШ6/45 №17</t>
  </si>
  <si>
    <t>CAT-988Н №20</t>
  </si>
  <si>
    <t>Caterpillar D-9R №33</t>
  </si>
  <si>
    <t>Caterpillar D-9R №23</t>
  </si>
  <si>
    <t>Caterpillar D-9R №30</t>
  </si>
  <si>
    <t>карьер</t>
  </si>
  <si>
    <t>дороги</t>
  </si>
  <si>
    <t>со склада карьера на ЗИФ КВ(окисл. )</t>
  </si>
  <si>
    <t>добыча - окисленная руда</t>
  </si>
  <si>
    <t>добыча - первичная руда</t>
  </si>
  <si>
    <t>Отсыпка окисленной руды УРП ЗИФ-КВ</t>
  </si>
  <si>
    <t>Caterpillar D-10Т №35</t>
  </si>
  <si>
    <t xml:space="preserve">Выпуск щебня и отсева на ООО "ЩСУ" </t>
  </si>
  <si>
    <t>Переработка товарной руды УГМ ЗИФ-УВП</t>
  </si>
  <si>
    <t>Переработка товарной руды ККД ЗИФ-УВП</t>
  </si>
  <si>
    <t>БелАЗ 7547 №30</t>
  </si>
  <si>
    <t>БелАЗ-754701 №30</t>
  </si>
  <si>
    <t>Всего БелАЗы</t>
  </si>
  <si>
    <t xml:space="preserve">Автогрейдеры всего </t>
  </si>
  <si>
    <t>Инж. Работы</t>
  </si>
  <si>
    <t>Время работы, час.</t>
  </si>
  <si>
    <t>Отбито г/м бутобоем, м3</t>
  </si>
  <si>
    <t>Взрывные работы</t>
  </si>
  <si>
    <t>Чистка</t>
  </si>
  <si>
    <t>Навесное оборудование</t>
  </si>
  <si>
    <t>Итого аварийный ремонт</t>
  </si>
  <si>
    <t>Условия</t>
  </si>
  <si>
    <t xml:space="preserve">Климатические </t>
  </si>
  <si>
    <t>Дорожные</t>
  </si>
  <si>
    <t>Итого условия</t>
  </si>
  <si>
    <t>Итого не планируемые простои</t>
  </si>
  <si>
    <t>Итого планируемые простои</t>
  </si>
  <si>
    <t>ИТОГО ПРОСТОИ</t>
  </si>
  <si>
    <t>Приём - передачи смены, ежесменное обслуживание</t>
  </si>
  <si>
    <t>Выемка горной массы (рейсов)</t>
  </si>
  <si>
    <t>Внутрикарьерная погрузка (рейсов)</t>
  </si>
  <si>
    <t>Погрузка</t>
  </si>
  <si>
    <t>Итого погружено в а/самос горной массы., м куб.</t>
  </si>
  <si>
    <t>Итого погружено в а/самос внутрикарьерных объёмов., м куб.</t>
  </si>
  <si>
    <t>Подрядчик (вывозка горной массы)</t>
  </si>
  <si>
    <t xml:space="preserve">Погрузка горной массы </t>
  </si>
  <si>
    <t>Планировка подъездов, подготовка забоев</t>
  </si>
  <si>
    <t>Итого технологические перерывы</t>
  </si>
  <si>
    <t>Резерв, без бригады</t>
  </si>
  <si>
    <t>Итого на линии</t>
  </si>
  <si>
    <t>Итого отсутствие</t>
  </si>
  <si>
    <t xml:space="preserve">Погрузчики всего </t>
  </si>
  <si>
    <t>Переэкскавация штабелей ЗИФ КВ ЭШ 6/45</t>
  </si>
  <si>
    <t>Отсутствие фронта работ</t>
  </si>
  <si>
    <t>Температура °С</t>
  </si>
  <si>
    <t>Примечание           (причины простоев)</t>
  </si>
  <si>
    <t>Вскрышные работы</t>
  </si>
  <si>
    <t>Добыча руды</t>
  </si>
  <si>
    <t>Обед</t>
  </si>
  <si>
    <t>Пересменка</t>
  </si>
  <si>
    <t>Смена первая. Горный мастер</t>
  </si>
  <si>
    <t>Komatsu 825</t>
  </si>
  <si>
    <t>Перевозка всего</t>
  </si>
  <si>
    <t>Перевозка горной массы из карьеров</t>
  </si>
  <si>
    <t>подрядчиками</t>
  </si>
  <si>
    <t>9</t>
  </si>
  <si>
    <t>Производительность автосамосвалов подрядной организации по перевозке руды на ЗИФ</t>
  </si>
  <si>
    <t>HITACHI EX-1200 № 22 (Обр)</t>
  </si>
  <si>
    <t>CAT D10Т №35</t>
  </si>
  <si>
    <t>CAT-988Н №21</t>
  </si>
  <si>
    <t>Komatsu HD 465-7 №51</t>
  </si>
  <si>
    <t>Komatsu HD 465-7 №52</t>
  </si>
  <si>
    <t>ШRАММ №8</t>
  </si>
  <si>
    <t>Eider 1100S №6</t>
  </si>
  <si>
    <t>УРБ №5</t>
  </si>
  <si>
    <t>УРБ №7</t>
  </si>
  <si>
    <t>Без экипажа</t>
  </si>
  <si>
    <t>07-08</t>
  </si>
  <si>
    <t>16-17</t>
  </si>
  <si>
    <t>20-21</t>
  </si>
  <si>
    <t>21-22</t>
  </si>
  <si>
    <t>22-23</t>
  </si>
  <si>
    <t>23-24</t>
  </si>
  <si>
    <t>00-01</t>
  </si>
  <si>
    <t>01-02</t>
  </si>
  <si>
    <t>02-03</t>
  </si>
  <si>
    <t>03-04</t>
  </si>
  <si>
    <t>04-05</t>
  </si>
  <si>
    <t>05-06</t>
  </si>
  <si>
    <t>06-07</t>
  </si>
  <si>
    <t>8-00</t>
  </si>
  <si>
    <t>9-00</t>
  </si>
  <si>
    <t>10-00</t>
  </si>
  <si>
    <t>11-00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</si>
  <si>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</si>
  <si>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</si>
  <si>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</si>
  <si>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</si>
  <si>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</si>
  <si>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</si>
  <si>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</si>
  <si>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</si>
  <si>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</si>
  <si>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24-00</t>
  </si>
  <si>
    <t>22-00</t>
  </si>
  <si>
    <t>01-00</t>
  </si>
  <si>
    <t>02-00</t>
  </si>
  <si>
    <t>03-00</t>
  </si>
  <si>
    <t>04-00</t>
  </si>
  <si>
    <t>05-00</t>
  </si>
  <si>
    <t>06-00</t>
  </si>
  <si>
    <t>07-00</t>
  </si>
  <si>
    <t>HITACHI EX-1200 № 23 (Обр.)</t>
  </si>
  <si>
    <t>HITACHI EX-1200 № 23 (Обр)</t>
  </si>
  <si>
    <t>Средняя загрузка автосамосвала Komatsu-HD465-7</t>
  </si>
  <si>
    <t>HITACHI ZX-470 № 24 (Обр)</t>
  </si>
  <si>
    <t>HITACHI ZX-470 № 24 с гидромолотом</t>
  </si>
  <si>
    <r>
      <t>м</t>
    </r>
    <r>
      <rPr>
        <vertAlign val="superscript"/>
        <sz val="10"/>
        <rFont val="Times New Roman"/>
        <family val="1"/>
        <charset val="204"/>
      </rPr>
      <t>3</t>
    </r>
    <r>
      <rPr>
        <sz val="11"/>
        <color indexed="8"/>
        <rFont val="Calibri"/>
        <family val="2"/>
        <charset val="204"/>
      </rPr>
      <t/>
    </r>
  </si>
  <si>
    <t>150b</t>
  </si>
  <si>
    <t>Добыча первичной руды</t>
  </si>
  <si>
    <t>Добыча окисленной руды</t>
  </si>
  <si>
    <t>Добыча аргилизитов</t>
  </si>
  <si>
    <t>Добыча окисл. забал. руды</t>
  </si>
  <si>
    <t>HITACHI EX-1200 №19 (Обр) с гидромолотом</t>
  </si>
  <si>
    <t>Boart Longyear №11</t>
  </si>
  <si>
    <t>Перевезено скального грунта на  ООО "ЩСУ"</t>
  </si>
  <si>
    <t>Boart Longyear №10</t>
  </si>
  <si>
    <t>HITACHI ZX-470 № 24 (Обр) (внутр. погрузка)</t>
  </si>
  <si>
    <t>CAT-988H №16 (внутр. погрузка)</t>
  </si>
  <si>
    <t>CAT-962 №15 (внутр. погрузка)</t>
  </si>
  <si>
    <t>внутрикарьерная погрузка</t>
  </si>
  <si>
    <t>в т.ч. вскрыша:</t>
  </si>
  <si>
    <t>Выемка из карьеров</t>
  </si>
  <si>
    <r>
      <t>м</t>
    </r>
    <r>
      <rPr>
        <b/>
        <vertAlign val="superscript"/>
        <sz val="10"/>
        <rFont val="Times New Roman"/>
        <family val="1"/>
        <charset val="204"/>
      </rPr>
      <t>3</t>
    </r>
  </si>
  <si>
    <t>Геологоразведочные работы, всего</t>
  </si>
  <si>
    <t>CAT-962 №24</t>
  </si>
  <si>
    <t>CAT-962 №24 (внутр. погрузка)</t>
  </si>
  <si>
    <t>Сорбция КВ (переведено на уголь) Au ЗИФ-КВ</t>
  </si>
  <si>
    <t>Инженерные работы</t>
  </si>
  <si>
    <t>Погрузка горной массы</t>
  </si>
  <si>
    <t>Внутрикарьерная погрузка (россыпь)</t>
  </si>
  <si>
    <t>рейсов/часов/м3</t>
  </si>
  <si>
    <t>УРБ №3</t>
  </si>
  <si>
    <t>УРБ №4</t>
  </si>
  <si>
    <t>LF №12</t>
  </si>
  <si>
    <t>№ п.п.</t>
  </si>
  <si>
    <t>Наименование</t>
  </si>
  <si>
    <t>Причины простоя</t>
  </si>
  <si>
    <t xml:space="preserve">Состояние скважин на 8:00 </t>
  </si>
  <si>
    <r>
      <t>V, м</t>
    </r>
    <r>
      <rPr>
        <sz val="10"/>
        <rFont val="Calibri"/>
        <family val="2"/>
        <charset val="204"/>
      </rPr>
      <t>³</t>
    </r>
  </si>
  <si>
    <t>Время в работе, час</t>
  </si>
  <si>
    <t>Р/Н</t>
  </si>
  <si>
    <t>Вскрыша россыпь</t>
  </si>
  <si>
    <t>Время работы двигателя (ВИСТ)</t>
  </si>
  <si>
    <t>Пробег, км</t>
  </si>
  <si>
    <t>Проверка</t>
  </si>
  <si>
    <t>Caterpillar D-9R №36</t>
  </si>
  <si>
    <t>Расход ДТ (ВИСТ), л</t>
  </si>
  <si>
    <t>нормы расхода на 2014г</t>
  </si>
  <si>
    <t>кг</t>
  </si>
  <si>
    <t>л</t>
  </si>
  <si>
    <t>зима</t>
  </si>
  <si>
    <t>лето</t>
  </si>
  <si>
    <t>сейчас</t>
  </si>
  <si>
    <t>Норма расхода ДТ, л (факт)</t>
  </si>
  <si>
    <t>Норма расхода ДТ, л (план)</t>
  </si>
  <si>
    <t>Отклонение нормы факт от плана</t>
  </si>
  <si>
    <t>завершение смены диспетчером АТЦ</t>
  </si>
  <si>
    <t>CAT D9R №36</t>
  </si>
  <si>
    <t>Обмен растворами между ЗИФ</t>
  </si>
  <si>
    <t>Переведено всего Au из ПР ЗИФ-КВ</t>
  </si>
  <si>
    <t>Всего время за смену  (д.б.12ч)</t>
  </si>
  <si>
    <t>Вскрыша</t>
  </si>
  <si>
    <t>Komatsu</t>
  </si>
  <si>
    <t>Белаз</t>
  </si>
  <si>
    <t>Из карьера</t>
  </si>
  <si>
    <t>Всего м3</t>
  </si>
  <si>
    <t>Внутрикарьерные</t>
  </si>
  <si>
    <t>Всего рейсов</t>
  </si>
  <si>
    <t>итого</t>
  </si>
  <si>
    <t>Рейсы. кол-во</t>
  </si>
  <si>
    <t>среднее плечо</t>
  </si>
  <si>
    <t>Всего  (д.б.24ч)</t>
  </si>
  <si>
    <t>БелАЗ 7547 №32</t>
  </si>
  <si>
    <t>БелАЗ-754701 №32</t>
  </si>
  <si>
    <t>Аварийные</t>
  </si>
  <si>
    <t>Технологические простои</t>
  </si>
  <si>
    <t>Погрузка, разгрузка, ожидание погрузки и разгрузки</t>
  </si>
  <si>
    <t>Caterpillar D-6R №28</t>
  </si>
  <si>
    <t>Диспетчера</t>
  </si>
  <si>
    <t>Механики</t>
  </si>
  <si>
    <t>Отсутствие рем. Персонала</t>
  </si>
  <si>
    <t>Caterpillar 834K №37</t>
  </si>
  <si>
    <t>HITACHI EX-1200 № 25 (Обр.)</t>
  </si>
  <si>
    <t>HITACHI EX-1200 № 25 (Обр)</t>
  </si>
  <si>
    <t>HITACHI EX-1200 № 25 (Обр.) (внутр. погрузка)</t>
  </si>
  <si>
    <t>в.т.ч. шламовое бурение</t>
  </si>
  <si>
    <t>в.т.ч. керновое бурение</t>
  </si>
  <si>
    <t>ПОДРЯДЧИКИ контурное бурение</t>
  </si>
  <si>
    <t>м2</t>
  </si>
  <si>
    <t>Выщелачивающий раствор на УВП</t>
  </si>
  <si>
    <t>Время работы УРП ЗИФ КВ</t>
  </si>
  <si>
    <t>ч</t>
  </si>
  <si>
    <t>Производительность УРП ЗИФ КВ</t>
  </si>
  <si>
    <t>т/час</t>
  </si>
  <si>
    <t>Насос на ЗИФ УВП (В-11 карьер)</t>
  </si>
  <si>
    <t>Перевозка руды ЗСУ</t>
  </si>
  <si>
    <t>DM-45</t>
  </si>
  <si>
    <t>DI-550</t>
  </si>
  <si>
    <t>DI-500</t>
  </si>
  <si>
    <t>Скважина №29</t>
  </si>
  <si>
    <t>Hitachi Zx-470 №24 (обр.)</t>
  </si>
  <si>
    <t>Hitachi Zx-470 №24 с гидромолотом</t>
  </si>
  <si>
    <t>Hitachi Eх-1200 №22 (обр.)</t>
  </si>
  <si>
    <t>Hitachi Eх-1200 №23 (обр.)</t>
  </si>
  <si>
    <t>Hitachi Eх-1200 №25 (обр.)</t>
  </si>
  <si>
    <t>Zx-470 №24</t>
  </si>
  <si>
    <t>САТ-988 №16</t>
  </si>
  <si>
    <t>САТ-962 №15</t>
  </si>
  <si>
    <t>САТ-962 №24</t>
  </si>
  <si>
    <t>Ех-1200 №25</t>
  </si>
  <si>
    <t>Резерв</t>
  </si>
  <si>
    <t>итого Карьер</t>
  </si>
  <si>
    <t>итого УВП</t>
  </si>
  <si>
    <t>Геологическое бурени</t>
  </si>
  <si>
    <t>Объём работ</t>
  </si>
  <si>
    <t>работа на отвале м.ч.</t>
  </si>
  <si>
    <t>инженерные работы км</t>
  </si>
  <si>
    <t>инж раб</t>
  </si>
  <si>
    <r>
      <t xml:space="preserve">Пруд накопитель №1 </t>
    </r>
    <r>
      <rPr>
        <b/>
        <sz val="11"/>
        <rFont val="Times New Roman"/>
        <family val="1"/>
        <charset val="204"/>
      </rPr>
      <t>ЮВК</t>
    </r>
    <r>
      <rPr>
        <sz val="11"/>
        <rFont val="Times New Roman"/>
        <family val="1"/>
        <charset val="204"/>
      </rPr>
      <t xml:space="preserve"> (Насосная №3)</t>
    </r>
  </si>
  <si>
    <r>
      <t xml:space="preserve">Пруд накопитель №1 </t>
    </r>
    <r>
      <rPr>
        <b/>
        <sz val="11"/>
        <rFont val="Times New Roman"/>
        <family val="1"/>
        <charset val="204"/>
      </rPr>
      <t>ЮВК</t>
    </r>
    <r>
      <rPr>
        <sz val="11"/>
        <rFont val="Times New Roman"/>
        <family val="1"/>
        <charset val="204"/>
      </rPr>
      <t xml:space="preserve"> (Насосная №3А)</t>
    </r>
  </si>
  <si>
    <r>
      <t xml:space="preserve">Пруд накопитель №2 </t>
    </r>
    <r>
      <rPr>
        <b/>
        <sz val="11"/>
        <rFont val="Times New Roman"/>
        <family val="1"/>
        <charset val="204"/>
      </rPr>
      <t>ЮВК</t>
    </r>
    <r>
      <rPr>
        <sz val="11"/>
        <rFont val="Times New Roman"/>
        <family val="1"/>
        <charset val="204"/>
      </rPr>
      <t xml:space="preserve"> (Насосная №2)</t>
    </r>
  </si>
  <si>
    <t>Насос на ЗИФ УВП (В-11 ОС промплощадки)</t>
  </si>
  <si>
    <t>Производительность насосов</t>
  </si>
  <si>
    <t xml:space="preserve">         в т.ч. вскрыша ЮВК:</t>
  </si>
  <si>
    <t>СВК</t>
  </si>
  <si>
    <t>Triton</t>
  </si>
  <si>
    <t>Titon</t>
  </si>
  <si>
    <t>Скважина №116</t>
  </si>
  <si>
    <t>Скважина №39</t>
  </si>
  <si>
    <t>Скважина №28</t>
  </si>
  <si>
    <t>Скважина №3д</t>
  </si>
  <si>
    <t>Скважина №100</t>
  </si>
  <si>
    <t>Зумпф №8 ЮВК</t>
  </si>
  <si>
    <t>4</t>
  </si>
  <si>
    <t>7</t>
  </si>
  <si>
    <t>8</t>
  </si>
  <si>
    <t>12</t>
  </si>
  <si>
    <t>Погрузка г/м (с внутрик. погрузкой)</t>
  </si>
  <si>
    <t>в.т.ч. бурение глубоких скважин</t>
  </si>
  <si>
    <t>Откачка из ЮВК</t>
  </si>
  <si>
    <t>на ЗИФ УВП</t>
  </si>
  <si>
    <t>на ЗИФ КВ</t>
  </si>
  <si>
    <t>со склада карьера на ЗИФ УВП (окисленная)</t>
  </si>
  <si>
    <t>в.т.ч переэкскавация рс38 ЭШ 6/45</t>
  </si>
  <si>
    <t xml:space="preserve">в.т.ч отсыпка окисленной товарной руды </t>
  </si>
  <si>
    <t>Зумпф №7 ЮВК</t>
  </si>
  <si>
    <t>Скважина №26</t>
  </si>
  <si>
    <t>Зумпф №1 СВК Ю</t>
  </si>
  <si>
    <t>Зумпф №1 СВК С</t>
  </si>
  <si>
    <t>ДТ-75 №38</t>
  </si>
  <si>
    <t>Eider 1100S №2</t>
  </si>
  <si>
    <t>Ивлев А.Н.</t>
  </si>
  <si>
    <t>Лукоянов Д.В.</t>
  </si>
  <si>
    <t>Есаулков И.В.</t>
  </si>
  <si>
    <t>Насонов В.В.</t>
  </si>
  <si>
    <t>Первичная руда с забалансового склада №1</t>
  </si>
  <si>
    <t>со склада карьера на ЗИФ УВП (первич. с заб склада №1)</t>
  </si>
  <si>
    <t>в.т.ч. перевозка горной массы северный участок</t>
  </si>
  <si>
    <t>HITACHI EX-1200 № 22 (Обр) (внутр. погрузка)</t>
  </si>
  <si>
    <t>HITACHI EX-1200 № 23 (Обр) (внутр. погрузка)</t>
  </si>
  <si>
    <t>1смена</t>
  </si>
  <si>
    <t>2смена</t>
  </si>
  <si>
    <t>ГеоСтройИндустрия</t>
  </si>
  <si>
    <t>Откачка из СВК скважины</t>
  </si>
  <si>
    <t>Откачка из СВК ЗУМПФ</t>
  </si>
  <si>
    <t>Окисленная руда с Северного участка</t>
  </si>
  <si>
    <t>W219 №14</t>
  </si>
  <si>
    <t>УРБ-19</t>
  </si>
  <si>
    <t>Volvo L120GZ №25</t>
  </si>
  <si>
    <t>Volvo L120GZ №25 (внутр. погрузка)</t>
  </si>
  <si>
    <t>ЩСУ Н-250</t>
  </si>
  <si>
    <t>Норматив на месяц САТ№28</t>
  </si>
  <si>
    <t>Осталось отработать</t>
  </si>
  <si>
    <t>Гриценко Н.Н.</t>
  </si>
  <si>
    <t>Кордо-Сысоев Э.Д.</t>
  </si>
  <si>
    <t>Перевозка руды Саум Полуночное - ЗСУ</t>
  </si>
  <si>
    <t>Сивов И.В.</t>
  </si>
  <si>
    <t>Старший диспетчер</t>
  </si>
  <si>
    <t>Кузнецов А.Г.</t>
  </si>
  <si>
    <t>Технологическая дорога</t>
  </si>
  <si>
    <t>CAT-D9R №33</t>
  </si>
  <si>
    <t>CAT-D6R №28</t>
  </si>
  <si>
    <t>Komatsu-825</t>
  </si>
  <si>
    <t>Обросов А.М.</t>
  </si>
  <si>
    <t>Shantui SL60W №26</t>
  </si>
  <si>
    <t>Komatsu-825 №5</t>
  </si>
  <si>
    <t>VOLVO EC 380 DL</t>
  </si>
  <si>
    <t xml:space="preserve">         вскрыша Западный участок:</t>
  </si>
  <si>
    <t>CAT-962H №24</t>
  </si>
  <si>
    <t>CAT-962H №15</t>
  </si>
  <si>
    <t>Doosan-300LSV-гидромолот</t>
  </si>
  <si>
    <t>Doosan-320LSV; Hitachi-330</t>
  </si>
  <si>
    <t>VOLVO №380</t>
  </si>
  <si>
    <t>VOLVO №360</t>
  </si>
  <si>
    <t>ПРС (м3)</t>
  </si>
  <si>
    <t>Вскрыша (м3)</t>
  </si>
  <si>
    <t>Россыпь (м3)</t>
  </si>
  <si>
    <t>Руда (м3)</t>
  </si>
  <si>
    <t>Итого ГМ</t>
  </si>
  <si>
    <t>Расходомер Промплощадка</t>
  </si>
  <si>
    <t>Shantui SL60W №30</t>
  </si>
  <si>
    <t>CAT-962Н №24</t>
  </si>
  <si>
    <t>Shantui L58K-B5 №32</t>
  </si>
  <si>
    <t>Бершауэр В.Ф.</t>
  </si>
  <si>
    <t>Морозков С.В.</t>
  </si>
  <si>
    <t>Фомин И.Н.</t>
  </si>
  <si>
    <t>Объем переработки</t>
  </si>
  <si>
    <t>Бутара №1, часы</t>
  </si>
  <si>
    <t>Бутара №2, часы</t>
  </si>
  <si>
    <t>Перевозка руды Тамуньер - ЗСУ</t>
  </si>
  <si>
    <t>CAT-988H №31</t>
  </si>
  <si>
    <t>Подрядчик (вывозка горной
массы)</t>
  </si>
  <si>
    <t>CAT-988Н №31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</si>
</sst>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3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20"/>
      <color indexed="10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0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vertAlign val="superscript"/>
      <sz val="10"/>
      <name val="Times New Roman"/>
      <family val="1"/>
      <charset val="204"/>
    </font>
    <font>
      <sz val="10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b/>
      <sz val="18"/>
      <name val="Times New Roman"/>
      <family val="1"/>
      <charset val="204"/>
    </font>
    <font>
      <sz val="9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mediumGray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mediumGray"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mediumGray">
        <bgColor theme="1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ash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825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" fontId="6" fillId="0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0" fontId="18" fillId="0" borderId="2" xfId="1" applyFont="1" applyFill="1" applyBorder="1" applyAlignment="1" applyProtection="1">
      <alignment horizontal="left" vertical="center"/>
      <protection locked="0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Fill="1" applyBorder="1"/>
    <xf numFmtId="0" fontId="3" fillId="3" borderId="6" xfId="0" applyFont="1" applyFill="1" applyBorder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164" fontId="3" fillId="6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19" fillId="0" borderId="0" xfId="0" applyFont="1" applyFill="1"/>
    <xf numFmtId="0" fontId="3" fillId="0" borderId="0" xfId="0" applyFont="1" applyBorder="1" applyAlignment="1"/>
    <xf numFmtId="164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/>
    <xf numFmtId="0" fontId="8" fillId="0" borderId="0" xfId="0" applyFont="1" applyFill="1" applyAlignment="1">
      <alignment horizontal="center" wrapText="1"/>
    </xf>
    <xf numFmtId="0" fontId="18" fillId="0" borderId="17" xfId="1" applyFont="1" applyFill="1" applyBorder="1" applyAlignment="1" applyProtection="1">
      <alignment horizontal="left" vertical="center"/>
      <protection locked="0"/>
    </xf>
    <xf numFmtId="0" fontId="6" fillId="0" borderId="0" xfId="0" applyFont="1"/>
    <xf numFmtId="0" fontId="12" fillId="0" borderId="0" xfId="0" applyFont="1"/>
    <xf numFmtId="0" fontId="5" fillId="0" borderId="0" xfId="0" applyFont="1" applyFill="1" applyAlignment="1">
      <alignment vertical="center"/>
    </xf>
    <xf numFmtId="0" fontId="8" fillId="0" borderId="0" xfId="0" applyFont="1"/>
    <xf numFmtId="14" fontId="3" fillId="3" borderId="0" xfId="0" applyNumberFormat="1" applyFont="1" applyFill="1"/>
    <xf numFmtId="0" fontId="19" fillId="0" borderId="0" xfId="0" applyFont="1"/>
    <xf numFmtId="0" fontId="8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8" borderId="6" xfId="0" applyFont="1" applyFill="1" applyBorder="1"/>
    <xf numFmtId="0" fontId="3" fillId="0" borderId="7" xfId="0" applyFont="1" applyBorder="1"/>
    <xf numFmtId="0" fontId="3" fillId="8" borderId="7" xfId="0" applyFont="1" applyFill="1" applyBorder="1"/>
    <xf numFmtId="0" fontId="8" fillId="3" borderId="6" xfId="0" applyFont="1" applyFill="1" applyBorder="1"/>
    <xf numFmtId="0" fontId="8" fillId="3" borderId="1" xfId="0" applyFont="1" applyFill="1" applyBorder="1"/>
    <xf numFmtId="0" fontId="8" fillId="3" borderId="7" xfId="0" applyFont="1" applyFill="1" applyBorder="1"/>
    <xf numFmtId="0" fontId="3" fillId="9" borderId="6" xfId="0" applyFont="1" applyFill="1" applyBorder="1"/>
    <xf numFmtId="0" fontId="3" fillId="9" borderId="1" xfId="0" applyFont="1" applyFill="1" applyBorder="1"/>
    <xf numFmtId="0" fontId="3" fillId="9" borderId="9" xfId="0" applyFont="1" applyFill="1" applyBorder="1"/>
    <xf numFmtId="0" fontId="3" fillId="9" borderId="7" xfId="0" applyFont="1" applyFill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0" fillId="0" borderId="0" xfId="0" applyFont="1" applyBorder="1" applyAlignment="1"/>
    <xf numFmtId="0" fontId="20" fillId="0" borderId="0" xfId="0" applyFont="1" applyBorder="1" applyAlignment="1">
      <alignment horizontal="center"/>
    </xf>
    <xf numFmtId="0" fontId="4" fillId="0" borderId="0" xfId="1" applyFont="1"/>
    <xf numFmtId="0" fontId="18" fillId="5" borderId="21" xfId="1" applyFont="1" applyFill="1" applyBorder="1" applyAlignment="1">
      <alignment horizontal="center" vertical="center"/>
    </xf>
    <xf numFmtId="0" fontId="18" fillId="5" borderId="22" xfId="1" applyFont="1" applyFill="1" applyBorder="1" applyAlignment="1">
      <alignment horizontal="center" vertical="center"/>
    </xf>
    <xf numFmtId="0" fontId="4" fillId="0" borderId="0" xfId="1" applyFont="1" applyFill="1"/>
    <xf numFmtId="0" fontId="3" fillId="3" borderId="23" xfId="0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0" fontId="3" fillId="9" borderId="24" xfId="0" applyFont="1" applyFill="1" applyBorder="1"/>
    <xf numFmtId="0" fontId="3" fillId="0" borderId="26" xfId="0" applyFont="1" applyFill="1" applyBorder="1"/>
    <xf numFmtId="0" fontId="3" fillId="0" borderId="19" xfId="0" applyFont="1" applyFill="1" applyBorder="1"/>
    <xf numFmtId="0" fontId="3" fillId="0" borderId="27" xfId="0" applyFont="1" applyFill="1" applyBorder="1"/>
    <xf numFmtId="0" fontId="3" fillId="9" borderId="26" xfId="0" applyFont="1" applyFill="1" applyBorder="1"/>
    <xf numFmtId="0" fontId="3" fillId="9" borderId="19" xfId="0" applyFont="1" applyFill="1" applyBorder="1"/>
    <xf numFmtId="0" fontId="3" fillId="9" borderId="27" xfId="0" applyFont="1" applyFill="1" applyBorder="1"/>
    <xf numFmtId="0" fontId="3" fillId="0" borderId="28" xfId="0" applyFont="1" applyFill="1" applyBorder="1"/>
    <xf numFmtId="0" fontId="3" fillId="0" borderId="29" xfId="0" applyFont="1" applyFill="1" applyBorder="1"/>
    <xf numFmtId="0" fontId="3" fillId="0" borderId="30" xfId="0" applyFont="1" applyFill="1" applyBorder="1"/>
    <xf numFmtId="0" fontId="3" fillId="9" borderId="29" xfId="0" applyFont="1" applyFill="1" applyBorder="1"/>
    <xf numFmtId="0" fontId="3" fillId="9" borderId="12" xfId="0" applyFont="1" applyFill="1" applyBorder="1"/>
    <xf numFmtId="0" fontId="3" fillId="3" borderId="32" xfId="0" applyFont="1" applyFill="1" applyBorder="1"/>
    <xf numFmtId="0" fontId="3" fillId="9" borderId="34" xfId="0" applyFont="1" applyFill="1" applyBorder="1"/>
    <xf numFmtId="0" fontId="3" fillId="8" borderId="11" xfId="0" applyFont="1" applyFill="1" applyBorder="1"/>
    <xf numFmtId="0" fontId="3" fillId="8" borderId="32" xfId="0" applyFont="1" applyFill="1" applyBorder="1"/>
    <xf numFmtId="0" fontId="3" fillId="9" borderId="11" xfId="0" applyFont="1" applyFill="1" applyBorder="1"/>
    <xf numFmtId="0" fontId="3" fillId="9" borderId="35" xfId="0" applyFont="1" applyFill="1" applyBorder="1"/>
    <xf numFmtId="0" fontId="3" fillId="9" borderId="14" xfId="0" applyFont="1" applyFill="1" applyBorder="1"/>
    <xf numFmtId="0" fontId="3" fillId="9" borderId="36" xfId="0" applyFont="1" applyFill="1" applyBorder="1"/>
    <xf numFmtId="0" fontId="3" fillId="9" borderId="31" xfId="0" applyFont="1" applyFill="1" applyBorder="1"/>
    <xf numFmtId="0" fontId="3" fillId="9" borderId="33" xfId="0" applyFont="1" applyFill="1" applyBorder="1"/>
    <xf numFmtId="0" fontId="3" fillId="9" borderId="37" xfId="0" applyFont="1" applyFill="1" applyBorder="1"/>
    <xf numFmtId="0" fontId="3" fillId="9" borderId="38" xfId="0" applyFont="1" applyFill="1" applyBorder="1"/>
    <xf numFmtId="0" fontId="3" fillId="9" borderId="39" xfId="0" applyFont="1" applyFill="1" applyBorder="1"/>
    <xf numFmtId="0" fontId="3" fillId="9" borderId="40" xfId="0" applyFont="1" applyFill="1" applyBorder="1"/>
    <xf numFmtId="0" fontId="12" fillId="0" borderId="28" xfId="0" applyFont="1" applyFill="1" applyBorder="1"/>
    <xf numFmtId="0" fontId="12" fillId="0" borderId="29" xfId="0" applyFont="1" applyFill="1" applyBorder="1"/>
    <xf numFmtId="0" fontId="12" fillId="0" borderId="30" xfId="0" applyFont="1" applyFill="1" applyBorder="1"/>
    <xf numFmtId="0" fontId="4" fillId="0" borderId="26" xfId="0" applyFont="1" applyBorder="1"/>
    <xf numFmtId="0" fontId="4" fillId="0" borderId="19" xfId="0" applyFont="1" applyBorder="1"/>
    <xf numFmtId="0" fontId="4" fillId="0" borderId="27" xfId="0" applyFont="1" applyBorder="1"/>
    <xf numFmtId="0" fontId="3" fillId="0" borderId="21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0" fontId="10" fillId="11" borderId="6" xfId="0" applyFont="1" applyFill="1" applyBorder="1"/>
    <xf numFmtId="0" fontId="6" fillId="11" borderId="6" xfId="0" applyFont="1" applyFill="1" applyBorder="1"/>
    <xf numFmtId="0" fontId="6" fillId="11" borderId="8" xfId="0" applyFont="1" applyFill="1" applyBorder="1"/>
    <xf numFmtId="0" fontId="6" fillId="11" borderId="28" xfId="0" applyFont="1" applyFill="1" applyBorder="1"/>
    <xf numFmtId="0" fontId="6" fillId="0" borderId="0" xfId="0" applyFont="1" applyFill="1"/>
    <xf numFmtId="0" fontId="10" fillId="3" borderId="1" xfId="0" applyFont="1" applyFill="1" applyBorder="1"/>
    <xf numFmtId="0" fontId="6" fillId="3" borderId="1" xfId="0" applyFont="1" applyFill="1" applyBorder="1"/>
    <xf numFmtId="0" fontId="6" fillId="3" borderId="9" xfId="0" applyFont="1" applyFill="1" applyBorder="1"/>
    <xf numFmtId="0" fontId="6" fillId="3" borderId="29" xfId="0" applyFont="1" applyFill="1" applyBorder="1"/>
    <xf numFmtId="0" fontId="10" fillId="9" borderId="1" xfId="0" applyFont="1" applyFill="1" applyBorder="1"/>
    <xf numFmtId="0" fontId="6" fillId="9" borderId="1" xfId="0" applyFont="1" applyFill="1" applyBorder="1"/>
    <xf numFmtId="0" fontId="6" fillId="9" borderId="9" xfId="0" applyFont="1" applyFill="1" applyBorder="1"/>
    <xf numFmtId="0" fontId="6" fillId="9" borderId="29" xfId="0" applyFont="1" applyFill="1" applyBorder="1"/>
    <xf numFmtId="0" fontId="10" fillId="12" borderId="1" xfId="0" applyFont="1" applyFill="1" applyBorder="1"/>
    <xf numFmtId="0" fontId="6" fillId="12" borderId="1" xfId="0" applyFont="1" applyFill="1" applyBorder="1"/>
    <xf numFmtId="0" fontId="6" fillId="12" borderId="9" xfId="0" applyFont="1" applyFill="1" applyBorder="1"/>
    <xf numFmtId="0" fontId="6" fillId="12" borderId="29" xfId="0" applyFont="1" applyFill="1" applyBorder="1"/>
    <xf numFmtId="0" fontId="6" fillId="4" borderId="12" xfId="0" applyFont="1" applyFill="1" applyBorder="1"/>
    <xf numFmtId="0" fontId="6" fillId="3" borderId="12" xfId="0" applyFont="1" applyFill="1" applyBorder="1"/>
    <xf numFmtId="0" fontId="6" fillId="8" borderId="12" xfId="0" applyFont="1" applyFill="1" applyBorder="1"/>
    <xf numFmtId="0" fontId="6" fillId="4" borderId="31" xfId="0" applyFont="1" applyFill="1" applyBorder="1"/>
    <xf numFmtId="0" fontId="6" fillId="4" borderId="36" xfId="0" applyFont="1" applyFill="1" applyBorder="1"/>
    <xf numFmtId="0" fontId="6" fillId="6" borderId="12" xfId="0" applyFont="1" applyFill="1" applyBorder="1"/>
    <xf numFmtId="0" fontId="6" fillId="8" borderId="1" xfId="0" applyFont="1" applyFill="1" applyBorder="1"/>
    <xf numFmtId="0" fontId="6" fillId="4" borderId="9" xfId="0" applyFont="1" applyFill="1" applyBorder="1"/>
    <xf numFmtId="0" fontId="6" fillId="4" borderId="29" xfId="0" applyFont="1" applyFill="1" applyBorder="1"/>
    <xf numFmtId="0" fontId="6" fillId="6" borderId="1" xfId="0" applyFont="1" applyFill="1" applyBorder="1"/>
    <xf numFmtId="0" fontId="12" fillId="0" borderId="35" xfId="0" applyFont="1" applyFill="1" applyBorder="1"/>
    <xf numFmtId="1" fontId="3" fillId="1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11" fillId="0" borderId="0" xfId="0" applyFont="1"/>
    <xf numFmtId="0" fontId="22" fillId="0" borderId="0" xfId="0" applyFont="1"/>
    <xf numFmtId="164" fontId="3" fillId="6" borderId="7" xfId="0" applyNumberFormat="1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11" fillId="3" borderId="23" xfId="0" applyNumberFormat="1" applyFont="1" applyFill="1" applyBorder="1" applyAlignment="1">
      <alignment horizontal="center" vertical="center"/>
    </xf>
    <xf numFmtId="164" fontId="11" fillId="3" borderId="26" xfId="0" applyNumberFormat="1" applyFont="1" applyFill="1" applyBorder="1" applyAlignment="1">
      <alignment horizontal="center" vertical="center"/>
    </xf>
    <xf numFmtId="164" fontId="11" fillId="3" borderId="2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13" borderId="0" xfId="0" applyFont="1" applyFill="1"/>
    <xf numFmtId="0" fontId="3" fillId="13" borderId="19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9" xfId="0" applyFont="1" applyFill="1" applyBorder="1"/>
    <xf numFmtId="0" fontId="3" fillId="13" borderId="42" xfId="0" applyFont="1" applyFill="1" applyBorder="1" applyAlignment="1">
      <alignment horizont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vertical="center" wrapText="1"/>
    </xf>
    <xf numFmtId="0" fontId="10" fillId="13" borderId="0" xfId="0" applyFont="1" applyFill="1"/>
    <xf numFmtId="0" fontId="3" fillId="13" borderId="19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14" borderId="28" xfId="0" applyFont="1" applyFill="1" applyBorder="1" applyAlignment="1">
      <alignment horizontal="center" vertical="center" wrapText="1"/>
    </xf>
    <xf numFmtId="0" fontId="3" fillId="14" borderId="29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0" fillId="13" borderId="19" xfId="0" applyFont="1" applyFill="1" applyBorder="1"/>
    <xf numFmtId="0" fontId="3" fillId="13" borderId="2" xfId="0" applyFont="1" applyFill="1" applyBorder="1"/>
    <xf numFmtId="0" fontId="3" fillId="13" borderId="17" xfId="0" applyFont="1" applyFill="1" applyBorder="1"/>
    <xf numFmtId="0" fontId="3" fillId="13" borderId="18" xfId="0" applyFont="1" applyFill="1" applyBorder="1"/>
    <xf numFmtId="0" fontId="3" fillId="13" borderId="43" xfId="0" applyFont="1" applyFill="1" applyBorder="1"/>
    <xf numFmtId="0" fontId="3" fillId="15" borderId="1" xfId="0" applyFont="1" applyFill="1" applyBorder="1"/>
    <xf numFmtId="0" fontId="3" fillId="0" borderId="31" xfId="0" applyFont="1" applyFill="1" applyBorder="1" applyAlignment="1">
      <alignment horizontal="center" vertical="center" wrapText="1"/>
    </xf>
    <xf numFmtId="0" fontId="3" fillId="13" borderId="44" xfId="0" applyFont="1" applyFill="1" applyBorder="1" applyAlignment="1">
      <alignment horizontal="center" vertical="center" wrapText="1"/>
    </xf>
    <xf numFmtId="0" fontId="3" fillId="13" borderId="45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Fill="1" applyBorder="1" applyAlignment="1">
      <alignment horizontal="left"/>
    </xf>
    <xf numFmtId="0" fontId="16" fillId="0" borderId="0" xfId="0" applyFont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4" fontId="3" fillId="16" borderId="1" xfId="0" applyNumberFormat="1" applyFont="1" applyFill="1" applyBorder="1" applyAlignment="1">
      <alignment horizontal="center" vertical="center"/>
    </xf>
    <xf numFmtId="164" fontId="11" fillId="16" borderId="1" xfId="0" applyNumberFormat="1" applyFont="1" applyFill="1" applyBorder="1" applyAlignment="1">
      <alignment horizontal="center" vertical="center"/>
    </xf>
    <xf numFmtId="164" fontId="3" fillId="16" borderId="7" xfId="0" applyNumberFormat="1" applyFont="1" applyFill="1" applyBorder="1" applyAlignment="1">
      <alignment horizontal="center" vertical="center"/>
    </xf>
    <xf numFmtId="164" fontId="11" fillId="16" borderId="6" xfId="0" applyNumberFormat="1" applyFont="1" applyFill="1" applyBorder="1" applyAlignment="1">
      <alignment horizontal="center" vertical="center"/>
    </xf>
    <xf numFmtId="164" fontId="11" fillId="3" borderId="12" xfId="0" applyNumberFormat="1" applyFont="1" applyFill="1" applyBorder="1" applyAlignment="1">
      <alignment horizontal="center" vertical="center"/>
    </xf>
    <xf numFmtId="164" fontId="3" fillId="16" borderId="32" xfId="0" applyNumberFormat="1" applyFont="1" applyFill="1" applyBorder="1" applyAlignment="1">
      <alignment horizontal="center" vertical="center"/>
    </xf>
    <xf numFmtId="164" fontId="11" fillId="3" borderId="24" xfId="0" applyNumberFormat="1" applyFont="1" applyFill="1" applyBorder="1" applyAlignment="1">
      <alignment horizontal="center" vertical="center"/>
    </xf>
    <xf numFmtId="164" fontId="11" fillId="3" borderId="19" xfId="0" applyNumberFormat="1" applyFont="1" applyFill="1" applyBorder="1" applyAlignment="1">
      <alignment horizontal="center" vertical="center"/>
    </xf>
    <xf numFmtId="164" fontId="11" fillId="3" borderId="9" xfId="0" applyNumberFormat="1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center"/>
    </xf>
    <xf numFmtId="0" fontId="3" fillId="14" borderId="25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14" borderId="29" xfId="0" applyFont="1" applyFill="1" applyBorder="1" applyAlignment="1">
      <alignment horizontal="center"/>
    </xf>
    <xf numFmtId="0" fontId="3" fillId="14" borderId="30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/>
    </xf>
    <xf numFmtId="0" fontId="4" fillId="0" borderId="0" xfId="1" applyNumberFormat="1" applyFont="1" applyAlignment="1">
      <alignment horizontal="center"/>
    </xf>
    <xf numFmtId="164" fontId="3" fillId="16" borderId="14" xfId="0" applyNumberFormat="1" applyFont="1" applyFill="1" applyBorder="1" applyAlignment="1">
      <alignment horizontal="center" vertical="center"/>
    </xf>
    <xf numFmtId="0" fontId="21" fillId="0" borderId="0" xfId="0" applyFont="1"/>
    <xf numFmtId="0" fontId="21" fillId="0" borderId="47" xfId="0" applyFont="1" applyBorder="1"/>
    <xf numFmtId="0" fontId="21" fillId="0" borderId="0" xfId="0" applyFont="1" applyBorder="1"/>
    <xf numFmtId="0" fontId="5" fillId="0" borderId="0" xfId="0" applyFont="1"/>
    <xf numFmtId="0" fontId="5" fillId="0" borderId="0" xfId="0" applyFont="1" applyBorder="1" applyAlignment="1">
      <alignment horizontal="center"/>
    </xf>
    <xf numFmtId="0" fontId="5" fillId="0" borderId="49" xfId="0" applyFont="1" applyBorder="1"/>
    <xf numFmtId="0" fontId="5" fillId="0" borderId="0" xfId="0" applyFont="1" applyBorder="1"/>
    <xf numFmtId="0" fontId="5" fillId="0" borderId="50" xfId="0" applyFont="1" applyFill="1" applyBorder="1"/>
    <xf numFmtId="0" fontId="5" fillId="0" borderId="51" xfId="0" applyFont="1" applyBorder="1"/>
    <xf numFmtId="0" fontId="5" fillId="0" borderId="52" xfId="0" applyFont="1" applyBorder="1"/>
    <xf numFmtId="0" fontId="5" fillId="0" borderId="20" xfId="0" applyFont="1" applyBorder="1"/>
    <xf numFmtId="0" fontId="5" fillId="0" borderId="53" xfId="0" applyFont="1" applyBorder="1"/>
    <xf numFmtId="0" fontId="5" fillId="17" borderId="51" xfId="0" applyFont="1" applyFill="1" applyBorder="1"/>
    <xf numFmtId="0" fontId="5" fillId="17" borderId="53" xfId="0" applyFont="1" applyFill="1" applyBorder="1"/>
    <xf numFmtId="0" fontId="5" fillId="0" borderId="53" xfId="0" applyFont="1" applyFill="1" applyBorder="1"/>
    <xf numFmtId="0" fontId="5" fillId="0" borderId="54" xfId="0" applyFont="1" applyBorder="1"/>
    <xf numFmtId="0" fontId="5" fillId="0" borderId="55" xfId="0" applyFont="1" applyBorder="1"/>
    <xf numFmtId="0" fontId="5" fillId="0" borderId="56" xfId="0" applyFont="1" applyBorder="1"/>
    <xf numFmtId="0" fontId="5" fillId="0" borderId="50" xfId="0" applyFont="1" applyBorder="1"/>
    <xf numFmtId="0" fontId="5" fillId="17" borderId="54" xfId="0" applyFont="1" applyFill="1" applyBorder="1"/>
    <xf numFmtId="0" fontId="5" fillId="17" borderId="50" xfId="0" applyFont="1" applyFill="1" applyBorder="1"/>
    <xf numFmtId="0" fontId="5" fillId="0" borderId="57" xfId="0" applyFont="1" applyBorder="1"/>
    <xf numFmtId="0" fontId="5" fillId="17" borderId="58" xfId="0" applyFont="1" applyFill="1" applyBorder="1"/>
    <xf numFmtId="0" fontId="5" fillId="17" borderId="60" xfId="0" applyFont="1" applyFill="1" applyBorder="1"/>
    <xf numFmtId="0" fontId="9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3" fillId="0" borderId="47" xfId="0" applyFont="1" applyBorder="1"/>
    <xf numFmtId="0" fontId="21" fillId="0" borderId="15" xfId="0" applyFont="1" applyBorder="1" applyAlignment="1">
      <alignment horizontal="center" vertical="center"/>
    </xf>
    <xf numFmtId="0" fontId="23" fillId="0" borderId="64" xfId="0" applyFont="1" applyBorder="1" applyAlignment="1"/>
    <xf numFmtId="0" fontId="21" fillId="0" borderId="22" xfId="0" applyFont="1" applyBorder="1" applyAlignment="1"/>
    <xf numFmtId="0" fontId="21" fillId="0" borderId="65" xfId="0" applyFont="1" applyBorder="1" applyAlignment="1"/>
    <xf numFmtId="0" fontId="21" fillId="0" borderId="0" xfId="0" applyFont="1" applyFill="1"/>
    <xf numFmtId="164" fontId="4" fillId="0" borderId="2" xfId="1" applyNumberFormat="1" applyFont="1" applyFill="1" applyBorder="1" applyAlignment="1">
      <alignment horizontal="center"/>
    </xf>
    <xf numFmtId="164" fontId="4" fillId="0" borderId="17" xfId="1" applyNumberFormat="1" applyFont="1" applyFill="1" applyBorder="1" applyAlignment="1">
      <alignment horizontal="center"/>
    </xf>
    <xf numFmtId="164" fontId="4" fillId="0" borderId="18" xfId="1" applyNumberFormat="1" applyFont="1" applyFill="1" applyBorder="1" applyAlignment="1">
      <alignment horizontal="center"/>
    </xf>
    <xf numFmtId="164" fontId="18" fillId="5" borderId="66" xfId="1" applyNumberFormat="1" applyFont="1" applyFill="1" applyBorder="1" applyAlignment="1">
      <alignment horizontal="center" vertical="center"/>
    </xf>
    <xf numFmtId="164" fontId="18" fillId="5" borderId="21" xfId="1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/>
    <xf numFmtId="164" fontId="3" fillId="0" borderId="1" xfId="0" applyNumberFormat="1" applyFont="1" applyBorder="1"/>
    <xf numFmtId="0" fontId="3" fillId="0" borderId="19" xfId="0" applyFont="1" applyFill="1" applyBorder="1" applyAlignment="1">
      <alignment horizontal="center"/>
    </xf>
    <xf numFmtId="0" fontId="3" fillId="7" borderId="1" xfId="0" applyNumberFormat="1" applyFont="1" applyFill="1" applyBorder="1" applyAlignment="1">
      <alignment horizontal="center" vertical="center"/>
    </xf>
    <xf numFmtId="0" fontId="10" fillId="8" borderId="6" xfId="0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0" fontId="10" fillId="14" borderId="1" xfId="0" applyFont="1" applyFill="1" applyBorder="1"/>
    <xf numFmtId="0" fontId="8" fillId="14" borderId="6" xfId="0" applyFont="1" applyFill="1" applyBorder="1"/>
    <xf numFmtId="0" fontId="3" fillId="14" borderId="6" xfId="0" applyFont="1" applyFill="1" applyBorder="1"/>
    <xf numFmtId="0" fontId="8" fillId="14" borderId="1" xfId="0" applyFont="1" applyFill="1" applyBorder="1"/>
    <xf numFmtId="0" fontId="3" fillId="14" borderId="1" xfId="0" applyFont="1" applyFill="1" applyBorder="1"/>
    <xf numFmtId="0" fontId="8" fillId="14" borderId="7" xfId="0" applyFont="1" applyFill="1" applyBorder="1"/>
    <xf numFmtId="0" fontId="3" fillId="14" borderId="7" xfId="0" applyFont="1" applyFill="1" applyBorder="1"/>
    <xf numFmtId="0" fontId="10" fillId="18" borderId="1" xfId="0" applyFont="1" applyFill="1" applyBorder="1"/>
    <xf numFmtId="0" fontId="3" fillId="18" borderId="23" xfId="0" applyFont="1" applyFill="1" applyBorder="1"/>
    <xf numFmtId="0" fontId="3" fillId="18" borderId="24" xfId="0" applyFont="1" applyFill="1" applyBorder="1"/>
    <xf numFmtId="0" fontId="3" fillId="18" borderId="25" xfId="0" applyFont="1" applyFill="1" applyBorder="1"/>
    <xf numFmtId="0" fontId="12" fillId="13" borderId="0" xfId="0" applyFont="1" applyFill="1"/>
    <xf numFmtId="0" fontId="10" fillId="3" borderId="7" xfId="0" applyFont="1" applyFill="1" applyBorder="1"/>
    <xf numFmtId="0" fontId="10" fillId="15" borderId="7" xfId="0" applyFont="1" applyFill="1" applyBorder="1"/>
    <xf numFmtId="0" fontId="12" fillId="13" borderId="29" xfId="0" applyFont="1" applyFill="1" applyBorder="1"/>
    <xf numFmtId="0" fontId="12" fillId="13" borderId="30" xfId="0" applyFont="1" applyFill="1" applyBorder="1"/>
    <xf numFmtId="0" fontId="12" fillId="13" borderId="36" xfId="0" applyFont="1" applyFill="1" applyBorder="1"/>
    <xf numFmtId="0" fontId="12" fillId="13" borderId="35" xfId="0" applyFont="1" applyFill="1" applyBorder="1"/>
    <xf numFmtId="0" fontId="12" fillId="13" borderId="28" xfId="0" applyFont="1" applyFill="1" applyBorder="1"/>
    <xf numFmtId="0" fontId="10" fillId="15" borderId="1" xfId="0" applyFont="1" applyFill="1" applyBorder="1"/>
    <xf numFmtId="0" fontId="3" fillId="15" borderId="6" xfId="0" applyFont="1" applyFill="1" applyBorder="1"/>
    <xf numFmtId="0" fontId="3" fillId="15" borderId="8" xfId="0" applyFont="1" applyFill="1" applyBorder="1"/>
    <xf numFmtId="0" fontId="3" fillId="15" borderId="7" xfId="0" applyFont="1" applyFill="1" applyBorder="1"/>
    <xf numFmtId="0" fontId="3" fillId="15" borderId="10" xfId="0" applyFont="1" applyFill="1" applyBorder="1"/>
    <xf numFmtId="0" fontId="3" fillId="15" borderId="12" xfId="0" applyFont="1" applyFill="1" applyBorder="1"/>
    <xf numFmtId="0" fontId="3" fillId="15" borderId="31" xfId="0" applyFont="1" applyFill="1" applyBorder="1"/>
    <xf numFmtId="0" fontId="3" fillId="15" borderId="9" xfId="0" applyFont="1" applyFill="1" applyBorder="1"/>
    <xf numFmtId="0" fontId="3" fillId="15" borderId="14" xfId="0" applyFont="1" applyFill="1" applyBorder="1"/>
    <xf numFmtId="0" fontId="3" fillId="15" borderId="33" xfId="0" applyFont="1" applyFill="1" applyBorder="1"/>
    <xf numFmtId="0" fontId="10" fillId="3" borderId="6" xfId="0" applyFont="1" applyFill="1" applyBorder="1"/>
    <xf numFmtId="0" fontId="10" fillId="18" borderId="8" xfId="0" applyFont="1" applyFill="1" applyBorder="1"/>
    <xf numFmtId="0" fontId="19" fillId="13" borderId="28" xfId="0" applyFont="1" applyFill="1" applyBorder="1"/>
    <xf numFmtId="0" fontId="10" fillId="15" borderId="6" xfId="0" applyFont="1" applyFill="1" applyBorder="1"/>
    <xf numFmtId="0" fontId="10" fillId="15" borderId="8" xfId="0" applyFont="1" applyFill="1" applyBorder="1"/>
    <xf numFmtId="0" fontId="10" fillId="11" borderId="28" xfId="0" applyFont="1" applyFill="1" applyBorder="1"/>
    <xf numFmtId="0" fontId="10" fillId="11" borderId="8" xfId="0" applyFont="1" applyFill="1" applyBorder="1"/>
    <xf numFmtId="0" fontId="10" fillId="0" borderId="0" xfId="0" applyFont="1" applyFill="1"/>
    <xf numFmtId="0" fontId="10" fillId="18" borderId="9" xfId="0" applyFont="1" applyFill="1" applyBorder="1"/>
    <xf numFmtId="0" fontId="19" fillId="13" borderId="29" xfId="0" applyFont="1" applyFill="1" applyBorder="1"/>
    <xf numFmtId="0" fontId="10" fillId="15" borderId="9" xfId="0" applyFont="1" applyFill="1" applyBorder="1"/>
    <xf numFmtId="0" fontId="10" fillId="3" borderId="29" xfId="0" applyFont="1" applyFill="1" applyBorder="1"/>
    <xf numFmtId="0" fontId="10" fillId="3" borderId="9" xfId="0" applyFont="1" applyFill="1" applyBorder="1"/>
    <xf numFmtId="0" fontId="10" fillId="9" borderId="29" xfId="0" applyFont="1" applyFill="1" applyBorder="1"/>
    <xf numFmtId="0" fontId="10" fillId="9" borderId="9" xfId="0" applyFont="1" applyFill="1" applyBorder="1"/>
    <xf numFmtId="0" fontId="10" fillId="12" borderId="29" xfId="0" applyFont="1" applyFill="1" applyBorder="1"/>
    <xf numFmtId="0" fontId="10" fillId="12" borderId="9" xfId="0" applyFont="1" applyFill="1" applyBorder="1"/>
    <xf numFmtId="0" fontId="10" fillId="18" borderId="10" xfId="0" applyFont="1" applyFill="1" applyBorder="1"/>
    <xf numFmtId="0" fontId="19" fillId="13" borderId="30" xfId="0" applyFont="1" applyFill="1" applyBorder="1"/>
    <xf numFmtId="0" fontId="10" fillId="15" borderId="10" xfId="0" applyFont="1" applyFill="1" applyBorder="1"/>
    <xf numFmtId="0" fontId="3" fillId="13" borderId="67" xfId="0" applyFont="1" applyFill="1" applyBorder="1" applyAlignment="1">
      <alignment horizontal="center"/>
    </xf>
    <xf numFmtId="0" fontId="3" fillId="13" borderId="32" xfId="0" applyFont="1" applyFill="1" applyBorder="1" applyAlignment="1">
      <alignment horizontal="center"/>
    </xf>
    <xf numFmtId="0" fontId="3" fillId="13" borderId="68" xfId="0" applyFont="1" applyFill="1" applyBorder="1" applyAlignment="1">
      <alignment horizontal="center"/>
    </xf>
    <xf numFmtId="0" fontId="3" fillId="13" borderId="44" xfId="0" applyFont="1" applyFill="1" applyBorder="1" applyAlignment="1">
      <alignment horizontal="center"/>
    </xf>
    <xf numFmtId="0" fontId="3" fillId="13" borderId="45" xfId="0" applyFont="1" applyFill="1" applyBorder="1" applyAlignment="1">
      <alignment horizontal="center"/>
    </xf>
    <xf numFmtId="0" fontId="3" fillId="13" borderId="69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3" borderId="33" xfId="0" applyFont="1" applyFill="1" applyBorder="1" applyAlignment="1">
      <alignment horizontal="center"/>
    </xf>
    <xf numFmtId="0" fontId="3" fillId="13" borderId="40" xfId="0" applyFont="1" applyFill="1" applyBorder="1" applyAlignment="1">
      <alignment horizontal="center"/>
    </xf>
    <xf numFmtId="0" fontId="3" fillId="13" borderId="38" xfId="0" applyFont="1" applyFill="1" applyBorder="1" applyAlignment="1">
      <alignment horizontal="center"/>
    </xf>
    <xf numFmtId="0" fontId="10" fillId="19" borderId="6" xfId="0" applyFont="1" applyFill="1" applyBorder="1"/>
    <xf numFmtId="0" fontId="10" fillId="19" borderId="1" xfId="0" applyFont="1" applyFill="1" applyBorder="1"/>
    <xf numFmtId="0" fontId="10" fillId="19" borderId="7" xfId="0" applyFont="1" applyFill="1" applyBorder="1"/>
    <xf numFmtId="0" fontId="10" fillId="18" borderId="6" xfId="0" applyFont="1" applyFill="1" applyBorder="1"/>
    <xf numFmtId="0" fontId="10" fillId="18" borderId="7" xfId="0" applyFont="1" applyFill="1" applyBorder="1"/>
    <xf numFmtId="0" fontId="3" fillId="23" borderId="1" xfId="0" applyFont="1" applyFill="1" applyBorder="1"/>
    <xf numFmtId="0" fontId="3" fillId="23" borderId="1" xfId="0" applyFont="1" applyFill="1" applyBorder="1" applyAlignment="1">
      <alignment horizontal="center" vertical="center"/>
    </xf>
    <xf numFmtId="0" fontId="21" fillId="0" borderId="0" xfId="0" applyFont="1" applyBorder="1" applyAlignment="1"/>
    <xf numFmtId="0" fontId="3" fillId="24" borderId="0" xfId="0" applyFont="1" applyFill="1"/>
    <xf numFmtId="0" fontId="21" fillId="24" borderId="0" xfId="0" applyFont="1" applyFill="1"/>
    <xf numFmtId="0" fontId="3" fillId="24" borderId="0" xfId="0" applyFont="1" applyFill="1" applyBorder="1"/>
    <xf numFmtId="0" fontId="0" fillId="24" borderId="0" xfId="0" applyFill="1"/>
    <xf numFmtId="0" fontId="0" fillId="24" borderId="0" xfId="0" applyFill="1" applyBorder="1"/>
    <xf numFmtId="0" fontId="0" fillId="24" borderId="0" xfId="0" applyFill="1" applyBorder="1" applyAlignment="1">
      <alignment horizontal="center"/>
    </xf>
    <xf numFmtId="0" fontId="0" fillId="24" borderId="0" xfId="0" applyFill="1" applyAlignment="1"/>
    <xf numFmtId="0" fontId="21" fillId="24" borderId="0" xfId="0" applyFont="1" applyFill="1" applyBorder="1" applyAlignment="1"/>
    <xf numFmtId="0" fontId="0" fillId="24" borderId="0" xfId="0" applyFill="1" applyBorder="1" applyAlignment="1"/>
    <xf numFmtId="0" fontId="0" fillId="0" borderId="70" xfId="0" applyBorder="1" applyAlignment="1"/>
    <xf numFmtId="0" fontId="23" fillId="1" borderId="64" xfId="0" applyFont="1" applyFill="1" applyBorder="1"/>
    <xf numFmtId="0" fontId="8" fillId="0" borderId="51" xfId="0" applyFont="1" applyBorder="1"/>
    <xf numFmtId="0" fontId="8" fillId="0" borderId="49" xfId="0" applyFont="1" applyBorder="1"/>
    <xf numFmtId="0" fontId="8" fillId="0" borderId="52" xfId="0" applyFont="1" applyBorder="1"/>
    <xf numFmtId="0" fontId="8" fillId="0" borderId="20" xfId="0" applyFont="1" applyBorder="1"/>
    <xf numFmtId="0" fontId="8" fillId="0" borderId="53" xfId="0" applyFont="1" applyBorder="1"/>
    <xf numFmtId="0" fontId="8" fillId="17" borderId="51" xfId="0" applyFont="1" applyFill="1" applyBorder="1"/>
    <xf numFmtId="0" fontId="8" fillId="17" borderId="53" xfId="0" applyFont="1" applyFill="1" applyBorder="1"/>
    <xf numFmtId="0" fontId="8" fillId="0" borderId="53" xfId="0" applyFont="1" applyFill="1" applyBorder="1"/>
    <xf numFmtId="0" fontId="8" fillId="0" borderId="58" xfId="0" applyFont="1" applyBorder="1"/>
    <xf numFmtId="0" fontId="8" fillId="0" borderId="0" xfId="0" applyFont="1" applyBorder="1"/>
    <xf numFmtId="0" fontId="8" fillId="0" borderId="71" xfId="0" applyFont="1" applyBorder="1"/>
    <xf numFmtId="0" fontId="8" fillId="0" borderId="59" xfId="0" applyFont="1" applyBorder="1"/>
    <xf numFmtId="0" fontId="8" fillId="0" borderId="60" xfId="0" applyFont="1" applyBorder="1"/>
    <xf numFmtId="0" fontId="8" fillId="17" borderId="58" xfId="0" applyFont="1" applyFill="1" applyBorder="1"/>
    <xf numFmtId="0" fontId="8" fillId="17" borderId="60" xfId="0" applyFont="1" applyFill="1" applyBorder="1"/>
    <xf numFmtId="0" fontId="8" fillId="0" borderId="60" xfId="0" applyFont="1" applyFill="1" applyBorder="1"/>
    <xf numFmtId="0" fontId="8" fillId="0" borderId="54" xfId="0" applyFont="1" applyBorder="1"/>
    <xf numFmtId="0" fontId="8" fillId="0" borderId="57" xfId="0" applyFont="1" applyBorder="1"/>
    <xf numFmtId="0" fontId="8" fillId="0" borderId="55" xfId="0" applyFont="1" applyBorder="1"/>
    <xf numFmtId="0" fontId="8" fillId="0" borderId="56" xfId="0" applyFont="1" applyBorder="1"/>
    <xf numFmtId="0" fontId="8" fillId="0" borderId="50" xfId="0" applyFont="1" applyBorder="1"/>
    <xf numFmtId="0" fontId="8" fillId="17" borderId="54" xfId="0" applyFont="1" applyFill="1" applyBorder="1"/>
    <xf numFmtId="0" fontId="8" fillId="17" borderId="50" xfId="0" applyFont="1" applyFill="1" applyBorder="1"/>
    <xf numFmtId="0" fontId="8" fillId="0" borderId="50" xfId="0" applyFont="1" applyFill="1" applyBorder="1"/>
    <xf numFmtId="0" fontId="8" fillId="25" borderId="72" xfId="0" applyFont="1" applyFill="1" applyBorder="1"/>
    <xf numFmtId="0" fontId="8" fillId="25" borderId="73" xfId="0" applyFont="1" applyFill="1" applyBorder="1"/>
    <xf numFmtId="0" fontId="8" fillId="26" borderId="73" xfId="0" applyFont="1" applyFill="1" applyBorder="1"/>
    <xf numFmtId="0" fontId="8" fillId="26" borderId="74" xfId="0" applyFont="1" applyFill="1" applyBorder="1"/>
    <xf numFmtId="0" fontId="8" fillId="26" borderId="75" xfId="0" applyFont="1" applyFill="1" applyBorder="1"/>
    <xf numFmtId="0" fontId="8" fillId="26" borderId="72" xfId="0" applyFont="1" applyFill="1" applyBorder="1"/>
    <xf numFmtId="0" fontId="8" fillId="26" borderId="19" xfId="0" applyFont="1" applyFill="1" applyBorder="1"/>
    <xf numFmtId="0" fontId="8" fillId="17" borderId="76" xfId="0" applyFont="1" applyFill="1" applyBorder="1"/>
    <xf numFmtId="0" fontId="8" fillId="25" borderId="75" xfId="0" applyFont="1" applyFill="1" applyBorder="1"/>
    <xf numFmtId="0" fontId="8" fillId="0" borderId="72" xfId="0" applyFont="1" applyFill="1" applyBorder="1"/>
    <xf numFmtId="0" fontId="8" fillId="0" borderId="61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62" xfId="0" applyFont="1" applyBorder="1"/>
    <xf numFmtId="0" fontId="8" fillId="0" borderId="63" xfId="0" applyFont="1" applyBorder="1"/>
    <xf numFmtId="0" fontId="8" fillId="17" borderId="61" xfId="0" applyFont="1" applyFill="1" applyBorder="1"/>
    <xf numFmtId="0" fontId="8" fillId="17" borderId="63" xfId="0" applyFont="1" applyFill="1" applyBorder="1"/>
    <xf numFmtId="0" fontId="8" fillId="0" borderId="63" xfId="0" applyFont="1" applyFill="1" applyBorder="1"/>
    <xf numFmtId="0" fontId="8" fillId="0" borderId="73" xfId="0" applyFont="1" applyBorder="1"/>
    <xf numFmtId="0" fontId="8" fillId="0" borderId="79" xfId="0" applyFont="1" applyBorder="1"/>
    <xf numFmtId="0" fontId="8" fillId="0" borderId="74" xfId="0" applyFont="1" applyBorder="1"/>
    <xf numFmtId="0" fontId="8" fillId="0" borderId="75" xfId="0" applyFont="1" applyBorder="1"/>
    <xf numFmtId="0" fontId="8" fillId="0" borderId="72" xfId="0" applyFont="1" applyBorder="1"/>
    <xf numFmtId="0" fontId="8" fillId="27" borderId="72" xfId="0" applyFont="1" applyFill="1" applyBorder="1"/>
    <xf numFmtId="0" fontId="8" fillId="27" borderId="73" xfId="0" applyFont="1" applyFill="1" applyBorder="1"/>
    <xf numFmtId="0" fontId="8" fillId="27" borderId="74" xfId="0" applyFont="1" applyFill="1" applyBorder="1"/>
    <xf numFmtId="0" fontId="8" fillId="27" borderId="75" xfId="0" applyFont="1" applyFill="1" applyBorder="1"/>
    <xf numFmtId="0" fontId="8" fillId="27" borderId="19" xfId="0" applyFont="1" applyFill="1" applyBorder="1"/>
    <xf numFmtId="0" fontId="8" fillId="25" borderId="80" xfId="0" applyFont="1" applyFill="1" applyBorder="1"/>
    <xf numFmtId="0" fontId="8" fillId="26" borderId="81" xfId="0" applyFont="1" applyFill="1" applyBorder="1"/>
    <xf numFmtId="0" fontId="8" fillId="24" borderId="72" xfId="0" applyFont="1" applyFill="1" applyBorder="1"/>
    <xf numFmtId="0" fontId="8" fillId="24" borderId="73" xfId="0" applyFont="1" applyFill="1" applyBorder="1"/>
    <xf numFmtId="0" fontId="8" fillId="24" borderId="74" xfId="0" applyFont="1" applyFill="1" applyBorder="1"/>
    <xf numFmtId="0" fontId="8" fillId="24" borderId="75" xfId="0" applyFont="1" applyFill="1" applyBorder="1"/>
    <xf numFmtId="0" fontId="8" fillId="24" borderId="19" xfId="0" applyFont="1" applyFill="1" applyBorder="1"/>
    <xf numFmtId="0" fontId="8" fillId="17" borderId="75" xfId="0" applyFont="1" applyFill="1" applyBorder="1"/>
    <xf numFmtId="0" fontId="8" fillId="17" borderId="72" xfId="0" applyFont="1" applyFill="1" applyBorder="1"/>
    <xf numFmtId="0" fontId="5" fillId="20" borderId="0" xfId="0" applyFont="1" applyFill="1"/>
    <xf numFmtId="0" fontId="5" fillId="17" borderId="82" xfId="0" applyFont="1" applyFill="1" applyBorder="1"/>
    <xf numFmtId="0" fontId="8" fillId="0" borderId="6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8" fillId="25" borderId="75" xfId="0" applyFont="1" applyFill="1" applyBorder="1" applyAlignment="1">
      <alignment horizontal="left" vertical="center"/>
    </xf>
    <xf numFmtId="0" fontId="8" fillId="25" borderId="73" xfId="0" applyFont="1" applyFill="1" applyBorder="1" applyAlignment="1">
      <alignment horizontal="left" vertical="center"/>
    </xf>
    <xf numFmtId="0" fontId="8" fillId="26" borderId="73" xfId="0" applyFont="1" applyFill="1" applyBorder="1" applyAlignment="1">
      <alignment horizontal="left" vertical="center"/>
    </xf>
    <xf numFmtId="0" fontId="8" fillId="26" borderId="74" xfId="0" applyFont="1" applyFill="1" applyBorder="1" applyAlignment="1">
      <alignment horizontal="left" vertical="center"/>
    </xf>
    <xf numFmtId="0" fontId="8" fillId="26" borderId="75" xfId="0" applyFont="1" applyFill="1" applyBorder="1" applyAlignment="1">
      <alignment horizontal="left" vertical="center"/>
    </xf>
    <xf numFmtId="0" fontId="8" fillId="26" borderId="72" xfId="0" applyFont="1" applyFill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52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61" xfId="0" applyFont="1" applyBorder="1" applyAlignment="1">
      <alignment horizontal="left" vertical="center"/>
    </xf>
    <xf numFmtId="0" fontId="8" fillId="0" borderId="77" xfId="0" applyFont="1" applyBorder="1" applyAlignment="1">
      <alignment horizontal="left" vertical="center"/>
    </xf>
    <xf numFmtId="0" fontId="8" fillId="0" borderId="78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63" xfId="0" applyFont="1" applyBorder="1" applyAlignment="1">
      <alignment horizontal="left" vertical="center"/>
    </xf>
    <xf numFmtId="0" fontId="9" fillId="21" borderId="64" xfId="0" applyFont="1" applyFill="1" applyBorder="1" applyAlignment="1">
      <alignment vertical="center"/>
    </xf>
    <xf numFmtId="0" fontId="3" fillId="0" borderId="38" xfId="0" applyFont="1" applyBorder="1" applyAlignment="1">
      <alignment horizontal="left" vertical="center"/>
    </xf>
    <xf numFmtId="164" fontId="20" fillId="0" borderId="1" xfId="0" applyNumberFormat="1" applyFont="1" applyFill="1" applyBorder="1"/>
    <xf numFmtId="0" fontId="8" fillId="24" borderId="51" xfId="0" applyFont="1" applyFill="1" applyBorder="1"/>
    <xf numFmtId="0" fontId="8" fillId="24" borderId="53" xfId="0" applyFont="1" applyFill="1" applyBorder="1"/>
    <xf numFmtId="0" fontId="8" fillId="24" borderId="54" xfId="0" applyFont="1" applyFill="1" applyBorder="1"/>
    <xf numFmtId="0" fontId="8" fillId="24" borderId="50" xfId="0" applyFont="1" applyFill="1" applyBorder="1"/>
    <xf numFmtId="0" fontId="8" fillId="24" borderId="56" xfId="0" applyFont="1" applyFill="1" applyBorder="1"/>
    <xf numFmtId="164" fontId="3" fillId="0" borderId="36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36" xfId="0" applyNumberFormat="1" applyFont="1" applyFill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164" fontId="3" fillId="13" borderId="12" xfId="0" applyNumberFormat="1" applyFont="1" applyFill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2" xfId="0" applyNumberFormat="1" applyFont="1" applyFill="1" applyBorder="1" applyAlignment="1">
      <alignment horizontal="center"/>
    </xf>
    <xf numFmtId="164" fontId="3" fillId="0" borderId="29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9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14" borderId="29" xfId="0" applyNumberFormat="1" applyFont="1" applyFill="1" applyBorder="1" applyAlignment="1">
      <alignment horizontal="center" vertical="center" wrapText="1"/>
    </xf>
    <xf numFmtId="164" fontId="3" fillId="14" borderId="1" xfId="0" applyNumberFormat="1" applyFont="1" applyFill="1" applyBorder="1" applyAlignment="1">
      <alignment horizontal="center" vertical="center" wrapText="1"/>
    </xf>
    <xf numFmtId="164" fontId="3" fillId="14" borderId="24" xfId="0" applyNumberFormat="1" applyFont="1" applyFill="1" applyBorder="1" applyAlignment="1">
      <alignment horizontal="center" vertical="center" wrapText="1"/>
    </xf>
    <xf numFmtId="164" fontId="3" fillId="14" borderId="30" xfId="0" applyNumberFormat="1" applyFont="1" applyFill="1" applyBorder="1" applyAlignment="1">
      <alignment horizontal="center" vertical="center" wrapText="1"/>
    </xf>
    <xf numFmtId="164" fontId="3" fillId="14" borderId="7" xfId="0" applyNumberFormat="1" applyFont="1" applyFill="1" applyBorder="1" applyAlignment="1">
      <alignment horizontal="center" vertical="center" wrapText="1"/>
    </xf>
    <xf numFmtId="164" fontId="3" fillId="14" borderId="25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164" fontId="3" fillId="13" borderId="6" xfId="0" applyNumberFormat="1" applyFont="1" applyFill="1" applyBorder="1" applyAlignment="1">
      <alignment horizontal="center" vertical="center" wrapText="1"/>
    </xf>
    <xf numFmtId="164" fontId="3" fillId="14" borderId="35" xfId="0" applyNumberFormat="1" applyFont="1" applyFill="1" applyBorder="1" applyAlignment="1">
      <alignment horizontal="center" vertical="center" wrapText="1"/>
    </xf>
    <xf numFmtId="164" fontId="3" fillId="14" borderId="14" xfId="0" applyNumberFormat="1" applyFont="1" applyFill="1" applyBorder="1" applyAlignment="1">
      <alignment horizontal="center" vertical="center" wrapText="1"/>
    </xf>
    <xf numFmtId="164" fontId="3" fillId="14" borderId="38" xfId="0" applyNumberFormat="1" applyFont="1" applyFill="1" applyBorder="1" applyAlignment="1">
      <alignment horizontal="center" vertical="center" wrapText="1"/>
    </xf>
    <xf numFmtId="164" fontId="3" fillId="14" borderId="19" xfId="0" applyNumberFormat="1" applyFont="1" applyFill="1" applyBorder="1" applyAlignment="1">
      <alignment horizontal="center" vertical="center" wrapText="1"/>
    </xf>
    <xf numFmtId="164" fontId="3" fillId="14" borderId="9" xfId="0" applyNumberFormat="1" applyFont="1" applyFill="1" applyBorder="1" applyAlignment="1">
      <alignment horizontal="center" vertical="center" wrapText="1"/>
    </xf>
    <xf numFmtId="164" fontId="3" fillId="14" borderId="27" xfId="0" applyNumberFormat="1" applyFont="1" applyFill="1" applyBorder="1" applyAlignment="1">
      <alignment horizontal="center" vertical="center" wrapText="1"/>
    </xf>
    <xf numFmtId="164" fontId="3" fillId="0" borderId="19" xfId="0" applyNumberFormat="1" applyFont="1" applyFill="1" applyBorder="1" applyAlignment="1">
      <alignment horizontal="center"/>
    </xf>
    <xf numFmtId="164" fontId="3" fillId="0" borderId="29" xfId="0" applyNumberFormat="1" applyFont="1" applyFill="1" applyBorder="1" applyAlignment="1">
      <alignment horizontal="center"/>
    </xf>
    <xf numFmtId="164" fontId="3" fillId="0" borderId="14" xfId="0" applyNumberFormat="1" applyFont="1" applyFill="1" applyBorder="1" applyAlignment="1">
      <alignment horizontal="center"/>
    </xf>
    <xf numFmtId="164" fontId="3" fillId="0" borderId="35" xfId="0" applyNumberFormat="1" applyFont="1" applyFill="1" applyBorder="1" applyAlignment="1">
      <alignment horizontal="center"/>
    </xf>
    <xf numFmtId="164" fontId="3" fillId="0" borderId="32" xfId="0" applyNumberFormat="1" applyFont="1" applyFill="1" applyBorder="1" applyAlignment="1">
      <alignment horizontal="center"/>
    </xf>
    <xf numFmtId="164" fontId="3" fillId="13" borderId="28" xfId="0" applyNumberFormat="1" applyFont="1" applyFill="1" applyBorder="1" applyAlignment="1">
      <alignment horizontal="center" vertical="center" wrapText="1"/>
    </xf>
    <xf numFmtId="164" fontId="3" fillId="13" borderId="23" xfId="0" applyNumberFormat="1" applyFont="1" applyFill="1" applyBorder="1" applyAlignment="1">
      <alignment horizontal="center" vertical="center" wrapText="1"/>
    </xf>
    <xf numFmtId="164" fontId="3" fillId="0" borderId="26" xfId="0" applyNumberFormat="1" applyFont="1" applyFill="1" applyBorder="1" applyAlignment="1">
      <alignment horizontal="center" vertical="center" wrapText="1"/>
    </xf>
    <xf numFmtId="164" fontId="3" fillId="13" borderId="29" xfId="0" applyNumberFormat="1" applyFont="1" applyFill="1" applyBorder="1" applyAlignment="1">
      <alignment horizontal="center" vertical="center" wrapText="1"/>
    </xf>
    <xf numFmtId="164" fontId="3" fillId="13" borderId="24" xfId="0" applyNumberFormat="1" applyFont="1" applyFill="1" applyBorder="1" applyAlignment="1">
      <alignment horizontal="center" vertical="center" wrapText="1"/>
    </xf>
    <xf numFmtId="164" fontId="3" fillId="0" borderId="19" xfId="0" applyNumberFormat="1" applyFont="1" applyFill="1" applyBorder="1" applyAlignment="1">
      <alignment horizontal="center" vertical="center" wrapText="1"/>
    </xf>
    <xf numFmtId="164" fontId="3" fillId="14" borderId="73" xfId="0" applyNumberFormat="1" applyFont="1" applyFill="1" applyBorder="1" applyAlignment="1">
      <alignment horizontal="center" vertical="center" wrapText="1"/>
    </xf>
    <xf numFmtId="164" fontId="3" fillId="14" borderId="10" xfId="0" applyNumberFormat="1" applyFont="1" applyFill="1" applyBorder="1" applyAlignment="1">
      <alignment horizontal="center" vertical="center" wrapText="1"/>
    </xf>
    <xf numFmtId="164" fontId="3" fillId="14" borderId="83" xfId="0" applyNumberFormat="1" applyFont="1" applyFill="1" applyBorder="1" applyAlignment="1">
      <alignment horizontal="center" vertical="center" wrapText="1"/>
    </xf>
    <xf numFmtId="164" fontId="3" fillId="14" borderId="33" xfId="0" applyNumberFormat="1" applyFont="1" applyFill="1" applyBorder="1" applyAlignment="1">
      <alignment horizontal="center" vertical="center" wrapText="1"/>
    </xf>
    <xf numFmtId="164" fontId="3" fillId="14" borderId="40" xfId="0" applyNumberFormat="1" applyFont="1" applyFill="1" applyBorder="1" applyAlignment="1">
      <alignment horizontal="center" vertical="center" wrapText="1"/>
    </xf>
    <xf numFmtId="164" fontId="3" fillId="14" borderId="84" xfId="0" applyNumberFormat="1" applyFont="1" applyFill="1" applyBorder="1" applyAlignment="1">
      <alignment horizontal="center" vertical="center" wrapText="1"/>
    </xf>
    <xf numFmtId="0" fontId="8" fillId="28" borderId="75" xfId="0" applyFont="1" applyFill="1" applyBorder="1"/>
    <xf numFmtId="0" fontId="8" fillId="28" borderId="73" xfId="0" applyFont="1" applyFill="1" applyBorder="1"/>
    <xf numFmtId="0" fontId="8" fillId="28" borderId="74" xfId="0" applyFont="1" applyFill="1" applyBorder="1"/>
    <xf numFmtId="0" fontId="8" fillId="28" borderId="72" xfId="0" applyFont="1" applyFill="1" applyBorder="1"/>
    <xf numFmtId="0" fontId="8" fillId="28" borderId="19" xfId="0" applyFont="1" applyFill="1" applyBorder="1"/>
    <xf numFmtId="1" fontId="3" fillId="29" borderId="8" xfId="0" applyNumberFormat="1" applyFont="1" applyFill="1" applyBorder="1" applyAlignment="1">
      <alignment horizontal="center" vertical="center" wrapText="1"/>
    </xf>
    <xf numFmtId="1" fontId="3" fillId="29" borderId="9" xfId="0" applyNumberFormat="1" applyFont="1" applyFill="1" applyBorder="1" applyAlignment="1">
      <alignment horizontal="center" vertical="center" wrapText="1"/>
    </xf>
    <xf numFmtId="0" fontId="3" fillId="29" borderId="30" xfId="0" applyFont="1" applyFill="1" applyBorder="1" applyAlignment="1">
      <alignment horizontal="center" vertical="center" wrapText="1"/>
    </xf>
    <xf numFmtId="0" fontId="3" fillId="29" borderId="29" xfId="0" applyFont="1" applyFill="1" applyBorder="1" applyAlignment="1">
      <alignment horizontal="center" vertical="center" wrapText="1"/>
    </xf>
    <xf numFmtId="0" fontId="3" fillId="29" borderId="9" xfId="0" applyFont="1" applyFill="1" applyBorder="1" applyAlignment="1">
      <alignment horizontal="center" vertical="center" wrapText="1"/>
    </xf>
    <xf numFmtId="164" fontId="3" fillId="29" borderId="1" xfId="0" applyNumberFormat="1" applyFont="1" applyFill="1" applyBorder="1" applyAlignment="1">
      <alignment horizontal="center" vertical="center" wrapText="1"/>
    </xf>
    <xf numFmtId="164" fontId="3" fillId="29" borderId="24" xfId="0" applyNumberFormat="1" applyFont="1" applyFill="1" applyBorder="1" applyAlignment="1">
      <alignment horizontal="center" vertical="center" wrapText="1"/>
    </xf>
    <xf numFmtId="164" fontId="3" fillId="29" borderId="29" xfId="0" applyNumberFormat="1" applyFont="1" applyFill="1" applyBorder="1" applyAlignment="1">
      <alignment horizontal="center" vertical="center" wrapText="1"/>
    </xf>
    <xf numFmtId="164" fontId="3" fillId="29" borderId="9" xfId="0" applyNumberFormat="1" applyFont="1" applyFill="1" applyBorder="1" applyAlignment="1">
      <alignment horizontal="center" vertical="center" wrapText="1"/>
    </xf>
    <xf numFmtId="164" fontId="3" fillId="29" borderId="73" xfId="0" applyNumberFormat="1" applyFont="1" applyFill="1" applyBorder="1" applyAlignment="1">
      <alignment horizontal="center" vertical="center" wrapText="1"/>
    </xf>
    <xf numFmtId="164" fontId="3" fillId="29" borderId="6" xfId="0" applyNumberFormat="1" applyFont="1" applyFill="1" applyBorder="1" applyAlignment="1">
      <alignment horizontal="center" vertical="center" wrapText="1"/>
    </xf>
    <xf numFmtId="164" fontId="3" fillId="29" borderId="11" xfId="0" applyNumberFormat="1" applyFont="1" applyFill="1" applyBorder="1" applyAlignment="1">
      <alignment horizontal="center" vertical="center" wrapText="1"/>
    </xf>
    <xf numFmtId="164" fontId="3" fillId="29" borderId="8" xfId="0" applyNumberFormat="1" applyFont="1" applyFill="1" applyBorder="1" applyAlignment="1">
      <alignment horizontal="center" vertical="center" wrapText="1"/>
    </xf>
    <xf numFmtId="164" fontId="3" fillId="29" borderId="85" xfId="0" applyNumberFormat="1" applyFont="1" applyFill="1" applyBorder="1" applyAlignment="1">
      <alignment horizontal="center" vertical="center" wrapText="1"/>
    </xf>
    <xf numFmtId="164" fontId="3" fillId="29" borderId="86" xfId="0" applyNumberFormat="1" applyFont="1" applyFill="1" applyBorder="1" applyAlignment="1">
      <alignment horizontal="center" vertical="center" wrapText="1"/>
    </xf>
    <xf numFmtId="164" fontId="3" fillId="29" borderId="87" xfId="0" applyNumberFormat="1" applyFont="1" applyFill="1" applyBorder="1" applyAlignment="1">
      <alignment horizontal="center" vertical="center" wrapText="1"/>
    </xf>
    <xf numFmtId="164" fontId="3" fillId="29" borderId="23" xfId="0" applyNumberFormat="1" applyFont="1" applyFill="1" applyBorder="1" applyAlignment="1">
      <alignment horizontal="center" vertical="center" wrapText="1"/>
    </xf>
    <xf numFmtId="0" fontId="3" fillId="29" borderId="35" xfId="0" applyFont="1" applyFill="1" applyBorder="1" applyAlignment="1">
      <alignment horizontal="center" vertical="center" wrapText="1"/>
    </xf>
    <xf numFmtId="164" fontId="3" fillId="29" borderId="28" xfId="0" applyNumberFormat="1" applyFont="1" applyFill="1" applyBorder="1" applyAlignment="1">
      <alignment horizontal="center" vertical="center" wrapText="1"/>
    </xf>
    <xf numFmtId="164" fontId="3" fillId="29" borderId="3" xfId="0" applyNumberFormat="1" applyFont="1" applyFill="1" applyBorder="1" applyAlignment="1">
      <alignment horizontal="center" vertical="center" wrapText="1"/>
    </xf>
    <xf numFmtId="164" fontId="3" fillId="29" borderId="1" xfId="0" applyNumberFormat="1" applyFont="1" applyFill="1" applyBorder="1" applyAlignment="1">
      <alignment horizontal="center"/>
    </xf>
    <xf numFmtId="164" fontId="3" fillId="29" borderId="12" xfId="0" applyNumberFormat="1" applyFont="1" applyFill="1" applyBorder="1" applyAlignment="1">
      <alignment horizontal="center"/>
    </xf>
    <xf numFmtId="164" fontId="3" fillId="29" borderId="32" xfId="0" applyNumberFormat="1" applyFont="1" applyFill="1" applyBorder="1" applyAlignment="1">
      <alignment horizontal="center"/>
    </xf>
    <xf numFmtId="164" fontId="3" fillId="29" borderId="7" xfId="0" applyNumberFormat="1" applyFont="1" applyFill="1" applyBorder="1" applyAlignment="1">
      <alignment horizontal="center"/>
    </xf>
    <xf numFmtId="164" fontId="3" fillId="29" borderId="9" xfId="0" applyNumberFormat="1" applyFont="1" applyFill="1" applyBorder="1" applyAlignment="1">
      <alignment horizontal="center"/>
    </xf>
    <xf numFmtId="164" fontId="3" fillId="29" borderId="8" xfId="0" applyNumberFormat="1" applyFont="1" applyFill="1" applyBorder="1" applyAlignment="1">
      <alignment horizontal="center"/>
    </xf>
    <xf numFmtId="164" fontId="3" fillId="29" borderId="10" xfId="0" applyNumberFormat="1" applyFont="1" applyFill="1" applyBorder="1" applyAlignment="1">
      <alignment horizontal="center"/>
    </xf>
    <xf numFmtId="164" fontId="3" fillId="29" borderId="29" xfId="0" applyNumberFormat="1" applyFont="1" applyFill="1" applyBorder="1" applyAlignment="1">
      <alignment horizontal="center"/>
    </xf>
    <xf numFmtId="164" fontId="3" fillId="29" borderId="19" xfId="0" applyNumberFormat="1" applyFont="1" applyFill="1" applyBorder="1" applyAlignment="1">
      <alignment horizontal="center"/>
    </xf>
    <xf numFmtId="164" fontId="3" fillId="29" borderId="73" xfId="0" applyNumberFormat="1" applyFont="1" applyFill="1" applyBorder="1" applyAlignment="1">
      <alignment horizontal="center"/>
    </xf>
    <xf numFmtId="164" fontId="3" fillId="29" borderId="30" xfId="0" applyNumberFormat="1" applyFont="1" applyFill="1" applyBorder="1" applyAlignment="1">
      <alignment horizontal="center"/>
    </xf>
    <xf numFmtId="164" fontId="3" fillId="29" borderId="27" xfId="0" applyNumberFormat="1" applyFont="1" applyFill="1" applyBorder="1" applyAlignment="1">
      <alignment horizontal="center"/>
    </xf>
    <xf numFmtId="164" fontId="3" fillId="29" borderId="83" xfId="0" applyNumberFormat="1" applyFont="1" applyFill="1" applyBorder="1" applyAlignment="1">
      <alignment horizontal="center"/>
    </xf>
    <xf numFmtId="164" fontId="3" fillId="29" borderId="21" xfId="0" applyNumberFormat="1" applyFont="1" applyFill="1" applyBorder="1" applyAlignment="1">
      <alignment horizontal="center"/>
    </xf>
    <xf numFmtId="164" fontId="3" fillId="29" borderId="24" xfId="0" applyNumberFormat="1" applyFont="1" applyFill="1" applyBorder="1" applyAlignment="1">
      <alignment horizontal="center"/>
    </xf>
    <xf numFmtId="164" fontId="3" fillId="29" borderId="17" xfId="0" applyNumberFormat="1" applyFont="1" applyFill="1" applyBorder="1" applyAlignment="1">
      <alignment horizontal="center"/>
    </xf>
    <xf numFmtId="164" fontId="3" fillId="29" borderId="37" xfId="0" applyNumberFormat="1" applyFont="1" applyFill="1" applyBorder="1" applyAlignment="1">
      <alignment horizontal="center"/>
    </xf>
    <xf numFmtId="164" fontId="3" fillId="29" borderId="66" xfId="0" applyNumberFormat="1" applyFont="1" applyFill="1" applyBorder="1" applyAlignment="1">
      <alignment horizontal="center"/>
    </xf>
    <xf numFmtId="0" fontId="3" fillId="29" borderId="28" xfId="0" applyFont="1" applyFill="1" applyBorder="1" applyAlignment="1">
      <alignment horizontal="center"/>
    </xf>
    <xf numFmtId="0" fontId="3" fillId="29" borderId="8" xfId="0" applyFont="1" applyFill="1" applyBorder="1" applyAlignment="1">
      <alignment horizontal="center"/>
    </xf>
    <xf numFmtId="0" fontId="3" fillId="29" borderId="29" xfId="0" applyFont="1" applyFill="1" applyBorder="1" applyAlignment="1">
      <alignment horizontal="center"/>
    </xf>
    <xf numFmtId="0" fontId="3" fillId="29" borderId="9" xfId="0" applyFont="1" applyFill="1" applyBorder="1" applyAlignment="1">
      <alignment horizontal="center"/>
    </xf>
    <xf numFmtId="0" fontId="3" fillId="29" borderId="30" xfId="0" applyFont="1" applyFill="1" applyBorder="1" applyAlignment="1">
      <alignment horizontal="center"/>
    </xf>
    <xf numFmtId="0" fontId="3" fillId="29" borderId="10" xfId="0" applyFont="1" applyFill="1" applyBorder="1" applyAlignment="1">
      <alignment horizontal="center"/>
    </xf>
    <xf numFmtId="1" fontId="3" fillId="29" borderId="73" xfId="0" applyNumberFormat="1" applyFont="1" applyFill="1" applyBorder="1" applyAlignment="1">
      <alignment horizontal="center" vertical="center" wrapText="1"/>
    </xf>
    <xf numFmtId="1" fontId="3" fillId="29" borderId="19" xfId="0" applyNumberFormat="1" applyFont="1" applyFill="1" applyBorder="1" applyAlignment="1">
      <alignment horizontal="center" vertical="center" wrapText="1"/>
    </xf>
    <xf numFmtId="1" fontId="3" fillId="29" borderId="10" xfId="0" applyNumberFormat="1" applyFont="1" applyFill="1" applyBorder="1" applyAlignment="1">
      <alignment horizontal="center" vertical="center" wrapText="1"/>
    </xf>
    <xf numFmtId="1" fontId="3" fillId="29" borderId="27" xfId="0" applyNumberFormat="1" applyFont="1" applyFill="1" applyBorder="1" applyAlignment="1">
      <alignment horizontal="center" vertical="center" wrapText="1"/>
    </xf>
    <xf numFmtId="1" fontId="3" fillId="29" borderId="24" xfId="0" applyNumberFormat="1" applyFont="1" applyFill="1" applyBorder="1" applyAlignment="1">
      <alignment horizontal="center" vertical="center" wrapText="1"/>
    </xf>
    <xf numFmtId="1" fontId="3" fillId="29" borderId="25" xfId="0" applyNumberFormat="1" applyFont="1" applyFill="1" applyBorder="1" applyAlignment="1">
      <alignment horizontal="center" vertical="center" wrapText="1"/>
    </xf>
    <xf numFmtId="1" fontId="3" fillId="29" borderId="1" xfId="0" applyNumberFormat="1" applyFont="1" applyFill="1" applyBorder="1" applyAlignment="1">
      <alignment horizontal="center" vertical="center" wrapText="1"/>
    </xf>
    <xf numFmtId="1" fontId="3" fillId="29" borderId="7" xfId="0" applyNumberFormat="1" applyFont="1" applyFill="1" applyBorder="1" applyAlignment="1">
      <alignment horizontal="center" vertical="center" wrapText="1"/>
    </xf>
    <xf numFmtId="1" fontId="3" fillId="29" borderId="6" xfId="0" applyNumberFormat="1" applyFont="1" applyFill="1" applyBorder="1" applyAlignment="1">
      <alignment horizontal="center" vertical="center" wrapText="1"/>
    </xf>
    <xf numFmtId="164" fontId="3" fillId="29" borderId="12" xfId="0" applyNumberFormat="1" applyFont="1" applyFill="1" applyBorder="1" applyAlignment="1">
      <alignment horizontal="center" vertical="center" wrapText="1"/>
    </xf>
    <xf numFmtId="164" fontId="3" fillId="29" borderId="37" xfId="0" applyNumberFormat="1" applyFont="1" applyFill="1" applyBorder="1" applyAlignment="1">
      <alignment horizontal="center" vertical="center" wrapText="1"/>
    </xf>
    <xf numFmtId="164" fontId="3" fillId="29" borderId="43" xfId="0" applyNumberFormat="1" applyFont="1" applyFill="1" applyBorder="1" applyAlignment="1">
      <alignment horizontal="center"/>
    </xf>
    <xf numFmtId="0" fontId="3" fillId="29" borderId="3" xfId="0" applyFont="1" applyFill="1" applyBorder="1" applyAlignment="1">
      <alignment horizontal="center" vertical="center" wrapText="1"/>
    </xf>
    <xf numFmtId="1" fontId="3" fillId="29" borderId="29" xfId="0" applyNumberFormat="1" applyFont="1" applyFill="1" applyBorder="1" applyAlignment="1">
      <alignment horizontal="center" vertical="center" wrapText="1"/>
    </xf>
    <xf numFmtId="1" fontId="3" fillId="29" borderId="3" xfId="0" applyNumberFormat="1" applyFont="1" applyFill="1" applyBorder="1" applyAlignment="1">
      <alignment horizontal="center" vertical="center" wrapText="1"/>
    </xf>
    <xf numFmtId="1" fontId="3" fillId="29" borderId="30" xfId="0" applyNumberFormat="1" applyFont="1" applyFill="1" applyBorder="1" applyAlignment="1">
      <alignment horizontal="center" vertical="center" wrapText="1"/>
    </xf>
    <xf numFmtId="1" fontId="3" fillId="29" borderId="28" xfId="0" applyNumberFormat="1" applyFont="1" applyFill="1" applyBorder="1" applyAlignment="1">
      <alignment horizontal="center" vertical="center" wrapText="1"/>
    </xf>
    <xf numFmtId="1" fontId="3" fillId="29" borderId="26" xfId="0" applyNumberFormat="1" applyFont="1" applyFill="1" applyBorder="1" applyAlignment="1">
      <alignment horizontal="center" vertical="center" wrapText="1"/>
    </xf>
    <xf numFmtId="164" fontId="3" fillId="29" borderId="26" xfId="0" applyNumberFormat="1" applyFont="1" applyFill="1" applyBorder="1" applyAlignment="1">
      <alignment horizontal="center" vertical="center" wrapText="1"/>
    </xf>
    <xf numFmtId="164" fontId="3" fillId="29" borderId="88" xfId="0" applyNumberFormat="1" applyFont="1" applyFill="1" applyBorder="1" applyAlignment="1">
      <alignment horizontal="center" vertical="center" wrapText="1"/>
    </xf>
    <xf numFmtId="164" fontId="3" fillId="29" borderId="19" xfId="0" applyNumberFormat="1" applyFont="1" applyFill="1" applyBorder="1" applyAlignment="1">
      <alignment horizontal="center" vertical="center" wrapText="1"/>
    </xf>
    <xf numFmtId="164" fontId="3" fillId="29" borderId="74" xfId="0" applyNumberFormat="1" applyFont="1" applyFill="1" applyBorder="1" applyAlignment="1">
      <alignment horizontal="center" vertical="center" wrapText="1"/>
    </xf>
    <xf numFmtId="164" fontId="3" fillId="29" borderId="18" xfId="0" applyNumberFormat="1" applyFont="1" applyFill="1" applyBorder="1" applyAlignment="1">
      <alignment horizontal="center"/>
    </xf>
    <xf numFmtId="164" fontId="3" fillId="29" borderId="1" xfId="0" applyNumberFormat="1" applyFont="1" applyFill="1" applyBorder="1" applyAlignment="1">
      <alignment horizontal="center" vertical="center"/>
    </xf>
    <xf numFmtId="164" fontId="3" fillId="29" borderId="11" xfId="0" applyNumberFormat="1" applyFont="1" applyFill="1" applyBorder="1" applyAlignment="1">
      <alignment horizontal="center" vertical="center"/>
    </xf>
    <xf numFmtId="164" fontId="3" fillId="29" borderId="6" xfId="0" applyNumberFormat="1" applyFont="1" applyFill="1" applyBorder="1" applyAlignment="1">
      <alignment horizontal="center" vertical="center"/>
    </xf>
    <xf numFmtId="164" fontId="3" fillId="29" borderId="24" xfId="0" applyNumberFormat="1" applyFont="1" applyFill="1" applyBorder="1" applyAlignment="1">
      <alignment horizontal="center" vertical="center"/>
    </xf>
    <xf numFmtId="164" fontId="3" fillId="29" borderId="12" xfId="0" applyNumberFormat="1" applyFont="1" applyFill="1" applyBorder="1" applyAlignment="1">
      <alignment horizontal="center" vertical="center"/>
    </xf>
    <xf numFmtId="164" fontId="3" fillId="29" borderId="29" xfId="0" applyNumberFormat="1" applyFont="1" applyFill="1" applyBorder="1" applyAlignment="1">
      <alignment horizontal="center" vertical="center"/>
    </xf>
    <xf numFmtId="164" fontId="3" fillId="29" borderId="30" xfId="0" applyNumberFormat="1" applyFont="1" applyFill="1" applyBorder="1" applyAlignment="1">
      <alignment horizontal="center" vertical="center"/>
    </xf>
    <xf numFmtId="164" fontId="3" fillId="29" borderId="7" xfId="0" applyNumberFormat="1" applyFont="1" applyFill="1" applyBorder="1" applyAlignment="1">
      <alignment horizontal="center" vertical="center"/>
    </xf>
    <xf numFmtId="164" fontId="3" fillId="29" borderId="25" xfId="0" applyNumberFormat="1" applyFont="1" applyFill="1" applyBorder="1" applyAlignment="1">
      <alignment horizontal="center" vertical="center"/>
    </xf>
    <xf numFmtId="164" fontId="3" fillId="29" borderId="31" xfId="0" applyNumberFormat="1" applyFont="1" applyFill="1" applyBorder="1" applyAlignment="1">
      <alignment horizontal="center" vertical="center"/>
    </xf>
    <xf numFmtId="164" fontId="3" fillId="29" borderId="39" xfId="0" applyNumberFormat="1" applyFont="1" applyFill="1" applyBorder="1" applyAlignment="1">
      <alignment horizontal="center" vertical="center"/>
    </xf>
    <xf numFmtId="164" fontId="3" fillId="29" borderId="32" xfId="0" applyNumberFormat="1" applyFont="1" applyFill="1" applyBorder="1" applyAlignment="1">
      <alignment horizontal="center" vertical="center"/>
    </xf>
    <xf numFmtId="164" fontId="3" fillId="29" borderId="17" xfId="0" applyNumberFormat="1" applyFont="1" applyFill="1" applyBorder="1" applyAlignment="1">
      <alignment horizontal="center" vertical="center"/>
    </xf>
    <xf numFmtId="164" fontId="3" fillId="29" borderId="70" xfId="0" applyNumberFormat="1" applyFont="1" applyFill="1" applyBorder="1" applyAlignment="1">
      <alignment horizontal="center" vertical="center"/>
    </xf>
    <xf numFmtId="164" fontId="3" fillId="29" borderId="19" xfId="0" applyNumberFormat="1" applyFont="1" applyFill="1" applyBorder="1" applyAlignment="1">
      <alignment horizontal="center" vertical="center"/>
    </xf>
    <xf numFmtId="164" fontId="3" fillId="29" borderId="9" xfId="0" applyNumberFormat="1" applyFont="1" applyFill="1" applyBorder="1" applyAlignment="1">
      <alignment horizontal="center" vertical="center"/>
    </xf>
    <xf numFmtId="164" fontId="3" fillId="29" borderId="27" xfId="0" applyNumberFormat="1" applyFont="1" applyFill="1" applyBorder="1" applyAlignment="1">
      <alignment horizontal="center" vertical="center"/>
    </xf>
    <xf numFmtId="0" fontId="3" fillId="29" borderId="1" xfId="0" applyNumberFormat="1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left" vertical="center" wrapText="1"/>
    </xf>
    <xf numFmtId="1" fontId="3" fillId="29" borderId="35" xfId="0" applyNumberFormat="1" applyFont="1" applyFill="1" applyBorder="1" applyAlignment="1">
      <alignment horizontal="center" vertical="center" wrapText="1"/>
    </xf>
    <xf numFmtId="1" fontId="3" fillId="29" borderId="1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21" fillId="0" borderId="41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49" fontId="18" fillId="5" borderId="22" xfId="1" applyNumberFormat="1" applyFont="1" applyFill="1" applyBorder="1" applyAlignment="1">
      <alignment horizontal="center" vertical="center"/>
    </xf>
    <xf numFmtId="0" fontId="5" fillId="0" borderId="64" xfId="0" applyFont="1" applyFill="1" applyBorder="1" applyAlignment="1"/>
    <xf numFmtId="0" fontId="5" fillId="0" borderId="77" xfId="0" applyFont="1" applyFill="1" applyBorder="1" applyAlignment="1"/>
    <xf numFmtId="0" fontId="9" fillId="24" borderId="64" xfId="0" applyFont="1" applyFill="1" applyBorder="1" applyAlignment="1">
      <alignment horizontal="right" vertical="center"/>
    </xf>
    <xf numFmtId="0" fontId="9" fillId="24" borderId="77" xfId="0" applyFont="1" applyFill="1" applyBorder="1" applyAlignment="1">
      <alignment horizontal="center" vertical="center"/>
    </xf>
    <xf numFmtId="49" fontId="5" fillId="0" borderId="21" xfId="0" applyNumberFormat="1" applyFont="1" applyBorder="1" applyAlignment="1">
      <alignment vertical="center" wrapText="1"/>
    </xf>
    <xf numFmtId="49" fontId="5" fillId="0" borderId="77" xfId="0" applyNumberFormat="1" applyFont="1" applyFill="1" applyBorder="1" applyAlignment="1">
      <alignment horizontal="center" vertical="center" wrapText="1"/>
    </xf>
    <xf numFmtId="49" fontId="5" fillId="0" borderId="21" xfId="0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0" fontId="8" fillId="30" borderId="58" xfId="0" applyFont="1" applyFill="1" applyBorder="1"/>
    <xf numFmtId="0" fontId="8" fillId="30" borderId="76" xfId="0" applyFont="1" applyFill="1" applyBorder="1"/>
    <xf numFmtId="0" fontId="8" fillId="30" borderId="60" xfId="0" applyFont="1" applyFill="1" applyBorder="1"/>
    <xf numFmtId="0" fontId="23" fillId="24" borderId="64" xfId="0" applyFont="1" applyFill="1" applyBorder="1" applyAlignment="1">
      <alignment horizontal="right"/>
    </xf>
    <xf numFmtId="0" fontId="23" fillId="24" borderId="77" xfId="0" applyFont="1" applyFill="1" applyBorder="1" applyAlignment="1">
      <alignment horizontal="center" vertical="center"/>
    </xf>
    <xf numFmtId="0" fontId="21" fillId="24" borderId="62" xfId="0" applyFont="1" applyFill="1" applyBorder="1" applyAlignment="1">
      <alignment horizontal="center" vertical="center"/>
    </xf>
    <xf numFmtId="0" fontId="21" fillId="24" borderId="64" xfId="0" applyFont="1" applyFill="1" applyBorder="1" applyAlignment="1">
      <alignment horizontal="center"/>
    </xf>
    <xf numFmtId="49" fontId="21" fillId="1" borderId="21" xfId="0" applyNumberFormat="1" applyFont="1" applyFill="1" applyBorder="1" applyAlignment="1">
      <alignment horizontal="center" vertical="center" wrapText="1"/>
    </xf>
    <xf numFmtId="49" fontId="23" fillId="0" borderId="22" xfId="0" applyNumberFormat="1" applyFont="1" applyFill="1" applyBorder="1" applyAlignment="1">
      <alignment horizontal="center" wrapText="1"/>
    </xf>
    <xf numFmtId="49" fontId="23" fillId="0" borderId="21" xfId="0" applyNumberFormat="1" applyFont="1" applyFill="1" applyBorder="1" applyAlignment="1">
      <alignment horizontal="center" vertical="center" wrapText="1"/>
    </xf>
    <xf numFmtId="49" fontId="21" fillId="0" borderId="21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/>
    <xf numFmtId="49" fontId="21" fillId="0" borderId="0" xfId="0" applyNumberFormat="1" applyFont="1"/>
    <xf numFmtId="164" fontId="3" fillId="0" borderId="36" xfId="0" applyNumberFormat="1" applyFont="1" applyFill="1" applyBorder="1" applyAlignment="1">
      <alignment horizontal="center"/>
    </xf>
    <xf numFmtId="0" fontId="8" fillId="0" borderId="46" xfId="0" applyFont="1" applyFill="1" applyBorder="1" applyAlignment="1">
      <alignment horizontal="center" vertical="center"/>
    </xf>
    <xf numFmtId="0" fontId="12" fillId="0" borderId="26" xfId="0" applyFont="1" applyFill="1" applyBorder="1"/>
    <xf numFmtId="0" fontId="12" fillId="0" borderId="19" xfId="0" applyFont="1" applyFill="1" applyBorder="1"/>
    <xf numFmtId="0" fontId="12" fillId="0" borderId="40" xfId="0" applyFont="1" applyFill="1" applyBorder="1"/>
    <xf numFmtId="0" fontId="4" fillId="0" borderId="39" xfId="0" applyFont="1" applyBorder="1"/>
    <xf numFmtId="0" fontId="8" fillId="3" borderId="12" xfId="0" applyFont="1" applyFill="1" applyBorder="1"/>
    <xf numFmtId="0" fontId="3" fillId="18" borderId="37" xfId="0" applyFont="1" applyFill="1" applyBorder="1"/>
    <xf numFmtId="0" fontId="4" fillId="0" borderId="28" xfId="0" applyFont="1" applyBorder="1" applyAlignment="1"/>
    <xf numFmtId="0" fontId="3" fillId="18" borderId="8" xfId="0" applyFont="1" applyFill="1" applyBorder="1"/>
    <xf numFmtId="0" fontId="4" fillId="0" borderId="29" xfId="0" applyFont="1" applyBorder="1" applyAlignment="1"/>
    <xf numFmtId="0" fontId="3" fillId="18" borderId="9" xfId="0" applyFont="1" applyFill="1" applyBorder="1"/>
    <xf numFmtId="0" fontId="4" fillId="0" borderId="30" xfId="0" applyFont="1" applyBorder="1" applyAlignment="1"/>
    <xf numFmtId="0" fontId="8" fillId="8" borderId="7" xfId="0" applyFont="1" applyFill="1" applyBorder="1"/>
    <xf numFmtId="0" fontId="3" fillId="18" borderId="10" xfId="0" applyFont="1" applyFill="1" applyBorder="1"/>
    <xf numFmtId="0" fontId="10" fillId="31" borderId="1" xfId="0" applyFont="1" applyFill="1" applyBorder="1"/>
    <xf numFmtId="0" fontId="8" fillId="0" borderId="15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20" borderId="53" xfId="0" applyFont="1" applyFill="1" applyBorder="1"/>
    <xf numFmtId="0" fontId="8" fillId="20" borderId="50" xfId="0" applyFont="1" applyFill="1" applyBorder="1"/>
    <xf numFmtId="0" fontId="8" fillId="20" borderId="60" xfId="0" applyFont="1" applyFill="1" applyBorder="1"/>
    <xf numFmtId="0" fontId="8" fillId="0" borderId="18" xfId="0" applyNumberFormat="1" applyFont="1" applyFill="1" applyBorder="1" applyAlignment="1">
      <alignment horizontal="center" vertical="center"/>
    </xf>
    <xf numFmtId="0" fontId="8" fillId="24" borderId="18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8" fillId="22" borderId="43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164" fontId="8" fillId="0" borderId="15" xfId="0" applyNumberFormat="1" applyFont="1" applyFill="1" applyBorder="1" applyAlignment="1">
      <alignment horizontal="center" vertical="center"/>
    </xf>
    <xf numFmtId="0" fontId="8" fillId="20" borderId="63" xfId="0" applyFont="1" applyFill="1" applyBorder="1"/>
    <xf numFmtId="0" fontId="8" fillId="0" borderId="2" xfId="0" applyFont="1" applyBorder="1" applyAlignment="1">
      <alignment horizontal="center" vertical="center"/>
    </xf>
    <xf numFmtId="0" fontId="8" fillId="17" borderId="82" xfId="0" applyFont="1" applyFill="1" applyBorder="1"/>
    <xf numFmtId="0" fontId="8" fillId="0" borderId="22" xfId="0" applyFont="1" applyBorder="1"/>
    <xf numFmtId="0" fontId="8" fillId="1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25" borderId="72" xfId="0" applyFont="1" applyFill="1" applyBorder="1"/>
    <xf numFmtId="0" fontId="5" fillId="25" borderId="73" xfId="0" applyFont="1" applyFill="1" applyBorder="1"/>
    <xf numFmtId="0" fontId="5" fillId="26" borderId="73" xfId="0" applyFont="1" applyFill="1" applyBorder="1"/>
    <xf numFmtId="0" fontId="5" fillId="26" borderId="74" xfId="0" applyFont="1" applyFill="1" applyBorder="1"/>
    <xf numFmtId="0" fontId="5" fillId="26" borderId="75" xfId="0" applyFont="1" applyFill="1" applyBorder="1"/>
    <xf numFmtId="0" fontId="5" fillId="26" borderId="72" xfId="0" applyFont="1" applyFill="1" applyBorder="1"/>
    <xf numFmtId="0" fontId="5" fillId="26" borderId="19" xfId="0" applyFont="1" applyFill="1" applyBorder="1"/>
    <xf numFmtId="0" fontId="5" fillId="17" borderId="76" xfId="0" applyFont="1" applyFill="1" applyBorder="1"/>
    <xf numFmtId="0" fontId="5" fillId="17" borderId="92" xfId="0" applyFont="1" applyFill="1" applyBorder="1"/>
    <xf numFmtId="0" fontId="5" fillId="0" borderId="82" xfId="0" applyFont="1" applyBorder="1"/>
    <xf numFmtId="0" fontId="5" fillId="0" borderId="92" xfId="0" applyFont="1" applyBorder="1"/>
    <xf numFmtId="0" fontId="5" fillId="0" borderId="22" xfId="0" applyFont="1" applyBorder="1" applyAlignment="1">
      <alignment horizontal="center"/>
    </xf>
    <xf numFmtId="0" fontId="5" fillId="0" borderId="57" xfId="0" applyFont="1" applyFill="1" applyBorder="1"/>
    <xf numFmtId="0" fontId="5" fillId="0" borderId="56" xfId="0" applyFont="1" applyFill="1" applyBorder="1" applyAlignment="1">
      <alignment horizontal="center"/>
    </xf>
    <xf numFmtId="0" fontId="5" fillId="0" borderId="65" xfId="0" applyFont="1" applyFill="1" applyBorder="1"/>
    <xf numFmtId="0" fontId="5" fillId="0" borderId="65" xfId="0" applyFont="1" applyBorder="1" applyAlignment="1">
      <alignment horizontal="center"/>
    </xf>
    <xf numFmtId="164" fontId="18" fillId="5" borderId="22" xfId="1" applyNumberFormat="1" applyFont="1" applyFill="1" applyBorder="1" applyAlignment="1">
      <alignment horizontal="center" vertical="center"/>
    </xf>
    <xf numFmtId="0" fontId="6" fillId="29" borderId="1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/>
    </xf>
    <xf numFmtId="1" fontId="3" fillId="0" borderId="14" xfId="0" applyNumberFormat="1" applyFont="1" applyFill="1" applyBorder="1" applyAlignment="1">
      <alignment horizontal="center" vertical="center"/>
    </xf>
    <xf numFmtId="164" fontId="3" fillId="29" borderId="14" xfId="0" applyNumberFormat="1" applyFont="1" applyFill="1" applyBorder="1" applyAlignment="1">
      <alignment horizontal="center" vertical="center"/>
    </xf>
    <xf numFmtId="0" fontId="6" fillId="29" borderId="45" xfId="0" applyNumberFormat="1" applyFont="1" applyFill="1" applyBorder="1" applyAlignment="1">
      <alignment horizontal="center" vertical="center"/>
    </xf>
    <xf numFmtId="1" fontId="3" fillId="0" borderId="45" xfId="0" applyNumberFormat="1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/>
    </xf>
    <xf numFmtId="0" fontId="3" fillId="0" borderId="69" xfId="0" applyFont="1" applyFill="1" applyBorder="1" applyAlignment="1">
      <alignment horizontal="center"/>
    </xf>
    <xf numFmtId="0" fontId="6" fillId="29" borderId="6" xfId="0" applyNumberFormat="1" applyFont="1" applyFill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1" fontId="3" fillId="0" borderId="9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/>
    </xf>
    <xf numFmtId="164" fontId="3" fillId="0" borderId="19" xfId="0" applyNumberFormat="1" applyFont="1" applyFill="1" applyBorder="1"/>
    <xf numFmtId="1" fontId="3" fillId="0" borderId="33" xfId="0" applyNumberFormat="1" applyFont="1" applyFill="1" applyBorder="1" applyAlignment="1">
      <alignment horizontal="center" vertical="center"/>
    </xf>
    <xf numFmtId="0" fontId="3" fillId="29" borderId="14" xfId="0" applyNumberFormat="1" applyFont="1" applyFill="1" applyBorder="1" applyAlignment="1">
      <alignment horizontal="center" vertical="center"/>
    </xf>
    <xf numFmtId="0" fontId="3" fillId="29" borderId="6" xfId="0" applyNumberFormat="1" applyFont="1" applyFill="1" applyBorder="1" applyAlignment="1">
      <alignment horizontal="center" vertical="center"/>
    </xf>
    <xf numFmtId="0" fontId="3" fillId="29" borderId="29" xfId="0" applyFont="1" applyFill="1" applyBorder="1" applyAlignment="1">
      <alignment horizontal="left" vertical="center"/>
    </xf>
    <xf numFmtId="0" fontId="3" fillId="29" borderId="30" xfId="0" applyFont="1" applyFill="1" applyBorder="1" applyAlignment="1">
      <alignment horizontal="left" vertical="center"/>
    </xf>
    <xf numFmtId="0" fontId="3" fillId="29" borderId="7" xfId="0" applyNumberFormat="1" applyFont="1" applyFill="1" applyBorder="1" applyAlignment="1">
      <alignment horizontal="center" vertical="center"/>
    </xf>
    <xf numFmtId="164" fontId="20" fillId="0" borderId="19" xfId="0" applyNumberFormat="1" applyFont="1" applyFill="1" applyBorder="1"/>
    <xf numFmtId="0" fontId="6" fillId="29" borderId="93" xfId="0" applyFont="1" applyFill="1" applyBorder="1" applyAlignment="1">
      <alignment horizontal="left" vertical="center"/>
    </xf>
    <xf numFmtId="0" fontId="6" fillId="29" borderId="11" xfId="0" applyNumberFormat="1" applyFont="1" applyFill="1" applyBorder="1" applyAlignment="1">
      <alignment horizontal="center" vertical="center"/>
    </xf>
    <xf numFmtId="1" fontId="3" fillId="0" borderId="11" xfId="0" applyNumberFormat="1" applyFont="1" applyFill="1" applyBorder="1" applyAlignment="1">
      <alignment horizontal="center" vertical="center"/>
    </xf>
    <xf numFmtId="1" fontId="3" fillId="0" borderId="87" xfId="0" applyNumberFormat="1" applyFont="1" applyFill="1" applyBorder="1" applyAlignment="1">
      <alignment horizontal="center" vertical="center"/>
    </xf>
    <xf numFmtId="0" fontId="3" fillId="0" borderId="8" xfId="0" applyFont="1" applyFill="1" applyBorder="1"/>
    <xf numFmtId="0" fontId="6" fillId="29" borderId="28" xfId="0" applyFont="1" applyFill="1" applyBorder="1" applyAlignment="1">
      <alignment vertical="center"/>
    </xf>
    <xf numFmtId="0" fontId="3" fillId="29" borderId="29" xfId="0" applyFont="1" applyFill="1" applyBorder="1" applyAlignment="1">
      <alignment vertical="center"/>
    </xf>
    <xf numFmtId="0" fontId="3" fillId="29" borderId="35" xfId="0" applyFont="1" applyFill="1" applyBorder="1" applyAlignment="1">
      <alignment horizontal="left" vertical="center"/>
    </xf>
    <xf numFmtId="0" fontId="3" fillId="7" borderId="45" xfId="0" applyNumberFormat="1" applyFont="1" applyFill="1" applyBorder="1" applyAlignment="1">
      <alignment horizontal="center" vertical="center"/>
    </xf>
    <xf numFmtId="2" fontId="3" fillId="0" borderId="45" xfId="0" applyNumberFormat="1" applyFont="1" applyFill="1" applyBorder="1" applyAlignment="1">
      <alignment horizontal="center" vertical="center"/>
    </xf>
    <xf numFmtId="164" fontId="3" fillId="7" borderId="45" xfId="0" applyNumberFormat="1" applyFont="1" applyFill="1" applyBorder="1" applyAlignment="1">
      <alignment horizontal="center" vertical="center"/>
    </xf>
    <xf numFmtId="0" fontId="3" fillId="7" borderId="6" xfId="0" applyNumberFormat="1" applyFont="1" applyFill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0" fontId="6" fillId="29" borderId="28" xfId="0" applyFont="1" applyFill="1" applyBorder="1" applyAlignment="1">
      <alignment horizontal="left" vertical="center"/>
    </xf>
    <xf numFmtId="0" fontId="3" fillId="23" borderId="7" xfId="0" applyFont="1" applyFill="1" applyBorder="1" applyAlignment="1">
      <alignment horizontal="center" vertical="center"/>
    </xf>
    <xf numFmtId="0" fontId="3" fillId="23" borderId="7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164" fontId="3" fillId="32" borderId="6" xfId="0" applyNumberFormat="1" applyFont="1" applyFill="1" applyBorder="1" applyAlignment="1">
      <alignment horizontal="center" vertical="center"/>
    </xf>
    <xf numFmtId="0" fontId="3" fillId="23" borderId="30" xfId="0" applyFont="1" applyFill="1" applyBorder="1" applyAlignment="1">
      <alignment horizontal="left" vertical="center" wrapText="1"/>
    </xf>
    <xf numFmtId="0" fontId="3" fillId="29" borderId="28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1" fontId="3" fillId="29" borderId="86" xfId="0" applyNumberFormat="1" applyFont="1" applyFill="1" applyBorder="1" applyAlignment="1">
      <alignment horizontal="center" vertical="center" wrapText="1"/>
    </xf>
    <xf numFmtId="1" fontId="3" fillId="14" borderId="1" xfId="0" applyNumberFormat="1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8" fillId="0" borderId="18" xfId="0" applyNumberFormat="1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1" fontId="11" fillId="3" borderId="6" xfId="0" applyNumberFormat="1" applyFont="1" applyFill="1" applyBorder="1" applyAlignment="1">
      <alignment horizontal="center" vertical="center"/>
    </xf>
    <xf numFmtId="1" fontId="3" fillId="29" borderId="1" xfId="0" applyNumberFormat="1" applyFont="1" applyFill="1" applyBorder="1" applyAlignment="1">
      <alignment horizontal="center" vertical="center"/>
    </xf>
    <xf numFmtId="1" fontId="3" fillId="29" borderId="6" xfId="0" applyNumberFormat="1" applyFont="1" applyFill="1" applyBorder="1" applyAlignment="1">
      <alignment horizontal="center"/>
    </xf>
    <xf numFmtId="14" fontId="9" fillId="24" borderId="62" xfId="0" applyNumberFormat="1" applyFont="1" applyFill="1" applyBorder="1" applyAlignment="1">
      <alignment horizontal="center" vertical="center"/>
    </xf>
    <xf numFmtId="14" fontId="23" fillId="24" borderId="62" xfId="0" applyNumberFormat="1" applyFont="1" applyFill="1" applyBorder="1" applyAlignment="1">
      <alignment horizontal="left"/>
    </xf>
    <xf numFmtId="0" fontId="3" fillId="0" borderId="46" xfId="0" applyFont="1" applyFill="1" applyBorder="1" applyAlignment="1">
      <alignment horizontal="center"/>
    </xf>
    <xf numFmtId="0" fontId="6" fillId="0" borderId="64" xfId="0" applyFont="1" applyFill="1" applyBorder="1" applyAlignment="1">
      <alignment horizontal="center"/>
    </xf>
    <xf numFmtId="0" fontId="3" fillId="0" borderId="64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 vertical="center"/>
    </xf>
    <xf numFmtId="0" fontId="6" fillId="29" borderId="44" xfId="0" applyFont="1" applyFill="1" applyBorder="1" applyAlignment="1">
      <alignment vertical="center"/>
    </xf>
    <xf numFmtId="0" fontId="6" fillId="29" borderId="29" xfId="0" applyFont="1" applyFill="1" applyBorder="1" applyAlignment="1">
      <alignment horizontal="left" vertical="center"/>
    </xf>
    <xf numFmtId="0" fontId="3" fillId="7" borderId="44" xfId="0" applyFont="1" applyFill="1" applyBorder="1" applyAlignment="1">
      <alignment horizontal="left" vertical="center"/>
    </xf>
    <xf numFmtId="0" fontId="6" fillId="23" borderId="29" xfId="0" applyFont="1" applyFill="1" applyBorder="1" applyAlignment="1">
      <alignment horizontal="left" vertical="center"/>
    </xf>
    <xf numFmtId="0" fontId="6" fillId="23" borderId="29" xfId="0" applyFont="1" applyFill="1" applyBorder="1" applyAlignment="1">
      <alignment vertical="center"/>
    </xf>
    <xf numFmtId="0" fontId="6" fillId="23" borderId="30" xfId="0" applyFont="1" applyFill="1" applyBorder="1" applyAlignment="1">
      <alignment vertical="center"/>
    </xf>
    <xf numFmtId="1" fontId="3" fillId="0" borderId="12" xfId="0" applyNumberFormat="1" applyFont="1" applyFill="1" applyBorder="1" applyAlignment="1">
      <alignment horizontal="center" vertical="center"/>
    </xf>
    <xf numFmtId="1" fontId="3" fillId="0" borderId="3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4" borderId="39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/>
    <xf numFmtId="0" fontId="3" fillId="23" borderId="14" xfId="0" applyFont="1" applyFill="1" applyBorder="1" applyAlignment="1">
      <alignment horizontal="center" vertical="center"/>
    </xf>
    <xf numFmtId="164" fontId="3" fillId="33" borderId="1" xfId="0" applyNumberFormat="1" applyFont="1" applyFill="1" applyBorder="1" applyAlignment="1">
      <alignment horizontal="center" vertical="center" wrapText="1"/>
    </xf>
    <xf numFmtId="0" fontId="3" fillId="29" borderId="5" xfId="0" applyFont="1" applyFill="1" applyBorder="1" applyAlignment="1">
      <alignment horizontal="center" vertical="center" wrapText="1"/>
    </xf>
    <xf numFmtId="1" fontId="3" fillId="29" borderId="16" xfId="0" applyNumberFormat="1" applyFont="1" applyFill="1" applyBorder="1" applyAlignment="1">
      <alignment horizontal="center" vertical="center" wrapText="1"/>
    </xf>
    <xf numFmtId="1" fontId="3" fillId="29" borderId="15" xfId="0" applyNumberFormat="1" applyFont="1" applyFill="1" applyBorder="1" applyAlignment="1">
      <alignment horizontal="center" vertical="center" wrapText="1"/>
    </xf>
    <xf numFmtId="0" fontId="12" fillId="13" borderId="89" xfId="0" applyFont="1" applyFill="1" applyBorder="1" applyAlignment="1">
      <alignment horizontal="center" vertical="center"/>
    </xf>
    <xf numFmtId="1" fontId="3" fillId="29" borderId="70" xfId="0" applyNumberFormat="1" applyFont="1" applyFill="1" applyBorder="1" applyAlignment="1">
      <alignment horizontal="center" vertical="center" wrapText="1"/>
    </xf>
    <xf numFmtId="1" fontId="3" fillId="29" borderId="31" xfId="0" applyNumberFormat="1" applyFont="1" applyFill="1" applyBorder="1" applyAlignment="1">
      <alignment horizontal="center" vertical="center" wrapText="1"/>
    </xf>
    <xf numFmtId="0" fontId="3" fillId="14" borderId="36" xfId="0" applyFont="1" applyFill="1" applyBorder="1" applyAlignment="1">
      <alignment horizontal="center" vertical="center" wrapText="1"/>
    </xf>
    <xf numFmtId="164" fontId="3" fillId="13" borderId="32" xfId="0" applyNumberFormat="1" applyFont="1" applyFill="1" applyBorder="1" applyAlignment="1">
      <alignment horizontal="center" vertical="center" wrapText="1"/>
    </xf>
    <xf numFmtId="164" fontId="3" fillId="33" borderId="32" xfId="0" applyNumberFormat="1" applyFont="1" applyFill="1" applyBorder="1" applyAlignment="1">
      <alignment horizontal="center" vertical="center" wrapText="1"/>
    </xf>
    <xf numFmtId="164" fontId="3" fillId="13" borderId="36" xfId="0" applyNumberFormat="1" applyFont="1" applyFill="1" applyBorder="1" applyAlignment="1">
      <alignment horizontal="center" vertical="center" wrapText="1"/>
    </xf>
    <xf numFmtId="164" fontId="3" fillId="13" borderId="37" xfId="0" applyNumberFormat="1" applyFont="1" applyFill="1" applyBorder="1" applyAlignment="1">
      <alignment horizontal="center" vertical="center" wrapText="1"/>
    </xf>
    <xf numFmtId="164" fontId="3" fillId="29" borderId="70" xfId="0" applyNumberFormat="1" applyFont="1" applyFill="1" applyBorder="1" applyAlignment="1">
      <alignment horizontal="center" vertical="center" wrapText="1"/>
    </xf>
    <xf numFmtId="164" fontId="3" fillId="29" borderId="68" xfId="0" applyNumberFormat="1" applyFont="1" applyFill="1" applyBorder="1" applyAlignment="1">
      <alignment horizontal="center" vertical="center" wrapText="1"/>
    </xf>
    <xf numFmtId="164" fontId="3" fillId="0" borderId="39" xfId="0" applyNumberFormat="1" applyFont="1" applyFill="1" applyBorder="1" applyAlignment="1">
      <alignment horizontal="center" vertical="center" wrapText="1"/>
    </xf>
    <xf numFmtId="164" fontId="3" fillId="29" borderId="32" xfId="0" applyNumberFormat="1" applyFont="1" applyFill="1" applyBorder="1" applyAlignment="1">
      <alignment horizontal="center" vertical="center" wrapText="1"/>
    </xf>
    <xf numFmtId="164" fontId="3" fillId="29" borderId="31" xfId="0" applyNumberFormat="1" applyFont="1" applyFill="1" applyBorder="1" applyAlignment="1">
      <alignment horizontal="center" vertical="center" wrapText="1"/>
    </xf>
    <xf numFmtId="164" fontId="3" fillId="29" borderId="42" xfId="0" applyNumberFormat="1" applyFont="1" applyFill="1" applyBorder="1" applyAlignment="1">
      <alignment horizontal="center" vertical="center" wrapText="1"/>
    </xf>
    <xf numFmtId="0" fontId="3" fillId="24" borderId="44" xfId="0" applyFont="1" applyFill="1" applyBorder="1" applyAlignment="1">
      <alignment horizontal="center" vertical="center" wrapText="1"/>
    </xf>
    <xf numFmtId="0" fontId="3" fillId="24" borderId="45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164" fontId="3" fillId="33" borderId="8" xfId="0" applyNumberFormat="1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/>
    </xf>
    <xf numFmtId="164" fontId="3" fillId="29" borderId="31" xfId="0" applyNumberFormat="1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/>
    </xf>
    <xf numFmtId="0" fontId="3" fillId="29" borderId="36" xfId="0" applyFont="1" applyFill="1" applyBorder="1" applyAlignment="1">
      <alignment horizontal="center"/>
    </xf>
    <xf numFmtId="0" fontId="3" fillId="29" borderId="31" xfId="0" applyFont="1" applyFill="1" applyBorder="1" applyAlignment="1">
      <alignment horizontal="center"/>
    </xf>
    <xf numFmtId="0" fontId="19" fillId="11" borderId="19" xfId="0" applyFont="1" applyFill="1" applyBorder="1" applyAlignment="1">
      <alignment horizontal="center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164" fontId="3" fillId="33" borderId="3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2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9" xfId="0" applyFont="1" applyFill="1" applyBorder="1" applyAlignment="1">
      <alignment horizontal="left"/>
    </xf>
    <xf numFmtId="164" fontId="3" fillId="29" borderId="68" xfId="0" applyNumberFormat="1" applyFont="1" applyFill="1" applyBorder="1" applyAlignment="1">
      <alignment horizontal="center"/>
    </xf>
    <xf numFmtId="0" fontId="3" fillId="0" borderId="44" xfId="0" applyFont="1" applyFill="1" applyBorder="1" applyAlignment="1">
      <alignment horizontal="center" vertical="center" wrapText="1"/>
    </xf>
    <xf numFmtId="164" fontId="3" fillId="29" borderId="14" xfId="0" applyNumberFormat="1" applyFont="1" applyFill="1" applyBorder="1" applyAlignment="1">
      <alignment horizontal="center"/>
    </xf>
    <xf numFmtId="164" fontId="3" fillId="29" borderId="33" xfId="0" applyNumberFormat="1" applyFont="1" applyFill="1" applyBorder="1" applyAlignment="1">
      <alignment horizontal="center"/>
    </xf>
    <xf numFmtId="0" fontId="11" fillId="3" borderId="43" xfId="0" applyFont="1" applyFill="1" applyBorder="1" applyAlignment="1">
      <alignment horizontal="left" vertical="center" wrapText="1"/>
    </xf>
    <xf numFmtId="164" fontId="11" fillId="3" borderId="36" xfId="0" applyNumberFormat="1" applyFont="1" applyFill="1" applyBorder="1" applyAlignment="1">
      <alignment horizontal="center" vertical="center"/>
    </xf>
    <xf numFmtId="164" fontId="11" fillId="16" borderId="12" xfId="0" applyNumberFormat="1" applyFont="1" applyFill="1" applyBorder="1" applyAlignment="1">
      <alignment horizontal="center" vertical="center"/>
    </xf>
    <xf numFmtId="164" fontId="11" fillId="3" borderId="37" xfId="0" applyNumberFormat="1" applyFont="1" applyFill="1" applyBorder="1" applyAlignment="1">
      <alignment horizontal="center" vertical="center"/>
    </xf>
    <xf numFmtId="164" fontId="11" fillId="3" borderId="43" xfId="0" applyNumberFormat="1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164" fontId="11" fillId="3" borderId="39" xfId="0" applyNumberFormat="1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164" fontId="3" fillId="29" borderId="3" xfId="0" applyNumberFormat="1" applyFont="1" applyFill="1" applyBorder="1" applyAlignment="1">
      <alignment horizontal="center" vertical="center"/>
    </xf>
    <xf numFmtId="164" fontId="3" fillId="29" borderId="16" xfId="0" applyNumberFormat="1" applyFont="1" applyFill="1" applyBorder="1" applyAlignment="1">
      <alignment horizontal="center" vertical="center"/>
    </xf>
    <xf numFmtId="164" fontId="3" fillId="29" borderId="35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0" fontId="3" fillId="24" borderId="0" xfId="0" applyFont="1" applyFill="1" applyBorder="1" applyAlignment="1">
      <alignment horizontal="left" vertical="center"/>
    </xf>
    <xf numFmtId="164" fontId="3" fillId="24" borderId="0" xfId="0" applyNumberFormat="1" applyFont="1" applyFill="1" applyBorder="1" applyAlignment="1">
      <alignment horizontal="center" vertical="center"/>
    </xf>
    <xf numFmtId="0" fontId="3" fillId="29" borderId="30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29" borderId="19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left"/>
    </xf>
    <xf numFmtId="164" fontId="3" fillId="29" borderId="5" xfId="0" applyNumberFormat="1" applyFont="1" applyFill="1" applyBorder="1" applyAlignment="1">
      <alignment horizontal="center"/>
    </xf>
    <xf numFmtId="164" fontId="3" fillId="29" borderId="3" xfId="0" applyNumberFormat="1" applyFont="1" applyFill="1" applyBorder="1" applyAlignment="1">
      <alignment horizontal="center"/>
    </xf>
    <xf numFmtId="0" fontId="3" fillId="0" borderId="17" xfId="0" applyFont="1" applyBorder="1"/>
    <xf numFmtId="0" fontId="3" fillId="0" borderId="0" xfId="0" applyFont="1" applyAlignment="1">
      <alignment horizontal="left"/>
    </xf>
    <xf numFmtId="0" fontId="3" fillId="0" borderId="21" xfId="0" applyFont="1" applyBorder="1"/>
    <xf numFmtId="0" fontId="3" fillId="0" borderId="0" xfId="0" applyFont="1" applyAlignment="1"/>
    <xf numFmtId="0" fontId="3" fillId="0" borderId="3" xfId="0" applyFont="1" applyFill="1" applyBorder="1" applyAlignment="1">
      <alignment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164" fontId="3" fillId="0" borderId="35" xfId="0" applyNumberFormat="1" applyFont="1" applyFill="1" applyBorder="1" applyAlignment="1">
      <alignment horizontal="center" vertical="center" wrapText="1"/>
    </xf>
    <xf numFmtId="164" fontId="3" fillId="29" borderId="41" xfId="0" applyNumberFormat="1" applyFont="1" applyFill="1" applyBorder="1" applyAlignment="1">
      <alignment horizontal="center"/>
    </xf>
    <xf numFmtId="0" fontId="3" fillId="29" borderId="35" xfId="0" applyFont="1" applyFill="1" applyBorder="1" applyAlignment="1">
      <alignment horizontal="center"/>
    </xf>
    <xf numFmtId="0" fontId="3" fillId="29" borderId="33" xfId="0" applyFont="1" applyFill="1" applyBorder="1" applyAlignment="1">
      <alignment horizontal="center"/>
    </xf>
    <xf numFmtId="0" fontId="3" fillId="0" borderId="31" xfId="0" applyFont="1" applyBorder="1" applyAlignment="1">
      <alignment horizontal="left" vertical="center"/>
    </xf>
    <xf numFmtId="164" fontId="3" fillId="0" borderId="28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164" fontId="3" fillId="29" borderId="11" xfId="0" applyNumberFormat="1" applyFont="1" applyFill="1" applyBorder="1" applyAlignment="1">
      <alignment horizontal="center"/>
    </xf>
    <xf numFmtId="164" fontId="3" fillId="0" borderId="28" xfId="0" applyNumberFormat="1" applyFont="1" applyFill="1" applyBorder="1" applyAlignment="1">
      <alignment horizontal="center" vertical="center" wrapText="1"/>
    </xf>
    <xf numFmtId="164" fontId="3" fillId="0" borderId="11" xfId="0" applyNumberFormat="1" applyFont="1" applyFill="1" applyBorder="1" applyAlignment="1">
      <alignment horizontal="center"/>
    </xf>
    <xf numFmtId="164" fontId="3" fillId="29" borderId="86" xfId="0" applyNumberFormat="1" applyFont="1" applyFill="1" applyBorder="1" applyAlignment="1">
      <alignment horizontal="center"/>
    </xf>
    <xf numFmtId="0" fontId="19" fillId="0" borderId="0" xfId="0" applyFont="1" applyFill="1" applyAlignment="1">
      <alignment wrapText="1"/>
    </xf>
    <xf numFmtId="0" fontId="6" fillId="23" borderId="36" xfId="0" applyFont="1" applyFill="1" applyBorder="1" applyAlignment="1">
      <alignment horizontal="left" vertical="center"/>
    </xf>
    <xf numFmtId="0" fontId="6" fillId="23" borderId="1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 vertical="center"/>
    </xf>
    <xf numFmtId="0" fontId="6" fillId="23" borderId="1" xfId="0" applyNumberFormat="1" applyFont="1" applyFill="1" applyBorder="1" applyAlignment="1">
      <alignment horizontal="center" vertical="center"/>
    </xf>
    <xf numFmtId="0" fontId="6" fillId="23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164" fontId="3" fillId="0" borderId="40" xfId="0" applyNumberFormat="1" applyFont="1" applyFill="1" applyBorder="1" applyAlignment="1">
      <alignment horizontal="center" vertical="center" wrapText="1"/>
    </xf>
    <xf numFmtId="0" fontId="8" fillId="0" borderId="73" xfId="0" applyFont="1" applyFill="1" applyBorder="1"/>
    <xf numFmtId="0" fontId="8" fillId="0" borderId="74" xfId="0" applyFont="1" applyFill="1" applyBorder="1"/>
    <xf numFmtId="0" fontId="8" fillId="0" borderId="75" xfId="0" applyFont="1" applyFill="1" applyBorder="1"/>
    <xf numFmtId="0" fontId="8" fillId="0" borderId="19" xfId="0" applyFont="1" applyFill="1" applyBorder="1"/>
    <xf numFmtId="0" fontId="3" fillId="24" borderId="1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24" borderId="39" xfId="0" applyFont="1" applyFill="1" applyBorder="1" applyAlignment="1">
      <alignment horizontal="center" vertical="center" wrapText="1"/>
    </xf>
    <xf numFmtId="0" fontId="3" fillId="29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29" borderId="73" xfId="0" applyFont="1" applyFill="1" applyBorder="1" applyAlignment="1">
      <alignment horizontal="center" vertical="center" wrapText="1"/>
    </xf>
    <xf numFmtId="0" fontId="3" fillId="29" borderId="1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4" borderId="12" xfId="0" applyFont="1" applyFill="1" applyBorder="1" applyAlignment="1">
      <alignment horizontal="center" vertical="center" wrapText="1"/>
    </xf>
    <xf numFmtId="0" fontId="3" fillId="29" borderId="15" xfId="0" applyFont="1" applyFill="1" applyBorder="1" applyAlignment="1">
      <alignment horizontal="center" vertical="center" wrapText="1"/>
    </xf>
    <xf numFmtId="0" fontId="3" fillId="24" borderId="7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29" borderId="83" xfId="0" applyNumberFormat="1" applyFont="1" applyFill="1" applyBorder="1" applyAlignment="1">
      <alignment horizontal="center" vertical="center" wrapText="1"/>
    </xf>
    <xf numFmtId="164" fontId="3" fillId="29" borderId="30" xfId="0" applyNumberFormat="1" applyFont="1" applyFill="1" applyBorder="1" applyAlignment="1">
      <alignment horizontal="center" vertical="center" wrapText="1"/>
    </xf>
    <xf numFmtId="164" fontId="3" fillId="29" borderId="7" xfId="0" applyNumberFormat="1" applyFont="1" applyFill="1" applyBorder="1" applyAlignment="1">
      <alignment horizontal="center" vertical="center" wrapText="1"/>
    </xf>
    <xf numFmtId="164" fontId="3" fillId="29" borderId="25" xfId="0" applyNumberFormat="1" applyFont="1" applyFill="1" applyBorder="1" applyAlignment="1">
      <alignment horizontal="center" vertical="center" wrapText="1"/>
    </xf>
    <xf numFmtId="164" fontId="3" fillId="29" borderId="27" xfId="0" applyNumberFormat="1" applyFont="1" applyFill="1" applyBorder="1" applyAlignment="1">
      <alignment horizontal="center" vertical="center" wrapText="1"/>
    </xf>
    <xf numFmtId="0" fontId="3" fillId="0" borderId="73" xfId="0" applyFont="1" applyFill="1" applyBorder="1" applyAlignment="1">
      <alignment horizontal="center" vertical="center" wrapText="1"/>
    </xf>
    <xf numFmtId="1" fontId="3" fillId="29" borderId="83" xfId="0" applyNumberFormat="1" applyFont="1" applyFill="1" applyBorder="1" applyAlignment="1">
      <alignment horizontal="center" vertical="center" wrapText="1"/>
    </xf>
    <xf numFmtId="0" fontId="3" fillId="0" borderId="59" xfId="0" applyFont="1" applyBorder="1"/>
    <xf numFmtId="0" fontId="3" fillId="0" borderId="42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164" fontId="3" fillId="29" borderId="89" xfId="0" applyNumberFormat="1" applyFont="1" applyFill="1" applyBorder="1" applyAlignment="1">
      <alignment horizontal="center" vertical="center" wrapText="1"/>
    </xf>
    <xf numFmtId="164" fontId="3" fillId="29" borderId="10" xfId="0" applyNumberFormat="1" applyFont="1" applyFill="1" applyBorder="1" applyAlignment="1">
      <alignment horizontal="center" vertical="center" wrapText="1"/>
    </xf>
    <xf numFmtId="1" fontId="3" fillId="29" borderId="38" xfId="0" applyNumberFormat="1" applyFont="1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left"/>
    </xf>
    <xf numFmtId="164" fontId="3" fillId="29" borderId="38" xfId="0" applyNumberFormat="1" applyFont="1" applyFill="1" applyBorder="1" applyAlignment="1">
      <alignment horizontal="center" vertical="center"/>
    </xf>
    <xf numFmtId="164" fontId="3" fillId="29" borderId="33" xfId="0" applyNumberFormat="1" applyFont="1" applyFill="1" applyBorder="1" applyAlignment="1">
      <alignment horizontal="center" vertical="center"/>
    </xf>
    <xf numFmtId="164" fontId="11" fillId="3" borderId="12" xfId="0" applyNumberFormat="1" applyFont="1" applyFill="1" applyBorder="1" applyAlignment="1">
      <alignment horizontal="center" vertical="center" wrapText="1"/>
    </xf>
    <xf numFmtId="1" fontId="11" fillId="3" borderId="12" xfId="0" applyNumberFormat="1" applyFont="1" applyFill="1" applyBorder="1" applyAlignment="1">
      <alignment horizontal="center" vertical="center"/>
    </xf>
    <xf numFmtId="1" fontId="3" fillId="0" borderId="18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0" fontId="3" fillId="29" borderId="73" xfId="0" applyFont="1" applyFill="1" applyBorder="1" applyAlignment="1">
      <alignment horizontal="center" vertical="center" wrapText="1"/>
    </xf>
    <xf numFmtId="0" fontId="3" fillId="29" borderId="43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" fontId="3" fillId="0" borderId="4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3" fillId="0" borderId="17" xfId="0" applyNumberFormat="1" applyFont="1" applyFill="1" applyBorder="1" applyAlignment="1">
      <alignment horizontal="center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0" fontId="3" fillId="24" borderId="12" xfId="0" applyFont="1" applyFill="1" applyBorder="1" applyAlignment="1">
      <alignment horizontal="center" vertical="center" wrapText="1"/>
    </xf>
    <xf numFmtId="1" fontId="8" fillId="0" borderId="15" xfId="0" applyNumberFormat="1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49" fontId="18" fillId="5" borderId="65" xfId="1" applyNumberFormat="1" applyFont="1" applyFill="1" applyBorder="1" applyAlignment="1">
      <alignment horizontal="center" vertical="center"/>
    </xf>
    <xf numFmtId="49" fontId="4" fillId="0" borderId="73" xfId="1" applyNumberFormat="1" applyFont="1" applyFill="1" applyBorder="1" applyAlignment="1">
      <alignment horizontal="center"/>
    </xf>
    <xf numFmtId="0" fontId="3" fillId="0" borderId="21" xfId="0" applyFont="1" applyFill="1" applyBorder="1" applyAlignment="1">
      <alignment horizontal="left" vertical="center"/>
    </xf>
    <xf numFmtId="164" fontId="3" fillId="29" borderId="95" xfId="0" applyNumberFormat="1" applyFont="1" applyFill="1" applyBorder="1" applyAlignment="1">
      <alignment horizontal="center" vertical="center"/>
    </xf>
    <xf numFmtId="164" fontId="3" fillId="29" borderId="87" xfId="0" applyNumberFormat="1" applyFont="1" applyFill="1" applyBorder="1" applyAlignment="1">
      <alignment horizontal="center" vertical="center"/>
    </xf>
    <xf numFmtId="164" fontId="3" fillId="16" borderId="11" xfId="0" applyNumberFormat="1" applyFont="1" applyFill="1" applyBorder="1" applyAlignment="1">
      <alignment horizontal="center" vertical="center"/>
    </xf>
    <xf numFmtId="164" fontId="3" fillId="29" borderId="13" xfId="0" applyNumberFormat="1" applyFont="1" applyFill="1" applyBorder="1" applyAlignment="1">
      <alignment horizontal="center" vertical="center"/>
    </xf>
    <xf numFmtId="164" fontId="3" fillId="29" borderId="41" xfId="0" applyNumberFormat="1" applyFont="1" applyFill="1" applyBorder="1" applyAlignment="1">
      <alignment horizontal="center" vertical="center"/>
    </xf>
    <xf numFmtId="164" fontId="3" fillId="29" borderId="2" xfId="0" applyNumberFormat="1" applyFont="1" applyFill="1" applyBorder="1" applyAlignment="1">
      <alignment horizontal="center" vertical="center"/>
    </xf>
    <xf numFmtId="164" fontId="3" fillId="29" borderId="86" xfId="0" applyNumberFormat="1" applyFont="1" applyFill="1" applyBorder="1" applyAlignment="1">
      <alignment horizontal="center" vertical="center"/>
    </xf>
    <xf numFmtId="164" fontId="3" fillId="29" borderId="91" xfId="0" applyNumberFormat="1" applyFont="1" applyFill="1" applyBorder="1" applyAlignment="1">
      <alignment horizontal="center" vertical="center"/>
    </xf>
    <xf numFmtId="164" fontId="3" fillId="0" borderId="11" xfId="0" applyNumberFormat="1" applyFont="1" applyBorder="1"/>
    <xf numFmtId="164" fontId="11" fillId="3" borderId="29" xfId="0" applyNumberFormat="1" applyFont="1" applyFill="1" applyBorder="1" applyAlignment="1">
      <alignment horizontal="center" vertical="center"/>
    </xf>
    <xf numFmtId="0" fontId="18" fillId="0" borderId="43" xfId="1" applyFont="1" applyFill="1" applyBorder="1" applyAlignment="1" applyProtection="1">
      <alignment horizontal="left" vertical="center"/>
      <protection locked="0"/>
    </xf>
    <xf numFmtId="49" fontId="4" fillId="0" borderId="42" xfId="1" applyNumberFormat="1" applyFont="1" applyFill="1" applyBorder="1" applyAlignment="1">
      <alignment horizontal="center"/>
    </xf>
    <xf numFmtId="0" fontId="30" fillId="0" borderId="52" xfId="0" applyFont="1" applyBorder="1"/>
    <xf numFmtId="0" fontId="30" fillId="0" borderId="20" xfId="0" applyFont="1" applyBorder="1"/>
    <xf numFmtId="0" fontId="30" fillId="0" borderId="51" xfId="0" applyFont="1" applyBorder="1"/>
    <xf numFmtId="0" fontId="30" fillId="0" borderId="53" xfId="0" applyFont="1" applyBorder="1"/>
    <xf numFmtId="0" fontId="30" fillId="0" borderId="49" xfId="0" applyFont="1" applyBorder="1"/>
    <xf numFmtId="0" fontId="30" fillId="17" borderId="51" xfId="0" applyFont="1" applyFill="1" applyBorder="1"/>
    <xf numFmtId="0" fontId="30" fillId="17" borderId="53" xfId="0" applyFont="1" applyFill="1" applyBorder="1"/>
    <xf numFmtId="0" fontId="30" fillId="0" borderId="53" xfId="0" applyFont="1" applyFill="1" applyBorder="1"/>
    <xf numFmtId="0" fontId="5" fillId="28" borderId="72" xfId="0" applyFont="1" applyFill="1" applyBorder="1"/>
    <xf numFmtId="0" fontId="5" fillId="28" borderId="73" xfId="0" applyFont="1" applyFill="1" applyBorder="1"/>
    <xf numFmtId="0" fontId="5" fillId="28" borderId="74" xfId="0" applyFont="1" applyFill="1" applyBorder="1"/>
    <xf numFmtId="0" fontId="5" fillId="28" borderId="75" xfId="0" applyFont="1" applyFill="1" applyBorder="1"/>
    <xf numFmtId="0" fontId="5" fillId="28" borderId="19" xfId="0" applyFont="1" applyFill="1" applyBorder="1"/>
    <xf numFmtId="0" fontId="5" fillId="34" borderId="58" xfId="0" applyFont="1" applyFill="1" applyBorder="1"/>
    <xf numFmtId="0" fontId="5" fillId="34" borderId="76" xfId="0" applyFont="1" applyFill="1" applyBorder="1"/>
    <xf numFmtId="0" fontId="5" fillId="34" borderId="60" xfId="0" applyFont="1" applyFill="1" applyBorder="1"/>
    <xf numFmtId="0" fontId="3" fillId="13" borderId="14" xfId="0" applyFont="1" applyFill="1" applyBorder="1" applyAlignment="1">
      <alignment vertical="center" textRotation="90" wrapText="1"/>
    </xf>
    <xf numFmtId="0" fontId="3" fillId="13" borderId="38" xfId="0" applyFont="1" applyFill="1" applyBorder="1" applyAlignment="1">
      <alignment horizontal="center" vertical="center" textRotation="90" wrapText="1"/>
    </xf>
    <xf numFmtId="0" fontId="3" fillId="13" borderId="40" xfId="0" applyFont="1" applyFill="1" applyBorder="1" applyAlignment="1">
      <alignment horizontal="center" vertical="center" textRotation="90" wrapText="1"/>
    </xf>
    <xf numFmtId="0" fontId="3" fillId="24" borderId="69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 wrapText="1"/>
    </xf>
    <xf numFmtId="164" fontId="18" fillId="5" borderId="65" xfId="1" applyNumberFormat="1" applyFont="1" applyFill="1" applyBorder="1" applyAlignment="1">
      <alignment horizontal="center" vertical="center"/>
    </xf>
    <xf numFmtId="0" fontId="3" fillId="29" borderId="32" xfId="0" applyNumberFormat="1" applyFont="1" applyFill="1" applyBorder="1" applyAlignment="1">
      <alignment horizontal="center" vertical="center"/>
    </xf>
    <xf numFmtId="1" fontId="3" fillId="0" borderId="32" xfId="0" applyNumberFormat="1" applyFont="1" applyFill="1" applyBorder="1" applyAlignment="1">
      <alignment horizontal="center" vertical="center"/>
    </xf>
    <xf numFmtId="1" fontId="3" fillId="0" borderId="68" xfId="0" applyNumberFormat="1" applyFont="1" applyFill="1" applyBorder="1" applyAlignment="1">
      <alignment horizontal="center" vertical="center"/>
    </xf>
    <xf numFmtId="0" fontId="8" fillId="24" borderId="49" xfId="0" applyFont="1" applyFill="1" applyBorder="1"/>
    <xf numFmtId="0" fontId="8" fillId="24" borderId="57" xfId="0" applyFont="1" applyFill="1" applyBorder="1"/>
    <xf numFmtId="0" fontId="8" fillId="24" borderId="55" xfId="0" applyFont="1" applyFill="1" applyBorder="1"/>
    <xf numFmtId="0" fontId="8" fillId="30" borderId="54" xfId="0" applyFont="1" applyFill="1" applyBorder="1"/>
    <xf numFmtId="0" fontId="8" fillId="30" borderId="50" xfId="0" applyFont="1" applyFill="1" applyBorder="1"/>
    <xf numFmtId="0" fontId="8" fillId="24" borderId="59" xfId="0" applyFont="1" applyFill="1" applyBorder="1"/>
    <xf numFmtId="0" fontId="8" fillId="24" borderId="58" xfId="0" applyFont="1" applyFill="1" applyBorder="1"/>
    <xf numFmtId="0" fontId="8" fillId="24" borderId="60" xfId="0" applyFont="1" applyFill="1" applyBorder="1"/>
    <xf numFmtId="0" fontId="8" fillId="24" borderId="0" xfId="0" applyFont="1" applyFill="1" applyBorder="1"/>
    <xf numFmtId="0" fontId="3" fillId="13" borderId="9" xfId="0" applyFont="1" applyFill="1" applyBorder="1" applyAlignment="1">
      <alignment horizontal="left" vertical="center"/>
    </xf>
    <xf numFmtId="0" fontId="3" fillId="13" borderId="9" xfId="0" applyFont="1" applyFill="1" applyBorder="1" applyAlignment="1">
      <alignment horizontal="left" vertical="center" wrapText="1"/>
    </xf>
    <xf numFmtId="0" fontId="3" fillId="29" borderId="9" xfId="0" applyFont="1" applyFill="1" applyBorder="1" applyAlignment="1">
      <alignment vertical="center" wrapText="1"/>
    </xf>
    <xf numFmtId="0" fontId="3" fillId="29" borderId="10" xfId="0" applyFont="1" applyFill="1" applyBorder="1" applyAlignment="1">
      <alignment vertical="center" wrapText="1"/>
    </xf>
    <xf numFmtId="0" fontId="3" fillId="29" borderId="33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 wrapText="1"/>
    </xf>
    <xf numFmtId="164" fontId="3" fillId="13" borderId="43" xfId="0" applyNumberFormat="1" applyFont="1" applyFill="1" applyBorder="1" applyAlignment="1">
      <alignment horizontal="center" vertical="center" wrapText="1"/>
    </xf>
    <xf numFmtId="1" fontId="3" fillId="29" borderId="6" xfId="0" applyNumberFormat="1" applyFont="1" applyFill="1" applyBorder="1" applyAlignment="1">
      <alignment horizontal="center" vertical="center"/>
    </xf>
    <xf numFmtId="1" fontId="3" fillId="29" borderId="32" xfId="0" applyNumberFormat="1" applyFont="1" applyFill="1" applyBorder="1" applyAlignment="1">
      <alignment horizontal="center" vertical="center"/>
    </xf>
    <xf numFmtId="1" fontId="3" fillId="29" borderId="14" xfId="0" applyNumberFormat="1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0" fontId="8" fillId="0" borderId="88" xfId="0" applyFont="1" applyFill="1" applyBorder="1" applyAlignment="1">
      <alignment horizontal="center" vertical="center"/>
    </xf>
    <xf numFmtId="0" fontId="8" fillId="0" borderId="91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8" fillId="0" borderId="43" xfId="0" applyNumberFormat="1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3" fillId="24" borderId="0" xfId="0" applyFont="1" applyFill="1" applyAlignment="1"/>
    <xf numFmtId="0" fontId="3" fillId="0" borderId="70" xfId="0" applyFont="1" applyBorder="1" applyAlignment="1"/>
    <xf numFmtId="0" fontId="3" fillId="24" borderId="0" xfId="0" applyFont="1" applyFill="1" applyBorder="1" applyAlignment="1"/>
    <xf numFmtId="2" fontId="3" fillId="29" borderId="1" xfId="0" applyNumberFormat="1" applyFont="1" applyFill="1" applyBorder="1" applyAlignment="1">
      <alignment horizontal="center" vertical="center"/>
    </xf>
    <xf numFmtId="0" fontId="6" fillId="23" borderId="35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24" borderId="52" xfId="0" applyFont="1" applyFill="1" applyBorder="1"/>
    <xf numFmtId="0" fontId="8" fillId="24" borderId="20" xfId="0" applyFont="1" applyFill="1" applyBorder="1"/>
    <xf numFmtId="0" fontId="8" fillId="30" borderId="51" xfId="0" applyFont="1" applyFill="1" applyBorder="1"/>
    <xf numFmtId="0" fontId="8" fillId="30" borderId="5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25" borderId="22" xfId="0" applyFont="1" applyFill="1" applyBorder="1" applyAlignment="1"/>
    <xf numFmtId="0" fontId="8" fillId="34" borderId="58" xfId="0" applyFont="1" applyFill="1" applyBorder="1"/>
    <xf numFmtId="0" fontId="8" fillId="34" borderId="76" xfId="0" applyFont="1" applyFill="1" applyBorder="1"/>
    <xf numFmtId="0" fontId="8" fillId="34" borderId="60" xfId="0" applyFont="1" applyFill="1" applyBorder="1"/>
    <xf numFmtId="0" fontId="5" fillId="0" borderId="1" xfId="0" applyFont="1" applyBorder="1" applyAlignment="1">
      <alignment horizontal="center"/>
    </xf>
    <xf numFmtId="0" fontId="5" fillId="0" borderId="75" xfId="0" applyFont="1" applyBorder="1"/>
    <xf numFmtId="0" fontId="5" fillId="0" borderId="74" xfId="0" applyFont="1" applyBorder="1"/>
    <xf numFmtId="0" fontId="5" fillId="0" borderId="102" xfId="0" applyFont="1" applyBorder="1"/>
    <xf numFmtId="0" fontId="8" fillId="0" borderId="42" xfId="0" applyFont="1" applyBorder="1"/>
    <xf numFmtId="0" fontId="8" fillId="0" borderId="103" xfId="0" applyFont="1" applyBorder="1"/>
    <xf numFmtId="0" fontId="8" fillId="0" borderId="4" xfId="0" applyFont="1" applyBorder="1"/>
    <xf numFmtId="0" fontId="8" fillId="0" borderId="102" xfId="0" applyFont="1" applyBorder="1"/>
    <xf numFmtId="0" fontId="8" fillId="0" borderId="104" xfId="0" applyFont="1" applyBorder="1"/>
    <xf numFmtId="0" fontId="8" fillId="17" borderId="104" xfId="0" applyFont="1" applyFill="1" applyBorder="1"/>
    <xf numFmtId="0" fontId="8" fillId="17" borderId="102" xfId="0" applyFont="1" applyFill="1" applyBorder="1"/>
    <xf numFmtId="0" fontId="5" fillId="0" borderId="4" xfId="0" applyFont="1" applyBorder="1"/>
    <xf numFmtId="0" fontId="5" fillId="25" borderId="75" xfId="0" applyFont="1" applyFill="1" applyBorder="1"/>
    <xf numFmtId="0" fontId="5" fillId="25" borderId="74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/>
    </xf>
    <xf numFmtId="164" fontId="3" fillId="0" borderId="7" xfId="0" applyNumberFormat="1" applyFont="1" applyBorder="1"/>
    <xf numFmtId="164" fontId="3" fillId="29" borderId="10" xfId="0" applyNumberFormat="1" applyFont="1" applyFill="1" applyBorder="1" applyAlignment="1">
      <alignment horizontal="center" vertical="center"/>
    </xf>
    <xf numFmtId="0" fontId="3" fillId="0" borderId="97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3" fillId="0" borderId="3" xfId="0" applyFont="1" applyFill="1" applyBorder="1"/>
    <xf numFmtId="0" fontId="3" fillId="0" borderId="16" xfId="0" applyFont="1" applyFill="1" applyBorder="1"/>
    <xf numFmtId="0" fontId="31" fillId="0" borderId="0" xfId="0" applyFont="1" applyBorder="1" applyAlignment="1">
      <alignment vertical="center"/>
    </xf>
    <xf numFmtId="0" fontId="3" fillId="0" borderId="15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29" borderId="18" xfId="0" applyFont="1" applyFill="1" applyBorder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3" fillId="29" borderId="17" xfId="0" applyFont="1" applyFill="1" applyBorder="1" applyAlignment="1">
      <alignment horizontal="center"/>
    </xf>
    <xf numFmtId="0" fontId="3" fillId="0" borderId="91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8" fillId="37" borderId="6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3" fillId="29" borderId="45" xfId="0" applyNumberFormat="1" applyFont="1" applyFill="1" applyBorder="1" applyAlignment="1">
      <alignment horizontal="center" vertical="center"/>
    </xf>
    <xf numFmtId="1" fontId="3" fillId="29" borderId="11" xfId="0" applyNumberFormat="1" applyFont="1" applyFill="1" applyBorder="1" applyAlignment="1">
      <alignment horizontal="center" vertical="center"/>
    </xf>
    <xf numFmtId="1" fontId="3" fillId="29" borderId="7" xfId="0" applyNumberFormat="1" applyFont="1" applyFill="1" applyBorder="1" applyAlignment="1">
      <alignment horizontal="center" vertical="center"/>
    </xf>
    <xf numFmtId="1" fontId="3" fillId="14" borderId="9" xfId="0" applyNumberFormat="1" applyFont="1" applyFill="1" applyBorder="1" applyAlignment="1">
      <alignment horizontal="center" vertical="center" wrapText="1"/>
    </xf>
    <xf numFmtId="1" fontId="3" fillId="25" borderId="9" xfId="0" applyNumberFormat="1" applyFont="1" applyFill="1" applyBorder="1" applyAlignment="1">
      <alignment horizontal="center" vertical="center" wrapText="1"/>
    </xf>
    <xf numFmtId="1" fontId="3" fillId="14" borderId="24" xfId="0" applyNumberFormat="1" applyFont="1" applyFill="1" applyBorder="1" applyAlignment="1">
      <alignment horizontal="center" vertical="center" wrapText="1"/>
    </xf>
    <xf numFmtId="1" fontId="3" fillId="29" borderId="23" xfId="0" applyNumberFormat="1" applyFont="1" applyFill="1" applyBorder="1" applyAlignment="1">
      <alignment horizontal="center" vertical="center" wrapText="1"/>
    </xf>
    <xf numFmtId="1" fontId="3" fillId="13" borderId="39" xfId="0" applyNumberFormat="1" applyFont="1" applyFill="1" applyBorder="1" applyAlignment="1">
      <alignment horizontal="center"/>
    </xf>
    <xf numFmtId="1" fontId="3" fillId="13" borderId="12" xfId="0" applyNumberFormat="1" applyFont="1" applyFill="1" applyBorder="1" applyAlignment="1">
      <alignment horizontal="center"/>
    </xf>
    <xf numFmtId="1" fontId="3" fillId="13" borderId="12" xfId="0" applyNumberFormat="1" applyFont="1" applyFill="1" applyBorder="1" applyAlignment="1">
      <alignment horizontal="center" vertical="center" wrapText="1"/>
    </xf>
    <xf numFmtId="1" fontId="3" fillId="8" borderId="12" xfId="0" applyNumberFormat="1" applyFont="1" applyFill="1" applyBorder="1" applyAlignment="1">
      <alignment horizontal="center" vertical="center" wrapText="1"/>
    </xf>
    <xf numFmtId="1" fontId="3" fillId="13" borderId="19" xfId="0" applyNumberFormat="1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1" fontId="3" fillId="14" borderId="19" xfId="0" applyNumberFormat="1" applyFont="1" applyFill="1" applyBorder="1" applyAlignment="1">
      <alignment horizontal="center" vertical="center"/>
    </xf>
    <xf numFmtId="1" fontId="3" fillId="13" borderId="19" xfId="0" applyNumberFormat="1" applyFont="1" applyFill="1" applyBorder="1" applyAlignment="1">
      <alignment horizontal="center" vertical="center" wrapText="1"/>
    </xf>
    <xf numFmtId="1" fontId="3" fillId="14" borderId="19" xfId="0" applyNumberFormat="1" applyFont="1" applyFill="1" applyBorder="1" applyAlignment="1">
      <alignment horizontal="center" vertical="center" wrapText="1"/>
    </xf>
    <xf numFmtId="1" fontId="3" fillId="14" borderId="27" xfId="0" applyNumberFormat="1" applyFont="1" applyFill="1" applyBorder="1" applyAlignment="1">
      <alignment horizontal="center" vertical="center" wrapText="1"/>
    </xf>
    <xf numFmtId="1" fontId="3" fillId="14" borderId="7" xfId="0" applyNumberFormat="1" applyFont="1" applyFill="1" applyBorder="1" applyAlignment="1">
      <alignment horizontal="center" vertical="center" wrapText="1"/>
    </xf>
    <xf numFmtId="1" fontId="3" fillId="13" borderId="26" xfId="0" applyNumberFormat="1" applyFont="1" applyFill="1" applyBorder="1" applyAlignment="1">
      <alignment horizontal="center"/>
    </xf>
    <xf numFmtId="1" fontId="3" fillId="13" borderId="6" xfId="0" applyNumberFormat="1" applyFont="1" applyFill="1" applyBorder="1" applyAlignment="1">
      <alignment horizontal="center"/>
    </xf>
    <xf numFmtId="1" fontId="3" fillId="13" borderId="6" xfId="0" applyNumberFormat="1" applyFont="1" applyFill="1" applyBorder="1" applyAlignment="1">
      <alignment horizontal="center" vertical="center" wrapText="1"/>
    </xf>
    <xf numFmtId="1" fontId="3" fillId="8" borderId="6" xfId="0" applyNumberFormat="1" applyFont="1" applyFill="1" applyBorder="1" applyAlignment="1">
      <alignment horizontal="center" vertical="center" wrapText="1"/>
    </xf>
    <xf numFmtId="1" fontId="3" fillId="14" borderId="40" xfId="0" applyNumberFormat="1" applyFont="1" applyFill="1" applyBorder="1" applyAlignment="1">
      <alignment horizontal="center" vertical="center" wrapText="1"/>
    </xf>
    <xf numFmtId="1" fontId="3" fillId="14" borderId="14" xfId="0" applyNumberFormat="1" applyFont="1" applyFill="1" applyBorder="1" applyAlignment="1">
      <alignment horizontal="center" vertical="center" wrapText="1"/>
    </xf>
    <xf numFmtId="1" fontId="18" fillId="5" borderId="21" xfId="1" applyNumberFormat="1" applyFont="1" applyFill="1" applyBorder="1" applyAlignment="1">
      <alignment horizontal="center" vertical="center"/>
    </xf>
    <xf numFmtId="1" fontId="18" fillId="5" borderId="22" xfId="1" applyNumberFormat="1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1" fontId="11" fillId="3" borderId="23" xfId="0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/>
    </xf>
    <xf numFmtId="0" fontId="3" fillId="0" borderId="34" xfId="0" applyFont="1" applyBorder="1" applyAlignment="1">
      <alignment horizontal="center" vertical="center" wrapText="1"/>
    </xf>
    <xf numFmtId="0" fontId="3" fillId="29" borderId="10" xfId="0" applyFont="1" applyFill="1" applyBorder="1" applyAlignment="1">
      <alignment horizontal="center" vertical="center" wrapText="1"/>
    </xf>
    <xf numFmtId="0" fontId="8" fillId="37" borderId="2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51" xfId="0" applyFont="1" applyBorder="1"/>
    <xf numFmtId="0" fontId="22" fillId="0" borderId="49" xfId="0" applyFont="1" applyBorder="1"/>
    <xf numFmtId="0" fontId="22" fillId="0" borderId="52" xfId="0" applyFont="1" applyBorder="1"/>
    <xf numFmtId="0" fontId="22" fillId="0" borderId="20" xfId="0" applyFont="1" applyBorder="1"/>
    <xf numFmtId="0" fontId="22" fillId="0" borderId="53" xfId="0" applyFont="1" applyBorder="1"/>
    <xf numFmtId="0" fontId="22" fillId="17" borderId="51" xfId="0" applyFont="1" applyFill="1" applyBorder="1"/>
    <xf numFmtId="0" fontId="22" fillId="17" borderId="53" xfId="0" applyFont="1" applyFill="1" applyBorder="1"/>
    <xf numFmtId="0" fontId="22" fillId="0" borderId="53" xfId="0" applyFont="1" applyFill="1" applyBorder="1"/>
    <xf numFmtId="0" fontId="22" fillId="0" borderId="0" xfId="0" applyFont="1" applyBorder="1"/>
    <xf numFmtId="0" fontId="22" fillId="0" borderId="50" xfId="0" applyFont="1" applyBorder="1"/>
    <xf numFmtId="0" fontId="22" fillId="0" borderId="57" xfId="0" applyFont="1" applyBorder="1"/>
    <xf numFmtId="0" fontId="22" fillId="0" borderId="55" xfId="0" applyFont="1" applyBorder="1"/>
    <xf numFmtId="0" fontId="22" fillId="0" borderId="56" xfId="0" applyFont="1" applyBorder="1"/>
    <xf numFmtId="0" fontId="22" fillId="0" borderId="54" xfId="0" applyFont="1" applyBorder="1"/>
    <xf numFmtId="0" fontId="22" fillId="17" borderId="54" xfId="0" applyFont="1" applyFill="1" applyBorder="1"/>
    <xf numFmtId="0" fontId="22" fillId="17" borderId="50" xfId="0" applyFont="1" applyFill="1" applyBorder="1"/>
    <xf numFmtId="0" fontId="22" fillId="0" borderId="50" xfId="0" applyFont="1" applyFill="1" applyBorder="1"/>
    <xf numFmtId="0" fontId="22" fillId="24" borderId="51" xfId="0" applyFont="1" applyFill="1" applyBorder="1"/>
    <xf numFmtId="0" fontId="22" fillId="24" borderId="49" xfId="0" applyFont="1" applyFill="1" applyBorder="1"/>
    <xf numFmtId="0" fontId="22" fillId="24" borderId="52" xfId="0" applyFont="1" applyFill="1" applyBorder="1"/>
    <xf numFmtId="0" fontId="22" fillId="24" borderId="20" xfId="0" applyFont="1" applyFill="1" applyBorder="1"/>
    <xf numFmtId="0" fontId="22" fillId="24" borderId="53" xfId="0" applyFont="1" applyFill="1" applyBorder="1"/>
    <xf numFmtId="0" fontId="22" fillId="30" borderId="51" xfId="0" applyFont="1" applyFill="1" applyBorder="1"/>
    <xf numFmtId="0" fontId="22" fillId="30" borderId="53" xfId="0" applyFont="1" applyFill="1" applyBorder="1"/>
    <xf numFmtId="0" fontId="22" fillId="24" borderId="72" xfId="0" applyFont="1" applyFill="1" applyBorder="1"/>
    <xf numFmtId="0" fontId="22" fillId="24" borderId="73" xfId="0" applyFont="1" applyFill="1" applyBorder="1"/>
    <xf numFmtId="0" fontId="22" fillId="24" borderId="74" xfId="0" applyFont="1" applyFill="1" applyBorder="1"/>
    <xf numFmtId="0" fontId="22" fillId="24" borderId="75" xfId="0" applyFont="1" applyFill="1" applyBorder="1"/>
    <xf numFmtId="0" fontId="22" fillId="30" borderId="75" xfId="0" applyFont="1" applyFill="1" applyBorder="1"/>
    <xf numFmtId="0" fontId="22" fillId="30" borderId="81" xfId="0" applyFont="1" applyFill="1" applyBorder="1"/>
    <xf numFmtId="0" fontId="22" fillId="24" borderId="19" xfId="0" applyFont="1" applyFill="1" applyBorder="1"/>
    <xf numFmtId="0" fontId="22" fillId="30" borderId="72" xfId="0" applyFont="1" applyFill="1" applyBorder="1"/>
    <xf numFmtId="0" fontId="22" fillId="11" borderId="2" xfId="0" applyFont="1" applyFill="1" applyBorder="1" applyAlignment="1">
      <alignment horizontal="center" vertical="center"/>
    </xf>
    <xf numFmtId="0" fontId="22" fillId="24" borderId="50" xfId="0" applyFont="1" applyFill="1" applyBorder="1"/>
    <xf numFmtId="0" fontId="22" fillId="24" borderId="57" xfId="0" applyFont="1" applyFill="1" applyBorder="1"/>
    <xf numFmtId="0" fontId="22" fillId="24" borderId="55" xfId="0" applyFont="1" applyFill="1" applyBorder="1"/>
    <xf numFmtId="0" fontId="22" fillId="24" borderId="56" xfId="0" applyFont="1" applyFill="1" applyBorder="1"/>
    <xf numFmtId="0" fontId="22" fillId="24" borderId="54" xfId="0" applyFont="1" applyFill="1" applyBorder="1"/>
    <xf numFmtId="0" fontId="22" fillId="30" borderId="54" xfId="0" applyFont="1" applyFill="1" applyBorder="1"/>
    <xf numFmtId="0" fontId="22" fillId="30" borderId="50" xfId="0" applyFont="1" applyFill="1" applyBorder="1"/>
    <xf numFmtId="0" fontId="22" fillId="0" borderId="43" xfId="0" applyFont="1" applyFill="1" applyBorder="1" applyAlignment="1">
      <alignment horizontal="center" vertical="center"/>
    </xf>
    <xf numFmtId="0" fontId="22" fillId="24" borderId="60" xfId="0" applyFont="1" applyFill="1" applyBorder="1"/>
    <xf numFmtId="0" fontId="22" fillId="24" borderId="0" xfId="0" applyFont="1" applyFill="1" applyBorder="1"/>
    <xf numFmtId="0" fontId="22" fillId="24" borderId="71" xfId="0" applyFont="1" applyFill="1" applyBorder="1"/>
    <xf numFmtId="0" fontId="22" fillId="24" borderId="59" xfId="0" applyFont="1" applyFill="1" applyBorder="1"/>
    <xf numFmtId="0" fontId="22" fillId="24" borderId="58" xfId="0" applyFont="1" applyFill="1" applyBorder="1"/>
    <xf numFmtId="0" fontId="22" fillId="30" borderId="58" xfId="0" applyFont="1" applyFill="1" applyBorder="1"/>
    <xf numFmtId="0" fontId="22" fillId="30" borderId="60" xfId="0" applyFont="1" applyFill="1" applyBorder="1"/>
    <xf numFmtId="0" fontId="5" fillId="0" borderId="22" xfId="0" applyFont="1" applyBorder="1" applyAlignment="1">
      <alignment horizontal="left" vertical="center"/>
    </xf>
    <xf numFmtId="0" fontId="8" fillId="0" borderId="22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22" fillId="37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2" fillId="0" borderId="72" xfId="0" applyFont="1" applyFill="1" applyBorder="1"/>
    <xf numFmtId="0" fontId="22" fillId="0" borderId="73" xfId="0" applyFont="1" applyFill="1" applyBorder="1"/>
    <xf numFmtId="0" fontId="22" fillId="0" borderId="74" xfId="0" applyFont="1" applyFill="1" applyBorder="1"/>
    <xf numFmtId="0" fontId="22" fillId="0" borderId="75" xfId="0" applyFont="1" applyFill="1" applyBorder="1"/>
    <xf numFmtId="0" fontId="22" fillId="0" borderId="81" xfId="0" applyFont="1" applyFill="1" applyBorder="1"/>
    <xf numFmtId="0" fontId="22" fillId="0" borderId="19" xfId="0" applyFont="1" applyFill="1" applyBorder="1"/>
    <xf numFmtId="1" fontId="3" fillId="23" borderId="1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29" borderId="14" xfId="0" applyFont="1" applyFill="1" applyBorder="1" applyAlignment="1">
      <alignment vertical="center"/>
    </xf>
    <xf numFmtId="1" fontId="3" fillId="0" borderId="14" xfId="0" applyNumberFormat="1" applyFont="1" applyFill="1" applyBorder="1" applyAlignment="1">
      <alignment horizontal="center"/>
    </xf>
    <xf numFmtId="0" fontId="3" fillId="0" borderId="14" xfId="0" applyFont="1" applyBorder="1"/>
    <xf numFmtId="0" fontId="4" fillId="0" borderId="1" xfId="0" applyFont="1" applyBorder="1"/>
    <xf numFmtId="49" fontId="4" fillId="0" borderId="43" xfId="1" applyNumberFormat="1" applyFont="1" applyFill="1" applyBorder="1" applyAlignment="1">
      <alignment horizontal="center"/>
    </xf>
    <xf numFmtId="49" fontId="18" fillId="0" borderId="43" xfId="1" applyNumberFormat="1" applyFont="1" applyFill="1" applyBorder="1" applyAlignment="1">
      <alignment horizontal="center" vertical="center"/>
    </xf>
    <xf numFmtId="49" fontId="18" fillId="0" borderId="17" xfId="1" applyNumberFormat="1" applyFont="1" applyFill="1" applyBorder="1" applyAlignment="1">
      <alignment horizontal="center" vertical="center"/>
    </xf>
    <xf numFmtId="49" fontId="4" fillId="0" borderId="18" xfId="1" applyNumberFormat="1" applyFont="1" applyFill="1" applyBorder="1" applyAlignment="1">
      <alignment horizontal="center"/>
    </xf>
    <xf numFmtId="49" fontId="4" fillId="0" borderId="2" xfId="1" applyNumberFormat="1" applyFont="1" applyFill="1" applyBorder="1" applyAlignment="1">
      <alignment horizontal="center"/>
    </xf>
    <xf numFmtId="49" fontId="4" fillId="0" borderId="65" xfId="1" applyNumberFormat="1" applyFont="1" applyFill="1" applyBorder="1" applyAlignment="1">
      <alignment horizontal="center"/>
    </xf>
    <xf numFmtId="49" fontId="18" fillId="5" borderId="21" xfId="1" applyNumberFormat="1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3" fillId="0" borderId="46" xfId="0" applyFont="1" applyFill="1" applyBorder="1"/>
    <xf numFmtId="0" fontId="3" fillId="0" borderId="4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8" fillId="25" borderId="74" xfId="0" applyFont="1" applyFill="1" applyBorder="1"/>
    <xf numFmtId="0" fontId="22" fillId="30" borderId="76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8" fillId="37" borderId="2" xfId="0" applyFont="1" applyFill="1" applyBorder="1" applyAlignment="1">
      <alignment horizontal="center" vertical="center"/>
    </xf>
    <xf numFmtId="1" fontId="22" fillId="0" borderId="22" xfId="0" applyNumberFormat="1" applyFont="1" applyFill="1" applyBorder="1" applyAlignment="1">
      <alignment horizontal="center" vertical="center"/>
    </xf>
    <xf numFmtId="2" fontId="22" fillId="23" borderId="2" xfId="0" applyNumberFormat="1" applyFont="1" applyFill="1" applyBorder="1" applyAlignment="1">
      <alignment horizontal="center" vertical="center"/>
    </xf>
    <xf numFmtId="0" fontId="30" fillId="24" borderId="52" xfId="0" applyFont="1" applyFill="1" applyBorder="1"/>
    <xf numFmtId="0" fontId="30" fillId="24" borderId="20" xfId="0" applyFont="1" applyFill="1" applyBorder="1"/>
    <xf numFmtId="0" fontId="30" fillId="24" borderId="51" xfId="0" applyFont="1" applyFill="1" applyBorder="1"/>
    <xf numFmtId="0" fontId="30" fillId="24" borderId="53" xfId="0" applyFont="1" applyFill="1" applyBorder="1"/>
    <xf numFmtId="0" fontId="30" fillId="24" borderId="49" xfId="0" applyFont="1" applyFill="1" applyBorder="1"/>
    <xf numFmtId="0" fontId="30" fillId="30" borderId="51" xfId="0" applyFont="1" applyFill="1" applyBorder="1"/>
    <xf numFmtId="0" fontId="30" fillId="30" borderId="53" xfId="0" applyFont="1" applyFill="1" applyBorder="1"/>
    <xf numFmtId="0" fontId="8" fillId="24" borderId="80" xfId="0" applyFont="1" applyFill="1" applyBorder="1"/>
    <xf numFmtId="0" fontId="8" fillId="24" borderId="8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8" fillId="0" borderId="49" xfId="0" applyFont="1" applyFill="1" applyBorder="1"/>
    <xf numFmtId="0" fontId="8" fillId="0" borderId="52" xfId="0" applyFont="1" applyFill="1" applyBorder="1"/>
    <xf numFmtId="0" fontId="8" fillId="0" borderId="20" xfId="0" applyFont="1" applyFill="1" applyBorder="1"/>
    <xf numFmtId="0" fontId="8" fillId="0" borderId="51" xfId="0" applyFont="1" applyFill="1" applyBorder="1"/>
    <xf numFmtId="0" fontId="8" fillId="0" borderId="58" xfId="0" applyFont="1" applyFill="1" applyBorder="1"/>
    <xf numFmtId="0" fontId="8" fillId="0" borderId="76" xfId="0" applyFont="1" applyFill="1" applyBorder="1"/>
    <xf numFmtId="0" fontId="8" fillId="0" borderId="57" xfId="0" applyFont="1" applyFill="1" applyBorder="1"/>
    <xf numFmtId="0" fontId="8" fillId="0" borderId="55" xfId="0" applyFont="1" applyFill="1" applyBorder="1"/>
    <xf numFmtId="0" fontId="8" fillId="0" borderId="56" xfId="0" applyFont="1" applyFill="1" applyBorder="1"/>
    <xf numFmtId="0" fontId="8" fillId="0" borderId="54" xfId="0" applyFont="1" applyFill="1" applyBorder="1"/>
    <xf numFmtId="0" fontId="8" fillId="0" borderId="59" xfId="0" applyFont="1" applyFill="1" applyBorder="1"/>
    <xf numFmtId="164" fontId="3" fillId="13" borderId="6" xfId="0" applyNumberFormat="1" applyFont="1" applyFill="1" applyBorder="1"/>
    <xf numFmtId="0" fontId="6" fillId="29" borderId="26" xfId="0" applyFont="1" applyFill="1" applyBorder="1" applyAlignment="1">
      <alignment horizontal="left" vertical="center"/>
    </xf>
    <xf numFmtId="0" fontId="3" fillId="29" borderId="19" xfId="0" applyFont="1" applyFill="1" applyBorder="1" applyAlignment="1">
      <alignment horizontal="left" vertical="center"/>
    </xf>
    <xf numFmtId="0" fontId="3" fillId="29" borderId="40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/>
    </xf>
    <xf numFmtId="0" fontId="3" fillId="23" borderId="29" xfId="0" applyFont="1" applyFill="1" applyBorder="1" applyAlignment="1">
      <alignment horizontal="left" vertical="center"/>
    </xf>
    <xf numFmtId="0" fontId="3" fillId="37" borderId="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1" fontId="3" fillId="25" borderId="14" xfId="0" applyNumberFormat="1" applyFont="1" applyFill="1" applyBorder="1" applyAlignment="1">
      <alignment horizontal="center" vertical="center"/>
    </xf>
    <xf numFmtId="2" fontId="22" fillId="25" borderId="2" xfId="0" applyNumberFormat="1" applyFont="1" applyFill="1" applyBorder="1" applyAlignment="1">
      <alignment horizontal="center" vertical="center"/>
    </xf>
    <xf numFmtId="0" fontId="22" fillId="23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18" xfId="0" applyFont="1" applyBorder="1"/>
    <xf numFmtId="1" fontId="3" fillId="23" borderId="14" xfId="0" applyNumberFormat="1" applyFont="1" applyFill="1" applyBorder="1" applyAlignment="1">
      <alignment horizontal="center" vertical="center"/>
    </xf>
    <xf numFmtId="0" fontId="18" fillId="5" borderId="65" xfId="1" applyFont="1" applyFill="1" applyBorder="1" applyAlignment="1">
      <alignment horizontal="center" vertical="center" wrapText="1"/>
    </xf>
    <xf numFmtId="0" fontId="18" fillId="0" borderId="17" xfId="1" applyFont="1" applyFill="1" applyBorder="1" applyAlignment="1">
      <alignment horizontal="left" vertical="center"/>
    </xf>
    <xf numFmtId="0" fontId="18" fillId="0" borderId="18" xfId="1" applyFont="1" applyFill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15" xfId="0" applyFont="1" applyBorder="1"/>
    <xf numFmtId="0" fontId="3" fillId="0" borderId="3" xfId="0" applyFont="1" applyBorder="1"/>
    <xf numFmtId="0" fontId="3" fillId="29" borderId="2" xfId="0" applyFont="1" applyFill="1" applyBorder="1" applyAlignment="1">
      <alignment horizontal="center" vertical="center"/>
    </xf>
    <xf numFmtId="0" fontId="3" fillId="29" borderId="17" xfId="0" applyFont="1" applyFill="1" applyBorder="1" applyAlignment="1">
      <alignment horizontal="center" vertical="center"/>
    </xf>
    <xf numFmtId="0" fontId="3" fillId="29" borderId="18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4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45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164" fontId="3" fillId="33" borderId="68" xfId="0" applyNumberFormat="1" applyFont="1" applyFill="1" applyBorder="1" applyAlignment="1">
      <alignment horizontal="center" vertical="center" wrapText="1"/>
    </xf>
    <xf numFmtId="164" fontId="3" fillId="13" borderId="66" xfId="0" applyNumberFormat="1" applyFont="1" applyFill="1" applyBorder="1" applyAlignment="1">
      <alignment horizontal="center" vertical="center" wrapText="1"/>
    </xf>
    <xf numFmtId="164" fontId="3" fillId="29" borderId="3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164" fontId="3" fillId="29" borderId="28" xfId="0" applyNumberFormat="1" applyFont="1" applyFill="1" applyBorder="1" applyAlignment="1">
      <alignment horizontal="center"/>
    </xf>
    <xf numFmtId="164" fontId="3" fillId="29" borderId="6" xfId="0" applyNumberFormat="1" applyFont="1" applyFill="1" applyBorder="1" applyAlignment="1">
      <alignment horizontal="center"/>
    </xf>
    <xf numFmtId="164" fontId="3" fillId="29" borderId="85" xfId="0" applyNumberFormat="1" applyFont="1" applyFill="1" applyBorder="1" applyAlignment="1">
      <alignment horizontal="center"/>
    </xf>
    <xf numFmtId="164" fontId="3" fillId="29" borderId="26" xfId="0" applyNumberFormat="1" applyFont="1" applyFill="1" applyBorder="1" applyAlignment="1">
      <alignment horizontal="center"/>
    </xf>
    <xf numFmtId="0" fontId="3" fillId="14" borderId="28" xfId="0" applyFont="1" applyFill="1" applyBorder="1" applyAlignment="1">
      <alignment horizontal="center"/>
    </xf>
    <xf numFmtId="0" fontId="3" fillId="14" borderId="23" xfId="0" applyFont="1" applyFill="1" applyBorder="1" applyAlignment="1">
      <alignment horizontal="center"/>
    </xf>
    <xf numFmtId="0" fontId="3" fillId="0" borderId="96" xfId="0" applyFont="1" applyBorder="1" applyAlignment="1">
      <alignment horizontal="left" vertical="center"/>
    </xf>
    <xf numFmtId="49" fontId="4" fillId="0" borderId="41" xfId="1" applyNumberFormat="1" applyFont="1" applyFill="1" applyBorder="1" applyAlignment="1">
      <alignment horizontal="center"/>
    </xf>
    <xf numFmtId="0" fontId="18" fillId="0" borderId="41" xfId="1" applyFont="1" applyFill="1" applyBorder="1" applyAlignment="1" applyProtection="1">
      <alignment horizontal="left" vertical="center"/>
      <protection locked="0"/>
    </xf>
    <xf numFmtId="164" fontId="4" fillId="0" borderId="41" xfId="1" applyNumberFormat="1" applyFont="1" applyFill="1" applyBorder="1" applyAlignment="1">
      <alignment horizontal="center"/>
    </xf>
    <xf numFmtId="49" fontId="4" fillId="0" borderId="84" xfId="1" applyNumberFormat="1" applyFont="1" applyFill="1" applyBorder="1" applyAlignment="1">
      <alignment horizontal="center"/>
    </xf>
    <xf numFmtId="0" fontId="18" fillId="0" borderId="18" xfId="1" applyFont="1" applyFill="1" applyBorder="1" applyAlignment="1" applyProtection="1">
      <alignment horizontal="left" vertical="center"/>
      <protection locked="0"/>
    </xf>
    <xf numFmtId="0" fontId="18" fillId="0" borderId="2" xfId="1" applyFont="1" applyFill="1" applyBorder="1" applyAlignment="1">
      <alignment horizontal="left" vertical="center"/>
    </xf>
    <xf numFmtId="0" fontId="3" fillId="0" borderId="1" xfId="0" applyFont="1" applyBorder="1"/>
    <xf numFmtId="0" fontId="3" fillId="24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0" fillId="0" borderId="0" xfId="0" applyBorder="1"/>
    <xf numFmtId="0" fontId="22" fillId="0" borderId="48" xfId="0" applyFont="1" applyBorder="1"/>
    <xf numFmtId="0" fontId="22" fillId="0" borderId="15" xfId="0" applyFont="1" applyBorder="1"/>
    <xf numFmtId="0" fontId="22" fillId="0" borderId="3" xfId="0" applyFont="1" applyFill="1" applyBorder="1"/>
    <xf numFmtId="0" fontId="29" fillId="0" borderId="3" xfId="0" applyFont="1" applyFill="1" applyBorder="1" applyAlignment="1">
      <alignment horizontal="left" vertical="top" wrapText="1"/>
    </xf>
    <xf numFmtId="4" fontId="22" fillId="0" borderId="3" xfId="0" applyNumberFormat="1" applyFont="1" applyFill="1" applyBorder="1" applyAlignment="1">
      <alignment horizontal="left" vertical="top"/>
    </xf>
    <xf numFmtId="0" fontId="22" fillId="0" borderId="17" xfId="0" applyFont="1" applyBorder="1"/>
    <xf numFmtId="0" fontId="8" fillId="0" borderId="43" xfId="0" applyFont="1" applyFill="1" applyBorder="1" applyAlignment="1">
      <alignment horizontal="center" vertical="center"/>
    </xf>
    <xf numFmtId="0" fontId="18" fillId="5" borderId="21" xfId="1" applyFont="1" applyFill="1" applyBorder="1" applyAlignment="1">
      <alignment horizontal="center" vertical="center" wrapText="1"/>
    </xf>
    <xf numFmtId="1" fontId="4" fillId="0" borderId="2" xfId="1" applyNumberFormat="1" applyFont="1" applyFill="1" applyBorder="1" applyAlignment="1">
      <alignment horizontal="center"/>
    </xf>
    <xf numFmtId="1" fontId="4" fillId="0" borderId="17" xfId="1" applyNumberFormat="1" applyFont="1" applyFill="1" applyBorder="1" applyAlignment="1">
      <alignment horizontal="center"/>
    </xf>
    <xf numFmtId="1" fontId="4" fillId="0" borderId="18" xfId="1" applyNumberFormat="1" applyFont="1" applyFill="1" applyBorder="1" applyAlignment="1">
      <alignment horizontal="center"/>
    </xf>
    <xf numFmtId="1" fontId="4" fillId="0" borderId="43" xfId="1" applyNumberFormat="1" applyFont="1" applyFill="1" applyBorder="1" applyAlignment="1">
      <alignment horizontal="center"/>
    </xf>
    <xf numFmtId="1" fontId="4" fillId="0" borderId="41" xfId="1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 vertical="center"/>
    </xf>
    <xf numFmtId="164" fontId="4" fillId="0" borderId="17" xfId="1" applyNumberFormat="1" applyFont="1" applyFill="1" applyBorder="1" applyAlignment="1">
      <alignment horizontal="center" vertical="center"/>
    </xf>
    <xf numFmtId="164" fontId="4" fillId="0" borderId="18" xfId="1" applyNumberFormat="1" applyFont="1" applyFill="1" applyBorder="1" applyAlignment="1">
      <alignment horizontal="center" vertical="center"/>
    </xf>
    <xf numFmtId="164" fontId="4" fillId="0" borderId="43" xfId="1" applyNumberFormat="1" applyFont="1" applyFill="1" applyBorder="1" applyAlignment="1">
      <alignment horizontal="center" vertical="center"/>
    </xf>
    <xf numFmtId="164" fontId="4" fillId="0" borderId="41" xfId="1" applyNumberFormat="1" applyFont="1" applyFill="1" applyBorder="1" applyAlignment="1">
      <alignment horizontal="center" vertical="center"/>
    </xf>
    <xf numFmtId="164" fontId="4" fillId="0" borderId="43" xfId="1" applyNumberFormat="1" applyFont="1" applyFill="1" applyBorder="1" applyAlignment="1">
      <alignment horizontal="center"/>
    </xf>
    <xf numFmtId="164" fontId="4" fillId="0" borderId="66" xfId="1" applyNumberFormat="1" applyFont="1" applyFill="1" applyBorder="1" applyAlignment="1">
      <alignment horizontal="center"/>
    </xf>
    <xf numFmtId="49" fontId="18" fillId="5" borderId="49" xfId="1" applyNumberFormat="1" applyFont="1" applyFill="1" applyBorder="1" applyAlignment="1">
      <alignment horizontal="center" vertical="center"/>
    </xf>
    <xf numFmtId="49" fontId="4" fillId="0" borderId="85" xfId="1" applyNumberFormat="1" applyFont="1" applyFill="1" applyBorder="1" applyAlignment="1">
      <alignment horizontal="center"/>
    </xf>
    <xf numFmtId="49" fontId="4" fillId="0" borderId="57" xfId="1" applyNumberFormat="1" applyFont="1" applyFill="1" applyBorder="1" applyAlignment="1">
      <alignment horizontal="center"/>
    </xf>
    <xf numFmtId="49" fontId="18" fillId="5" borderId="77" xfId="1" applyNumberFormat="1" applyFont="1" applyFill="1" applyBorder="1" applyAlignment="1">
      <alignment horizontal="center" vertical="center"/>
    </xf>
    <xf numFmtId="49" fontId="4" fillId="0" borderId="17" xfId="1" applyNumberFormat="1" applyFont="1" applyFill="1" applyBorder="1" applyAlignment="1">
      <alignment horizontal="center"/>
    </xf>
    <xf numFmtId="0" fontId="3" fillId="0" borderId="41" xfId="0" applyFont="1" applyFill="1" applyBorder="1" applyAlignment="1">
      <alignment horizontal="left" vertical="center"/>
    </xf>
    <xf numFmtId="164" fontId="3" fillId="6" borderId="14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/>
    <xf numFmtId="164" fontId="3" fillId="29" borderId="40" xfId="0" applyNumberFormat="1" applyFont="1" applyFill="1" applyBorder="1" applyAlignment="1">
      <alignment horizontal="center" vertical="center"/>
    </xf>
    <xf numFmtId="164" fontId="3" fillId="29" borderId="68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/>
    </xf>
    <xf numFmtId="1" fontId="4" fillId="0" borderId="0" xfId="1" applyNumberFormat="1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8" fillId="0" borderId="43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left" vertical="center"/>
    </xf>
    <xf numFmtId="0" fontId="22" fillId="0" borderId="16" xfId="0" applyFont="1" applyBorder="1"/>
    <xf numFmtId="0" fontId="29" fillId="0" borderId="15" xfId="0" applyFont="1" applyFill="1" applyBorder="1" applyAlignment="1">
      <alignment horizontal="left" vertical="center" wrapText="1"/>
    </xf>
    <xf numFmtId="0" fontId="22" fillId="0" borderId="3" xfId="0" applyFont="1" applyBorder="1"/>
    <xf numFmtId="0" fontId="22" fillId="0" borderId="46" xfId="0" applyFont="1" applyBorder="1"/>
    <xf numFmtId="0" fontId="22" fillId="0" borderId="2" xfId="0" applyFont="1" applyFill="1" applyBorder="1"/>
    <xf numFmtId="0" fontId="22" fillId="0" borderId="17" xfId="0" applyFont="1" applyFill="1" applyBorder="1"/>
    <xf numFmtId="0" fontId="22" fillId="0" borderId="18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8" fillId="0" borderId="66" xfId="1" applyFont="1" applyFill="1" applyBorder="1" applyAlignment="1" applyProtection="1">
      <alignment horizontal="left" vertical="center"/>
      <protection locked="0"/>
    </xf>
    <xf numFmtId="49" fontId="4" fillId="0" borderId="6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center"/>
    </xf>
    <xf numFmtId="1" fontId="4" fillId="0" borderId="5" xfId="1" applyNumberFormat="1" applyFont="1" applyFill="1" applyBorder="1" applyAlignment="1">
      <alignment horizontal="center"/>
    </xf>
    <xf numFmtId="49" fontId="4" fillId="0" borderId="4" xfId="1" applyNumberFormat="1" applyFont="1" applyFill="1" applyBorder="1" applyAlignment="1">
      <alignment horizontal="center"/>
    </xf>
    <xf numFmtId="49" fontId="4" fillId="0" borderId="59" xfId="1" applyNumberFormat="1" applyFont="1" applyFill="1" applyBorder="1" applyAlignment="1">
      <alignment horizontal="center"/>
    </xf>
    <xf numFmtId="164" fontId="4" fillId="0" borderId="15" xfId="1" applyNumberFormat="1" applyFont="1" applyFill="1" applyBorder="1" applyAlignment="1">
      <alignment horizontal="center" vertical="center"/>
    </xf>
    <xf numFmtId="164" fontId="4" fillId="0" borderId="16" xfId="1" applyNumberFormat="1" applyFont="1" applyFill="1" applyBorder="1" applyAlignment="1">
      <alignment horizontal="center" vertical="center"/>
    </xf>
    <xf numFmtId="164" fontId="4" fillId="0" borderId="85" xfId="1" applyNumberFormat="1" applyFont="1" applyFill="1" applyBorder="1" applyAlignment="1">
      <alignment horizontal="center"/>
    </xf>
    <xf numFmtId="164" fontId="4" fillId="0" borderId="83" xfId="1" applyNumberFormat="1" applyFont="1" applyFill="1" applyBorder="1" applyAlignment="1">
      <alignment horizontal="center"/>
    </xf>
    <xf numFmtId="0" fontId="18" fillId="0" borderId="15" xfId="1" applyFont="1" applyFill="1" applyBorder="1" applyAlignment="1" applyProtection="1">
      <alignment horizontal="left" vertical="center"/>
      <protection locked="0"/>
    </xf>
    <xf numFmtId="0" fontId="18" fillId="0" borderId="3" xfId="1" applyFont="1" applyFill="1" applyBorder="1" applyAlignment="1" applyProtection="1">
      <alignment horizontal="left" vertical="center"/>
      <protection locked="0"/>
    </xf>
    <xf numFmtId="0" fontId="18" fillId="0" borderId="46" xfId="1" applyFont="1" applyFill="1" applyBorder="1" applyAlignment="1" applyProtection="1">
      <alignment horizontal="left" vertical="center"/>
      <protection locked="0"/>
    </xf>
    <xf numFmtId="0" fontId="18" fillId="0" borderId="16" xfId="1" applyFont="1" applyFill="1" applyBorder="1" applyAlignment="1" applyProtection="1">
      <alignment horizontal="left" vertical="center"/>
      <protection locked="0"/>
    </xf>
    <xf numFmtId="164" fontId="4" fillId="0" borderId="85" xfId="1" applyNumberFormat="1" applyFont="1" applyFill="1" applyBorder="1" applyAlignment="1">
      <alignment horizontal="center" vertical="center"/>
    </xf>
    <xf numFmtId="164" fontId="4" fillId="0" borderId="73" xfId="1" applyNumberFormat="1" applyFont="1" applyFill="1" applyBorder="1" applyAlignment="1">
      <alignment horizontal="center" vertical="center"/>
    </xf>
    <xf numFmtId="164" fontId="4" fillId="0" borderId="83" xfId="1" applyNumberFormat="1" applyFont="1" applyFill="1" applyBorder="1" applyAlignment="1">
      <alignment horizontal="center" vertical="center"/>
    </xf>
    <xf numFmtId="164" fontId="4" fillId="0" borderId="73" xfId="1" applyNumberFormat="1" applyFont="1" applyFill="1" applyBorder="1" applyAlignment="1">
      <alignment horizontal="center"/>
    </xf>
    <xf numFmtId="0" fontId="4" fillId="0" borderId="73" xfId="1" applyFont="1" applyFill="1" applyBorder="1"/>
    <xf numFmtId="0" fontId="4" fillId="0" borderId="84" xfId="1" applyFont="1" applyFill="1" applyBorder="1"/>
    <xf numFmtId="0" fontId="4" fillId="0" borderId="83" xfId="1" applyFont="1" applyFill="1" applyBorder="1"/>
    <xf numFmtId="49" fontId="4" fillId="0" borderId="88" xfId="1" applyNumberFormat="1" applyFont="1" applyFill="1" applyBorder="1" applyAlignment="1">
      <alignment horizontal="center"/>
    </xf>
    <xf numFmtId="49" fontId="4" fillId="0" borderId="74" xfId="1" applyNumberFormat="1" applyFont="1" applyFill="1" applyBorder="1" applyAlignment="1">
      <alignment horizontal="center"/>
    </xf>
    <xf numFmtId="0" fontId="4" fillId="0" borderId="74" xfId="1" applyFont="1" applyFill="1" applyBorder="1"/>
    <xf numFmtId="0" fontId="4" fillId="0" borderId="90" xfId="1" applyFont="1" applyFill="1" applyBorder="1"/>
    <xf numFmtId="0" fontId="4" fillId="0" borderId="89" xfId="1" applyFont="1" applyFill="1" applyBorder="1"/>
    <xf numFmtId="0" fontId="4" fillId="0" borderId="17" xfId="1" applyFont="1" applyFill="1" applyBorder="1"/>
    <xf numFmtId="0" fontId="4" fillId="0" borderId="41" xfId="1" applyFont="1" applyFill="1" applyBorder="1"/>
    <xf numFmtId="0" fontId="4" fillId="0" borderId="18" xfId="1" applyFont="1" applyFill="1" applyBorder="1"/>
    <xf numFmtId="0" fontId="6" fillId="0" borderId="21" xfId="1" applyFont="1" applyBorder="1" applyAlignment="1">
      <alignment horizontal="center" vertical="center"/>
    </xf>
    <xf numFmtId="0" fontId="6" fillId="0" borderId="66" xfId="1" applyFont="1" applyBorder="1" applyAlignment="1">
      <alignment horizontal="center" vertical="center"/>
    </xf>
    <xf numFmtId="0" fontId="6" fillId="0" borderId="65" xfId="1" applyFont="1" applyBorder="1" applyAlignment="1">
      <alignment horizontal="center" vertical="center"/>
    </xf>
    <xf numFmtId="0" fontId="18" fillId="9" borderId="64" xfId="1" applyFont="1" applyFill="1" applyBorder="1" applyAlignment="1">
      <alignment horizontal="center" vertical="center"/>
    </xf>
    <xf numFmtId="0" fontId="18" fillId="9" borderId="62" xfId="1" applyFont="1" applyFill="1" applyBorder="1" applyAlignment="1">
      <alignment horizontal="center" vertical="center"/>
    </xf>
    <xf numFmtId="0" fontId="18" fillId="9" borderId="20" xfId="1" applyFont="1" applyFill="1" applyBorder="1" applyAlignment="1">
      <alignment horizontal="center" vertical="center" wrapText="1"/>
    </xf>
    <xf numFmtId="0" fontId="18" fillId="9" borderId="59" xfId="1" applyFont="1" applyFill="1" applyBorder="1" applyAlignment="1">
      <alignment horizontal="center" vertical="center" wrapText="1"/>
    </xf>
    <xf numFmtId="0" fontId="18" fillId="9" borderId="56" xfId="1" applyFont="1" applyFill="1" applyBorder="1" applyAlignment="1">
      <alignment horizontal="center" vertical="center" wrapText="1"/>
    </xf>
    <xf numFmtId="0" fontId="18" fillId="9" borderId="21" xfId="1" applyFont="1" applyFill="1" applyBorder="1" applyAlignment="1">
      <alignment horizontal="center" textRotation="90" wrapText="1"/>
    </xf>
    <xf numFmtId="0" fontId="18" fillId="9" borderId="66" xfId="1" applyFont="1" applyFill="1" applyBorder="1" applyAlignment="1">
      <alignment horizontal="center" textRotation="90" wrapText="1"/>
    </xf>
    <xf numFmtId="0" fontId="18" fillId="9" borderId="65" xfId="1" applyFont="1" applyFill="1" applyBorder="1" applyAlignment="1">
      <alignment horizontal="center" textRotation="90" wrapText="1"/>
    </xf>
    <xf numFmtId="0" fontId="18" fillId="0" borderId="21" xfId="1" applyFont="1" applyBorder="1" applyAlignment="1">
      <alignment horizontal="center" vertical="center" wrapText="1"/>
    </xf>
    <xf numFmtId="0" fontId="18" fillId="0" borderId="66" xfId="1" applyFont="1" applyBorder="1" applyAlignment="1">
      <alignment horizontal="center" vertical="center" wrapText="1"/>
    </xf>
    <xf numFmtId="0" fontId="18" fillId="0" borderId="65" xfId="1" applyFont="1" applyBorder="1" applyAlignment="1">
      <alignment horizontal="center" vertical="center" wrapText="1"/>
    </xf>
    <xf numFmtId="0" fontId="18" fillId="9" borderId="64" xfId="1" applyFont="1" applyFill="1" applyBorder="1" applyAlignment="1">
      <alignment horizontal="center" vertical="center" wrapText="1"/>
    </xf>
    <xf numFmtId="0" fontId="18" fillId="9" borderId="77" xfId="1" applyFont="1" applyFill="1" applyBorder="1" applyAlignment="1">
      <alignment horizontal="center" vertical="center" wrapText="1"/>
    </xf>
    <xf numFmtId="0" fontId="18" fillId="9" borderId="62" xfId="1" applyFont="1" applyFill="1" applyBorder="1" applyAlignment="1">
      <alignment horizontal="center" vertical="center" wrapText="1"/>
    </xf>
    <xf numFmtId="0" fontId="18" fillId="9" borderId="21" xfId="1" applyFont="1" applyFill="1" applyBorder="1" applyAlignment="1">
      <alignment horizontal="center" vertical="center" textRotation="90" wrapText="1"/>
    </xf>
    <xf numFmtId="0" fontId="18" fillId="9" borderId="66" xfId="1" applyFont="1" applyFill="1" applyBorder="1" applyAlignment="1">
      <alignment horizontal="center" vertical="center" textRotation="90" wrapText="1"/>
    </xf>
    <xf numFmtId="0" fontId="18" fillId="9" borderId="65" xfId="1" applyFont="1" applyFill="1" applyBorder="1" applyAlignment="1">
      <alignment horizontal="center" vertical="center" textRotation="90" wrapText="1"/>
    </xf>
    <xf numFmtId="0" fontId="18" fillId="9" borderId="21" xfId="1" applyFont="1" applyFill="1" applyBorder="1" applyAlignment="1">
      <alignment horizontal="center" vertical="center" wrapText="1"/>
    </xf>
    <xf numFmtId="0" fontId="18" fillId="9" borderId="65" xfId="1" applyFont="1" applyFill="1" applyBorder="1" applyAlignment="1">
      <alignment horizontal="center" vertical="center" wrapText="1"/>
    </xf>
    <xf numFmtId="0" fontId="18" fillId="9" borderId="66" xfId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32" xfId="0" applyFont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textRotation="90" wrapText="1"/>
    </xf>
    <xf numFmtId="0" fontId="3" fillId="29" borderId="14" xfId="0" applyFont="1" applyFill="1" applyBorder="1" applyAlignment="1">
      <alignment horizontal="center" textRotation="90" wrapText="1"/>
    </xf>
    <xf numFmtId="0" fontId="3" fillId="29" borderId="24" xfId="0" applyFont="1" applyFill="1" applyBorder="1" applyAlignment="1">
      <alignment horizontal="center" textRotation="90" wrapText="1"/>
    </xf>
    <xf numFmtId="0" fontId="3" fillId="29" borderId="38" xfId="0" applyFont="1" applyFill="1" applyBorder="1" applyAlignment="1">
      <alignment horizont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3" fillId="0" borderId="32" xfId="0" applyFont="1" applyFill="1" applyBorder="1" applyAlignment="1">
      <alignment horizontal="center" vertical="center" textRotation="90" wrapText="1"/>
    </xf>
    <xf numFmtId="0" fontId="3" fillId="29" borderId="32" xfId="0" applyFont="1" applyFill="1" applyBorder="1" applyAlignment="1">
      <alignment horizontal="center" textRotation="90" wrapText="1"/>
    </xf>
    <xf numFmtId="0" fontId="3" fillId="0" borderId="93" xfId="0" applyFont="1" applyBorder="1" applyAlignment="1">
      <alignment horizontal="center" vertical="center" textRotation="90" wrapText="1"/>
    </xf>
    <xf numFmtId="0" fontId="3" fillId="0" borderId="67" xfId="0" applyFont="1" applyBorder="1" applyAlignment="1">
      <alignment horizontal="center" vertical="center" textRotation="90" wrapText="1"/>
    </xf>
    <xf numFmtId="0" fontId="3" fillId="29" borderId="1" xfId="0" applyFont="1" applyFill="1" applyBorder="1" applyAlignment="1">
      <alignment horizontal="center" vertical="center" textRotation="90" wrapText="1"/>
    </xf>
    <xf numFmtId="0" fontId="3" fillId="29" borderId="14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textRotation="90" wrapText="1"/>
    </xf>
    <xf numFmtId="0" fontId="3" fillId="0" borderId="40" xfId="0" applyFont="1" applyFill="1" applyBorder="1" applyAlignment="1">
      <alignment horizontal="center" vertical="center" textRotation="90" wrapText="1"/>
    </xf>
    <xf numFmtId="0" fontId="3" fillId="13" borderId="14" xfId="0" applyFont="1" applyFill="1" applyBorder="1" applyAlignment="1">
      <alignment horizontal="center" vertical="center" textRotation="90" wrapText="1"/>
    </xf>
    <xf numFmtId="0" fontId="3" fillId="13" borderId="32" xfId="0" applyFont="1" applyFill="1" applyBorder="1" applyAlignment="1">
      <alignment horizontal="center" vertical="center" textRotation="90" wrapText="1"/>
    </xf>
    <xf numFmtId="0" fontId="3" fillId="13" borderId="91" xfId="0" applyFont="1" applyFill="1" applyBorder="1" applyAlignment="1">
      <alignment horizontal="center" vertical="center" wrapText="1"/>
    </xf>
    <xf numFmtId="0" fontId="3" fillId="13" borderId="49" xfId="0" applyFont="1" applyFill="1" applyBorder="1" applyAlignment="1">
      <alignment horizontal="center" vertical="center" wrapText="1"/>
    </xf>
    <xf numFmtId="0" fontId="3" fillId="13" borderId="95" xfId="0" applyFont="1" applyFill="1" applyBorder="1" applyAlignment="1">
      <alignment horizontal="center" vertical="center" wrapText="1"/>
    </xf>
    <xf numFmtId="0" fontId="3" fillId="29" borderId="87" xfId="0" applyFont="1" applyFill="1" applyBorder="1" applyAlignment="1">
      <alignment horizontal="center" vertical="center" textRotation="90" wrapText="1"/>
    </xf>
    <xf numFmtId="0" fontId="3" fillId="29" borderId="68" xfId="0" applyFont="1" applyFill="1" applyBorder="1" applyAlignment="1">
      <alignment horizontal="center" vertical="center" textRotation="90" wrapText="1"/>
    </xf>
    <xf numFmtId="0" fontId="3" fillId="13" borderId="26" xfId="0" applyFont="1" applyFill="1" applyBorder="1" applyAlignment="1">
      <alignment horizontal="center" vertical="center" wrapText="1"/>
    </xf>
    <xf numFmtId="0" fontId="3" fillId="24" borderId="6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3" fillId="29" borderId="41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textRotation="90" wrapText="1"/>
    </xf>
    <xf numFmtId="0" fontId="3" fillId="13" borderId="67" xfId="0" applyFont="1" applyFill="1" applyBorder="1" applyAlignment="1">
      <alignment horizontal="center" vertical="center" textRotation="90" wrapText="1"/>
    </xf>
    <xf numFmtId="0" fontId="3" fillId="0" borderId="19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9" borderId="86" xfId="0" applyFont="1" applyFill="1" applyBorder="1" applyAlignment="1">
      <alignment horizontal="center" vertical="center" textRotation="90" wrapText="1"/>
    </xf>
    <xf numFmtId="0" fontId="3" fillId="29" borderId="70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10" fillId="14" borderId="91" xfId="0" applyFont="1" applyFill="1" applyBorder="1" applyAlignment="1">
      <alignment horizontal="center" vertical="center" textRotation="90"/>
    </xf>
    <xf numFmtId="0" fontId="10" fillId="14" borderId="49" xfId="0" applyFont="1" applyFill="1" applyBorder="1" applyAlignment="1">
      <alignment horizontal="center" vertical="center" textRotation="90"/>
    </xf>
    <xf numFmtId="0" fontId="10" fillId="14" borderId="95" xfId="0" applyFont="1" applyFill="1" applyBorder="1" applyAlignment="1">
      <alignment horizontal="center" vertical="center"/>
    </xf>
    <xf numFmtId="0" fontId="10" fillId="14" borderId="47" xfId="0" applyFont="1" applyFill="1" applyBorder="1" applyAlignment="1">
      <alignment horizontal="center" vertical="center"/>
    </xf>
    <xf numFmtId="0" fontId="10" fillId="14" borderId="0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/>
    </xf>
    <xf numFmtId="0" fontId="10" fillId="14" borderId="48" xfId="0" applyFont="1" applyFill="1" applyBorder="1" applyAlignment="1">
      <alignment horizontal="center" vertical="center"/>
    </xf>
    <xf numFmtId="0" fontId="10" fillId="14" borderId="57" xfId="0" applyFont="1" applyFill="1" applyBorder="1" applyAlignment="1">
      <alignment horizontal="center" vertical="center"/>
    </xf>
    <xf numFmtId="0" fontId="10" fillId="14" borderId="98" xfId="0" applyFont="1" applyFill="1" applyBorder="1" applyAlignment="1">
      <alignment horizontal="center" vertical="center"/>
    </xf>
    <xf numFmtId="0" fontId="6" fillId="14" borderId="91" xfId="0" applyFont="1" applyFill="1" applyBorder="1" applyAlignment="1">
      <alignment horizontal="center" vertical="center" textRotation="90"/>
    </xf>
    <xf numFmtId="0" fontId="6" fillId="14" borderId="49" xfId="0" applyFont="1" applyFill="1" applyBorder="1" applyAlignment="1">
      <alignment horizontal="center" vertical="center" textRotation="90"/>
    </xf>
    <xf numFmtId="0" fontId="6" fillId="14" borderId="95" xfId="0" applyFont="1" applyFill="1" applyBorder="1" applyAlignment="1"/>
    <xf numFmtId="0" fontId="6" fillId="14" borderId="47" xfId="0" applyFont="1" applyFill="1" applyBorder="1" applyAlignment="1">
      <alignment horizontal="center" vertical="center" textRotation="90"/>
    </xf>
    <xf numFmtId="0" fontId="6" fillId="14" borderId="0" xfId="0" applyFont="1" applyFill="1" applyBorder="1" applyAlignment="1">
      <alignment horizontal="center" vertical="center" textRotation="90"/>
    </xf>
    <xf numFmtId="0" fontId="6" fillId="14" borderId="13" xfId="0" applyFont="1" applyFill="1" applyBorder="1" applyAlignment="1"/>
    <xf numFmtId="0" fontId="8" fillId="0" borderId="41" xfId="0" applyFont="1" applyFill="1" applyBorder="1" applyAlignment="1">
      <alignment horizontal="center" vertical="center"/>
    </xf>
    <xf numFmtId="0" fontId="8" fillId="0" borderId="65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textRotation="90" wrapText="1"/>
    </xf>
    <xf numFmtId="0" fontId="5" fillId="0" borderId="29" xfId="0" applyFont="1" applyBorder="1" applyAlignment="1">
      <alignment horizontal="center" textRotation="90" wrapText="1"/>
    </xf>
    <xf numFmtId="0" fontId="5" fillId="0" borderId="30" xfId="0" applyFont="1" applyBorder="1" applyAlignment="1">
      <alignment horizontal="center" textRotation="90" wrapText="1"/>
    </xf>
    <xf numFmtId="0" fontId="5" fillId="0" borderId="11" xfId="0" applyFont="1" applyFill="1" applyBorder="1" applyAlignment="1">
      <alignment horizontal="center" textRotation="90" wrapText="1"/>
    </xf>
    <xf numFmtId="0" fontId="5" fillId="0" borderId="32" xfId="0" applyFont="1" applyFill="1" applyBorder="1" applyAlignment="1">
      <alignment horizontal="center" textRotation="90" wrapText="1"/>
    </xf>
    <xf numFmtId="0" fontId="5" fillId="0" borderId="34" xfId="0" applyFont="1" applyFill="1" applyBorder="1" applyAlignment="1">
      <alignment horizontal="center" textRotation="90" wrapText="1"/>
    </xf>
    <xf numFmtId="0" fontId="8" fillId="14" borderId="47" xfId="0" applyFont="1" applyFill="1" applyBorder="1" applyAlignment="1">
      <alignment horizontal="center" vertical="center"/>
    </xf>
    <xf numFmtId="0" fontId="10" fillId="14" borderId="95" xfId="0" applyFont="1" applyFill="1" applyBorder="1" applyAlignment="1">
      <alignment horizontal="center" vertical="center" textRotation="90"/>
    </xf>
    <xf numFmtId="0" fontId="10" fillId="14" borderId="47" xfId="0" applyFont="1" applyFill="1" applyBorder="1" applyAlignment="1">
      <alignment horizontal="center" vertical="center" textRotation="90"/>
    </xf>
    <xf numFmtId="0" fontId="10" fillId="14" borderId="0" xfId="0" applyFont="1" applyFill="1" applyBorder="1" applyAlignment="1">
      <alignment horizontal="center" vertical="center" textRotation="90"/>
    </xf>
    <xf numFmtId="0" fontId="10" fillId="14" borderId="13" xfId="0" applyFont="1" applyFill="1" applyBorder="1" applyAlignment="1">
      <alignment horizontal="center" vertical="center" textRotation="90"/>
    </xf>
    <xf numFmtId="0" fontId="3" fillId="0" borderId="91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0" fontId="8" fillId="18" borderId="10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8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textRotation="90" wrapText="1"/>
    </xf>
    <xf numFmtId="0" fontId="20" fillId="0" borderId="29" xfId="0" applyFont="1" applyBorder="1" applyAlignment="1">
      <alignment horizontal="center" vertical="center" textRotation="90" wrapText="1"/>
    </xf>
    <xf numFmtId="0" fontId="20" fillId="0" borderId="30" xfId="0" applyFont="1" applyBorder="1" applyAlignment="1">
      <alignment horizontal="center" vertical="center" textRotation="90" wrapText="1"/>
    </xf>
    <xf numFmtId="0" fontId="10" fillId="0" borderId="2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textRotation="90" wrapText="1"/>
    </xf>
    <xf numFmtId="0" fontId="3" fillId="29" borderId="9" xfId="0" applyFont="1" applyFill="1" applyBorder="1" applyAlignment="1">
      <alignment horizontal="center" vertical="center" textRotation="90" wrapText="1"/>
    </xf>
    <xf numFmtId="0" fontId="3" fillId="29" borderId="33" xfId="0" applyFont="1" applyFill="1" applyBorder="1" applyAlignment="1">
      <alignment horizontal="center" vertical="center" textRotation="90" wrapText="1"/>
    </xf>
    <xf numFmtId="0" fontId="3" fillId="24" borderId="28" xfId="0" applyFont="1" applyFill="1" applyBorder="1" applyAlignment="1">
      <alignment horizontal="center" vertical="center" wrapText="1"/>
    </xf>
    <xf numFmtId="0" fontId="3" fillId="24" borderId="26" xfId="0" applyFont="1" applyFill="1" applyBorder="1" applyAlignment="1">
      <alignment horizontal="center" vertical="center" wrapText="1"/>
    </xf>
    <xf numFmtId="0" fontId="3" fillId="29" borderId="32" xfId="0" applyFont="1" applyFill="1" applyBorder="1" applyAlignment="1">
      <alignment horizontal="center" vertical="center" textRotation="90" wrapText="1"/>
    </xf>
    <xf numFmtId="0" fontId="3" fillId="13" borderId="24" xfId="0" applyFont="1" applyFill="1" applyBorder="1" applyAlignment="1">
      <alignment horizontal="center" vertical="center" wrapText="1"/>
    </xf>
    <xf numFmtId="0" fontId="3" fillId="13" borderId="73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left" vertical="center" textRotation="90" wrapText="1"/>
    </xf>
    <xf numFmtId="0" fontId="3" fillId="0" borderId="35" xfId="0" applyFont="1" applyFill="1" applyBorder="1" applyAlignment="1">
      <alignment horizontal="left" vertical="center" textRotation="90" wrapText="1"/>
    </xf>
    <xf numFmtId="0" fontId="3" fillId="13" borderId="34" xfId="0" applyFont="1" applyFill="1" applyBorder="1" applyAlignment="1">
      <alignment horizontal="center" vertical="center" textRotation="90" wrapText="1"/>
    </xf>
    <xf numFmtId="0" fontId="3" fillId="13" borderId="21" xfId="0" applyFont="1" applyFill="1" applyBorder="1" applyAlignment="1">
      <alignment horizontal="center" vertical="center" textRotation="90" wrapText="1"/>
    </xf>
    <xf numFmtId="0" fontId="3" fillId="13" borderId="66" xfId="0" applyFont="1" applyFill="1" applyBorder="1" applyAlignment="1">
      <alignment horizontal="center" vertical="center" textRotation="90" wrapText="1"/>
    </xf>
    <xf numFmtId="0" fontId="3" fillId="13" borderId="43" xfId="0" applyFont="1" applyFill="1" applyBorder="1" applyAlignment="1">
      <alignment horizontal="center" vertical="center" textRotation="90" wrapText="1"/>
    </xf>
    <xf numFmtId="0" fontId="3" fillId="29" borderId="15" xfId="0" applyFont="1" applyFill="1" applyBorder="1" applyAlignment="1">
      <alignment horizontal="center" vertical="center" textRotation="90" wrapText="1"/>
    </xf>
    <xf numFmtId="0" fontId="3" fillId="29" borderId="3" xfId="0" applyFont="1" applyFill="1" applyBorder="1" applyAlignment="1">
      <alignment horizontal="center" vertical="center" textRotation="90" wrapText="1"/>
    </xf>
    <xf numFmtId="0" fontId="3" fillId="29" borderId="46" xfId="0" applyFont="1" applyFill="1" applyBorder="1" applyAlignment="1">
      <alignment horizontal="center" vertical="center" textRotation="90" wrapText="1"/>
    </xf>
    <xf numFmtId="0" fontId="3" fillId="13" borderId="1" xfId="0" applyFont="1" applyFill="1" applyBorder="1" applyAlignment="1">
      <alignment horizontal="center" vertical="center" textRotation="90" wrapText="1"/>
    </xf>
    <xf numFmtId="0" fontId="3" fillId="13" borderId="2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3" borderId="65" xfId="0" applyFont="1" applyFill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13" borderId="85" xfId="0" applyFont="1" applyFill="1" applyBorder="1" applyAlignment="1">
      <alignment horizontal="center" vertical="center" wrapText="1"/>
    </xf>
    <xf numFmtId="0" fontId="3" fillId="13" borderId="88" xfId="0" applyFont="1" applyFill="1" applyBorder="1" applyAlignment="1">
      <alignment horizontal="center" vertical="center" wrapText="1"/>
    </xf>
    <xf numFmtId="0" fontId="3" fillId="24" borderId="36" xfId="0" applyFont="1" applyFill="1" applyBorder="1" applyAlignment="1">
      <alignment horizontal="center" vertical="center" wrapText="1"/>
    </xf>
    <xf numFmtId="0" fontId="3" fillId="24" borderId="29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textRotation="90" wrapText="1"/>
    </xf>
    <xf numFmtId="0" fontId="3" fillId="13" borderId="32" xfId="0" applyFont="1" applyFill="1" applyBorder="1" applyAlignment="1">
      <alignment horizontal="center" vertical="center" wrapText="1"/>
    </xf>
    <xf numFmtId="0" fontId="3" fillId="24" borderId="12" xfId="0" applyFont="1" applyFill="1" applyBorder="1" applyAlignment="1">
      <alignment horizontal="center" vertical="center" wrapText="1"/>
    </xf>
    <xf numFmtId="0" fontId="6" fillId="29" borderId="23" xfId="0" applyFont="1" applyFill="1" applyBorder="1" applyAlignment="1">
      <alignment horizontal="center" vertical="center" textRotation="90"/>
    </xf>
    <xf numFmtId="0" fontId="6" fillId="29" borderId="24" xfId="0" applyFont="1" applyFill="1" applyBorder="1" applyAlignment="1">
      <alignment horizontal="center" vertical="center" textRotation="90"/>
    </xf>
    <xf numFmtId="0" fontId="6" fillId="29" borderId="38" xfId="0" applyFont="1" applyFill="1" applyBorder="1" applyAlignment="1">
      <alignment horizontal="center" vertical="center" textRotation="90"/>
    </xf>
    <xf numFmtId="0" fontId="3" fillId="13" borderId="93" xfId="0" applyFont="1" applyFill="1" applyBorder="1" applyAlignment="1">
      <alignment horizontal="center" vertical="center" textRotation="90" wrapText="1"/>
    </xf>
    <xf numFmtId="0" fontId="3" fillId="24" borderId="32" xfId="0" applyFont="1" applyFill="1" applyBorder="1" applyAlignment="1">
      <alignment horizontal="center" vertical="center" wrapText="1"/>
    </xf>
    <xf numFmtId="0" fontId="3" fillId="24" borderId="30" xfId="0" applyFont="1" applyFill="1" applyBorder="1" applyAlignment="1">
      <alignment horizontal="center" vertical="center" wrapText="1"/>
    </xf>
    <xf numFmtId="0" fontId="3" fillId="0" borderId="95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13" borderId="87" xfId="0" applyFont="1" applyFill="1" applyBorder="1" applyAlignment="1">
      <alignment horizontal="center" vertical="center" textRotation="90" wrapText="1"/>
    </xf>
    <xf numFmtId="0" fontId="3" fillId="13" borderId="68" xfId="0" applyFont="1" applyFill="1" applyBorder="1" applyAlignment="1">
      <alignment horizontal="center" vertical="center" textRotation="90" wrapText="1"/>
    </xf>
    <xf numFmtId="0" fontId="3" fillId="0" borderId="64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6" fillId="29" borderId="91" xfId="0" applyFont="1" applyFill="1" applyBorder="1" applyAlignment="1">
      <alignment horizontal="center" vertical="center" textRotation="90"/>
    </xf>
    <xf numFmtId="0" fontId="6" fillId="29" borderId="47" xfId="0" applyFont="1" applyFill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59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9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40" xfId="0" applyFont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90"/>
    </xf>
    <xf numFmtId="0" fontId="3" fillId="0" borderId="14" xfId="0" applyFont="1" applyFill="1" applyBorder="1" applyAlignment="1">
      <alignment horizontal="center" vertical="center" textRotation="90"/>
    </xf>
    <xf numFmtId="0" fontId="3" fillId="0" borderId="88" xfId="0" applyFont="1" applyBorder="1" applyAlignment="1">
      <alignment horizontal="center" vertical="center" textRotation="90" wrapText="1"/>
    </xf>
    <xf numFmtId="0" fontId="3" fillId="0" borderId="74" xfId="0" applyFont="1" applyBorder="1" applyAlignment="1">
      <alignment horizontal="center" vertical="center" textRotation="90" wrapText="1"/>
    </xf>
    <xf numFmtId="0" fontId="3" fillId="0" borderId="90" xfId="0" applyFont="1" applyBorder="1" applyAlignment="1">
      <alignment horizontal="center" vertical="center" textRotation="90" wrapText="1"/>
    </xf>
    <xf numFmtId="0" fontId="3" fillId="0" borderId="28" xfId="0" applyFont="1" applyFill="1" applyBorder="1" applyAlignment="1">
      <alignment horizontal="center" vertical="center" textRotation="90"/>
    </xf>
    <xf numFmtId="0" fontId="3" fillId="0" borderId="29" xfId="0" applyFont="1" applyFill="1" applyBorder="1" applyAlignment="1">
      <alignment horizontal="center" vertical="center" textRotation="90"/>
    </xf>
    <xf numFmtId="0" fontId="3" fillId="0" borderId="35" xfId="0" applyFont="1" applyFill="1" applyBorder="1" applyAlignment="1">
      <alignment horizontal="center" vertical="center" textRotation="90"/>
    </xf>
    <xf numFmtId="0" fontId="6" fillId="29" borderId="21" xfId="0" applyFont="1" applyFill="1" applyBorder="1" applyAlignment="1">
      <alignment horizontal="center" vertical="center" textRotation="90"/>
    </xf>
    <xf numFmtId="0" fontId="6" fillId="29" borderId="66" xfId="0" applyFont="1" applyFill="1" applyBorder="1" applyAlignment="1">
      <alignment horizontal="center" vertical="center" textRotation="90"/>
    </xf>
    <xf numFmtId="0" fontId="3" fillId="13" borderId="29" xfId="0" applyFont="1" applyFill="1" applyBorder="1" applyAlignment="1">
      <alignment horizontal="center" vertical="center" textRotation="90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textRotation="90" wrapText="1"/>
    </xf>
    <xf numFmtId="0" fontId="3" fillId="0" borderId="67" xfId="0" applyFont="1" applyFill="1" applyBorder="1" applyAlignment="1">
      <alignment horizontal="center" vertical="center" textRotation="90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textRotation="90" wrapText="1"/>
    </xf>
    <xf numFmtId="0" fontId="3" fillId="0" borderId="35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85" xfId="0" applyFont="1" applyFill="1" applyBorder="1" applyAlignment="1">
      <alignment horizontal="center" vertical="center" wrapText="1"/>
    </xf>
    <xf numFmtId="0" fontId="3" fillId="29" borderId="14" xfId="0" applyFont="1" applyFill="1" applyBorder="1" applyAlignment="1">
      <alignment vertical="center" textRotation="90" wrapText="1"/>
    </xf>
    <xf numFmtId="0" fontId="3" fillId="29" borderId="32" xfId="0" applyFont="1" applyFill="1" applyBorder="1" applyAlignment="1">
      <alignment vertical="center" textRotation="90" wrapText="1"/>
    </xf>
    <xf numFmtId="0" fontId="3" fillId="0" borderId="4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9" borderId="21" xfId="0" applyFont="1" applyFill="1" applyBorder="1" applyAlignment="1">
      <alignment horizontal="center" vertical="center" wrapText="1"/>
    </xf>
    <xf numFmtId="0" fontId="3" fillId="29" borderId="66" xfId="0" applyFont="1" applyFill="1" applyBorder="1" applyAlignment="1">
      <alignment horizontal="center" vertical="center" wrapText="1"/>
    </xf>
    <xf numFmtId="0" fontId="3" fillId="24" borderId="38" xfId="0" applyFont="1" applyFill="1" applyBorder="1" applyAlignment="1">
      <alignment horizontal="center" vertical="center" wrapText="1"/>
    </xf>
    <xf numFmtId="0" fontId="3" fillId="24" borderId="70" xfId="0" applyFont="1" applyFill="1" applyBorder="1" applyAlignment="1">
      <alignment horizontal="center" vertical="center" wrapText="1"/>
    </xf>
    <xf numFmtId="0" fontId="3" fillId="24" borderId="40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73" xfId="0" applyFont="1" applyFill="1" applyBorder="1" applyAlignment="1">
      <alignment horizontal="center" vertical="center" wrapText="1"/>
    </xf>
    <xf numFmtId="0" fontId="3" fillId="29" borderId="28" xfId="0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wrapText="1"/>
    </xf>
    <xf numFmtId="0" fontId="3" fillId="29" borderId="29" xfId="0" applyFont="1" applyFill="1" applyBorder="1" applyAlignment="1">
      <alignment horizontal="center" vertical="center" wrapText="1"/>
    </xf>
    <xf numFmtId="0" fontId="3" fillId="29" borderId="9" xfId="0" applyFont="1" applyFill="1" applyBorder="1" applyAlignment="1">
      <alignment horizontal="center" vertical="center" wrapText="1"/>
    </xf>
    <xf numFmtId="0" fontId="3" fillId="29" borderId="23" xfId="0" applyFont="1" applyFill="1" applyBorder="1" applyAlignment="1">
      <alignment horizontal="center" vertical="center" wrapText="1"/>
    </xf>
    <xf numFmtId="0" fontId="3" fillId="29" borderId="24" xfId="0" applyFont="1" applyFill="1" applyBorder="1" applyAlignment="1">
      <alignment horizontal="center" vertical="center" wrapText="1"/>
    </xf>
    <xf numFmtId="0" fontId="3" fillId="29" borderId="38" xfId="0" applyFont="1" applyFill="1" applyBorder="1" applyAlignment="1">
      <alignment horizontal="center" vertical="center" wrapText="1"/>
    </xf>
    <xf numFmtId="0" fontId="3" fillId="29" borderId="38" xfId="0" applyFont="1" applyFill="1" applyBorder="1" applyAlignment="1">
      <alignment horizontal="center" vertical="center" textRotation="90" wrapText="1"/>
    </xf>
    <xf numFmtId="0" fontId="3" fillId="13" borderId="1" xfId="0" applyFont="1" applyFill="1" applyBorder="1" applyAlignment="1">
      <alignment horizontal="center" textRotation="90"/>
    </xf>
    <xf numFmtId="0" fontId="10" fillId="13" borderId="1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textRotation="90" wrapText="1"/>
    </xf>
    <xf numFmtId="0" fontId="3" fillId="13" borderId="21" xfId="0" applyFont="1" applyFill="1" applyBorder="1" applyAlignment="1">
      <alignment horizontal="center" vertical="center"/>
    </xf>
    <xf numFmtId="0" fontId="3" fillId="13" borderId="66" xfId="0" applyFont="1" applyFill="1" applyBorder="1" applyAlignment="1">
      <alignment horizontal="center" vertical="center"/>
    </xf>
    <xf numFmtId="0" fontId="3" fillId="13" borderId="93" xfId="0" applyFont="1" applyFill="1" applyBorder="1" applyAlignment="1">
      <alignment horizontal="center" vertical="center" wrapText="1"/>
    </xf>
    <xf numFmtId="0" fontId="3" fillId="13" borderId="67" xfId="0" applyFont="1" applyFill="1" applyBorder="1" applyAlignment="1">
      <alignment horizontal="center" vertical="center" wrapText="1"/>
    </xf>
    <xf numFmtId="0" fontId="3" fillId="29" borderId="14" xfId="0" applyFont="1" applyFill="1" applyBorder="1" applyAlignment="1">
      <alignment horizontal="center" vertical="center" wrapText="1"/>
    </xf>
    <xf numFmtId="0" fontId="3" fillId="29" borderId="32" xfId="0" applyFont="1" applyFill="1" applyBorder="1" applyAlignment="1">
      <alignment horizontal="center" vertical="center" wrapText="1"/>
    </xf>
    <xf numFmtId="0" fontId="3" fillId="13" borderId="94" xfId="0" applyFont="1" applyFill="1" applyBorder="1" applyAlignment="1">
      <alignment horizontal="center" vertical="center" textRotation="90" wrapText="1"/>
    </xf>
    <xf numFmtId="0" fontId="3" fillId="29" borderId="1" xfId="0" applyFont="1" applyFill="1" applyBorder="1" applyAlignment="1">
      <alignment horizontal="center" vertical="center" wrapText="1"/>
    </xf>
    <xf numFmtId="0" fontId="3" fillId="29" borderId="7" xfId="0" applyFont="1" applyFill="1" applyBorder="1" applyAlignment="1">
      <alignment horizontal="center" vertical="center" wrapText="1"/>
    </xf>
    <xf numFmtId="0" fontId="3" fillId="13" borderId="94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textRotation="90" wrapText="1"/>
    </xf>
    <xf numFmtId="0" fontId="3" fillId="29" borderId="34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textRotation="90" wrapText="1"/>
    </xf>
    <xf numFmtId="0" fontId="3" fillId="13" borderId="86" xfId="0" applyFont="1" applyFill="1" applyBorder="1" applyAlignment="1">
      <alignment horizontal="center" vertical="center" textRotation="90" wrapText="1"/>
    </xf>
    <xf numFmtId="0" fontId="3" fillId="13" borderId="70" xfId="0" applyFont="1" applyFill="1" applyBorder="1" applyAlignment="1">
      <alignment horizontal="center" vertical="center" textRotation="90" wrapText="1"/>
    </xf>
    <xf numFmtId="0" fontId="3" fillId="13" borderId="37" xfId="0" applyFont="1" applyFill="1" applyBorder="1" applyAlignment="1">
      <alignment horizontal="center" vertical="center" textRotation="90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29" borderId="35" xfId="0" applyFont="1" applyFill="1" applyBorder="1" applyAlignment="1">
      <alignment horizontal="center" vertical="center" textRotation="90" wrapText="1"/>
    </xf>
    <xf numFmtId="0" fontId="3" fillId="29" borderId="67" xfId="0" applyFont="1" applyFill="1" applyBorder="1" applyAlignment="1">
      <alignment horizontal="center" vertical="center" textRotation="90" wrapText="1"/>
    </xf>
    <xf numFmtId="0" fontId="3" fillId="13" borderId="38" xfId="0" applyFont="1" applyFill="1" applyBorder="1" applyAlignment="1">
      <alignment horizontal="center" vertical="center" wrapText="1"/>
    </xf>
    <xf numFmtId="0" fontId="3" fillId="13" borderId="40" xfId="0" applyFont="1" applyFill="1" applyBorder="1"/>
    <xf numFmtId="0" fontId="3" fillId="13" borderId="37" xfId="0" applyFont="1" applyFill="1" applyBorder="1"/>
    <xf numFmtId="0" fontId="3" fillId="13" borderId="39" xfId="0" applyFont="1" applyFill="1" applyBorder="1"/>
    <xf numFmtId="0" fontId="3" fillId="29" borderId="87" xfId="0" applyFont="1" applyFill="1" applyBorder="1" applyAlignment="1">
      <alignment horizontal="center" vertical="center" wrapText="1"/>
    </xf>
    <xf numFmtId="0" fontId="3" fillId="29" borderId="68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6" fillId="29" borderId="28" xfId="0" applyFont="1" applyFill="1" applyBorder="1" applyAlignment="1">
      <alignment horizontal="left" vertical="center" wrapText="1"/>
    </xf>
    <xf numFmtId="0" fontId="6" fillId="29" borderId="29" xfId="0" applyFont="1" applyFill="1" applyBorder="1" applyAlignment="1">
      <alignment horizontal="left" vertical="center" wrapText="1"/>
    </xf>
    <xf numFmtId="0" fontId="3" fillId="7" borderId="93" xfId="0" applyFont="1" applyFill="1" applyBorder="1" applyAlignment="1">
      <alignment horizontal="left" vertical="center" wrapText="1"/>
    </xf>
    <xf numFmtId="0" fontId="3" fillId="7" borderId="36" xfId="0" applyFont="1" applyFill="1" applyBorder="1" applyAlignment="1">
      <alignment horizontal="left" vertical="center" wrapText="1"/>
    </xf>
    <xf numFmtId="49" fontId="3" fillId="0" borderId="91" xfId="0" applyNumberFormat="1" applyFont="1" applyFill="1" applyBorder="1" applyAlignment="1">
      <alignment horizontal="center" vertical="center"/>
    </xf>
    <xf numFmtId="49" fontId="3" fillId="0" borderId="48" xfId="0" applyNumberFormat="1" applyFont="1" applyFill="1" applyBorder="1" applyAlignment="1">
      <alignment horizontal="center" vertical="center"/>
    </xf>
    <xf numFmtId="49" fontId="3" fillId="0" borderId="21" xfId="0" applyNumberFormat="1" applyFont="1" applyFill="1" applyBorder="1" applyAlignment="1">
      <alignment horizontal="center" vertical="center"/>
    </xf>
    <xf numFmtId="49" fontId="3" fillId="0" borderId="66" xfId="0" applyNumberFormat="1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49" fontId="3" fillId="0" borderId="47" xfId="0" applyNumberFormat="1" applyFont="1" applyFill="1" applyBorder="1" applyAlignment="1">
      <alignment horizontal="center" vertical="center"/>
    </xf>
    <xf numFmtId="49" fontId="3" fillId="0" borderId="70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/>
    <xf numFmtId="1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" fillId="0" borderId="13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22" fillId="37" borderId="41" xfId="0" applyFont="1" applyFill="1" applyBorder="1" applyAlignment="1">
      <alignment horizontal="center" vertical="center"/>
    </xf>
    <xf numFmtId="0" fontId="22" fillId="37" borderId="65" xfId="0" applyFont="1" applyFill="1" applyBorder="1" applyAlignment="1">
      <alignment horizontal="center" vertical="center"/>
    </xf>
    <xf numFmtId="0" fontId="22" fillId="25" borderId="41" xfId="0" applyFont="1" applyFill="1" applyBorder="1" applyAlignment="1">
      <alignment horizontal="center" vertical="center"/>
    </xf>
    <xf numFmtId="0" fontId="22" fillId="25" borderId="65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66" xfId="0" applyFont="1" applyBorder="1" applyAlignment="1">
      <alignment horizontal="left" vertical="center"/>
    </xf>
    <xf numFmtId="0" fontId="22" fillId="0" borderId="65" xfId="0" applyFont="1" applyBorder="1" applyAlignment="1">
      <alignment horizontal="left" vertical="center"/>
    </xf>
    <xf numFmtId="0" fontId="22" fillId="0" borderId="91" xfId="0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2" fillId="0" borderId="47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59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22" fillId="0" borderId="57" xfId="0" applyFont="1" applyFill="1" applyBorder="1" applyAlignment="1">
      <alignment horizontal="center" vertical="center"/>
    </xf>
    <xf numFmtId="0" fontId="22" fillId="0" borderId="56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" fontId="22" fillId="23" borderId="17" xfId="0" applyNumberFormat="1" applyFont="1" applyFill="1" applyBorder="1" applyAlignment="1">
      <alignment horizontal="center" vertical="center"/>
    </xf>
    <xf numFmtId="1" fontId="22" fillId="23" borderId="41" xfId="0" applyNumberFormat="1" applyFont="1" applyFill="1" applyBorder="1" applyAlignment="1">
      <alignment horizontal="center" vertical="center"/>
    </xf>
    <xf numFmtId="164" fontId="8" fillId="0" borderId="41" xfId="0" applyNumberFormat="1" applyFont="1" applyFill="1" applyBorder="1" applyAlignment="1">
      <alignment horizontal="center" vertical="center"/>
    </xf>
    <xf numFmtId="164" fontId="8" fillId="0" borderId="65" xfId="0" applyNumberFormat="1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41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84" xfId="0" applyFont="1" applyFill="1" applyBorder="1" applyAlignment="1">
      <alignment horizontal="center" vertical="center"/>
    </xf>
    <xf numFmtId="0" fontId="8" fillId="0" borderId="90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22" fillId="0" borderId="91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37" borderId="66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2" fillId="23" borderId="41" xfId="0" applyFont="1" applyFill="1" applyBorder="1" applyAlignment="1">
      <alignment horizontal="center" vertical="center"/>
    </xf>
    <xf numFmtId="0" fontId="22" fillId="23" borderId="65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0" fontId="22" fillId="0" borderId="66" xfId="0" applyFont="1" applyBorder="1" applyAlignment="1">
      <alignment horizontal="left" vertical="center" wrapText="1"/>
    </xf>
    <xf numFmtId="0" fontId="22" fillId="0" borderId="65" xfId="0" applyFont="1" applyBorder="1" applyAlignment="1">
      <alignment horizontal="left" vertical="center" wrapText="1"/>
    </xf>
    <xf numFmtId="0" fontId="22" fillId="0" borderId="48" xfId="0" applyFont="1" applyBorder="1" applyAlignment="1">
      <alignment horizontal="center" vertical="center"/>
    </xf>
    <xf numFmtId="0" fontId="8" fillId="0" borderId="91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/>
    </xf>
    <xf numFmtId="1" fontId="8" fillId="0" borderId="64" xfId="0" applyNumberFormat="1" applyFont="1" applyFill="1" applyBorder="1" applyAlignment="1">
      <alignment horizontal="center" vertical="center"/>
    </xf>
    <xf numFmtId="0" fontId="8" fillId="0" borderId="77" xfId="0" applyFont="1" applyFill="1" applyBorder="1" applyAlignment="1">
      <alignment horizontal="center" vertical="center"/>
    </xf>
    <xf numFmtId="0" fontId="8" fillId="0" borderId="62" xfId="0" applyFont="1" applyFill="1" applyBorder="1" applyAlignment="1">
      <alignment horizontal="center" vertical="center"/>
    </xf>
    <xf numFmtId="0" fontId="8" fillId="0" borderId="64" xfId="0" applyFont="1" applyBorder="1" applyAlignment="1">
      <alignment horizontal="center"/>
    </xf>
    <xf numFmtId="0" fontId="8" fillId="0" borderId="77" xfId="0" applyFont="1" applyBorder="1" applyAlignment="1">
      <alignment horizontal="center"/>
    </xf>
    <xf numFmtId="0" fontId="8" fillId="0" borderId="62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43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5" fillId="24" borderId="64" xfId="0" applyFont="1" applyFill="1" applyBorder="1" applyAlignment="1">
      <alignment horizontal="left" vertical="center"/>
    </xf>
    <xf numFmtId="0" fontId="5" fillId="24" borderId="77" xfId="0" applyFont="1" applyFill="1" applyBorder="1" applyAlignment="1">
      <alignment horizontal="left" vertical="center"/>
    </xf>
    <xf numFmtId="0" fontId="5" fillId="24" borderId="62" xfId="0" applyFont="1" applyFill="1" applyBorder="1" applyAlignment="1">
      <alignment horizontal="left" vertical="center"/>
    </xf>
    <xf numFmtId="3" fontId="9" fillId="24" borderId="64" xfId="0" applyNumberFormat="1" applyFont="1" applyFill="1" applyBorder="1" applyAlignment="1">
      <alignment horizontal="center"/>
    </xf>
    <xf numFmtId="3" fontId="9" fillId="24" borderId="77" xfId="0" applyNumberFormat="1" applyFont="1" applyFill="1" applyBorder="1" applyAlignment="1">
      <alignment horizontal="center"/>
    </xf>
    <xf numFmtId="3" fontId="9" fillId="24" borderId="62" xfId="0" applyNumberFormat="1" applyFont="1" applyFill="1" applyBorder="1" applyAlignment="1">
      <alignment horizontal="center"/>
    </xf>
    <xf numFmtId="0" fontId="5" fillId="0" borderId="64" xfId="0" applyFont="1" applyBorder="1" applyAlignment="1">
      <alignment horizontal="left" vertical="center"/>
    </xf>
    <xf numFmtId="0" fontId="5" fillId="0" borderId="77" xfId="0" applyFont="1" applyBorder="1" applyAlignment="1">
      <alignment horizontal="left" vertical="center"/>
    </xf>
    <xf numFmtId="0" fontId="5" fillId="0" borderId="62" xfId="0" applyFont="1" applyBorder="1" applyAlignment="1">
      <alignment horizontal="left" vertical="center"/>
    </xf>
    <xf numFmtId="49" fontId="5" fillId="0" borderId="97" xfId="0" applyNumberFormat="1" applyFont="1" applyBorder="1" applyAlignment="1">
      <alignment horizontal="center" vertical="center"/>
    </xf>
    <xf numFmtId="49" fontId="5" fillId="0" borderId="77" xfId="0" applyNumberFormat="1" applyFont="1" applyBorder="1" applyAlignment="1">
      <alignment horizontal="center" vertical="center"/>
    </xf>
    <xf numFmtId="49" fontId="5" fillId="0" borderId="99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2" xfId="0" applyNumberFormat="1" applyFont="1" applyBorder="1" applyAlignment="1">
      <alignment horizontal="center" vertical="center"/>
    </xf>
    <xf numFmtId="0" fontId="9" fillId="24" borderId="64" xfId="0" applyFont="1" applyFill="1" applyBorder="1" applyAlignment="1">
      <alignment horizontal="center"/>
    </xf>
    <xf numFmtId="0" fontId="9" fillId="24" borderId="77" xfId="0" applyFont="1" applyFill="1" applyBorder="1" applyAlignment="1">
      <alignment horizontal="center"/>
    </xf>
    <xf numFmtId="0" fontId="9" fillId="24" borderId="62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64" xfId="0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5" fillId="0" borderId="97" xfId="0" applyFont="1" applyFill="1" applyBorder="1" applyAlignment="1">
      <alignment horizontal="center"/>
    </xf>
    <xf numFmtId="0" fontId="5" fillId="0" borderId="99" xfId="0" applyFont="1" applyFill="1" applyBorder="1" applyAlignment="1">
      <alignment horizontal="center"/>
    </xf>
    <xf numFmtId="49" fontId="5" fillId="0" borderId="64" xfId="0" applyNumberFormat="1" applyFont="1" applyFill="1" applyBorder="1" applyAlignment="1">
      <alignment horizontal="center" vertical="center"/>
    </xf>
    <xf numFmtId="49" fontId="5" fillId="0" borderId="77" xfId="0" applyNumberFormat="1" applyFont="1" applyFill="1" applyBorder="1" applyAlignment="1">
      <alignment horizontal="center" vertical="center"/>
    </xf>
    <xf numFmtId="49" fontId="5" fillId="0" borderId="62" xfId="0" applyNumberFormat="1" applyFont="1" applyFill="1" applyBorder="1" applyAlignment="1">
      <alignment horizontal="center" vertical="center"/>
    </xf>
    <xf numFmtId="0" fontId="5" fillId="0" borderId="77" xfId="0" applyFont="1" applyFill="1" applyBorder="1" applyAlignment="1">
      <alignment horizontal="center"/>
    </xf>
    <xf numFmtId="0" fontId="5" fillId="0" borderId="62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" vertical="center"/>
    </xf>
    <xf numFmtId="0" fontId="8" fillId="0" borderId="85" xfId="0" applyFont="1" applyFill="1" applyBorder="1" applyAlignment="1">
      <alignment horizontal="center" vertical="center"/>
    </xf>
    <xf numFmtId="0" fontId="8" fillId="0" borderId="88" xfId="0" applyFont="1" applyFill="1" applyBorder="1" applyAlignment="1">
      <alignment horizontal="center" vertical="center"/>
    </xf>
    <xf numFmtId="0" fontId="8" fillId="0" borderId="46" xfId="0" applyNumberFormat="1" applyFont="1" applyFill="1" applyBorder="1" applyAlignment="1">
      <alignment horizontal="center" vertical="center"/>
    </xf>
    <xf numFmtId="0" fontId="8" fillId="0" borderId="48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66" xfId="0" applyFont="1" applyBorder="1" applyAlignment="1">
      <alignment horizontal="left" vertical="center" wrapText="1"/>
    </xf>
    <xf numFmtId="0" fontId="5" fillId="0" borderId="65" xfId="0" applyFont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24" borderId="21" xfId="0" applyFont="1" applyFill="1" applyBorder="1" applyAlignment="1">
      <alignment horizontal="left" vertical="center" wrapText="1"/>
    </xf>
    <xf numFmtId="0" fontId="5" fillId="24" borderId="66" xfId="0" applyFont="1" applyFill="1" applyBorder="1" applyAlignment="1">
      <alignment horizontal="left" vertical="center" wrapText="1"/>
    </xf>
    <xf numFmtId="49" fontId="9" fillId="0" borderId="64" xfId="0" applyNumberFormat="1" applyFont="1" applyBorder="1" applyAlignment="1">
      <alignment horizontal="center" vertical="center" wrapText="1"/>
    </xf>
    <xf numFmtId="49" fontId="9" fillId="0" borderId="62" xfId="0" applyNumberFormat="1" applyFont="1" applyBorder="1" applyAlignment="1">
      <alignment horizontal="center" vertical="center" wrapText="1"/>
    </xf>
    <xf numFmtId="0" fontId="5" fillId="0" borderId="65" xfId="0" applyFont="1" applyBorder="1" applyAlignment="1">
      <alignment horizontal="left" vertical="center"/>
    </xf>
    <xf numFmtId="0" fontId="5" fillId="0" borderId="91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5" fillId="24" borderId="65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/>
    </xf>
    <xf numFmtId="0" fontId="8" fillId="24" borderId="41" xfId="0" applyFont="1" applyFill="1" applyBorder="1" applyAlignment="1">
      <alignment horizontal="center" vertical="center"/>
    </xf>
    <xf numFmtId="0" fontId="8" fillId="24" borderId="65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24" borderId="2" xfId="0" applyNumberFormat="1" applyFont="1" applyFill="1" applyBorder="1" applyAlignment="1">
      <alignment horizontal="center" vertical="center"/>
    </xf>
    <xf numFmtId="0" fontId="8" fillId="24" borderId="17" xfId="0" applyNumberFormat="1" applyFont="1" applyFill="1" applyBorder="1" applyAlignment="1">
      <alignment horizontal="center" vertical="center"/>
    </xf>
    <xf numFmtId="0" fontId="8" fillId="0" borderId="41" xfId="0" applyNumberFormat="1" applyFont="1" applyFill="1" applyBorder="1" applyAlignment="1">
      <alignment horizontal="center" vertical="center"/>
    </xf>
    <xf numFmtId="0" fontId="8" fillId="0" borderId="65" xfId="0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/>
    </xf>
    <xf numFmtId="0" fontId="8" fillId="0" borderId="43" xfId="0" applyNumberFormat="1" applyFont="1" applyFill="1" applyBorder="1" applyAlignment="1">
      <alignment horizontal="center"/>
    </xf>
    <xf numFmtId="0" fontId="8" fillId="0" borderId="21" xfId="0" applyNumberFormat="1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/>
    </xf>
    <xf numFmtId="0" fontId="8" fillId="0" borderId="66" xfId="0" applyFont="1" applyFill="1" applyBorder="1" applyAlignment="1">
      <alignment horizontal="center" vertical="center"/>
    </xf>
    <xf numFmtId="0" fontId="5" fillId="0" borderId="91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28" borderId="1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32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36" borderId="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30" borderId="24" xfId="0" applyFont="1" applyFill="1" applyBorder="1" applyAlignment="1">
      <alignment horizontal="center"/>
    </xf>
    <xf numFmtId="0" fontId="3" fillId="30" borderId="73" xfId="0" applyFont="1" applyFill="1" applyBorder="1" applyAlignment="1">
      <alignment horizontal="center"/>
    </xf>
    <xf numFmtId="0" fontId="3" fillId="30" borderId="19" xfId="0" applyFont="1" applyFill="1" applyBorder="1" applyAlignment="1">
      <alignment horizontal="center"/>
    </xf>
    <xf numFmtId="0" fontId="10" fillId="0" borderId="64" xfId="0" applyFont="1" applyBorder="1" applyAlignment="1">
      <alignment horizontal="center" vertical="top"/>
    </xf>
    <xf numFmtId="0" fontId="10" fillId="0" borderId="77" xfId="0" applyFont="1" applyBorder="1" applyAlignment="1">
      <alignment horizontal="center" vertical="top"/>
    </xf>
    <xf numFmtId="0" fontId="10" fillId="0" borderId="49" xfId="0" applyFont="1" applyBorder="1" applyAlignment="1">
      <alignment horizontal="center" vertical="top"/>
    </xf>
    <xf numFmtId="0" fontId="10" fillId="0" borderId="62" xfId="0" applyFont="1" applyBorder="1" applyAlignment="1">
      <alignment horizontal="center" vertical="top"/>
    </xf>
    <xf numFmtId="0" fontId="8" fillId="0" borderId="64" xfId="0" applyFont="1" applyFill="1" applyBorder="1" applyAlignment="1">
      <alignment horizontal="center" vertical="center"/>
    </xf>
    <xf numFmtId="0" fontId="8" fillId="37" borderId="41" xfId="0" applyFont="1" applyFill="1" applyBorder="1" applyAlignment="1">
      <alignment horizontal="center" vertical="center"/>
    </xf>
    <xf numFmtId="0" fontId="8" fillId="37" borderId="65" xfId="0" applyFont="1" applyFill="1" applyBorder="1" applyAlignment="1">
      <alignment horizontal="center" vertical="center"/>
    </xf>
    <xf numFmtId="0" fontId="8" fillId="13" borderId="77" xfId="0" applyFont="1" applyFill="1" applyBorder="1" applyAlignment="1">
      <alignment horizontal="center"/>
    </xf>
    <xf numFmtId="0" fontId="8" fillId="13" borderId="62" xfId="0" applyFont="1" applyFill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24" fillId="24" borderId="0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 wrapText="1"/>
    </xf>
    <xf numFmtId="0" fontId="9" fillId="0" borderId="66" xfId="0" applyFont="1" applyFill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30" borderId="24" xfId="0" applyFill="1" applyBorder="1" applyAlignment="1">
      <alignment horizontal="center"/>
    </xf>
    <xf numFmtId="0" fontId="0" fillId="30" borderId="73" xfId="0" applyFill="1" applyBorder="1" applyAlignment="1">
      <alignment horizontal="center"/>
    </xf>
    <xf numFmtId="0" fontId="0" fillId="30" borderId="19" xfId="0" applyFill="1" applyBorder="1" applyAlignment="1">
      <alignment horizontal="center"/>
    </xf>
    <xf numFmtId="49" fontId="21" fillId="0" borderId="64" xfId="0" applyNumberFormat="1" applyFont="1" applyBorder="1" applyAlignment="1">
      <alignment horizontal="center" vertical="center"/>
    </xf>
    <xf numFmtId="49" fontId="21" fillId="0" borderId="77" xfId="0" applyNumberFormat="1" applyFont="1" applyBorder="1" applyAlignment="1">
      <alignment horizontal="center" vertical="center"/>
    </xf>
    <xf numFmtId="49" fontId="21" fillId="0" borderId="62" xfId="0" applyNumberFormat="1" applyFont="1" applyBorder="1" applyAlignment="1">
      <alignment horizontal="center" vertical="center"/>
    </xf>
    <xf numFmtId="49" fontId="21" fillId="0" borderId="97" xfId="0" applyNumberFormat="1" applyFont="1" applyBorder="1" applyAlignment="1">
      <alignment horizontal="center" vertical="center"/>
    </xf>
    <xf numFmtId="49" fontId="21" fillId="0" borderId="99" xfId="0" applyNumberFormat="1" applyFont="1" applyBorder="1" applyAlignment="1">
      <alignment horizontal="center" vertical="center"/>
    </xf>
    <xf numFmtId="49" fontId="21" fillId="0" borderId="86" xfId="0" applyNumberFormat="1" applyFont="1" applyBorder="1" applyAlignment="1">
      <alignment horizontal="center" vertical="center"/>
    </xf>
    <xf numFmtId="49" fontId="21" fillId="0" borderId="49" xfId="0" applyNumberFormat="1" applyFont="1" applyBorder="1" applyAlignment="1">
      <alignment horizontal="center" vertical="center"/>
    </xf>
    <xf numFmtId="49" fontId="21" fillId="0" borderId="95" xfId="0" applyNumberFormat="1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66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49" fontId="21" fillId="0" borderId="20" xfId="0" applyNumberFormat="1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24" borderId="64" xfId="0" applyFont="1" applyFill="1" applyBorder="1" applyAlignment="1">
      <alignment horizontal="center" vertical="center"/>
    </xf>
    <xf numFmtId="0" fontId="21" fillId="24" borderId="77" xfId="0" applyFont="1" applyFill="1" applyBorder="1" applyAlignment="1">
      <alignment horizontal="center" vertical="center"/>
    </xf>
    <xf numFmtId="4" fontId="21" fillId="24" borderId="64" xfId="0" applyNumberFormat="1" applyFont="1" applyFill="1" applyBorder="1" applyAlignment="1">
      <alignment horizontal="center" vertical="center"/>
    </xf>
    <xf numFmtId="0" fontId="0" fillId="24" borderId="77" xfId="0" applyFill="1" applyBorder="1"/>
    <xf numFmtId="0" fontId="0" fillId="24" borderId="62" xfId="0" applyFill="1" applyBorder="1"/>
    <xf numFmtId="49" fontId="23" fillId="0" borderId="91" xfId="0" applyNumberFormat="1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0" fontId="21" fillId="0" borderId="64" xfId="0" applyFont="1" applyBorder="1" applyAlignment="1">
      <alignment horizontal="center"/>
    </xf>
    <xf numFmtId="0" fontId="21" fillId="0" borderId="77" xfId="0" applyFont="1" applyBorder="1" applyAlignment="1">
      <alignment horizontal="center"/>
    </xf>
    <xf numFmtId="0" fontId="21" fillId="24" borderId="62" xfId="0" applyFont="1" applyFill="1" applyBorder="1" applyAlignment="1">
      <alignment horizontal="center" vertical="center"/>
    </xf>
    <xf numFmtId="49" fontId="21" fillId="0" borderId="91" xfId="0" applyNumberFormat="1" applyFont="1" applyBorder="1" applyAlignment="1">
      <alignment horizontal="center" vertical="center"/>
    </xf>
    <xf numFmtId="0" fontId="3" fillId="0" borderId="64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21" fillId="0" borderId="43" xfId="0" applyFont="1" applyFill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0" fontId="21" fillId="0" borderId="48" xfId="0" applyFont="1" applyBorder="1" applyAlignment="1">
      <alignment horizontal="center"/>
    </xf>
  </cellXfs>
  <cellStyles count="2">
    <cellStyle name="Обычный" xfId="0" builtinId="0"/>
    <cellStyle name="Обычный_Техника" xfId="1"/>
  </cellStyles>
  <dxfs count="12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66FF99"/>
        </patternFill>
      </fill>
    </dxf>
    <dxf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fill>
        <patternFill>
          <bgColor rgb="FF00FF00"/>
        </patternFill>
      </fill>
    </dxf>
    <dxf>
      <font>
        <color auto="1"/>
      </font>
      <fill>
        <patternFill>
          <bgColor rgb="FFFE6868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0</xdr:colOff>
      <xdr:row>111</xdr:row>
      <xdr:rowOff>133350</xdr:rowOff>
    </xdr:from>
    <xdr:to>
      <xdr:col>102</xdr:col>
      <xdr:colOff>152400</xdr:colOff>
      <xdr:row>111</xdr:row>
      <xdr:rowOff>133350</xdr:rowOff>
    </xdr:to>
    <xdr:sp macro="" textlink="">
      <xdr:nvSpPr>
        <xdr:cNvPr id="26425" name="Line 104"/>
        <xdr:cNvSpPr>
          <a:spLocks noChangeShapeType="1"/>
        </xdr:cNvSpPr>
      </xdr:nvSpPr>
      <xdr:spPr bwMode="auto">
        <a:xfrm>
          <a:off x="27308175" y="19640550"/>
          <a:ext cx="1371600" cy="0"/>
        </a:xfrm>
        <a:prstGeom prst="line">
          <a:avLst/>
        </a:prstGeom>
        <a:noFill/>
        <a:ln w="635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0</xdr:colOff>
      <xdr:row>111</xdr:row>
      <xdr:rowOff>133350</xdr:rowOff>
    </xdr:from>
    <xdr:to>
      <xdr:col>102</xdr:col>
      <xdr:colOff>152400</xdr:colOff>
      <xdr:row>111</xdr:row>
      <xdr:rowOff>133350</xdr:rowOff>
    </xdr:to>
    <xdr:sp macro="" textlink="">
      <xdr:nvSpPr>
        <xdr:cNvPr id="26426" name="Line 105"/>
        <xdr:cNvSpPr>
          <a:spLocks noChangeShapeType="1"/>
        </xdr:cNvSpPr>
      </xdr:nvSpPr>
      <xdr:spPr bwMode="auto">
        <a:xfrm>
          <a:off x="27308175" y="19640550"/>
          <a:ext cx="1371600" cy="0"/>
        </a:xfrm>
        <a:prstGeom prst="line">
          <a:avLst/>
        </a:prstGeom>
        <a:noFill/>
        <a:ln w="635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3" tint="0.39997558519241921"/>
    <pageSetUpPr fitToPage="1"/>
  </sheetPr>
  <dimension ref="A1:L27"/>
  <sheetViews>
    <sheetView workbookViewId="0">
      <selection sqref="A1:A5"/>
    </sheetView>
  </sheetViews>
  <sheetFormatPr defaultRowHeight="11.25" x14ac:dyDescent="0.2"/>
  <cols>
    <col min="1" max="1" width="3.5703125" style="58" customWidth="1"/>
    <col min="2" max="2" width="41.28515625" style="58" customWidth="1"/>
    <col min="3" max="3" width="7.7109375" style="58" customWidth="1"/>
    <col min="4" max="4" width="5.7109375" style="58" customWidth="1"/>
    <col min="5" max="5" width="6.7109375" style="58" customWidth="1"/>
    <col min="6" max="7" width="9" style="58" customWidth="1"/>
    <col min="8" max="8" width="11" style="58" customWidth="1"/>
    <col min="9" max="9" width="12.7109375" style="58" customWidth="1"/>
    <col min="10" max="10" width="21" style="58" customWidth="1"/>
    <col min="11" max="11" width="20.5703125" style="58" customWidth="1"/>
    <col min="12" max="12" width="4.28515625" style="58" hidden="1" customWidth="1"/>
    <col min="13" max="16384" width="9.140625" style="58"/>
  </cols>
  <sheetData>
    <row r="1" spans="1:12" ht="12" customHeight="1" thickBot="1" x14ac:dyDescent="0.25">
      <c r="A1" s="1271" t="s">
        <v>52</v>
      </c>
      <c r="B1" s="1265" t="s">
        <v>75</v>
      </c>
      <c r="C1" s="1263"/>
      <c r="D1" s="1264"/>
      <c r="E1" s="1274" t="s">
        <v>76</v>
      </c>
      <c r="F1" s="1275"/>
      <c r="G1" s="1275"/>
      <c r="H1" s="1275"/>
      <c r="I1" s="1275"/>
      <c r="J1" s="1276"/>
    </row>
    <row r="2" spans="1:12" ht="12" customHeight="1" thickBot="1" x14ac:dyDescent="0.25">
      <c r="A2" s="1272"/>
      <c r="B2" s="1266"/>
      <c r="C2" s="1268" t="s">
        <v>66</v>
      </c>
      <c r="D2" s="1268" t="s">
        <v>90</v>
      </c>
      <c r="E2" s="1277" t="s">
        <v>123</v>
      </c>
      <c r="F2" s="1280" t="s">
        <v>77</v>
      </c>
      <c r="G2" s="1274" t="s">
        <v>78</v>
      </c>
      <c r="H2" s="1275"/>
      <c r="I2" s="1275"/>
      <c r="J2" s="1276"/>
    </row>
    <row r="3" spans="1:12" ht="13.5" customHeight="1" thickBot="1" x14ac:dyDescent="0.25">
      <c r="A3" s="1272"/>
      <c r="B3" s="1266"/>
      <c r="C3" s="1269"/>
      <c r="D3" s="1269"/>
      <c r="E3" s="1278"/>
      <c r="F3" s="1281"/>
      <c r="G3" s="1280" t="s">
        <v>188</v>
      </c>
      <c r="H3" s="1266" t="s">
        <v>184</v>
      </c>
      <c r="I3" s="1282" t="s">
        <v>185</v>
      </c>
      <c r="J3" s="1282" t="s">
        <v>181</v>
      </c>
    </row>
    <row r="4" spans="1:12" ht="12" customHeight="1" x14ac:dyDescent="0.2">
      <c r="A4" s="1272"/>
      <c r="B4" s="1266"/>
      <c r="C4" s="1269"/>
      <c r="D4" s="1269"/>
      <c r="E4" s="1278"/>
      <c r="F4" s="1280" t="s">
        <v>186</v>
      </c>
      <c r="G4" s="1282"/>
      <c r="H4" s="1282"/>
      <c r="I4" s="1282"/>
      <c r="J4" s="1282"/>
    </row>
    <row r="5" spans="1:12" ht="33.75" customHeight="1" thickBot="1" x14ac:dyDescent="0.25">
      <c r="A5" s="1273"/>
      <c r="B5" s="1267"/>
      <c r="C5" s="1270"/>
      <c r="D5" s="1270"/>
      <c r="E5" s="1279"/>
      <c r="F5" s="1281"/>
      <c r="G5" s="1281"/>
      <c r="H5" s="1281"/>
      <c r="I5" s="1281"/>
      <c r="J5" s="1281"/>
    </row>
    <row r="6" spans="1:12" ht="12" customHeight="1" thickBot="1" x14ac:dyDescent="0.25">
      <c r="A6" s="1260">
        <v>1</v>
      </c>
      <c r="B6" s="1192" t="s">
        <v>67</v>
      </c>
      <c r="C6" s="1008">
        <f>SUM(C7:C9)</f>
        <v>0</v>
      </c>
      <c r="D6" s="59">
        <f>SUM(D7:D9)</f>
        <v>0</v>
      </c>
      <c r="E6" s="234">
        <f>SUM(E7:E9)</f>
        <v>0</v>
      </c>
      <c r="F6" s="59">
        <f>SUM(F7:F9)</f>
        <v>0</v>
      </c>
      <c r="G6" s="59">
        <f>SUM(G7:G9)</f>
        <v>0</v>
      </c>
      <c r="H6" s="1091"/>
      <c r="I6" s="1205"/>
      <c r="J6" s="1091"/>
    </row>
    <row r="7" spans="1:12" ht="12.75" customHeight="1" x14ac:dyDescent="0.2">
      <c r="A7" s="1261"/>
      <c r="B7" s="1180" t="str">
        <f>Техника!A7</f>
        <v>HITACHI ZX-470 № 24 (Обр)</v>
      </c>
      <c r="C7" s="1193">
        <f>Техника!F7</f>
        <v>0</v>
      </c>
      <c r="D7" s="1198">
        <f>Техника!W7</f>
        <v>0</v>
      </c>
      <c r="E7" s="230">
        <f>Техника!Z7+Техника!AR7+Техника!AU7+Техника!AV7+Техника!Y7+Техника!X7-Техника!AO7-Техника!AP7</f>
        <v>0</v>
      </c>
      <c r="F7" s="230">
        <f>Техника!AA7+Техника!AB7</f>
        <v>0</v>
      </c>
      <c r="G7" s="230">
        <f>Техника!AL7+Техника!AO7+Техника!AP7</f>
        <v>0</v>
      </c>
      <c r="H7" s="1089"/>
      <c r="I7" s="1206"/>
      <c r="J7" s="1089"/>
      <c r="K7" s="192">
        <f t="shared" ref="K7:K24" si="0">G7+F7+E7+D7</f>
        <v>0</v>
      </c>
      <c r="L7" s="58">
        <v>150</v>
      </c>
    </row>
    <row r="8" spans="1:12" ht="12.75" customHeight="1" x14ac:dyDescent="0.2">
      <c r="A8" s="1261"/>
      <c r="B8" s="1146" t="str">
        <f>Техника!A8</f>
        <v>HITACHI EX-1200 № 25 (Обр)</v>
      </c>
      <c r="C8" s="1194">
        <f>Техника!F8</f>
        <v>0</v>
      </c>
      <c r="D8" s="1199">
        <f>Техника!W8</f>
        <v>0</v>
      </c>
      <c r="E8" s="231">
        <f>Техника!Z8+Техника!AR8+Техника!AU8+Техника!AV8+Техника!Y8+Техника!X8-Техника!AO8-Техника!AP8</f>
        <v>0</v>
      </c>
      <c r="F8" s="231">
        <f>Техника!AA8+Техника!AB8</f>
        <v>0</v>
      </c>
      <c r="G8" s="231">
        <f>Техника!AL8+Техника!AO8+Техника!AP8</f>
        <v>0</v>
      </c>
      <c r="H8" s="1085"/>
      <c r="I8" s="864"/>
      <c r="J8" s="1175"/>
      <c r="K8" s="192">
        <f t="shared" si="0"/>
        <v>0</v>
      </c>
    </row>
    <row r="9" spans="1:12" ht="12.75" customHeight="1" thickBot="1" x14ac:dyDescent="0.25">
      <c r="A9" s="1261"/>
      <c r="B9" s="1147" t="str">
        <f>Техника!A9</f>
        <v>ЭШ 6/45 №17</v>
      </c>
      <c r="C9" s="1195">
        <f>Техника!F9</f>
        <v>0</v>
      </c>
      <c r="D9" s="1200">
        <f>Техника!W9</f>
        <v>0</v>
      </c>
      <c r="E9" s="232">
        <f>Техника!Z9+Техника!AR9+Техника!AU9+Техника!AV9+Техника!Y9+Техника!X9-Техника!AO9-Техника!AP9</f>
        <v>0</v>
      </c>
      <c r="F9" s="232">
        <f>Техника!AA9+Техника!AB9</f>
        <v>0</v>
      </c>
      <c r="G9" s="232">
        <f>Техника!AL9+Техника!AO9+Техника!AP9</f>
        <v>0</v>
      </c>
      <c r="H9" s="1090"/>
      <c r="I9" s="1207"/>
      <c r="J9" s="1088"/>
      <c r="K9" s="192">
        <f t="shared" si="0"/>
        <v>0</v>
      </c>
      <c r="L9" s="58">
        <v>45</v>
      </c>
    </row>
    <row r="10" spans="1:12" ht="12" customHeight="1" thickBot="1" x14ac:dyDescent="0.25">
      <c r="A10" s="1261"/>
      <c r="B10" s="1145" t="s">
        <v>187</v>
      </c>
      <c r="C10" s="1009">
        <f>SUM(C11:C13)</f>
        <v>0</v>
      </c>
      <c r="D10" s="626">
        <f>SUM(D11:D13)</f>
        <v>0</v>
      </c>
      <c r="E10" s="233">
        <f>SUM(E11:E13)</f>
        <v>0</v>
      </c>
      <c r="F10" s="887">
        <f>SUM(F11:F13)</f>
        <v>0</v>
      </c>
      <c r="G10" s="233">
        <f>SUM(G11:G13)</f>
        <v>0</v>
      </c>
      <c r="H10" s="553"/>
      <c r="I10" s="1208"/>
      <c r="J10" s="850"/>
      <c r="K10" s="192">
        <f t="shared" si="0"/>
        <v>0</v>
      </c>
    </row>
    <row r="11" spans="1:12" s="61" customFormat="1" ht="11.25" customHeight="1" x14ac:dyDescent="0.2">
      <c r="A11" s="1261"/>
      <c r="B11" s="863" t="str">
        <f>Техника!A10</f>
        <v>БелАЗ-754701 №30</v>
      </c>
      <c r="C11" s="1196">
        <f>Техника!F10</f>
        <v>0</v>
      </c>
      <c r="D11" s="1201">
        <f>Техника!W10</f>
        <v>0</v>
      </c>
      <c r="E11" s="230">
        <f>Техника!Z10+Техника!AR10+Техника!AU10+Техника!AV10+Техника!Y10+Техника!X10-Техника!AO10-Техника!AP10</f>
        <v>0</v>
      </c>
      <c r="F11" s="1203">
        <f>Техника!AA10+Техника!AB10</f>
        <v>0</v>
      </c>
      <c r="G11" s="230">
        <f>Техника!AL10+Техника!AO10+Техника!AP10</f>
        <v>0</v>
      </c>
      <c r="H11" s="1085"/>
      <c r="I11" s="864"/>
      <c r="J11" s="1086"/>
      <c r="K11" s="192">
        <f t="shared" si="0"/>
        <v>0</v>
      </c>
      <c r="L11" s="61">
        <v>26</v>
      </c>
    </row>
    <row r="12" spans="1:12" s="61" customFormat="1" ht="11.25" customHeight="1" x14ac:dyDescent="0.2">
      <c r="A12" s="1261"/>
      <c r="B12" s="33" t="str">
        <f>Техника!A11</f>
        <v>БелАЗ-754701 №32</v>
      </c>
      <c r="C12" s="1194">
        <f>Техника!F11</f>
        <v>0</v>
      </c>
      <c r="D12" s="1199">
        <f>Техника!W11</f>
        <v>0</v>
      </c>
      <c r="E12" s="231">
        <f>Техника!Z11+Техника!AR11+Техника!AU11+Техника!AV11+Техника!Y11+Техника!X11-Техника!AO11-Техника!AP11</f>
        <v>0</v>
      </c>
      <c r="F12" s="1203">
        <f>Техника!AA11+Техника!AB11</f>
        <v>0</v>
      </c>
      <c r="G12" s="231">
        <f>Техника!AL11+Техника!AO11+Техника!AP11</f>
        <v>0</v>
      </c>
      <c r="H12" s="1209"/>
      <c r="I12" s="851"/>
      <c r="J12" s="1087"/>
      <c r="K12" s="192">
        <f t="shared" si="0"/>
        <v>0</v>
      </c>
      <c r="L12" s="61">
        <v>28</v>
      </c>
    </row>
    <row r="13" spans="1:12" ht="12" customHeight="1" thickBot="1" x14ac:dyDescent="0.25">
      <c r="A13" s="1261"/>
      <c r="B13" s="1176" t="str">
        <f>Техника!A12</f>
        <v>БелАЗ-754701 №35</v>
      </c>
      <c r="C13" s="1197">
        <f>Техника!F12</f>
        <v>0</v>
      </c>
      <c r="D13" s="1202">
        <f>Техника!W12</f>
        <v>0</v>
      </c>
      <c r="E13" s="1177">
        <f>Техника!Z12+Техника!AR12+Техника!AU12+Техника!AV12+Техника!Y12+Техника!X12-Техника!AO12-Техника!AP12</f>
        <v>0</v>
      </c>
      <c r="F13" s="1204">
        <f>Техника!AA12+Техника!AB12</f>
        <v>0</v>
      </c>
      <c r="G13" s="1177">
        <f>Техника!AL12+Техника!AO12+Техника!AP12</f>
        <v>0</v>
      </c>
      <c r="H13" s="1175"/>
      <c r="I13" s="1178"/>
      <c r="J13" s="1175"/>
      <c r="K13" s="192">
        <f t="shared" si="0"/>
        <v>0</v>
      </c>
      <c r="L13" s="58">
        <v>31</v>
      </c>
    </row>
    <row r="14" spans="1:12" ht="12" customHeight="1" thickBot="1" x14ac:dyDescent="0.25">
      <c r="A14" s="1261"/>
      <c r="B14" s="59" t="s">
        <v>68</v>
      </c>
      <c r="C14" s="1009">
        <f>SUM(C15:C16)</f>
        <v>0</v>
      </c>
      <c r="D14" s="626">
        <f>SUM(D15:D16)</f>
        <v>0</v>
      </c>
      <c r="E14" s="234">
        <f>SUM(E15:E16)</f>
        <v>0</v>
      </c>
      <c r="F14" s="626">
        <f>SUM(F15:F16)</f>
        <v>0</v>
      </c>
      <c r="G14" s="234">
        <f>SUM(G15:G16)</f>
        <v>0</v>
      </c>
      <c r="H14" s="553"/>
      <c r="I14" s="1208"/>
      <c r="J14" s="553"/>
      <c r="K14" s="192">
        <f t="shared" si="0"/>
        <v>0</v>
      </c>
    </row>
    <row r="15" spans="1:12" ht="13.5" customHeight="1" x14ac:dyDescent="0.2">
      <c r="A15" s="1261"/>
      <c r="B15" s="13" t="str">
        <f>Техника!A15</f>
        <v>Caterpillar D-9R №36</v>
      </c>
      <c r="C15" s="1196">
        <f>Техника!F15</f>
        <v>0</v>
      </c>
      <c r="D15" s="1198">
        <f>Техника!W15</f>
        <v>0</v>
      </c>
      <c r="E15" s="230">
        <f>Техника!Z15+Техника!AR15+Техника!AU15+Техника!AV15+Техника!Y15+Техника!X15-Техника!AO15-Техника!AP15</f>
        <v>0</v>
      </c>
      <c r="F15" s="230">
        <f>Техника!AA15+Техника!AB15</f>
        <v>0</v>
      </c>
      <c r="G15" s="230">
        <f>Техника!AL15+Техника!AO15+Техника!AP15</f>
        <v>0</v>
      </c>
      <c r="H15" s="1085"/>
      <c r="I15" s="864"/>
      <c r="J15" s="1089"/>
      <c r="K15" s="192">
        <f t="shared" si="0"/>
        <v>0</v>
      </c>
      <c r="L15" s="58">
        <v>10</v>
      </c>
    </row>
    <row r="16" spans="1:12" ht="13.5" customHeight="1" thickBot="1" x14ac:dyDescent="0.25">
      <c r="A16" s="1261"/>
      <c r="B16" s="1179" t="str">
        <f>Техника!A16</f>
        <v>Caterpillar D-6R №28</v>
      </c>
      <c r="C16" s="1195">
        <f>Техника!F16</f>
        <v>0</v>
      </c>
      <c r="D16" s="1200">
        <f>Техника!W16</f>
        <v>0</v>
      </c>
      <c r="E16" s="232">
        <f>Техника!Z16+Техника!AR16+Техника!AU16+Техника!AV16+Техника!Y16+Техника!X16-Техника!AO16-Техника!AP16</f>
        <v>0</v>
      </c>
      <c r="F16" s="232">
        <f>Техника!AA16+Техника!AB16</f>
        <v>0</v>
      </c>
      <c r="G16" s="232">
        <f>Техника!AL16+Техника!AO16+Техника!AP16</f>
        <v>0</v>
      </c>
      <c r="H16" s="1090"/>
      <c r="I16" s="1207"/>
      <c r="J16" s="1090"/>
      <c r="K16" s="192">
        <f t="shared" si="0"/>
        <v>0</v>
      </c>
      <c r="L16" s="58">
        <v>9</v>
      </c>
    </row>
    <row r="17" spans="1:12" ht="12" customHeight="1" thickBot="1" x14ac:dyDescent="0.25">
      <c r="A17" s="1261"/>
      <c r="B17" s="60" t="s">
        <v>69</v>
      </c>
      <c r="C17" s="1009">
        <f>SUM(C18:C18)</f>
        <v>0</v>
      </c>
      <c r="D17" s="234">
        <f>SUM(D18:D18)</f>
        <v>0</v>
      </c>
      <c r="E17" s="234">
        <f>SUM(E18:E18)</f>
        <v>0</v>
      </c>
      <c r="F17" s="234">
        <f>SUM(F18:F18)</f>
        <v>0</v>
      </c>
      <c r="G17" s="234">
        <f>SUM(G18:G18)</f>
        <v>0</v>
      </c>
      <c r="H17" s="553"/>
      <c r="I17" s="1208"/>
      <c r="J17" s="553"/>
      <c r="K17" s="192">
        <f t="shared" si="0"/>
        <v>0</v>
      </c>
    </row>
    <row r="18" spans="1:12" ht="12" customHeight="1" x14ac:dyDescent="0.2">
      <c r="A18" s="1261"/>
      <c r="B18" s="863" t="str">
        <f>Техника!A18</f>
        <v>Caterpillar 140М №4</v>
      </c>
      <c r="C18" s="1234">
        <f>Техника!F18</f>
        <v>0</v>
      </c>
      <c r="D18" s="1237">
        <f>Техника!W18</f>
        <v>0</v>
      </c>
      <c r="E18" s="230">
        <f>Техника!Z18+Техника!AR18+Техника!AU18+Техника!AV18+Техника!Y18+Техника!X18-Техника!AO18-Техника!AP18</f>
        <v>0</v>
      </c>
      <c r="F18" s="1239">
        <f>Техника!AA18+Техника!AB18</f>
        <v>0</v>
      </c>
      <c r="G18" s="230">
        <f>Техника!AL18+Техника!AO18+Техника!AP18</f>
        <v>0</v>
      </c>
      <c r="H18" s="1235"/>
      <c r="I18" s="864"/>
      <c r="J18" s="1085"/>
      <c r="K18" s="192">
        <f t="shared" si="0"/>
        <v>0</v>
      </c>
      <c r="L18" s="58">
        <v>4</v>
      </c>
    </row>
    <row r="19" spans="1:12" ht="12" customHeight="1" thickBot="1" x14ac:dyDescent="0.25">
      <c r="A19" s="1261"/>
      <c r="B19" s="1231" t="str">
        <f>Техника!A19</f>
        <v>Komatsu-825 №5</v>
      </c>
      <c r="C19" s="1234">
        <f>Техника!F19</f>
        <v>0</v>
      </c>
      <c r="D19" s="1238">
        <f>Техника!W19</f>
        <v>0</v>
      </c>
      <c r="E19" s="232">
        <f>Техника!Z19+Техника!AR19+Техника!AU19+Техника!AV19+Техника!Y19+Техника!X19-Техника!AO19-Техника!AP19</f>
        <v>0</v>
      </c>
      <c r="F19" s="1240">
        <f>Техника!AA19+Техника!AB19</f>
        <v>0</v>
      </c>
      <c r="G19" s="232">
        <f>Техника!AL19+Техника!AO19+Техника!AP19</f>
        <v>0</v>
      </c>
      <c r="H19" s="1236"/>
      <c r="I19" s="1233"/>
      <c r="J19" s="1232"/>
      <c r="K19" s="192">
        <f t="shared" si="0"/>
        <v>0</v>
      </c>
    </row>
    <row r="20" spans="1:12" ht="12" customHeight="1" thickBot="1" x14ac:dyDescent="0.25">
      <c r="A20" s="1261"/>
      <c r="B20" s="1192" t="s">
        <v>70</v>
      </c>
      <c r="C20" s="1008">
        <f>SUM(C21:C24)</f>
        <v>0</v>
      </c>
      <c r="D20" s="233">
        <f>SUM(D21:D24)</f>
        <v>0</v>
      </c>
      <c r="E20" s="233">
        <f>SUM(E21:E24)</f>
        <v>0</v>
      </c>
      <c r="F20" s="233">
        <f>SUM(F21:F24)</f>
        <v>0</v>
      </c>
      <c r="G20" s="233">
        <f>SUM(G21:G24)</f>
        <v>0</v>
      </c>
      <c r="H20" s="1091"/>
      <c r="I20" s="1205"/>
      <c r="J20" s="1091"/>
      <c r="K20" s="192">
        <f t="shared" si="0"/>
        <v>0</v>
      </c>
    </row>
    <row r="21" spans="1:12" ht="11.25" customHeight="1" x14ac:dyDescent="0.2">
      <c r="A21" s="1261"/>
      <c r="B21" s="1241" t="str">
        <f>Техника!A21</f>
        <v>CAT-962H №15</v>
      </c>
      <c r="C21" s="1193">
        <f>Техника!F21</f>
        <v>0</v>
      </c>
      <c r="D21" s="1245">
        <f>Техника!W21</f>
        <v>0</v>
      </c>
      <c r="E21" s="230">
        <f>Техника!Z21+Техника!AR21+Техника!AU21+Техника!AV21+Техника!Y21+Техника!X21-Техника!AO21-Техника!AP21</f>
        <v>0</v>
      </c>
      <c r="F21" s="1239">
        <f>Техника!AA21+Техника!AB21</f>
        <v>0</v>
      </c>
      <c r="G21" s="230">
        <f>Техника!AL21+Техника!AO21+Техника!AP21</f>
        <v>0</v>
      </c>
      <c r="H21" s="1206"/>
      <c r="I21" s="1089"/>
      <c r="J21" s="1252"/>
      <c r="K21" s="192">
        <f t="shared" si="0"/>
        <v>0</v>
      </c>
      <c r="L21" s="58">
        <v>58</v>
      </c>
    </row>
    <row r="22" spans="1:12" ht="11.25" customHeight="1" x14ac:dyDescent="0.2">
      <c r="A22" s="1261"/>
      <c r="B22" s="1242" t="str">
        <f>Техника!A22</f>
        <v>Shantui SL60W №26</v>
      </c>
      <c r="C22" s="1194">
        <f>Техника!F22</f>
        <v>0</v>
      </c>
      <c r="D22" s="1246">
        <f>Техника!W22</f>
        <v>0</v>
      </c>
      <c r="E22" s="231">
        <f>Техника!Z22+Техника!AR22+Техника!AU22+Техника!AV22+Техника!Y22+Техника!X22-Техника!AO22-Техника!AP22</f>
        <v>0</v>
      </c>
      <c r="F22" s="1248">
        <f>Техника!AA22+Техника!AB22</f>
        <v>0</v>
      </c>
      <c r="G22" s="231">
        <f>Техника!AL22+Техника!AO22+Техника!AP22</f>
        <v>0</v>
      </c>
      <c r="H22" s="851"/>
      <c r="I22" s="1209"/>
      <c r="J22" s="1253"/>
      <c r="K22" s="192">
        <f t="shared" si="0"/>
        <v>0</v>
      </c>
      <c r="L22" s="58">
        <v>283</v>
      </c>
    </row>
    <row r="23" spans="1:12" ht="11.25" customHeight="1" x14ac:dyDescent="0.2">
      <c r="A23" s="1261"/>
      <c r="B23" s="1242" t="str">
        <f>Техника!A23</f>
        <v>CAT-962H №24</v>
      </c>
      <c r="C23" s="1194">
        <f>Техника!F23</f>
        <v>0</v>
      </c>
      <c r="D23" s="1246">
        <f>Техника!W23</f>
        <v>0</v>
      </c>
      <c r="E23" s="231">
        <f>Техника!Z23+Техника!AR23+Техника!AU23+Техника!AV23+Техника!Y23+Техника!X23-Техника!AO23-Техника!AP23</f>
        <v>0</v>
      </c>
      <c r="F23" s="1248">
        <f>Техника!AA23+Техника!AB23</f>
        <v>0</v>
      </c>
      <c r="G23" s="231">
        <f>Техника!AL23+Техника!AO23+Техника!AP23</f>
        <v>0</v>
      </c>
      <c r="H23" s="851"/>
      <c r="I23" s="1209"/>
      <c r="J23" s="1253"/>
      <c r="K23" s="192">
        <f t="shared" si="0"/>
        <v>0</v>
      </c>
      <c r="L23" s="58">
        <v>280</v>
      </c>
    </row>
    <row r="24" spans="1:12" ht="12" customHeight="1" x14ac:dyDescent="0.2">
      <c r="A24" s="1261"/>
      <c r="B24" s="1242" t="str">
        <f>Техника!A24</f>
        <v>CAT-988Н №16</v>
      </c>
      <c r="C24" s="1194">
        <f>Техника!F24</f>
        <v>0</v>
      </c>
      <c r="D24" s="1246">
        <f>Техника!W24</f>
        <v>0</v>
      </c>
      <c r="E24" s="231">
        <f>Техника!Z24+Техника!AR24+Техника!AU24+Техника!AV24+Техника!Y24+Техника!X24-Техника!AO24-Техника!AP24</f>
        <v>0</v>
      </c>
      <c r="F24" s="1248">
        <f>Техника!AA24+Техника!AB24</f>
        <v>0</v>
      </c>
      <c r="G24" s="231">
        <f>Техника!AL24+Техника!AO24+Техника!AP24</f>
        <v>0</v>
      </c>
      <c r="H24" s="851"/>
      <c r="I24" s="1209"/>
      <c r="J24" s="1253"/>
      <c r="K24" s="192">
        <f t="shared" si="0"/>
        <v>0</v>
      </c>
      <c r="L24" s="58">
        <v>43</v>
      </c>
    </row>
    <row r="25" spans="1:12" ht="12.75" customHeight="1" x14ac:dyDescent="0.2">
      <c r="A25" s="1261"/>
      <c r="B25" s="1242" t="str">
        <f>Техника!A25</f>
        <v>Shantui SL60W №30</v>
      </c>
      <c r="C25" s="1194">
        <f>Техника!F25</f>
        <v>0</v>
      </c>
      <c r="D25" s="1246">
        <f>Техника!W25</f>
        <v>0</v>
      </c>
      <c r="E25" s="231">
        <f>Техника!Z25+Техника!AR25+Техника!AU25+Техника!AV25+Техника!Y25+Техника!X25-Техника!AO25-Техника!AP25</f>
        <v>0</v>
      </c>
      <c r="F25" s="1248">
        <f>Техника!AA25+Техника!AB25</f>
        <v>0</v>
      </c>
      <c r="G25" s="231">
        <f>Техника!AL25+Техника!AO25+Техника!AP25</f>
        <v>0</v>
      </c>
      <c r="H25" s="1249"/>
      <c r="I25" s="1257"/>
      <c r="J25" s="1254"/>
      <c r="K25" s="1217">
        <f>G25+F25+E25+D25</f>
        <v>0</v>
      </c>
      <c r="L25" s="58">
        <v>284</v>
      </c>
    </row>
    <row r="26" spans="1:12" ht="12.75" customHeight="1" x14ac:dyDescent="0.2">
      <c r="A26" s="1261"/>
      <c r="B26" s="1243" t="str">
        <f>Техника!A26</f>
        <v>CAT-988Н №31</v>
      </c>
      <c r="C26" s="1194">
        <f>Техника!F26</f>
        <v>0</v>
      </c>
      <c r="D26" s="1246">
        <f>Техника!W26</f>
        <v>0</v>
      </c>
      <c r="E26" s="231">
        <f>Техника!Z26+Техника!AR26+Техника!AU26+Техника!AV26+Техника!Y26+Техника!X26-Техника!AO26-Техника!AP26</f>
        <v>0</v>
      </c>
      <c r="F26" s="1248">
        <f>Техника!AA26+Техника!AB26</f>
        <v>0</v>
      </c>
      <c r="G26" s="231">
        <f>Техника!AL26+Техника!AO26+Техника!AP26</f>
        <v>0</v>
      </c>
      <c r="H26" s="1250"/>
      <c r="I26" s="1258"/>
      <c r="J26" s="1255"/>
      <c r="K26" s="1217">
        <f>G26+F26+E26+D26</f>
        <v>0</v>
      </c>
    </row>
    <row r="27" spans="1:12" ht="13.5" customHeight="1" thickBot="1" x14ac:dyDescent="0.25">
      <c r="A27" s="1262"/>
      <c r="B27" s="1244" t="str">
        <f>Техника!A27</f>
        <v>Shantui L58K-B5 №32</v>
      </c>
      <c r="C27" s="1195">
        <f>Техника!F27</f>
        <v>0</v>
      </c>
      <c r="D27" s="1247">
        <f>Техника!W27</f>
        <v>0</v>
      </c>
      <c r="E27" s="232">
        <f>Техника!Z27+Техника!AR27+Техника!AU27+Техника!AV27+Техника!Y27+Техника!X27-Техника!AO27-Техника!AP27</f>
        <v>0</v>
      </c>
      <c r="F27" s="1240">
        <f>Техника!AA27+Техника!AB27</f>
        <v>0</v>
      </c>
      <c r="G27" s="232">
        <f>Техника!AL27+Техника!AO27+Техника!AP27</f>
        <v>0</v>
      </c>
      <c r="H27" s="1251"/>
      <c r="I27" s="1259"/>
      <c r="J27" s="1256"/>
      <c r="K27" s="1217">
        <f>G27+F27+E27+D27</f>
        <v>0</v>
      </c>
    </row>
  </sheetData>
  <customSheetViews>
    <customSheetView guid="{3F312A0E-DF4A-4A92-9F0F-6B2059264CC1}" fitToPage="1" showRuler="0">
      <pageMargins left="0.75" right="0.75" top="1" bottom="1" header="0.5" footer="0.5"/>
      <pageSetup paperSize="9" orientation="portrait" r:id="rId1"/>
      <headerFooter alignWithMargins="0"/>
    </customSheetView>
  </customSheetViews>
  <mergeCells count="15">
    <mergeCell ref="E1:J1"/>
    <mergeCell ref="E2:E5"/>
    <mergeCell ref="F4:F5"/>
    <mergeCell ref="G3:G5"/>
    <mergeCell ref="F2:F3"/>
    <mergeCell ref="I3:I5"/>
    <mergeCell ref="J3:J5"/>
    <mergeCell ref="H3:H5"/>
    <mergeCell ref="G2:J2"/>
    <mergeCell ref="A6:A27"/>
    <mergeCell ref="C1:D1"/>
    <mergeCell ref="B1:B5"/>
    <mergeCell ref="C2:C5"/>
    <mergeCell ref="D2:D5"/>
    <mergeCell ref="A1:A5"/>
  </mergeCells>
  <phoneticPr fontId="17" type="noConversion"/>
  <pageMargins left="0.75" right="0.75" top="1" bottom="1" header="0.5" footer="0.5"/>
  <pageSetup paperSize="9" scale="57" orientation="portrait" r:id="rId2"/>
  <headerFooter alignWithMargins="0"/>
  <ignoredErrors>
    <ignoredError sqref="B20:B21 B13:D13 B24 B17:B18 B15:B1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FFC000"/>
    <pageSetUpPr fitToPage="1"/>
  </sheetPr>
  <dimension ref="A1:AZ67"/>
  <sheetViews>
    <sheetView workbookViewId="0">
      <pane xSplit="1" ySplit="5" topLeftCell="B6" activePane="bottomRight" state="frozen"/>
      <selection pane="topRight" activeCell="B1" sqref="B1"/>
      <selection pane="bottomLeft" activeCell="A7" sqref="A7"/>
      <selection pane="bottomRight" sqref="A1:A4"/>
    </sheetView>
  </sheetViews>
  <sheetFormatPr defaultRowHeight="12.75" x14ac:dyDescent="0.2"/>
  <cols>
    <col min="1" max="1" width="37" style="1" customWidth="1"/>
    <col min="2" max="2" width="5.7109375" style="1" customWidth="1"/>
    <col min="3" max="3" width="6.85546875" style="1" customWidth="1"/>
    <col min="4" max="4" width="9" style="1" customWidth="1"/>
    <col min="5" max="5" width="6.85546875" style="1" customWidth="1"/>
    <col min="6" max="6" width="9.7109375" style="1" customWidth="1"/>
    <col min="7" max="7" width="5.7109375" style="1" customWidth="1"/>
    <col min="8" max="8" width="6.7109375" style="1" customWidth="1"/>
    <col min="9" max="9" width="6.85546875" style="1" customWidth="1"/>
    <col min="10" max="10" width="8.7109375" style="1" customWidth="1"/>
    <col min="11" max="11" width="7.7109375" style="1" customWidth="1"/>
    <col min="12" max="12" width="7" style="1" customWidth="1"/>
    <col min="13" max="14" width="5.7109375" style="1" customWidth="1"/>
    <col min="15" max="15" width="3.7109375" style="1" customWidth="1"/>
    <col min="16" max="19" width="6.140625" style="1" customWidth="1"/>
    <col min="20" max="20" width="7.140625" style="1" customWidth="1"/>
    <col min="21" max="21" width="6.140625" style="1" customWidth="1"/>
    <col min="22" max="22" width="7.42578125" style="1" customWidth="1"/>
    <col min="23" max="23" width="6.140625" style="1" customWidth="1"/>
    <col min="24" max="24" width="7.28515625" style="1" customWidth="1"/>
    <col min="25" max="25" width="3.85546875" style="1" bestFit="1" customWidth="1"/>
    <col min="26" max="26" width="6.140625" style="1" customWidth="1"/>
    <col min="27" max="27" width="4.5703125" style="1" bestFit="1" customWidth="1"/>
    <col min="28" max="28" width="3.85546875" style="1" bestFit="1" customWidth="1"/>
    <col min="29" max="29" width="6.140625" style="1" customWidth="1"/>
    <col min="30" max="30" width="3.85546875" style="1" bestFit="1" customWidth="1"/>
    <col min="31" max="31" width="5.7109375" style="1" bestFit="1" customWidth="1"/>
    <col min="32" max="33" width="6.140625" style="1" customWidth="1"/>
    <col min="34" max="35" width="5.7109375" style="1" bestFit="1" customWidth="1"/>
    <col min="36" max="37" width="3.85546875" style="1" bestFit="1" customWidth="1"/>
    <col min="38" max="41" width="6.140625" style="1" customWidth="1"/>
    <col min="42" max="42" width="8.140625" style="1" bestFit="1" customWidth="1"/>
    <col min="43" max="45" width="6.140625" style="1" customWidth="1"/>
    <col min="46" max="46" width="3.85546875" style="1" bestFit="1" customWidth="1"/>
    <col min="47" max="47" width="5.7109375" style="1" bestFit="1" customWidth="1"/>
    <col min="48" max="48" width="3.85546875" style="1" bestFit="1" customWidth="1"/>
    <col min="49" max="51" width="6.140625" style="1" customWidth="1"/>
    <col min="52" max="52" width="23.28515625" style="1" customWidth="1"/>
    <col min="53" max="16384" width="9.140625" style="1"/>
  </cols>
  <sheetData>
    <row r="1" spans="1:52" ht="13.5" customHeight="1" x14ac:dyDescent="0.2">
      <c r="A1" s="1286" t="s">
        <v>75</v>
      </c>
      <c r="B1" s="1292" t="s">
        <v>63</v>
      </c>
      <c r="C1" s="1286" t="s">
        <v>127</v>
      </c>
      <c r="D1" s="1292" t="s">
        <v>64</v>
      </c>
      <c r="E1" s="1292" t="s">
        <v>65</v>
      </c>
      <c r="F1" s="1288" t="s">
        <v>66</v>
      </c>
      <c r="G1" s="1289" t="s">
        <v>350</v>
      </c>
      <c r="H1" s="1289" t="s">
        <v>351</v>
      </c>
      <c r="I1" s="1290" t="s">
        <v>90</v>
      </c>
      <c r="J1" s="1295" t="s">
        <v>365</v>
      </c>
      <c r="K1" s="1284" t="s">
        <v>369</v>
      </c>
      <c r="L1" s="1284" t="s">
        <v>376</v>
      </c>
      <c r="M1" s="1284" t="s">
        <v>377</v>
      </c>
      <c r="N1" s="1284" t="s">
        <v>378</v>
      </c>
      <c r="O1" s="1284" t="s">
        <v>366</v>
      </c>
      <c r="P1" s="1304" t="s">
        <v>42</v>
      </c>
      <c r="Q1" s="1305"/>
      <c r="R1" s="1305"/>
      <c r="S1" s="1305"/>
      <c r="T1" s="1305"/>
      <c r="U1" s="1305"/>
      <c r="V1" s="1306"/>
      <c r="W1" s="1307" t="s">
        <v>27</v>
      </c>
      <c r="X1" s="1309" t="s">
        <v>28</v>
      </c>
      <c r="Y1" s="1309"/>
      <c r="Z1" s="1309"/>
      <c r="AA1" s="1310"/>
      <c r="AB1" s="1310"/>
      <c r="AC1" s="1310"/>
      <c r="AD1" s="1310"/>
      <c r="AE1" s="1310"/>
      <c r="AF1" s="1310"/>
      <c r="AG1" s="1310"/>
      <c r="AH1" s="1310"/>
      <c r="AI1" s="1310"/>
      <c r="AJ1" s="1310"/>
      <c r="AK1" s="1310"/>
      <c r="AL1" s="1310"/>
      <c r="AM1" s="1310"/>
      <c r="AN1" s="1310"/>
      <c r="AO1" s="1310"/>
      <c r="AP1" s="1310"/>
      <c r="AQ1" s="1310"/>
      <c r="AR1" s="1310"/>
      <c r="AS1" s="1310"/>
      <c r="AT1" s="1310"/>
      <c r="AU1" s="1310"/>
      <c r="AV1" s="1310"/>
      <c r="AW1" s="1310"/>
      <c r="AX1" s="1320" t="s">
        <v>249</v>
      </c>
      <c r="AY1" s="1313" t="s">
        <v>394</v>
      </c>
      <c r="AZ1" s="169"/>
    </row>
    <row r="2" spans="1:52" ht="13.5" customHeight="1" x14ac:dyDescent="0.2">
      <c r="A2" s="1287"/>
      <c r="B2" s="1293"/>
      <c r="C2" s="1287"/>
      <c r="D2" s="1293"/>
      <c r="E2" s="1293"/>
      <c r="F2" s="1288"/>
      <c r="G2" s="1294"/>
      <c r="H2" s="1294"/>
      <c r="I2" s="1290"/>
      <c r="J2" s="1296"/>
      <c r="K2" s="1285"/>
      <c r="L2" s="1285"/>
      <c r="M2" s="1285"/>
      <c r="N2" s="1285"/>
      <c r="O2" s="1285"/>
      <c r="P2" s="1316" t="s">
        <v>239</v>
      </c>
      <c r="Q2" s="1302" t="s">
        <v>6</v>
      </c>
      <c r="R2" s="1302" t="s">
        <v>7</v>
      </c>
      <c r="S2" s="1302" t="s">
        <v>21</v>
      </c>
      <c r="T2" s="1302" t="s">
        <v>258</v>
      </c>
      <c r="U2" s="1302" t="s">
        <v>240</v>
      </c>
      <c r="V2" s="1297" t="s">
        <v>259</v>
      </c>
      <c r="W2" s="1308"/>
      <c r="X2" s="1318" t="s">
        <v>77</v>
      </c>
      <c r="Y2" s="1318"/>
      <c r="Z2" s="1318"/>
      <c r="AA2" s="1299"/>
      <c r="AB2" s="1299"/>
      <c r="AC2" s="1297" t="s">
        <v>248</v>
      </c>
      <c r="AD2" s="1299" t="s">
        <v>78</v>
      </c>
      <c r="AE2" s="1299"/>
      <c r="AF2" s="1299"/>
      <c r="AG2" s="1299"/>
      <c r="AH2" s="1299"/>
      <c r="AI2" s="1299"/>
      <c r="AJ2" s="1299"/>
      <c r="AK2" s="1299"/>
      <c r="AL2" s="1299"/>
      <c r="AM2" s="1299"/>
      <c r="AN2" s="1299"/>
      <c r="AO2" s="1299"/>
      <c r="AP2" s="1299"/>
      <c r="AQ2" s="1299"/>
      <c r="AR2" s="1299"/>
      <c r="AS2" s="1299"/>
      <c r="AT2" s="1299"/>
      <c r="AU2" s="1299"/>
      <c r="AV2" s="1299"/>
      <c r="AW2" s="1297" t="s">
        <v>247</v>
      </c>
      <c r="AX2" s="1321"/>
      <c r="AY2" s="1314"/>
      <c r="AZ2" s="169"/>
    </row>
    <row r="3" spans="1:52" ht="41.25" customHeight="1" x14ac:dyDescent="0.2">
      <c r="A3" s="1287"/>
      <c r="B3" s="1293"/>
      <c r="C3" s="1287"/>
      <c r="D3" s="1293"/>
      <c r="E3" s="1293"/>
      <c r="F3" s="1288"/>
      <c r="G3" s="1294"/>
      <c r="H3" s="1294"/>
      <c r="I3" s="1290"/>
      <c r="J3" s="1296"/>
      <c r="K3" s="1285"/>
      <c r="L3" s="1285"/>
      <c r="M3" s="1285"/>
      <c r="N3" s="1285"/>
      <c r="O3" s="1285"/>
      <c r="P3" s="1317"/>
      <c r="Q3" s="1303"/>
      <c r="R3" s="1303"/>
      <c r="S3" s="1303"/>
      <c r="T3" s="1303"/>
      <c r="U3" s="1303"/>
      <c r="V3" s="1297"/>
      <c r="W3" s="1308"/>
      <c r="X3" s="1300" t="s">
        <v>250</v>
      </c>
      <c r="Y3" s="1292" t="s">
        <v>270</v>
      </c>
      <c r="Z3" s="1292" t="s">
        <v>260</v>
      </c>
      <c r="AA3" s="1299" t="s">
        <v>81</v>
      </c>
      <c r="AB3" s="1299" t="s">
        <v>74</v>
      </c>
      <c r="AC3" s="1297"/>
      <c r="AD3" s="1299" t="s">
        <v>79</v>
      </c>
      <c r="AE3" s="1299"/>
      <c r="AF3" s="1299"/>
      <c r="AG3" s="1299"/>
      <c r="AH3" s="1299"/>
      <c r="AI3" s="1299"/>
      <c r="AJ3" s="1299"/>
      <c r="AK3" s="1299"/>
      <c r="AL3" s="1297" t="s">
        <v>242</v>
      </c>
      <c r="AM3" s="1319" t="s">
        <v>80</v>
      </c>
      <c r="AN3" s="1319"/>
      <c r="AO3" s="1319"/>
      <c r="AP3" s="1319"/>
      <c r="AQ3" s="1319"/>
      <c r="AR3" s="1297" t="s">
        <v>262</v>
      </c>
      <c r="AS3" s="1299" t="s">
        <v>243</v>
      </c>
      <c r="AT3" s="1299"/>
      <c r="AU3" s="1297" t="s">
        <v>246</v>
      </c>
      <c r="AV3" s="1322" t="s">
        <v>22</v>
      </c>
      <c r="AW3" s="1297"/>
      <c r="AX3" s="1321"/>
      <c r="AY3" s="1314"/>
      <c r="AZ3" s="169"/>
    </row>
    <row r="4" spans="1:52" ht="54" customHeight="1" thickBot="1" x14ac:dyDescent="0.25">
      <c r="A4" s="1287"/>
      <c r="B4" s="1293"/>
      <c r="C4" s="1287"/>
      <c r="D4" s="1293"/>
      <c r="E4" s="1293"/>
      <c r="F4" s="1289"/>
      <c r="G4" s="1294"/>
      <c r="H4" s="1294"/>
      <c r="I4" s="1291"/>
      <c r="J4" s="1296"/>
      <c r="K4" s="1285"/>
      <c r="L4" s="1285"/>
      <c r="M4" s="1285"/>
      <c r="N4" s="1312"/>
      <c r="O4" s="1285"/>
      <c r="P4" s="1317"/>
      <c r="Q4" s="1303"/>
      <c r="R4" s="1303"/>
      <c r="S4" s="1303"/>
      <c r="T4" s="1303"/>
      <c r="U4" s="1303"/>
      <c r="V4" s="1298"/>
      <c r="W4" s="1308"/>
      <c r="X4" s="1301"/>
      <c r="Y4" s="1311"/>
      <c r="Z4" s="1293"/>
      <c r="AA4" s="1286"/>
      <c r="AB4" s="1286"/>
      <c r="AC4" s="1298"/>
      <c r="AD4" s="677" t="s">
        <v>82</v>
      </c>
      <c r="AE4" s="677" t="s">
        <v>83</v>
      </c>
      <c r="AF4" s="677" t="s">
        <v>84</v>
      </c>
      <c r="AG4" s="677" t="s">
        <v>241</v>
      </c>
      <c r="AH4" s="677" t="s">
        <v>85</v>
      </c>
      <c r="AI4" s="677" t="s">
        <v>86</v>
      </c>
      <c r="AJ4" s="677" t="s">
        <v>87</v>
      </c>
      <c r="AK4" s="677" t="s">
        <v>22</v>
      </c>
      <c r="AL4" s="1298"/>
      <c r="AM4" s="676" t="s">
        <v>34</v>
      </c>
      <c r="AN4" s="676" t="s">
        <v>265</v>
      </c>
      <c r="AO4" s="676" t="s">
        <v>43</v>
      </c>
      <c r="AP4" s="676" t="s">
        <v>403</v>
      </c>
      <c r="AQ4" s="676" t="s">
        <v>35</v>
      </c>
      <c r="AR4" s="1298"/>
      <c r="AS4" s="677" t="s">
        <v>244</v>
      </c>
      <c r="AT4" s="677" t="s">
        <v>245</v>
      </c>
      <c r="AU4" s="1298"/>
      <c r="AV4" s="1292"/>
      <c r="AW4" s="1298"/>
      <c r="AX4" s="1321"/>
      <c r="AY4" s="1315"/>
      <c r="AZ4" s="169"/>
    </row>
    <row r="5" spans="1:52" s="137" customFormat="1" ht="13.5" thickBot="1" x14ac:dyDescent="0.25">
      <c r="A5" s="753">
        <v>1</v>
      </c>
      <c r="B5" s="679">
        <v>2</v>
      </c>
      <c r="C5" s="754">
        <v>3</v>
      </c>
      <c r="D5" s="679">
        <v>4</v>
      </c>
      <c r="E5" s="754">
        <v>5</v>
      </c>
      <c r="F5" s="679">
        <v>6</v>
      </c>
      <c r="G5" s="754">
        <v>7</v>
      </c>
      <c r="H5" s="679">
        <v>8</v>
      </c>
      <c r="I5" s="754">
        <v>9</v>
      </c>
      <c r="J5" s="679">
        <v>10</v>
      </c>
      <c r="K5" s="754">
        <v>11</v>
      </c>
      <c r="L5" s="679">
        <v>12</v>
      </c>
      <c r="M5" s="754">
        <v>13</v>
      </c>
      <c r="N5" s="679">
        <v>14</v>
      </c>
      <c r="O5" s="754">
        <v>15</v>
      </c>
      <c r="P5" s="679">
        <v>16</v>
      </c>
      <c r="Q5" s="754">
        <v>17</v>
      </c>
      <c r="R5" s="679">
        <v>18</v>
      </c>
      <c r="S5" s="754">
        <v>19</v>
      </c>
      <c r="T5" s="679">
        <v>20</v>
      </c>
      <c r="U5" s="754">
        <v>21</v>
      </c>
      <c r="V5" s="679">
        <v>22</v>
      </c>
      <c r="W5" s="754">
        <v>23</v>
      </c>
      <c r="X5" s="679">
        <v>24</v>
      </c>
      <c r="Y5" s="754">
        <v>25</v>
      </c>
      <c r="Z5" s="679">
        <v>26</v>
      </c>
      <c r="AA5" s="754">
        <v>27</v>
      </c>
      <c r="AB5" s="679">
        <v>28</v>
      </c>
      <c r="AC5" s="754">
        <v>29</v>
      </c>
      <c r="AD5" s="679">
        <v>30</v>
      </c>
      <c r="AE5" s="754">
        <v>31</v>
      </c>
      <c r="AF5" s="679">
        <v>32</v>
      </c>
      <c r="AG5" s="754">
        <v>33</v>
      </c>
      <c r="AH5" s="679">
        <v>34</v>
      </c>
      <c r="AI5" s="754">
        <v>35</v>
      </c>
      <c r="AJ5" s="679">
        <v>36</v>
      </c>
      <c r="AK5" s="754">
        <v>37</v>
      </c>
      <c r="AL5" s="679">
        <v>38</v>
      </c>
      <c r="AM5" s="754">
        <v>39</v>
      </c>
      <c r="AN5" s="679">
        <v>40</v>
      </c>
      <c r="AO5" s="754">
        <v>41</v>
      </c>
      <c r="AP5" s="679">
        <v>42</v>
      </c>
      <c r="AQ5" s="754">
        <v>43</v>
      </c>
      <c r="AR5" s="679">
        <v>44</v>
      </c>
      <c r="AS5" s="754">
        <v>45</v>
      </c>
      <c r="AT5" s="679">
        <v>46</v>
      </c>
      <c r="AU5" s="754">
        <v>47</v>
      </c>
      <c r="AV5" s="679">
        <v>48</v>
      </c>
      <c r="AW5" s="754">
        <v>49</v>
      </c>
      <c r="AX5" s="885">
        <v>50</v>
      </c>
      <c r="AY5" s="886">
        <v>51</v>
      </c>
    </row>
    <row r="6" spans="1:52" s="132" customFormat="1" ht="15" x14ac:dyDescent="0.25">
      <c r="A6" s="748" t="s">
        <v>92</v>
      </c>
      <c r="B6" s="140">
        <f>SUM(B7:B9)</f>
        <v>0</v>
      </c>
      <c r="C6" s="134"/>
      <c r="D6" s="134"/>
      <c r="E6" s="135" t="s">
        <v>44</v>
      </c>
      <c r="F6" s="685">
        <f t="shared" ref="F6:K6" si="0">SUM(F7:F9)</f>
        <v>0</v>
      </c>
      <c r="G6" s="135">
        <f t="shared" si="0"/>
        <v>0</v>
      </c>
      <c r="H6" s="135">
        <f t="shared" si="0"/>
        <v>0</v>
      </c>
      <c r="I6" s="173">
        <f t="shared" si="0"/>
        <v>0</v>
      </c>
      <c r="J6" s="749">
        <f t="shared" si="0"/>
        <v>0</v>
      </c>
      <c r="K6" s="834">
        <f t="shared" si="0"/>
        <v>0</v>
      </c>
      <c r="L6" s="179"/>
      <c r="M6" s="179"/>
      <c r="N6" s="179"/>
      <c r="O6" s="179">
        <f>SUM(O7:O9)</f>
        <v>0</v>
      </c>
      <c r="P6" s="755">
        <f>SUM(P7:P9)</f>
        <v>0</v>
      </c>
      <c r="Q6" s="179">
        <f>SUM(Q7:Q9)</f>
        <v>0</v>
      </c>
      <c r="R6" s="179">
        <f>SUM(R7:R9)</f>
        <v>0</v>
      </c>
      <c r="S6" s="750"/>
      <c r="T6" s="179">
        <f t="shared" ref="T6:AY6" si="1">SUM(T7:T9)</f>
        <v>0</v>
      </c>
      <c r="U6" s="179">
        <f t="shared" si="1"/>
        <v>0</v>
      </c>
      <c r="V6" s="179">
        <f t="shared" si="1"/>
        <v>0</v>
      </c>
      <c r="W6" s="751">
        <f t="shared" si="1"/>
        <v>0</v>
      </c>
      <c r="X6" s="140">
        <f t="shared" si="1"/>
        <v>0</v>
      </c>
      <c r="Y6" s="755">
        <f t="shared" si="1"/>
        <v>0</v>
      </c>
      <c r="Z6" s="179">
        <f t="shared" si="1"/>
        <v>0</v>
      </c>
      <c r="AA6" s="179">
        <f t="shared" si="1"/>
        <v>0</v>
      </c>
      <c r="AB6" s="179">
        <f t="shared" si="1"/>
        <v>0</v>
      </c>
      <c r="AC6" s="179">
        <f t="shared" si="1"/>
        <v>0</v>
      </c>
      <c r="AD6" s="179">
        <f t="shared" si="1"/>
        <v>0</v>
      </c>
      <c r="AE6" s="179">
        <f t="shared" si="1"/>
        <v>0</v>
      </c>
      <c r="AF6" s="179">
        <f t="shared" si="1"/>
        <v>0</v>
      </c>
      <c r="AG6" s="179">
        <f t="shared" si="1"/>
        <v>0</v>
      </c>
      <c r="AH6" s="179">
        <f t="shared" si="1"/>
        <v>0</v>
      </c>
      <c r="AI6" s="179">
        <f t="shared" si="1"/>
        <v>0</v>
      </c>
      <c r="AJ6" s="179">
        <f t="shared" si="1"/>
        <v>0</v>
      </c>
      <c r="AK6" s="179">
        <f t="shared" si="1"/>
        <v>0</v>
      </c>
      <c r="AL6" s="179">
        <f t="shared" si="1"/>
        <v>0</v>
      </c>
      <c r="AM6" s="179">
        <f t="shared" si="1"/>
        <v>0</v>
      </c>
      <c r="AN6" s="179">
        <f t="shared" si="1"/>
        <v>0</v>
      </c>
      <c r="AO6" s="179">
        <f t="shared" si="1"/>
        <v>0</v>
      </c>
      <c r="AP6" s="179">
        <f t="shared" si="1"/>
        <v>0</v>
      </c>
      <c r="AQ6" s="179">
        <f t="shared" si="1"/>
        <v>0</v>
      </c>
      <c r="AR6" s="179">
        <f t="shared" si="1"/>
        <v>0</v>
      </c>
      <c r="AS6" s="179">
        <f t="shared" si="1"/>
        <v>0</v>
      </c>
      <c r="AT6" s="179">
        <f t="shared" si="1"/>
        <v>0</v>
      </c>
      <c r="AU6" s="179">
        <f t="shared" si="1"/>
        <v>0</v>
      </c>
      <c r="AV6" s="179">
        <f t="shared" si="1"/>
        <v>0</v>
      </c>
      <c r="AW6" s="179">
        <f t="shared" si="1"/>
        <v>0</v>
      </c>
      <c r="AX6" s="751">
        <f t="shared" si="1"/>
        <v>0</v>
      </c>
      <c r="AY6" s="752">
        <f t="shared" si="1"/>
        <v>0</v>
      </c>
    </row>
    <row r="7" spans="1:52" x14ac:dyDescent="0.2">
      <c r="A7" s="681" t="str">
        <f>Экскаваторы!C39</f>
        <v>HITACHI ZX-470 № 24 (Обр)</v>
      </c>
      <c r="B7" s="533">
        <f>IF(Экскаваторы!AB39&gt;0,1,0)</f>
        <v>0</v>
      </c>
      <c r="C7" s="175"/>
      <c r="D7" s="175"/>
      <c r="E7" s="528" t="s">
        <v>44</v>
      </c>
      <c r="F7" s="686">
        <f>(Экскаваторы!J39+Экскаваторы!F39)*'Сводка внутр.'!$P$1</f>
        <v>0</v>
      </c>
      <c r="G7" s="531">
        <f>Экскаваторы!S39+Экскаваторы!T39</f>
        <v>0</v>
      </c>
      <c r="H7" s="531">
        <f>Экскаваторы!Q39</f>
        <v>0</v>
      </c>
      <c r="I7" s="543">
        <f t="shared" ref="I7" si="2">G7+H7</f>
        <v>0</v>
      </c>
      <c r="J7" s="758">
        <f>Экскаваторы!N39</f>
        <v>0</v>
      </c>
      <c r="K7" s="686">
        <f>Экскаваторы!O39</f>
        <v>0</v>
      </c>
      <c r="L7" s="528">
        <f t="shared" ref="L7:L8" si="3">IF(K7=0,0,K7/J7)</f>
        <v>0</v>
      </c>
      <c r="M7" s="528">
        <f>IF($B$29="зима",C35,E35)</f>
        <v>26.19047619047619</v>
      </c>
      <c r="N7" s="236">
        <f t="shared" ref="N7:N12" si="4">IF(L7=0,0,(1-L7/M7)*100)</f>
        <v>0</v>
      </c>
      <c r="O7" s="528"/>
      <c r="P7" s="542">
        <f>Экскаваторы!V39</f>
        <v>0</v>
      </c>
      <c r="Q7" s="528">
        <f>Экскаваторы!W39</f>
        <v>0</v>
      </c>
      <c r="R7" s="528">
        <f>Экскаваторы!X39</f>
        <v>0</v>
      </c>
      <c r="S7" s="175"/>
      <c r="T7" s="528">
        <f>Экскаваторы!Y39</f>
        <v>0</v>
      </c>
      <c r="U7" s="528">
        <f>Экскаваторы!Z39</f>
        <v>0</v>
      </c>
      <c r="V7" s="528">
        <f>SUM(P7:U7)</f>
        <v>0</v>
      </c>
      <c r="W7" s="531">
        <f t="shared" ref="W7:W12" si="5">V7+I7</f>
        <v>0</v>
      </c>
      <c r="X7" s="533">
        <f>Экскаваторы!AC39</f>
        <v>0</v>
      </c>
      <c r="Y7" s="542">
        <f>Экскаваторы!AD39</f>
        <v>0</v>
      </c>
      <c r="Z7" s="528">
        <f>Экскаваторы!AE39</f>
        <v>0</v>
      </c>
      <c r="AA7" s="528">
        <f>Экскаваторы!AF39</f>
        <v>0</v>
      </c>
      <c r="AB7" s="528">
        <f>Экскаваторы!AG39</f>
        <v>0</v>
      </c>
      <c r="AC7" s="528">
        <f t="shared" ref="AC7:AC12" si="6">SUM(X7:AB7)</f>
        <v>0</v>
      </c>
      <c r="AD7" s="528">
        <f>Экскаваторы!AI39</f>
        <v>0</v>
      </c>
      <c r="AE7" s="528">
        <f>Экскаваторы!AJ39</f>
        <v>0</v>
      </c>
      <c r="AF7" s="528">
        <f>Экскаваторы!AK39</f>
        <v>0</v>
      </c>
      <c r="AG7" s="528">
        <f>Экскаваторы!AL39</f>
        <v>0</v>
      </c>
      <c r="AH7" s="528">
        <f>Экскаваторы!AM39</f>
        <v>0</v>
      </c>
      <c r="AI7" s="528">
        <f>Экскаваторы!AN39</f>
        <v>0</v>
      </c>
      <c r="AJ7" s="528">
        <f>Экскаваторы!AO39</f>
        <v>0</v>
      </c>
      <c r="AK7" s="528">
        <f>Экскаваторы!AP39</f>
        <v>0</v>
      </c>
      <c r="AL7" s="528">
        <f>SUM(AD7:AK7)</f>
        <v>0</v>
      </c>
      <c r="AM7" s="528">
        <f>Экскаваторы!AR39</f>
        <v>0</v>
      </c>
      <c r="AN7" s="528">
        <f>Экскаваторы!AS39</f>
        <v>0</v>
      </c>
      <c r="AO7" s="528">
        <f>Экскаваторы!AT39</f>
        <v>0</v>
      </c>
      <c r="AP7" s="528">
        <f>Экскаваторы!AU39</f>
        <v>0</v>
      </c>
      <c r="AQ7" s="528">
        <f>Экскаваторы!AV39</f>
        <v>0</v>
      </c>
      <c r="AR7" s="528">
        <f>SUM(AM7:AQ7)</f>
        <v>0</v>
      </c>
      <c r="AS7" s="528">
        <f>Экскаваторы!AX39</f>
        <v>0</v>
      </c>
      <c r="AT7" s="528">
        <f>Экскаваторы!AY39</f>
        <v>0</v>
      </c>
      <c r="AU7" s="528">
        <f>SUM(AS7:AT7)</f>
        <v>0</v>
      </c>
      <c r="AV7" s="528">
        <f>Экскаваторы!BA39</f>
        <v>0</v>
      </c>
      <c r="AW7" s="528">
        <f>AV7+AU7+AR7+AL7</f>
        <v>0</v>
      </c>
      <c r="AX7" s="531">
        <f>AW7+AC7</f>
        <v>0</v>
      </c>
      <c r="AY7" s="540">
        <f>AX7+W7</f>
        <v>0</v>
      </c>
    </row>
    <row r="8" spans="1:52" x14ac:dyDescent="0.2">
      <c r="A8" s="681" t="str">
        <f>Экскаваторы!C38</f>
        <v>HITACHI EX-1200 № 25 (Обр)</v>
      </c>
      <c r="B8" s="533">
        <f>IF(Экскаваторы!AB38&gt;0,1,0)</f>
        <v>0</v>
      </c>
      <c r="C8" s="193"/>
      <c r="D8" s="193"/>
      <c r="E8" s="528" t="s">
        <v>44</v>
      </c>
      <c r="F8" s="686">
        <f>(Экскаваторы!J38+Экскаваторы!F38)*'Сводка внутр.'!$P$1</f>
        <v>0</v>
      </c>
      <c r="G8" s="531">
        <f>Экскаваторы!S38+Экскаваторы!T38</f>
        <v>0</v>
      </c>
      <c r="H8" s="531">
        <f>Экскаваторы!Q38</f>
        <v>0</v>
      </c>
      <c r="I8" s="543">
        <f t="shared" ref="I8" si="7">G8+H8</f>
        <v>0</v>
      </c>
      <c r="J8" s="758">
        <f>Экскаваторы!N38</f>
        <v>0</v>
      </c>
      <c r="K8" s="686">
        <f>Экскаваторы!O38</f>
        <v>0</v>
      </c>
      <c r="L8" s="528">
        <f t="shared" si="3"/>
        <v>0</v>
      </c>
      <c r="M8" s="528">
        <f>IF($B$29="зима",C37,E37)</f>
        <v>85.714285714285722</v>
      </c>
      <c r="N8" s="236">
        <f t="shared" si="4"/>
        <v>0</v>
      </c>
      <c r="O8" s="630"/>
      <c r="P8" s="542">
        <f>Экскаваторы!V38</f>
        <v>0</v>
      </c>
      <c r="Q8" s="528">
        <f>Экскаваторы!W38</f>
        <v>0</v>
      </c>
      <c r="R8" s="528">
        <f>Экскаваторы!X38</f>
        <v>0</v>
      </c>
      <c r="S8" s="193"/>
      <c r="T8" s="528">
        <f>Экскаваторы!Y38</f>
        <v>0</v>
      </c>
      <c r="U8" s="528">
        <f>Экскаваторы!Z38</f>
        <v>0</v>
      </c>
      <c r="V8" s="528">
        <f>SUM(P8:U8)</f>
        <v>0</v>
      </c>
      <c r="W8" s="531">
        <f t="shared" si="5"/>
        <v>0</v>
      </c>
      <c r="X8" s="533">
        <f>Экскаваторы!AC38</f>
        <v>0</v>
      </c>
      <c r="Y8" s="542">
        <f>Экскаваторы!AD38</f>
        <v>0</v>
      </c>
      <c r="Z8" s="528">
        <f>Экскаваторы!AE38</f>
        <v>0</v>
      </c>
      <c r="AA8" s="528">
        <f>Экскаваторы!AF38</f>
        <v>0</v>
      </c>
      <c r="AB8" s="528">
        <f>Экскаваторы!AG38</f>
        <v>0</v>
      </c>
      <c r="AC8" s="528">
        <f t="shared" si="6"/>
        <v>0</v>
      </c>
      <c r="AD8" s="528">
        <f>Экскаваторы!AI38</f>
        <v>0</v>
      </c>
      <c r="AE8" s="528">
        <f>Экскаваторы!AJ38</f>
        <v>0</v>
      </c>
      <c r="AF8" s="528">
        <f>Экскаваторы!AK38</f>
        <v>0</v>
      </c>
      <c r="AG8" s="528">
        <f>Экскаваторы!AL38</f>
        <v>0</v>
      </c>
      <c r="AH8" s="528">
        <f>Экскаваторы!AM38</f>
        <v>0</v>
      </c>
      <c r="AI8" s="528">
        <f>Экскаваторы!AN38</f>
        <v>0</v>
      </c>
      <c r="AJ8" s="528">
        <f>Экскаваторы!AO38</f>
        <v>0</v>
      </c>
      <c r="AK8" s="528">
        <f>Экскаваторы!AP38</f>
        <v>0</v>
      </c>
      <c r="AL8" s="528">
        <f>SUM(AD8:AK8)</f>
        <v>0</v>
      </c>
      <c r="AM8" s="528">
        <f>Экскаваторы!AR38</f>
        <v>0</v>
      </c>
      <c r="AN8" s="528">
        <f>Экскаваторы!AS38</f>
        <v>0</v>
      </c>
      <c r="AO8" s="528">
        <f>Экскаваторы!AT38</f>
        <v>0</v>
      </c>
      <c r="AP8" s="528">
        <f>Экскаваторы!AU38</f>
        <v>0</v>
      </c>
      <c r="AQ8" s="528">
        <f>Экскаваторы!AV38</f>
        <v>0</v>
      </c>
      <c r="AR8" s="528">
        <f>SUM(AM8:AQ8)</f>
        <v>0</v>
      </c>
      <c r="AS8" s="528">
        <f>Экскаваторы!AX38</f>
        <v>0</v>
      </c>
      <c r="AT8" s="528">
        <f>Экскаваторы!AY38</f>
        <v>0</v>
      </c>
      <c r="AU8" s="528">
        <f>SUM(AS8:AT8)</f>
        <v>0</v>
      </c>
      <c r="AV8" s="528">
        <f>Экскаваторы!BA38</f>
        <v>0</v>
      </c>
      <c r="AW8" s="528">
        <f>AV8+AU8+AR8+AL8</f>
        <v>0</v>
      </c>
      <c r="AX8" s="531">
        <f>AW8+AC8</f>
        <v>0</v>
      </c>
      <c r="AY8" s="540">
        <f>AX8+W8</f>
        <v>0</v>
      </c>
    </row>
    <row r="9" spans="1:52" ht="13.5" thickBot="1" x14ac:dyDescent="0.25">
      <c r="A9" s="830" t="str">
        <f>Экскаваторы!C40</f>
        <v>ЭШ 6/45 №17</v>
      </c>
      <c r="B9" s="760">
        <f>IF(Экскаваторы!AB40&gt;0,1,0)</f>
        <v>0</v>
      </c>
      <c r="C9" s="193"/>
      <c r="D9" s="193"/>
      <c r="E9" s="630" t="s">
        <v>44</v>
      </c>
      <c r="F9" s="912">
        <f>Экскаваторы!J40</f>
        <v>0</v>
      </c>
      <c r="G9" s="831">
        <f>Экскаваторы!S40+Экскаваторы!T40</f>
        <v>0</v>
      </c>
      <c r="H9" s="831">
        <f>Экскаваторы!Q40</f>
        <v>0</v>
      </c>
      <c r="I9" s="832">
        <f>G9+H9</f>
        <v>0</v>
      </c>
      <c r="J9" s="759"/>
      <c r="K9" s="984"/>
      <c r="L9" s="535"/>
      <c r="M9" s="535"/>
      <c r="N9" s="535"/>
      <c r="O9" s="535"/>
      <c r="P9" s="544">
        <f>Экскаваторы!V40</f>
        <v>0</v>
      </c>
      <c r="Q9" s="535">
        <f>Экскаваторы!W40</f>
        <v>0</v>
      </c>
      <c r="R9" s="535">
        <f>Экскаваторы!X40</f>
        <v>0</v>
      </c>
      <c r="S9" s="177"/>
      <c r="T9" s="535">
        <f>Экскаваторы!Y40</f>
        <v>0</v>
      </c>
      <c r="U9" s="535">
        <f>Экскаваторы!Z40</f>
        <v>0</v>
      </c>
      <c r="V9" s="535">
        <f t="shared" ref="V9" si="8">SUM(P9:U9)</f>
        <v>0</v>
      </c>
      <c r="W9" s="536">
        <f t="shared" si="5"/>
        <v>0</v>
      </c>
      <c r="X9" s="534">
        <f>Экскаваторы!AC40</f>
        <v>0</v>
      </c>
      <c r="Y9" s="544">
        <f>Экскаваторы!AD40</f>
        <v>0</v>
      </c>
      <c r="Z9" s="535">
        <f>Экскаваторы!AE40</f>
        <v>0</v>
      </c>
      <c r="AA9" s="535">
        <f>Экскаваторы!AF40</f>
        <v>0</v>
      </c>
      <c r="AB9" s="535">
        <f>Экскаваторы!AG40</f>
        <v>0</v>
      </c>
      <c r="AC9" s="535">
        <f t="shared" si="6"/>
        <v>0</v>
      </c>
      <c r="AD9" s="535">
        <f>Экскаваторы!AI40</f>
        <v>0</v>
      </c>
      <c r="AE9" s="535">
        <f>Экскаваторы!AJ40</f>
        <v>0</v>
      </c>
      <c r="AF9" s="535">
        <f>Экскаваторы!AK40</f>
        <v>0</v>
      </c>
      <c r="AG9" s="535">
        <f>Экскаваторы!AL40</f>
        <v>0</v>
      </c>
      <c r="AH9" s="535">
        <f>Экскаваторы!AM40</f>
        <v>0</v>
      </c>
      <c r="AI9" s="535">
        <f>Экскаваторы!AN40</f>
        <v>0</v>
      </c>
      <c r="AJ9" s="535">
        <f>Экскаваторы!AO40</f>
        <v>0</v>
      </c>
      <c r="AK9" s="535">
        <f>Экскаваторы!AP40</f>
        <v>0</v>
      </c>
      <c r="AL9" s="535">
        <f t="shared" ref="AL9:AL12" si="9">SUM(AD9:AK9)</f>
        <v>0</v>
      </c>
      <c r="AM9" s="535">
        <f>Экскаваторы!AR40</f>
        <v>0</v>
      </c>
      <c r="AN9" s="535">
        <f>Экскаваторы!AS40</f>
        <v>0</v>
      </c>
      <c r="AO9" s="535">
        <f>Экскаваторы!AT40</f>
        <v>0</v>
      </c>
      <c r="AP9" s="535">
        <f>Экскаваторы!AU40</f>
        <v>0</v>
      </c>
      <c r="AQ9" s="535">
        <f>Экскаваторы!AV40</f>
        <v>0</v>
      </c>
      <c r="AR9" s="535">
        <f t="shared" ref="AR9:AR12" si="10">SUM(AM9:AQ9)</f>
        <v>0</v>
      </c>
      <c r="AS9" s="535">
        <f>Экскаваторы!AX40</f>
        <v>0</v>
      </c>
      <c r="AT9" s="535">
        <f>Экскаваторы!AY40</f>
        <v>0</v>
      </c>
      <c r="AU9" s="535">
        <f t="shared" ref="AU9:AU12" si="11">SUM(AS9:AT9)</f>
        <v>0</v>
      </c>
      <c r="AV9" s="535">
        <f>Экскаваторы!BA40</f>
        <v>0</v>
      </c>
      <c r="AW9" s="535">
        <f t="shared" ref="AW9" si="12">AV9+AU9+AR9+AL9</f>
        <v>0</v>
      </c>
      <c r="AX9" s="536">
        <f t="shared" ref="AX9:AX12" si="13">AW9+AC9</f>
        <v>0</v>
      </c>
      <c r="AY9" s="857">
        <f t="shared" ref="AY9:AY12" si="14">AX9+W9</f>
        <v>0</v>
      </c>
    </row>
    <row r="10" spans="1:52" x14ac:dyDescent="0.2">
      <c r="A10" s="852" t="s">
        <v>233</v>
      </c>
      <c r="B10" s="853">
        <f>IF(('БелАЗы '!W7+'БелАЗы '!W18)&gt;0,1,0)</f>
        <v>0</v>
      </c>
      <c r="C10" s="983">
        <f>'БелАЗы '!K7+'БелАЗы '!K18</f>
        <v>0</v>
      </c>
      <c r="D10" s="529">
        <f>IF(('БелАЗы '!K7+'БелАЗы '!K18)=0,0,('БелАЗы '!K7*'БелАЗы '!L7+'БелАЗы '!K18*'БелАЗы '!L18)/('БелАЗы '!K7+'БелАЗы '!K18))</f>
        <v>0</v>
      </c>
      <c r="E10" s="529" t="s">
        <v>91</v>
      </c>
      <c r="F10" s="983">
        <f>'БелАЗы '!H7*'БелАЗы '!L7+'БелАЗы '!H18*'БелАЗы '!L18</f>
        <v>0</v>
      </c>
      <c r="G10" s="529"/>
      <c r="H10" s="529"/>
      <c r="I10" s="859">
        <f>'БелАЗы '!Q7+'БелАЗы '!Q18</f>
        <v>0</v>
      </c>
      <c r="J10" s="860">
        <f>'БелАЗы '!M7+'БелАЗы '!M18</f>
        <v>0</v>
      </c>
      <c r="K10" s="983">
        <f>'БелАЗы '!N7+'БелАЗы '!N18</f>
        <v>0</v>
      </c>
      <c r="L10" s="529">
        <f>IF(K10=0,0,K10/J10*100)</f>
        <v>0</v>
      </c>
      <c r="M10" s="529">
        <f>IF($B$29="зима",C38,E38)</f>
        <v>214.28571428571431</v>
      </c>
      <c r="N10" s="861">
        <f t="shared" si="4"/>
        <v>0</v>
      </c>
      <c r="O10" s="529">
        <f>'БелАЗы '!O7+'БелАЗы '!O18</f>
        <v>0</v>
      </c>
      <c r="P10" s="853">
        <f>'БелАЗы '!R7+'БелАЗы '!R18</f>
        <v>0</v>
      </c>
      <c r="Q10" s="529">
        <f>'БелАЗы '!S7+'БелАЗы '!S18</f>
        <v>0</v>
      </c>
      <c r="R10" s="855"/>
      <c r="S10" s="529">
        <f>'БелАЗы '!T7+'БелАЗы '!T18</f>
        <v>0</v>
      </c>
      <c r="T10" s="855"/>
      <c r="U10" s="529">
        <f>'БелАЗы '!U7+'БелАЗы '!U18</f>
        <v>0</v>
      </c>
      <c r="V10" s="529">
        <f>SUM(P10:U10)</f>
        <v>0</v>
      </c>
      <c r="W10" s="854">
        <f t="shared" si="5"/>
        <v>0</v>
      </c>
      <c r="X10" s="856">
        <f>'БелАЗы '!X7+'БелАЗы '!X18</f>
        <v>0</v>
      </c>
      <c r="Y10" s="856">
        <f>'БелАЗы '!Y7+'БелАЗы '!Y18</f>
        <v>0</v>
      </c>
      <c r="Z10" s="539">
        <f>'БелАЗы '!Z7+'БелАЗы '!Z18</f>
        <v>0</v>
      </c>
      <c r="AA10" s="539">
        <f>'БелАЗы '!AA7+'БелАЗы '!AA18</f>
        <v>0</v>
      </c>
      <c r="AB10" s="539">
        <f>'БелАЗы '!AB7+'БелАЗы '!AB18</f>
        <v>0</v>
      </c>
      <c r="AC10" s="539">
        <f t="shared" si="6"/>
        <v>0</v>
      </c>
      <c r="AD10" s="539">
        <f>'БелАЗы '!AD7+'БелАЗы '!AD18</f>
        <v>0</v>
      </c>
      <c r="AE10" s="539">
        <f>'БелАЗы '!AE7+'БелАЗы '!AE18</f>
        <v>0</v>
      </c>
      <c r="AF10" s="539">
        <f>'БелАЗы '!AF7+'БелАЗы '!AF18</f>
        <v>0</v>
      </c>
      <c r="AG10" s="539">
        <f>'БелАЗы '!AG7+'БелАЗы '!AG18</f>
        <v>0</v>
      </c>
      <c r="AH10" s="539">
        <f>'БелАЗы '!AH7+'БелАЗы '!AH18</f>
        <v>0</v>
      </c>
      <c r="AI10" s="539">
        <f>'БелАЗы '!AI7+'БелАЗы '!AI18</f>
        <v>0</v>
      </c>
      <c r="AJ10" s="539">
        <f>'БелАЗы '!AJ7+'БелАЗы '!AJ18</f>
        <v>0</v>
      </c>
      <c r="AK10" s="539">
        <f>'БелАЗы '!AK7+'БелАЗы '!AK18</f>
        <v>0</v>
      </c>
      <c r="AL10" s="539">
        <f t="shared" si="9"/>
        <v>0</v>
      </c>
      <c r="AM10" s="180"/>
      <c r="AN10" s="539">
        <f>'БелАЗы '!AM7+'БелАЗы '!AM18</f>
        <v>0</v>
      </c>
      <c r="AO10" s="539">
        <f>'БелАЗы '!AN7+'БелАЗы '!AN18</f>
        <v>0</v>
      </c>
      <c r="AP10" s="539">
        <f>'БелАЗы '!AO7+'БелАЗы '!AO18</f>
        <v>0</v>
      </c>
      <c r="AQ10" s="539">
        <f>'БелАЗы '!AP7+'БелАЗы '!AP18</f>
        <v>0</v>
      </c>
      <c r="AR10" s="539">
        <f>SUM(AM10:AQ10)</f>
        <v>0</v>
      </c>
      <c r="AS10" s="539">
        <f>'БелАЗы '!AR7+'БелАЗы '!AR18</f>
        <v>0</v>
      </c>
      <c r="AT10" s="539">
        <f>'БелАЗы '!AS7+'БелАЗы '!AS18</f>
        <v>0</v>
      </c>
      <c r="AU10" s="539">
        <f t="shared" si="11"/>
        <v>0</v>
      </c>
      <c r="AV10" s="539">
        <f>'БелАЗы '!AU7+'БелАЗы '!AU18</f>
        <v>0</v>
      </c>
      <c r="AW10" s="539">
        <f>AV10+AU10+AR10+AL10</f>
        <v>0</v>
      </c>
      <c r="AX10" s="541">
        <f t="shared" si="13"/>
        <v>0</v>
      </c>
      <c r="AY10" s="858">
        <f t="shared" si="14"/>
        <v>0</v>
      </c>
    </row>
    <row r="11" spans="1:52" x14ac:dyDescent="0.2">
      <c r="A11" s="682" t="s">
        <v>396</v>
      </c>
      <c r="B11" s="528">
        <f>IF(('БелАЗы '!W8+'БелАЗы '!W19)&gt;0,1,0)</f>
        <v>0</v>
      </c>
      <c r="C11" s="686">
        <f>'БелАЗы '!K8+'БелАЗы '!K19</f>
        <v>0</v>
      </c>
      <c r="D11" s="528">
        <f>IF(('БелАЗы '!K8+'БелАЗы '!K19)=0,0,('БелАЗы '!K8*'БелАЗы '!L8+'БелАЗы '!K19*'БелАЗы '!L19)/('БелАЗы '!K8+'БелАЗы '!K19))</f>
        <v>0</v>
      </c>
      <c r="E11" s="528" t="s">
        <v>91</v>
      </c>
      <c r="F11" s="686">
        <f>'БелАЗы '!H8*'БелАЗы '!L8+'БелАЗы '!H19*'БелАЗы '!L19</f>
        <v>0</v>
      </c>
      <c r="G11" s="528"/>
      <c r="H11" s="528"/>
      <c r="I11" s="531">
        <f>'БелАЗы '!Q8+'БелАЗы '!Q19</f>
        <v>0</v>
      </c>
      <c r="J11" s="533">
        <f>'БелАЗы '!M8+'БелАЗы '!M19</f>
        <v>0</v>
      </c>
      <c r="K11" s="686">
        <f>'БелАЗы '!N8+'БелАЗы '!N19</f>
        <v>0</v>
      </c>
      <c r="L11" s="528">
        <f t="shared" ref="L11:L12" si="15">IF(K11=0,0,K11/J11*100)</f>
        <v>0</v>
      </c>
      <c r="M11" s="528">
        <f>IF($B$29="зима",C39,E39)</f>
        <v>214.28571428571431</v>
      </c>
      <c r="N11" s="236">
        <f>IF(L11=0,0,(1-L11/M11)*100)</f>
        <v>0</v>
      </c>
      <c r="O11" s="528">
        <f>'БелАЗы '!O8+'БелАЗы '!O19</f>
        <v>0</v>
      </c>
      <c r="P11" s="528">
        <f>'БелАЗы '!R8+'БелАЗы '!R19</f>
        <v>0</v>
      </c>
      <c r="Q11" s="528">
        <f>'БелАЗы '!S8+'БелАЗы '!S19</f>
        <v>0</v>
      </c>
      <c r="R11" s="175"/>
      <c r="S11" s="528">
        <f>'БелАЗы '!T8+'БелАЗы '!T19</f>
        <v>0</v>
      </c>
      <c r="T11" s="175"/>
      <c r="U11" s="528">
        <f>'БелАЗы '!U8+'БелАЗы '!U19</f>
        <v>0</v>
      </c>
      <c r="V11" s="528">
        <f>SUM(P11:U11)</f>
        <v>0</v>
      </c>
      <c r="W11" s="543">
        <f>V11+I11</f>
        <v>0</v>
      </c>
      <c r="X11" s="542">
        <f>'БелАЗы '!X8+'БелАЗы '!X19</f>
        <v>0</v>
      </c>
      <c r="Y11" s="528">
        <f>'БелАЗы '!Y8+'БелАЗы '!Y19</f>
        <v>0</v>
      </c>
      <c r="Z11" s="528">
        <f>'БелАЗы '!Z8+'БелАЗы '!Z19</f>
        <v>0</v>
      </c>
      <c r="AA11" s="528">
        <f>'БелАЗы '!AA8+'БелАЗы '!AA19</f>
        <v>0</v>
      </c>
      <c r="AB11" s="528">
        <f>'БелАЗы '!AB8+'БелАЗы '!AB19</f>
        <v>0</v>
      </c>
      <c r="AC11" s="528">
        <f t="shared" si="6"/>
        <v>0</v>
      </c>
      <c r="AD11" s="528">
        <f>'БелАЗы '!AD8+'БелАЗы '!AD19</f>
        <v>0</v>
      </c>
      <c r="AE11" s="528">
        <f>'БелАЗы '!AE8+'БелАЗы '!AE19</f>
        <v>0</v>
      </c>
      <c r="AF11" s="528">
        <f>'БелАЗы '!AF8+'БелАЗы '!AF19</f>
        <v>0</v>
      </c>
      <c r="AG11" s="528">
        <f>'БелАЗы '!AG8+'БелАЗы '!AG19</f>
        <v>0</v>
      </c>
      <c r="AH11" s="528">
        <f>'БелАЗы '!AH8+'БелАЗы '!AH19</f>
        <v>0</v>
      </c>
      <c r="AI11" s="528">
        <f>'БелАЗы '!AI8+'БелАЗы '!AI19</f>
        <v>0</v>
      </c>
      <c r="AJ11" s="528">
        <f>'БелАЗы '!AJ8+'БелАЗы '!AJ19</f>
        <v>0</v>
      </c>
      <c r="AK11" s="528">
        <f>'БелАЗы '!AK8+'БелАЗы '!AK19</f>
        <v>0</v>
      </c>
      <c r="AL11" s="528">
        <f>SUM(AD11:AK11)</f>
        <v>0</v>
      </c>
      <c r="AM11" s="175"/>
      <c r="AN11" s="528">
        <f>'БелАЗы '!AM8+'БелАЗы '!AM19</f>
        <v>0</v>
      </c>
      <c r="AO11" s="528">
        <f>'БелАЗы '!AN8+'БелАЗы '!AN19</f>
        <v>0</v>
      </c>
      <c r="AP11" s="528">
        <f>'БелАЗы '!AO8+'БелАЗы '!AO19</f>
        <v>0</v>
      </c>
      <c r="AQ11" s="528">
        <f>'БелАЗы '!AP8+'БелАЗы '!AP19</f>
        <v>0</v>
      </c>
      <c r="AR11" s="528">
        <f>SUM(AM11:AQ11)</f>
        <v>0</v>
      </c>
      <c r="AS11" s="528">
        <f>'БелАЗы '!AR8+'БелАЗы '!AR19</f>
        <v>0</v>
      </c>
      <c r="AT11" s="528">
        <f>'БелАЗы '!AS8+'БелАЗы '!AS19</f>
        <v>0</v>
      </c>
      <c r="AU11" s="528">
        <f>SUM(AS11:AT11)</f>
        <v>0</v>
      </c>
      <c r="AV11" s="528">
        <f>'БелАЗы '!AU8+'БелАЗы '!AU19</f>
        <v>0</v>
      </c>
      <c r="AW11" s="528">
        <f>AV11+AU11+AR11+AL11</f>
        <v>0</v>
      </c>
      <c r="AX11" s="531">
        <f>AW11+AC11</f>
        <v>0</v>
      </c>
      <c r="AY11" s="540">
        <f>AX11+W11</f>
        <v>0</v>
      </c>
    </row>
    <row r="12" spans="1:52" x14ac:dyDescent="0.2">
      <c r="A12" s="682" t="s">
        <v>103</v>
      </c>
      <c r="B12" s="542">
        <f>IF(('БелАЗы '!W9+'БелАЗы '!W20)&gt;0,1,0)</f>
        <v>0</v>
      </c>
      <c r="C12" s="686">
        <f>'БелАЗы '!K9+'БелАЗы '!K20</f>
        <v>0</v>
      </c>
      <c r="D12" s="528">
        <f>IF(('БелАЗы '!K9+'БелАЗы '!K20)=0,0,('БелАЗы '!K9*'БелАЗы '!L9+'БелАЗы '!K20*'БелАЗы '!L20)/('БелАЗы '!K9+'БелАЗы '!K20))</f>
        <v>0</v>
      </c>
      <c r="E12" s="528" t="s">
        <v>91</v>
      </c>
      <c r="F12" s="686">
        <f>'БелАЗы '!H9*'БелАЗы '!L9+'БелАЗы '!H20*'БелАЗы '!L20</f>
        <v>0</v>
      </c>
      <c r="G12" s="528"/>
      <c r="H12" s="528"/>
      <c r="I12" s="531">
        <f>'БелАЗы '!Q9+'БелАЗы '!Q20</f>
        <v>0</v>
      </c>
      <c r="J12" s="758">
        <f>'БелАЗы '!M9+'БелАЗы '!M20</f>
        <v>0</v>
      </c>
      <c r="K12" s="686">
        <f>'БелАЗы '!N9+'БелАЗы '!N20</f>
        <v>0</v>
      </c>
      <c r="L12" s="532">
        <f t="shared" si="15"/>
        <v>0</v>
      </c>
      <c r="M12" s="528">
        <f>IF($B$29="зима",C39,E39)</f>
        <v>214.28571428571431</v>
      </c>
      <c r="N12" s="236">
        <f t="shared" si="4"/>
        <v>0</v>
      </c>
      <c r="O12" s="528">
        <f>'БелАЗы '!O9+'БелАЗы '!O20</f>
        <v>0</v>
      </c>
      <c r="P12" s="538">
        <f>'БелАЗы '!R9+'БелАЗы '!R20</f>
        <v>0</v>
      </c>
      <c r="Q12" s="532">
        <f>'БелАЗы '!S9+'БелАЗы '!S20</f>
        <v>0</v>
      </c>
      <c r="R12" s="175"/>
      <c r="S12" s="532">
        <f>'БелАЗы '!T9+'БелАЗы '!T20</f>
        <v>0</v>
      </c>
      <c r="T12" s="175"/>
      <c r="U12" s="532">
        <f>'БелАЗы '!U9+'БелАЗы '!U20</f>
        <v>0</v>
      </c>
      <c r="V12" s="532">
        <f>SUM(P12:U12)</f>
        <v>0</v>
      </c>
      <c r="W12" s="537">
        <f t="shared" si="5"/>
        <v>0</v>
      </c>
      <c r="X12" s="538">
        <f>'БелАЗы '!X9+'БелАЗы '!X20</f>
        <v>0</v>
      </c>
      <c r="Y12" s="538">
        <f>'БелАЗы '!Y9+'БелАЗы '!Y20</f>
        <v>0</v>
      </c>
      <c r="Z12" s="532">
        <f>'БелАЗы '!Z9+'БелАЗы '!Z20</f>
        <v>0</v>
      </c>
      <c r="AA12" s="532">
        <f>'БелАЗы '!AA9+'БелАЗы '!AA20</f>
        <v>0</v>
      </c>
      <c r="AB12" s="532">
        <f>'БелАЗы '!AB9+'БелАЗы '!AB20</f>
        <v>0</v>
      </c>
      <c r="AC12" s="528">
        <f t="shared" si="6"/>
        <v>0</v>
      </c>
      <c r="AD12" s="532">
        <f>'БелАЗы '!AD9+'БелАЗы '!AD20</f>
        <v>0</v>
      </c>
      <c r="AE12" s="532">
        <f>'БелАЗы '!AE9+'БелАЗы '!AE20</f>
        <v>0</v>
      </c>
      <c r="AF12" s="532">
        <f>'БелАЗы '!AF9+'БелАЗы '!AF20</f>
        <v>0</v>
      </c>
      <c r="AG12" s="532">
        <f>'БелАЗы '!AG9+'БелАЗы '!AG20</f>
        <v>0</v>
      </c>
      <c r="AH12" s="532">
        <f>'БелАЗы '!AH9+'БелАЗы '!AH20</f>
        <v>0</v>
      </c>
      <c r="AI12" s="532">
        <f>'БелАЗы '!AI9+'БелАЗы '!AI20</f>
        <v>0</v>
      </c>
      <c r="AJ12" s="532">
        <f>'БелАЗы '!AJ9+'БелАЗы '!AJ20</f>
        <v>0</v>
      </c>
      <c r="AK12" s="532">
        <f>'БелАЗы '!AK9+'БелАЗы '!AK20</f>
        <v>0</v>
      </c>
      <c r="AL12" s="528">
        <f t="shared" si="9"/>
        <v>0</v>
      </c>
      <c r="AM12" s="175"/>
      <c r="AN12" s="528">
        <f>'БелАЗы '!AM9+'БелАЗы '!AM20</f>
        <v>0</v>
      </c>
      <c r="AO12" s="528">
        <f>'БелАЗы '!AN9+'БелАЗы '!AN20</f>
        <v>0</v>
      </c>
      <c r="AP12" s="528">
        <f>'БелАЗы '!AO9+'БелАЗы '!AO20</f>
        <v>0</v>
      </c>
      <c r="AQ12" s="528">
        <f>'БелАЗы '!AP9+'БелАЗы '!AP20</f>
        <v>0</v>
      </c>
      <c r="AR12" s="528">
        <f t="shared" si="10"/>
        <v>0</v>
      </c>
      <c r="AS12" s="528">
        <f>'БелАЗы '!AR9+'БелАЗы '!AR20</f>
        <v>0</v>
      </c>
      <c r="AT12" s="528">
        <f>'БелАЗы '!AS9+'БелАЗы '!AS20</f>
        <v>0</v>
      </c>
      <c r="AU12" s="528">
        <f t="shared" si="11"/>
        <v>0</v>
      </c>
      <c r="AV12" s="528">
        <f>'БелАЗы '!AU9+'БелАЗы '!AU20</f>
        <v>0</v>
      </c>
      <c r="AW12" s="528">
        <f>AV12+AU12+AR12+AL12</f>
        <v>0</v>
      </c>
      <c r="AX12" s="531">
        <f t="shared" si="13"/>
        <v>0</v>
      </c>
      <c r="AY12" s="540">
        <f t="shared" si="14"/>
        <v>0</v>
      </c>
    </row>
    <row r="13" spans="1:52" s="131" customFormat="1" ht="15" thickBot="1" x14ac:dyDescent="0.25">
      <c r="A13" s="683" t="s">
        <v>234</v>
      </c>
      <c r="B13" s="182">
        <f>SUM(B10:B12)</f>
        <v>0</v>
      </c>
      <c r="C13" s="1010">
        <f>SUM(C10:C12)</f>
        <v>0</v>
      </c>
      <c r="D13" s="136">
        <f>IF('БелАЗы '!K30=0,0,('БелАЗы '!K7*'БелАЗы '!L7+'БелАЗы '!K9*'БелАЗы '!L9+'БелАЗы '!K18*'БелАЗы '!L18+'БелАЗы '!K20*'БелАЗы '!L20)/'БелАЗы '!K30)</f>
        <v>0</v>
      </c>
      <c r="E13" s="136" t="s">
        <v>91</v>
      </c>
      <c r="F13" s="1010">
        <f>SUM(F10:F12)</f>
        <v>0</v>
      </c>
      <c r="G13" s="136"/>
      <c r="H13" s="136"/>
      <c r="I13" s="181">
        <f>SUM(I10:I12)</f>
        <v>0</v>
      </c>
      <c r="J13" s="862">
        <f t="shared" ref="J13:O13" si="16">SUM(J10:J12)</f>
        <v>0</v>
      </c>
      <c r="K13" s="1010">
        <f t="shared" si="16"/>
        <v>0</v>
      </c>
      <c r="L13" s="136"/>
      <c r="M13" s="136"/>
      <c r="N13" s="136"/>
      <c r="O13" s="136">
        <f t="shared" si="16"/>
        <v>0</v>
      </c>
      <c r="P13" s="182">
        <f>SUM(P10:P12)</f>
        <v>0</v>
      </c>
      <c r="Q13" s="136">
        <f>SUM(Q10:Q12)</f>
        <v>0</v>
      </c>
      <c r="R13" s="176"/>
      <c r="S13" s="136">
        <f>SUM(S10:S12)</f>
        <v>0</v>
      </c>
      <c r="T13" s="176"/>
      <c r="U13" s="136">
        <f t="shared" ref="U13:AL13" si="17">SUM(U10:U12)</f>
        <v>0</v>
      </c>
      <c r="V13" s="136">
        <f t="shared" si="17"/>
        <v>0</v>
      </c>
      <c r="W13" s="183">
        <f t="shared" si="17"/>
        <v>0</v>
      </c>
      <c r="X13" s="182">
        <f t="shared" si="17"/>
        <v>0</v>
      </c>
      <c r="Y13" s="182">
        <f>SUM(Y10:Y12)</f>
        <v>0</v>
      </c>
      <c r="Z13" s="136">
        <f t="shared" si="17"/>
        <v>0</v>
      </c>
      <c r="AA13" s="136">
        <f t="shared" si="17"/>
        <v>0</v>
      </c>
      <c r="AB13" s="136">
        <f t="shared" si="17"/>
        <v>0</v>
      </c>
      <c r="AC13" s="179">
        <f t="shared" si="17"/>
        <v>0</v>
      </c>
      <c r="AD13" s="136">
        <f t="shared" si="17"/>
        <v>0</v>
      </c>
      <c r="AE13" s="136">
        <f t="shared" si="17"/>
        <v>0</v>
      </c>
      <c r="AF13" s="136">
        <f t="shared" si="17"/>
        <v>0</v>
      </c>
      <c r="AG13" s="136">
        <f t="shared" si="17"/>
        <v>0</v>
      </c>
      <c r="AH13" s="136">
        <f t="shared" si="17"/>
        <v>0</v>
      </c>
      <c r="AI13" s="136">
        <f t="shared" si="17"/>
        <v>0</v>
      </c>
      <c r="AJ13" s="136">
        <f t="shared" si="17"/>
        <v>0</v>
      </c>
      <c r="AK13" s="136">
        <f t="shared" si="17"/>
        <v>0</v>
      </c>
      <c r="AL13" s="136">
        <f t="shared" si="17"/>
        <v>0</v>
      </c>
      <c r="AM13" s="176"/>
      <c r="AN13" s="136">
        <f t="shared" ref="AN13:AY13" si="18">SUM(AN10:AN12)</f>
        <v>0</v>
      </c>
      <c r="AO13" s="136">
        <f t="shared" si="18"/>
        <v>0</v>
      </c>
      <c r="AP13" s="136">
        <f>SUM(AP10:AP12)</f>
        <v>0</v>
      </c>
      <c r="AQ13" s="136">
        <f t="shared" si="18"/>
        <v>0</v>
      </c>
      <c r="AR13" s="136">
        <f t="shared" si="18"/>
        <v>0</v>
      </c>
      <c r="AS13" s="136">
        <f t="shared" si="18"/>
        <v>0</v>
      </c>
      <c r="AT13" s="136">
        <f t="shared" si="18"/>
        <v>0</v>
      </c>
      <c r="AU13" s="136">
        <f t="shared" si="18"/>
        <v>0</v>
      </c>
      <c r="AV13" s="136">
        <f t="shared" si="18"/>
        <v>0</v>
      </c>
      <c r="AW13" s="136">
        <f t="shared" si="18"/>
        <v>0</v>
      </c>
      <c r="AX13" s="181">
        <f t="shared" si="18"/>
        <v>0</v>
      </c>
      <c r="AY13" s="184">
        <f t="shared" si="18"/>
        <v>0</v>
      </c>
    </row>
    <row r="14" spans="1:52" s="131" customFormat="1" ht="14.25" x14ac:dyDescent="0.2">
      <c r="A14" s="748" t="s">
        <v>93</v>
      </c>
      <c r="B14" s="749">
        <f>SUM(B15:B16)</f>
        <v>0</v>
      </c>
      <c r="C14" s="833"/>
      <c r="D14" s="833"/>
      <c r="E14" s="833"/>
      <c r="F14" s="834">
        <f>SUM(F15:F16)</f>
        <v>0</v>
      </c>
      <c r="G14" s="751"/>
      <c r="H14" s="751"/>
      <c r="I14" s="751">
        <f>SUM(I15:I16)</f>
        <v>0</v>
      </c>
      <c r="J14" s="756">
        <f>SUM(J15:J16)</f>
        <v>0</v>
      </c>
      <c r="K14" s="1011">
        <f>SUM(K15:K16)</f>
        <v>0</v>
      </c>
      <c r="L14" s="138"/>
      <c r="M14" s="138"/>
      <c r="N14" s="138"/>
      <c r="O14" s="138">
        <f>SUM(O15:O16)</f>
        <v>0</v>
      </c>
      <c r="P14" s="139">
        <f>SUM(P15:P16)</f>
        <v>0</v>
      </c>
      <c r="Q14" s="135">
        <f>SUM(Q15:Q16)</f>
        <v>0</v>
      </c>
      <c r="R14" s="135">
        <f>SUM(R15:R16)</f>
        <v>0</v>
      </c>
      <c r="S14" s="178"/>
      <c r="T14" s="178"/>
      <c r="U14" s="135">
        <f t="shared" ref="U14:AI14" si="19">SUM(U15:U16)</f>
        <v>0</v>
      </c>
      <c r="V14" s="135">
        <f t="shared" si="19"/>
        <v>0</v>
      </c>
      <c r="W14" s="173">
        <f t="shared" si="19"/>
        <v>0</v>
      </c>
      <c r="X14" s="139">
        <f t="shared" si="19"/>
        <v>0</v>
      </c>
      <c r="Y14" s="139">
        <f t="shared" si="19"/>
        <v>0</v>
      </c>
      <c r="Z14" s="135">
        <f t="shared" si="19"/>
        <v>0</v>
      </c>
      <c r="AA14" s="135">
        <f t="shared" si="19"/>
        <v>0</v>
      </c>
      <c r="AB14" s="135">
        <f t="shared" si="19"/>
        <v>0</v>
      </c>
      <c r="AC14" s="135">
        <f t="shared" si="19"/>
        <v>0</v>
      </c>
      <c r="AD14" s="135">
        <f t="shared" si="19"/>
        <v>0</v>
      </c>
      <c r="AE14" s="135">
        <f t="shared" si="19"/>
        <v>0</v>
      </c>
      <c r="AF14" s="135">
        <f t="shared" si="19"/>
        <v>0</v>
      </c>
      <c r="AG14" s="135">
        <f t="shared" si="19"/>
        <v>0</v>
      </c>
      <c r="AH14" s="135">
        <f t="shared" si="19"/>
        <v>0</v>
      </c>
      <c r="AI14" s="135">
        <f t="shared" si="19"/>
        <v>0</v>
      </c>
      <c r="AJ14" s="178"/>
      <c r="AK14" s="135">
        <f>SUM(AK15:AK16)</f>
        <v>0</v>
      </c>
      <c r="AL14" s="135">
        <f>SUM(AL15:AL16)</f>
        <v>0</v>
      </c>
      <c r="AM14" s="178"/>
      <c r="AN14" s="135">
        <f t="shared" ref="AN14:AY14" si="20">SUM(AN15:AN16)</f>
        <v>0</v>
      </c>
      <c r="AO14" s="135">
        <f t="shared" si="20"/>
        <v>0</v>
      </c>
      <c r="AP14" s="135">
        <f t="shared" si="20"/>
        <v>0</v>
      </c>
      <c r="AQ14" s="135">
        <f t="shared" si="20"/>
        <v>0</v>
      </c>
      <c r="AR14" s="135">
        <f t="shared" si="20"/>
        <v>0</v>
      </c>
      <c r="AS14" s="135">
        <f t="shared" si="20"/>
        <v>0</v>
      </c>
      <c r="AT14" s="135">
        <f t="shared" si="20"/>
        <v>0</v>
      </c>
      <c r="AU14" s="135">
        <f t="shared" si="20"/>
        <v>0</v>
      </c>
      <c r="AV14" s="135">
        <f t="shared" si="20"/>
        <v>0</v>
      </c>
      <c r="AW14" s="135">
        <f t="shared" si="20"/>
        <v>0</v>
      </c>
      <c r="AX14" s="138">
        <f t="shared" si="20"/>
        <v>0</v>
      </c>
      <c r="AY14" s="752">
        <f t="shared" si="20"/>
        <v>0</v>
      </c>
    </row>
    <row r="15" spans="1:52" x14ac:dyDescent="0.2">
      <c r="A15" s="684" t="str">
        <f>Бульдозеры!C15</f>
        <v>Caterpillar D-9R №36</v>
      </c>
      <c r="B15" s="533">
        <f>IF(Бульдозеры!N15&gt;0,1,0)</f>
        <v>0</v>
      </c>
      <c r="C15" s="25"/>
      <c r="D15" s="25"/>
      <c r="E15" s="25"/>
      <c r="F15" s="686">
        <f>Бульдозеры!AQ15+Бульдозеры!AR15</f>
        <v>0</v>
      </c>
      <c r="G15" s="531"/>
      <c r="H15" s="531"/>
      <c r="I15" s="531">
        <f>Бульдозеры!H15</f>
        <v>0</v>
      </c>
      <c r="J15" s="758">
        <f>Бульдозеры!D15</f>
        <v>0</v>
      </c>
      <c r="K15" s="686">
        <f>Бульдозеры!E15</f>
        <v>0</v>
      </c>
      <c r="L15" s="528">
        <f>IF(K15=0,0,K15/J15)</f>
        <v>0</v>
      </c>
      <c r="M15" s="528">
        <f>IF($B$29="зима",C54,E54)</f>
        <v>32.142857142857146</v>
      </c>
      <c r="N15" s="236">
        <f t="shared" ref="N15:N16" si="21">IF(L15=0,0,(1-L15/M15)*100)</f>
        <v>0</v>
      </c>
      <c r="O15" s="528">
        <f>Бульдозеры!F15</f>
        <v>0</v>
      </c>
      <c r="P15" s="542">
        <f>Бульдозеры!I15</f>
        <v>0</v>
      </c>
      <c r="Q15" s="528">
        <f>Бульдозеры!J15</f>
        <v>0</v>
      </c>
      <c r="R15" s="528">
        <f>Бульдозеры!K15</f>
        <v>0</v>
      </c>
      <c r="S15" s="175"/>
      <c r="T15" s="175"/>
      <c r="U15" s="528">
        <f>Бульдозеры!L15</f>
        <v>0</v>
      </c>
      <c r="V15" s="532">
        <f>SUM(P15:Q15)+U15</f>
        <v>0</v>
      </c>
      <c r="W15" s="537">
        <f>V15+I15+R15</f>
        <v>0</v>
      </c>
      <c r="X15" s="542">
        <f>Бульдозеры!O15</f>
        <v>0</v>
      </c>
      <c r="Y15" s="542">
        <f>Бульдозеры!P15</f>
        <v>0</v>
      </c>
      <c r="Z15" s="528">
        <f>Бульдозеры!Q15</f>
        <v>0</v>
      </c>
      <c r="AA15" s="528">
        <f>Бульдозеры!R15</f>
        <v>0</v>
      </c>
      <c r="AB15" s="528">
        <f>Бульдозеры!S15</f>
        <v>0</v>
      </c>
      <c r="AC15" s="528">
        <f t="shared" ref="AC15" si="22">SUM(X15:AB15)</f>
        <v>0</v>
      </c>
      <c r="AD15" s="528">
        <f>Бульдозеры!U15</f>
        <v>0</v>
      </c>
      <c r="AE15" s="528">
        <f>Бульдозеры!V15</f>
        <v>0</v>
      </c>
      <c r="AF15" s="528">
        <f>Бульдозеры!W15</f>
        <v>0</v>
      </c>
      <c r="AG15" s="528">
        <f>Бульдозеры!X15</f>
        <v>0</v>
      </c>
      <c r="AH15" s="528">
        <f>Бульдозеры!Y15</f>
        <v>0</v>
      </c>
      <c r="AI15" s="528">
        <f>Бульдозеры!Z15</f>
        <v>0</v>
      </c>
      <c r="AJ15" s="175"/>
      <c r="AK15" s="528">
        <f>Бульдозеры!AA15</f>
        <v>0</v>
      </c>
      <c r="AL15" s="528">
        <f t="shared" ref="AL15:AL16" si="23">SUM(AD15:AK15)</f>
        <v>0</v>
      </c>
      <c r="AM15" s="175"/>
      <c r="AN15" s="528">
        <f>Бульдозеры!AC15</f>
        <v>0</v>
      </c>
      <c r="AO15" s="528">
        <f>Бульдозеры!AD15</f>
        <v>0</v>
      </c>
      <c r="AP15" s="528">
        <f>Бульдозеры!AE15</f>
        <v>0</v>
      </c>
      <c r="AQ15" s="528">
        <f>Бульдозеры!AF15</f>
        <v>0</v>
      </c>
      <c r="AR15" s="528">
        <f t="shared" ref="AR15:AR16" si="24">SUM(AM15:AQ15)</f>
        <v>0</v>
      </c>
      <c r="AS15" s="528">
        <f>Бульдозеры!AH15</f>
        <v>0</v>
      </c>
      <c r="AT15" s="528">
        <f>Бульдозеры!AI15</f>
        <v>0</v>
      </c>
      <c r="AU15" s="528">
        <f t="shared" ref="AU15:AU16" si="25">SUM(AS15:AT15)</f>
        <v>0</v>
      </c>
      <c r="AV15" s="528">
        <f>Бульдозеры!AK15</f>
        <v>0</v>
      </c>
      <c r="AW15" s="528">
        <f>AV15+AU15+AR15+AL15</f>
        <v>0</v>
      </c>
      <c r="AX15" s="531">
        <f t="shared" ref="AX15:AX16" si="26">AW15+AC15</f>
        <v>0</v>
      </c>
      <c r="AY15" s="540">
        <f t="shared" ref="AY15:AY16" si="27">AX15+W15</f>
        <v>0</v>
      </c>
    </row>
    <row r="16" spans="1:52" ht="13.5" thickBot="1" x14ac:dyDescent="0.25">
      <c r="A16" s="684" t="str">
        <f>Бульдозеры!C16</f>
        <v>Caterpillar D-6R №28</v>
      </c>
      <c r="B16" s="533">
        <f>IF(Бульдозеры!N16&gt;0,1,0)</f>
        <v>0</v>
      </c>
      <c r="C16" s="25"/>
      <c r="D16" s="25"/>
      <c r="E16" s="25"/>
      <c r="F16" s="686">
        <f>Бульдозеры!AQ16+Бульдозеры!AR16</f>
        <v>0</v>
      </c>
      <c r="G16" s="531"/>
      <c r="H16" s="531"/>
      <c r="I16" s="531">
        <f>Бульдозеры!H16</f>
        <v>0</v>
      </c>
      <c r="J16" s="758">
        <f>Бульдозеры!D16</f>
        <v>0</v>
      </c>
      <c r="K16" s="686">
        <f>Бульдозеры!E16</f>
        <v>0</v>
      </c>
      <c r="L16" s="528">
        <f t="shared" ref="L16" si="28">IF(K16=0,0,K16/J16)</f>
        <v>0</v>
      </c>
      <c r="M16" s="528">
        <f>IF($B$29="зима",C57,E57)</f>
        <v>16.666666666666668</v>
      </c>
      <c r="N16" s="236">
        <f t="shared" si="21"/>
        <v>0</v>
      </c>
      <c r="O16" s="528">
        <f>Бульдозеры!F16</f>
        <v>0</v>
      </c>
      <c r="P16" s="542">
        <f>Бульдозеры!I16</f>
        <v>0</v>
      </c>
      <c r="Q16" s="528">
        <f>Бульдозеры!J16</f>
        <v>0</v>
      </c>
      <c r="R16" s="528">
        <f>Бульдозеры!K16</f>
        <v>0</v>
      </c>
      <c r="S16" s="175"/>
      <c r="T16" s="175"/>
      <c r="U16" s="528">
        <f>Бульдозеры!L16</f>
        <v>0</v>
      </c>
      <c r="V16" s="532">
        <f t="shared" ref="V16" si="29">SUM(P16:Q16)+U16</f>
        <v>0</v>
      </c>
      <c r="W16" s="537">
        <f t="shared" ref="W16" si="30">V16+I16+R16</f>
        <v>0</v>
      </c>
      <c r="X16" s="542">
        <f>Бульдозеры!O16</f>
        <v>0</v>
      </c>
      <c r="Y16" s="542">
        <f>Бульдозеры!P16</f>
        <v>0</v>
      </c>
      <c r="Z16" s="528">
        <f>Бульдозеры!Q16</f>
        <v>0</v>
      </c>
      <c r="AA16" s="528">
        <f>Бульдозеры!R16</f>
        <v>0</v>
      </c>
      <c r="AB16" s="528">
        <f>Бульдозеры!S16</f>
        <v>0</v>
      </c>
      <c r="AC16" s="528">
        <f>SUM(X16:AB16)</f>
        <v>0</v>
      </c>
      <c r="AD16" s="528">
        <f>Бульдозеры!U16</f>
        <v>0</v>
      </c>
      <c r="AE16" s="528">
        <f>Бульдозеры!V16</f>
        <v>0</v>
      </c>
      <c r="AF16" s="528">
        <f>Бульдозеры!W16</f>
        <v>0</v>
      </c>
      <c r="AG16" s="528">
        <f>Бульдозеры!X16</f>
        <v>0</v>
      </c>
      <c r="AH16" s="528">
        <f>Бульдозеры!Y16</f>
        <v>0</v>
      </c>
      <c r="AI16" s="528">
        <f>Бульдозеры!Z16</f>
        <v>0</v>
      </c>
      <c r="AJ16" s="175"/>
      <c r="AK16" s="528">
        <f>Бульдозеры!AA16</f>
        <v>0</v>
      </c>
      <c r="AL16" s="528">
        <f t="shared" si="23"/>
        <v>0</v>
      </c>
      <c r="AM16" s="175"/>
      <c r="AN16" s="528">
        <f>Бульдозеры!AC16</f>
        <v>0</v>
      </c>
      <c r="AO16" s="528">
        <f>Бульдозеры!AD16</f>
        <v>0</v>
      </c>
      <c r="AP16" s="528">
        <f>Бульдозеры!AE16</f>
        <v>0</v>
      </c>
      <c r="AQ16" s="528">
        <f>Бульдозеры!AF16</f>
        <v>0</v>
      </c>
      <c r="AR16" s="528">
        <f t="shared" si="24"/>
        <v>0</v>
      </c>
      <c r="AS16" s="528">
        <f>Бульдозеры!AH16</f>
        <v>0</v>
      </c>
      <c r="AT16" s="528">
        <f>Бульдозеры!AI16</f>
        <v>0</v>
      </c>
      <c r="AU16" s="528">
        <f t="shared" si="25"/>
        <v>0</v>
      </c>
      <c r="AV16" s="528">
        <f>Бульдозеры!AK16</f>
        <v>0</v>
      </c>
      <c r="AW16" s="528">
        <f t="shared" ref="AW16" si="31">AV16+AU16+AR16+AL16</f>
        <v>0</v>
      </c>
      <c r="AX16" s="531">
        <f t="shared" si="26"/>
        <v>0</v>
      </c>
      <c r="AY16" s="540">
        <f t="shared" si="27"/>
        <v>0</v>
      </c>
    </row>
    <row r="17" spans="1:51" s="131" customFormat="1" ht="14.25" x14ac:dyDescent="0.2">
      <c r="A17" s="680" t="s">
        <v>235</v>
      </c>
      <c r="B17" s="140">
        <f>SUM(B18:B18)</f>
        <v>0</v>
      </c>
      <c r="C17" s="135"/>
      <c r="D17" s="135"/>
      <c r="E17" s="135" t="s">
        <v>130</v>
      </c>
      <c r="F17" s="685">
        <f>SUM(F18:F18)</f>
        <v>0</v>
      </c>
      <c r="G17" s="138"/>
      <c r="H17" s="138"/>
      <c r="I17" s="138">
        <f>SUM(I18:I18)</f>
        <v>0</v>
      </c>
      <c r="J17" s="140">
        <f>SUM(J18:J18)</f>
        <v>0</v>
      </c>
      <c r="K17" s="685">
        <f>SUM(K18:K18)</f>
        <v>0</v>
      </c>
      <c r="L17" s="135"/>
      <c r="M17" s="135"/>
      <c r="N17" s="135"/>
      <c r="O17" s="135">
        <f>SUM(O18:O18)</f>
        <v>0</v>
      </c>
      <c r="P17" s="139">
        <f>SUM(P18:P18)</f>
        <v>0</v>
      </c>
      <c r="Q17" s="135">
        <f>SUM(Q18:Q18)</f>
        <v>0</v>
      </c>
      <c r="R17" s="135">
        <f>SUM(R18:R18)</f>
        <v>0</v>
      </c>
      <c r="S17" s="178"/>
      <c r="T17" s="178"/>
      <c r="U17" s="135">
        <f t="shared" ref="U17:AI17" si="32">SUM(U18:U18)</f>
        <v>0</v>
      </c>
      <c r="V17" s="135">
        <f t="shared" si="32"/>
        <v>0</v>
      </c>
      <c r="W17" s="173">
        <f t="shared" si="32"/>
        <v>0</v>
      </c>
      <c r="X17" s="139">
        <f t="shared" si="32"/>
        <v>0</v>
      </c>
      <c r="Y17" s="139">
        <f t="shared" si="32"/>
        <v>0</v>
      </c>
      <c r="Z17" s="135">
        <f t="shared" si="32"/>
        <v>0</v>
      </c>
      <c r="AA17" s="135">
        <f t="shared" si="32"/>
        <v>0</v>
      </c>
      <c r="AB17" s="135">
        <f t="shared" si="32"/>
        <v>0</v>
      </c>
      <c r="AC17" s="135">
        <f t="shared" si="32"/>
        <v>0</v>
      </c>
      <c r="AD17" s="135">
        <f t="shared" si="32"/>
        <v>0</v>
      </c>
      <c r="AE17" s="135">
        <f t="shared" si="32"/>
        <v>0</v>
      </c>
      <c r="AF17" s="135">
        <f t="shared" si="32"/>
        <v>0</v>
      </c>
      <c r="AG17" s="135">
        <f t="shared" si="32"/>
        <v>0</v>
      </c>
      <c r="AH17" s="135">
        <f t="shared" si="32"/>
        <v>0</v>
      </c>
      <c r="AI17" s="135">
        <f t="shared" si="32"/>
        <v>0</v>
      </c>
      <c r="AJ17" s="178"/>
      <c r="AK17" s="135">
        <f>SUM(AK18:AK18)</f>
        <v>0</v>
      </c>
      <c r="AL17" s="135">
        <f>SUM(AL18:AL18)</f>
        <v>0</v>
      </c>
      <c r="AM17" s="178"/>
      <c r="AN17" s="135">
        <f t="shared" ref="AN17:AY17" si="33">SUM(AN18:AN18)</f>
        <v>0</v>
      </c>
      <c r="AO17" s="135">
        <f t="shared" si="33"/>
        <v>0</v>
      </c>
      <c r="AP17" s="135">
        <f t="shared" si="33"/>
        <v>0</v>
      </c>
      <c r="AQ17" s="135">
        <f t="shared" si="33"/>
        <v>0</v>
      </c>
      <c r="AR17" s="135">
        <f t="shared" si="33"/>
        <v>0</v>
      </c>
      <c r="AS17" s="135">
        <f t="shared" si="33"/>
        <v>0</v>
      </c>
      <c r="AT17" s="135">
        <f t="shared" si="33"/>
        <v>0</v>
      </c>
      <c r="AU17" s="135">
        <f t="shared" si="33"/>
        <v>0</v>
      </c>
      <c r="AV17" s="135">
        <f t="shared" si="33"/>
        <v>0</v>
      </c>
      <c r="AW17" s="135">
        <f t="shared" si="33"/>
        <v>0</v>
      </c>
      <c r="AX17" s="138">
        <f t="shared" si="33"/>
        <v>0</v>
      </c>
      <c r="AY17" s="174">
        <f t="shared" si="33"/>
        <v>0</v>
      </c>
    </row>
    <row r="18" spans="1:51" x14ac:dyDescent="0.2">
      <c r="A18" s="1210" t="str">
        <f>Бульдозеры!C9</f>
        <v>Caterpillar 140М №4</v>
      </c>
      <c r="B18" s="760">
        <f>IF(Бульдозеры!N17&gt;0,1,0)</f>
        <v>0</v>
      </c>
      <c r="C18" s="1211"/>
      <c r="D18" s="1211"/>
      <c r="E18" s="630" t="s">
        <v>130</v>
      </c>
      <c r="F18" s="912">
        <f>Бульдозеры!AQ18+Бульдозеры!AR17</f>
        <v>0</v>
      </c>
      <c r="G18" s="831"/>
      <c r="H18" s="831"/>
      <c r="I18" s="831">
        <f>Бульдозеры!H17</f>
        <v>0</v>
      </c>
      <c r="J18" s="760">
        <f>Бульдозеры!D17</f>
        <v>0</v>
      </c>
      <c r="K18" s="912">
        <f>Бульдозеры!E17</f>
        <v>0</v>
      </c>
      <c r="L18" s="630">
        <f t="shared" ref="L18:L24" si="34">IF(K18=0,0,K18/J18)</f>
        <v>0</v>
      </c>
      <c r="M18" s="630">
        <f>IF($B$29="зима",C61,E61)</f>
        <v>12.738095238095237</v>
      </c>
      <c r="N18" s="1212">
        <f>IF(L18=0,0,(1-L18/M18)*100)</f>
        <v>0</v>
      </c>
      <c r="O18" s="630">
        <f>Бульдозеры!F17</f>
        <v>0</v>
      </c>
      <c r="P18" s="1213">
        <f>Бульдозеры!I17</f>
        <v>0</v>
      </c>
      <c r="Q18" s="630">
        <f>Бульдозеры!J17</f>
        <v>0</v>
      </c>
      <c r="R18" s="630">
        <f>Бульдозеры!K17</f>
        <v>0</v>
      </c>
      <c r="S18" s="193"/>
      <c r="T18" s="193"/>
      <c r="U18" s="630">
        <f>Бульдозеры!L17</f>
        <v>0</v>
      </c>
      <c r="V18" s="539">
        <f>SUM(P18:Q18)+U18</f>
        <v>0</v>
      </c>
      <c r="W18" s="1214">
        <f>V18+I18</f>
        <v>0</v>
      </c>
      <c r="X18" s="1213">
        <f>Бульдозеры!O17</f>
        <v>0</v>
      </c>
      <c r="Y18" s="1213">
        <f>Бульдозеры!P17</f>
        <v>0</v>
      </c>
      <c r="Z18" s="630">
        <f>Бульдозеры!Q17</f>
        <v>0</v>
      </c>
      <c r="AA18" s="630">
        <f>Бульдозеры!R17</f>
        <v>0</v>
      </c>
      <c r="AB18" s="630">
        <f>Бульдозеры!S17</f>
        <v>0</v>
      </c>
      <c r="AC18" s="630">
        <f>SUM(X18:AB18)</f>
        <v>0</v>
      </c>
      <c r="AD18" s="630">
        <f>Бульдозеры!U17</f>
        <v>0</v>
      </c>
      <c r="AE18" s="630">
        <f>Бульдозеры!V17</f>
        <v>0</v>
      </c>
      <c r="AF18" s="630">
        <f>Бульдозеры!W17</f>
        <v>0</v>
      </c>
      <c r="AG18" s="630">
        <f>Бульдозеры!X17</f>
        <v>0</v>
      </c>
      <c r="AH18" s="630">
        <f>Бульдозеры!Y17</f>
        <v>0</v>
      </c>
      <c r="AI18" s="630">
        <f>Бульдозеры!Z17</f>
        <v>0</v>
      </c>
      <c r="AJ18" s="193"/>
      <c r="AK18" s="630">
        <f>Бульдозеры!AA17</f>
        <v>0</v>
      </c>
      <c r="AL18" s="630">
        <f>SUM(AD18:AK18)</f>
        <v>0</v>
      </c>
      <c r="AM18" s="193"/>
      <c r="AN18" s="630">
        <f>Бульдозеры!AC17</f>
        <v>0</v>
      </c>
      <c r="AO18" s="630">
        <f>Бульдозеры!AD17</f>
        <v>0</v>
      </c>
      <c r="AP18" s="630">
        <f>Бульдозеры!AE17</f>
        <v>0</v>
      </c>
      <c r="AQ18" s="630">
        <f>Бульдозеры!AF17</f>
        <v>0</v>
      </c>
      <c r="AR18" s="630">
        <f>SUM(AM18:AQ18)</f>
        <v>0</v>
      </c>
      <c r="AS18" s="630">
        <f>Бульдозеры!AH17</f>
        <v>0</v>
      </c>
      <c r="AT18" s="630">
        <f>Бульдозеры!AI17</f>
        <v>0</v>
      </c>
      <c r="AU18" s="630">
        <f>SUM(AS18:AT18)</f>
        <v>0</v>
      </c>
      <c r="AV18" s="630">
        <f>Бульдозеры!AK17</f>
        <v>0</v>
      </c>
      <c r="AW18" s="630">
        <f>AV18+AU18+AR18+AL18</f>
        <v>0</v>
      </c>
      <c r="AX18" s="831">
        <f>AW18+AC18</f>
        <v>0</v>
      </c>
      <c r="AY18" s="857">
        <f>AX18+W18</f>
        <v>0</v>
      </c>
    </row>
    <row r="19" spans="1:51" ht="13.5" thickBot="1" x14ac:dyDescent="0.25">
      <c r="A19" s="1210" t="str">
        <f>Бульдозеры!C10</f>
        <v>Komatsu-825 №5</v>
      </c>
      <c r="B19" s="760">
        <f>IF(Бульдозеры!N18&gt;0,1,0)</f>
        <v>0</v>
      </c>
      <c r="C19" s="1211"/>
      <c r="D19" s="1211"/>
      <c r="E19" s="630" t="s">
        <v>130</v>
      </c>
      <c r="F19" s="912">
        <f>Бульдозеры!AQ19+Бульдозеры!AR18</f>
        <v>0</v>
      </c>
      <c r="G19" s="831"/>
      <c r="H19" s="831"/>
      <c r="I19" s="831">
        <f>Бульдозеры!H18</f>
        <v>0</v>
      </c>
      <c r="J19" s="760">
        <f>Бульдозеры!D18</f>
        <v>0</v>
      </c>
      <c r="K19" s="912">
        <f>Бульдозеры!E18</f>
        <v>0</v>
      </c>
      <c r="L19" s="630">
        <f t="shared" ref="L19" si="35">IF(K19=0,0,K19/J19)</f>
        <v>0</v>
      </c>
      <c r="M19" s="630">
        <f>IF($B$29="зима",C60,E60)</f>
        <v>17.261904761904763</v>
      </c>
      <c r="N19" s="1212">
        <f>IF(L19=0,0,(1-L19/M19)*100)</f>
        <v>0</v>
      </c>
      <c r="O19" s="630">
        <f>Бульдозеры!F18</f>
        <v>0</v>
      </c>
      <c r="P19" s="1213">
        <f>Бульдозеры!I18</f>
        <v>0</v>
      </c>
      <c r="Q19" s="630">
        <f>Бульдозеры!J18</f>
        <v>0</v>
      </c>
      <c r="R19" s="630">
        <f>Бульдозеры!K18</f>
        <v>0</v>
      </c>
      <c r="S19" s="193"/>
      <c r="T19" s="193"/>
      <c r="U19" s="630">
        <f>Бульдозеры!L18</f>
        <v>0</v>
      </c>
      <c r="V19" s="539">
        <f>SUM(P19:Q19)+U19</f>
        <v>0</v>
      </c>
      <c r="W19" s="1214">
        <f>V19+I19</f>
        <v>0</v>
      </c>
      <c r="X19" s="1213">
        <f>Бульдозеры!O18</f>
        <v>0</v>
      </c>
      <c r="Y19" s="1213">
        <f>Бульдозеры!P18</f>
        <v>0</v>
      </c>
      <c r="Z19" s="630">
        <f>Бульдозеры!Q18</f>
        <v>0</v>
      </c>
      <c r="AA19" s="630">
        <f>Бульдозеры!R18</f>
        <v>0</v>
      </c>
      <c r="AB19" s="630">
        <f>Бульдозеры!S18</f>
        <v>0</v>
      </c>
      <c r="AC19" s="630">
        <f>SUM(X19:AB19)</f>
        <v>0</v>
      </c>
      <c r="AD19" s="630">
        <f>Бульдозеры!U18</f>
        <v>0</v>
      </c>
      <c r="AE19" s="630">
        <f>Бульдозеры!V18</f>
        <v>0</v>
      </c>
      <c r="AF19" s="630">
        <f>Бульдозеры!W18</f>
        <v>0</v>
      </c>
      <c r="AG19" s="630">
        <f>Бульдозеры!X18</f>
        <v>0</v>
      </c>
      <c r="AH19" s="630">
        <f>Бульдозеры!Y18</f>
        <v>0</v>
      </c>
      <c r="AI19" s="630">
        <f>Бульдозеры!Z18</f>
        <v>0</v>
      </c>
      <c r="AJ19" s="193"/>
      <c r="AK19" s="630">
        <f>Бульдозеры!AA18</f>
        <v>0</v>
      </c>
      <c r="AL19" s="630">
        <f>SUM(AD19:AK19)</f>
        <v>0</v>
      </c>
      <c r="AM19" s="193"/>
      <c r="AN19" s="630">
        <f>Бульдозеры!AC18</f>
        <v>0</v>
      </c>
      <c r="AO19" s="630">
        <f>Бульдозеры!AD18</f>
        <v>0</v>
      </c>
      <c r="AP19" s="630">
        <f>Бульдозеры!AE18</f>
        <v>0</v>
      </c>
      <c r="AQ19" s="630">
        <f>Бульдозеры!AF18</f>
        <v>0</v>
      </c>
      <c r="AR19" s="630">
        <f>SUM(AM19:AQ19)</f>
        <v>0</v>
      </c>
      <c r="AS19" s="630">
        <f>Бульдозеры!AH18</f>
        <v>0</v>
      </c>
      <c r="AT19" s="630">
        <f>Бульдозеры!AI18</f>
        <v>0</v>
      </c>
      <c r="AU19" s="630">
        <f>SUM(AS19:AT19)</f>
        <v>0</v>
      </c>
      <c r="AV19" s="630">
        <f>Бульдозеры!AK18</f>
        <v>0</v>
      </c>
      <c r="AW19" s="630">
        <f>AV19+AU19+AR19+AL19</f>
        <v>0</v>
      </c>
      <c r="AX19" s="831">
        <f>AW19+AC19</f>
        <v>0</v>
      </c>
      <c r="AY19" s="857">
        <f>AX19+W19</f>
        <v>0</v>
      </c>
    </row>
    <row r="20" spans="1:51" s="131" customFormat="1" ht="14.25" x14ac:dyDescent="0.2">
      <c r="A20" s="1215" t="s">
        <v>263</v>
      </c>
      <c r="B20" s="135">
        <f>SUM(B21:B27)</f>
        <v>0</v>
      </c>
      <c r="C20" s="135"/>
      <c r="D20" s="135"/>
      <c r="E20" s="135" t="s">
        <v>44</v>
      </c>
      <c r="F20" s="685">
        <f t="shared" ref="F20:K20" si="36">SUM(F21:F27)</f>
        <v>0</v>
      </c>
      <c r="G20" s="135">
        <f t="shared" si="36"/>
        <v>0</v>
      </c>
      <c r="H20" s="135">
        <f t="shared" si="36"/>
        <v>0</v>
      </c>
      <c r="I20" s="135">
        <f t="shared" si="36"/>
        <v>0</v>
      </c>
      <c r="J20" s="135">
        <f t="shared" si="36"/>
        <v>0</v>
      </c>
      <c r="K20" s="685">
        <f t="shared" si="36"/>
        <v>0</v>
      </c>
      <c r="L20" s="135"/>
      <c r="M20" s="135"/>
      <c r="N20" s="135"/>
      <c r="O20" s="135">
        <f>SUM(O21:O27)</f>
        <v>0</v>
      </c>
      <c r="P20" s="135">
        <f>SUM(P21:P27)</f>
        <v>0</v>
      </c>
      <c r="Q20" s="135">
        <f>SUM(Q21:Q27)</f>
        <v>0</v>
      </c>
      <c r="R20" s="135">
        <f>SUM(R21:R27)</f>
        <v>0</v>
      </c>
      <c r="S20" s="178"/>
      <c r="T20" s="135">
        <f t="shared" ref="T20:AY20" si="37">SUM(T21:T27)</f>
        <v>0</v>
      </c>
      <c r="U20" s="135">
        <f t="shared" si="37"/>
        <v>0</v>
      </c>
      <c r="V20" s="135">
        <f t="shared" si="37"/>
        <v>0</v>
      </c>
      <c r="W20" s="135">
        <f t="shared" si="37"/>
        <v>0</v>
      </c>
      <c r="X20" s="135">
        <f t="shared" si="37"/>
        <v>0</v>
      </c>
      <c r="Y20" s="135">
        <f t="shared" si="37"/>
        <v>0</v>
      </c>
      <c r="Z20" s="135">
        <f t="shared" si="37"/>
        <v>0</v>
      </c>
      <c r="AA20" s="135">
        <f t="shared" si="37"/>
        <v>0</v>
      </c>
      <c r="AB20" s="135">
        <f t="shared" si="37"/>
        <v>0</v>
      </c>
      <c r="AC20" s="135">
        <f t="shared" si="37"/>
        <v>0</v>
      </c>
      <c r="AD20" s="135">
        <f t="shared" si="37"/>
        <v>0</v>
      </c>
      <c r="AE20" s="135">
        <f t="shared" si="37"/>
        <v>0</v>
      </c>
      <c r="AF20" s="135">
        <f t="shared" si="37"/>
        <v>0</v>
      </c>
      <c r="AG20" s="135">
        <f t="shared" si="37"/>
        <v>0</v>
      </c>
      <c r="AH20" s="135">
        <f t="shared" si="37"/>
        <v>0</v>
      </c>
      <c r="AI20" s="135">
        <f t="shared" si="37"/>
        <v>0</v>
      </c>
      <c r="AJ20" s="135">
        <f t="shared" si="37"/>
        <v>0</v>
      </c>
      <c r="AK20" s="135">
        <f t="shared" si="37"/>
        <v>0</v>
      </c>
      <c r="AL20" s="135">
        <f t="shared" si="37"/>
        <v>0</v>
      </c>
      <c r="AM20" s="135">
        <f t="shared" si="37"/>
        <v>0</v>
      </c>
      <c r="AN20" s="135">
        <f t="shared" si="37"/>
        <v>0</v>
      </c>
      <c r="AO20" s="135">
        <f t="shared" si="37"/>
        <v>0</v>
      </c>
      <c r="AP20" s="135">
        <f t="shared" si="37"/>
        <v>0</v>
      </c>
      <c r="AQ20" s="135">
        <f t="shared" si="37"/>
        <v>0</v>
      </c>
      <c r="AR20" s="135">
        <f t="shared" si="37"/>
        <v>0</v>
      </c>
      <c r="AS20" s="135">
        <f t="shared" si="37"/>
        <v>0</v>
      </c>
      <c r="AT20" s="135">
        <f t="shared" si="37"/>
        <v>0</v>
      </c>
      <c r="AU20" s="135">
        <f t="shared" si="37"/>
        <v>0</v>
      </c>
      <c r="AV20" s="135">
        <f t="shared" si="37"/>
        <v>0</v>
      </c>
      <c r="AW20" s="135">
        <f t="shared" si="37"/>
        <v>0</v>
      </c>
      <c r="AX20" s="135">
        <f t="shared" si="37"/>
        <v>0</v>
      </c>
      <c r="AY20" s="135">
        <f t="shared" si="37"/>
        <v>0</v>
      </c>
    </row>
    <row r="21" spans="1:51" x14ac:dyDescent="0.2">
      <c r="A21" s="1216" t="s">
        <v>512</v>
      </c>
      <c r="B21" s="528">
        <f>IF(Экскаваторы!AB41&gt;0,1,0)</f>
        <v>0</v>
      </c>
      <c r="C21" s="25"/>
      <c r="D21" s="25"/>
      <c r="E21" s="528" t="s">
        <v>44</v>
      </c>
      <c r="F21" s="686">
        <f>(Экскаваторы!J41+Экскаваторы!F41)*'Сводка внутр.'!$P$1</f>
        <v>0</v>
      </c>
      <c r="G21" s="528">
        <f>Экскаваторы!S41+Экскаваторы!T41</f>
        <v>0</v>
      </c>
      <c r="H21" s="528">
        <f>Экскаваторы!Q41</f>
        <v>0</v>
      </c>
      <c r="I21" s="528">
        <f t="shared" ref="I21:I27" si="38">G21+H21</f>
        <v>0</v>
      </c>
      <c r="J21" s="528">
        <f>Экскаваторы!N41</f>
        <v>0</v>
      </c>
      <c r="K21" s="686">
        <f>Экскаваторы!O41</f>
        <v>0</v>
      </c>
      <c r="L21" s="528">
        <f t="shared" si="34"/>
        <v>0</v>
      </c>
      <c r="M21" s="528">
        <f>IF($B$29="зима",C62,E62)</f>
        <v>10.714285714285715</v>
      </c>
      <c r="N21" s="236">
        <f t="shared" ref="N21:N27" si="39">IF(L21=0,0,(1-L21/M21)*100)</f>
        <v>0</v>
      </c>
      <c r="O21" s="528"/>
      <c r="P21" s="528">
        <f>Экскаваторы!V41</f>
        <v>0</v>
      </c>
      <c r="Q21" s="528">
        <f>Экскаваторы!W41</f>
        <v>0</v>
      </c>
      <c r="R21" s="528">
        <f>Экскаваторы!X41</f>
        <v>0</v>
      </c>
      <c r="S21" s="175"/>
      <c r="T21" s="528">
        <f>Экскаваторы!Y41</f>
        <v>0</v>
      </c>
      <c r="U21" s="528">
        <f>Экскаваторы!Z41</f>
        <v>0</v>
      </c>
      <c r="V21" s="528">
        <f t="shared" ref="V21:V27" si="40">SUM(P21:U21)</f>
        <v>0</v>
      </c>
      <c r="W21" s="528">
        <f t="shared" ref="W21:W27" si="41">V21+I21</f>
        <v>0</v>
      </c>
      <c r="X21" s="528">
        <f>Экскаваторы!AC41</f>
        <v>0</v>
      </c>
      <c r="Y21" s="528">
        <f>Экскаваторы!AD41</f>
        <v>0</v>
      </c>
      <c r="Z21" s="528">
        <f>Экскаваторы!AE41</f>
        <v>0</v>
      </c>
      <c r="AA21" s="528">
        <f>Экскаваторы!AF41</f>
        <v>0</v>
      </c>
      <c r="AB21" s="528">
        <f>Экскаваторы!AG41</f>
        <v>0</v>
      </c>
      <c r="AC21" s="528">
        <f t="shared" ref="AC21:AC27" si="42">SUM(X21:AB21)</f>
        <v>0</v>
      </c>
      <c r="AD21" s="528">
        <f>Экскаваторы!AI41</f>
        <v>0</v>
      </c>
      <c r="AE21" s="528">
        <f>Экскаваторы!AJ41</f>
        <v>0</v>
      </c>
      <c r="AF21" s="528">
        <f>Экскаваторы!AK41</f>
        <v>0</v>
      </c>
      <c r="AG21" s="528">
        <f>Экскаваторы!AL41</f>
        <v>0</v>
      </c>
      <c r="AH21" s="528">
        <f>Экскаваторы!AM41</f>
        <v>0</v>
      </c>
      <c r="AI21" s="528">
        <f>Экскаваторы!AN41</f>
        <v>0</v>
      </c>
      <c r="AJ21" s="528">
        <f>Экскаваторы!AO41</f>
        <v>0</v>
      </c>
      <c r="AK21" s="528">
        <f>Экскаваторы!AP41</f>
        <v>0</v>
      </c>
      <c r="AL21" s="528">
        <f t="shared" ref="AL21:AL27" si="43">SUM(AD21:AK21)</f>
        <v>0</v>
      </c>
      <c r="AM21" s="528">
        <f>Экскаваторы!AR41</f>
        <v>0</v>
      </c>
      <c r="AN21" s="528">
        <f>Экскаваторы!AS41</f>
        <v>0</v>
      </c>
      <c r="AO21" s="528">
        <f>Экскаваторы!AT41</f>
        <v>0</v>
      </c>
      <c r="AP21" s="528">
        <f>Экскаваторы!AU41</f>
        <v>0</v>
      </c>
      <c r="AQ21" s="528">
        <f>Экскаваторы!AV41</f>
        <v>0</v>
      </c>
      <c r="AR21" s="528">
        <f>SUM(AM21:AQ21)</f>
        <v>0</v>
      </c>
      <c r="AS21" s="528">
        <f>Экскаваторы!AX41</f>
        <v>0</v>
      </c>
      <c r="AT21" s="528">
        <f>Экскаваторы!AY41</f>
        <v>0</v>
      </c>
      <c r="AU21" s="528">
        <f>SUM(AS21:AT21)</f>
        <v>0</v>
      </c>
      <c r="AV21" s="528">
        <f>Экскаваторы!BA41</f>
        <v>0</v>
      </c>
      <c r="AW21" s="528">
        <f t="shared" ref="AW21:AW27" si="44">AV21+AU21+AR21+AL21</f>
        <v>0</v>
      </c>
      <c r="AX21" s="528">
        <f t="shared" ref="AX21:AX27" si="45">AW21+AC21</f>
        <v>0</v>
      </c>
      <c r="AY21" s="543">
        <f t="shared" ref="AY21:AY27" si="46">AX21+W21</f>
        <v>0</v>
      </c>
    </row>
    <row r="22" spans="1:51" x14ac:dyDescent="0.2">
      <c r="A22" s="1216" t="s">
        <v>507</v>
      </c>
      <c r="B22" s="528">
        <f>IF(Экскаваторы!AB42&gt;0,1,0)</f>
        <v>0</v>
      </c>
      <c r="C22" s="25"/>
      <c r="D22" s="25"/>
      <c r="E22" s="528" t="s">
        <v>44</v>
      </c>
      <c r="F22" s="686">
        <f>(Экскаваторы!J42+Экскаваторы!F42)*'Сводка внутр.'!$P$1</f>
        <v>0</v>
      </c>
      <c r="G22" s="528">
        <f>Экскаваторы!S42+Экскаваторы!T42</f>
        <v>0</v>
      </c>
      <c r="H22" s="528">
        <f>Экскаваторы!Q42</f>
        <v>0</v>
      </c>
      <c r="I22" s="528">
        <f t="shared" si="38"/>
        <v>0</v>
      </c>
      <c r="J22" s="528">
        <f>Экскаваторы!N42</f>
        <v>0</v>
      </c>
      <c r="K22" s="686">
        <f>Экскаваторы!O42</f>
        <v>0</v>
      </c>
      <c r="L22" s="528">
        <f t="shared" si="34"/>
        <v>0</v>
      </c>
      <c r="M22" s="528">
        <f>IF($B$29="зима",C63,E63)</f>
        <v>10.714285714285715</v>
      </c>
      <c r="N22" s="236">
        <f t="shared" si="39"/>
        <v>0</v>
      </c>
      <c r="O22" s="528"/>
      <c r="P22" s="528">
        <f>Экскаваторы!V42</f>
        <v>0</v>
      </c>
      <c r="Q22" s="528">
        <f>Экскаваторы!W42</f>
        <v>0</v>
      </c>
      <c r="R22" s="528">
        <f>Экскаваторы!X42</f>
        <v>0</v>
      </c>
      <c r="S22" s="175"/>
      <c r="T22" s="528">
        <f>Экскаваторы!Y42</f>
        <v>0</v>
      </c>
      <c r="U22" s="528">
        <f>Экскаваторы!Z42</f>
        <v>0</v>
      </c>
      <c r="V22" s="528">
        <f t="shared" si="40"/>
        <v>0</v>
      </c>
      <c r="W22" s="528">
        <f t="shared" si="41"/>
        <v>0</v>
      </c>
      <c r="X22" s="528">
        <f>Экскаваторы!AC42</f>
        <v>0</v>
      </c>
      <c r="Y22" s="528">
        <f>Экскаваторы!AD42</f>
        <v>0</v>
      </c>
      <c r="Z22" s="528">
        <f>Экскаваторы!AE42</f>
        <v>0</v>
      </c>
      <c r="AA22" s="528">
        <f>Экскаваторы!AF42</f>
        <v>0</v>
      </c>
      <c r="AB22" s="528">
        <f>Экскаваторы!AG42</f>
        <v>0</v>
      </c>
      <c r="AC22" s="528">
        <f t="shared" si="42"/>
        <v>0</v>
      </c>
      <c r="AD22" s="528">
        <f>Экскаваторы!AI42</f>
        <v>0</v>
      </c>
      <c r="AE22" s="528">
        <f>Экскаваторы!AJ42</f>
        <v>0</v>
      </c>
      <c r="AF22" s="528">
        <f>Экскаваторы!AK42</f>
        <v>0</v>
      </c>
      <c r="AG22" s="528">
        <f>Экскаваторы!AL42</f>
        <v>0</v>
      </c>
      <c r="AH22" s="528">
        <f>Экскаваторы!AM42</f>
        <v>0</v>
      </c>
      <c r="AI22" s="528">
        <f>Экскаваторы!AN42</f>
        <v>0</v>
      </c>
      <c r="AJ22" s="528">
        <f>Экскаваторы!AO42</f>
        <v>0</v>
      </c>
      <c r="AK22" s="528">
        <f>Экскаваторы!AP42</f>
        <v>0</v>
      </c>
      <c r="AL22" s="528">
        <f t="shared" si="43"/>
        <v>0</v>
      </c>
      <c r="AM22" s="528">
        <f>Экскаваторы!AR42</f>
        <v>0</v>
      </c>
      <c r="AN22" s="528">
        <f>Экскаваторы!AS42</f>
        <v>0</v>
      </c>
      <c r="AO22" s="528">
        <f>Экскаваторы!AT42</f>
        <v>0</v>
      </c>
      <c r="AP22" s="528">
        <f>Экскаваторы!AU42</f>
        <v>0</v>
      </c>
      <c r="AQ22" s="528">
        <f>Экскаваторы!AV42</f>
        <v>0</v>
      </c>
      <c r="AR22" s="528">
        <f>SUM(AM22:AQ22)</f>
        <v>0</v>
      </c>
      <c r="AS22" s="528">
        <f>Экскаваторы!AX42</f>
        <v>0</v>
      </c>
      <c r="AT22" s="528">
        <f>Экскаваторы!AY42</f>
        <v>0</v>
      </c>
      <c r="AU22" s="528">
        <f>SUM(AS22:AT22)</f>
        <v>0</v>
      </c>
      <c r="AV22" s="528">
        <f>Экскаваторы!BA42</f>
        <v>0</v>
      </c>
      <c r="AW22" s="528">
        <f t="shared" si="44"/>
        <v>0</v>
      </c>
      <c r="AX22" s="528">
        <f t="shared" si="45"/>
        <v>0</v>
      </c>
      <c r="AY22" s="543">
        <f t="shared" si="46"/>
        <v>0</v>
      </c>
    </row>
    <row r="23" spans="1:51" x14ac:dyDescent="0.2">
      <c r="A23" s="1216" t="s">
        <v>511</v>
      </c>
      <c r="B23" s="528">
        <f>IF(Экскаваторы!AB43&gt;0,1,0)</f>
        <v>0</v>
      </c>
      <c r="C23" s="25"/>
      <c r="D23" s="25"/>
      <c r="E23" s="528" t="s">
        <v>44</v>
      </c>
      <c r="F23" s="686">
        <f>(Экскаваторы!J43+Экскаваторы!F43)*'Сводка внутр.'!$P$1</f>
        <v>0</v>
      </c>
      <c r="G23" s="528">
        <f>Экскаваторы!S43+Экскаваторы!T43</f>
        <v>0</v>
      </c>
      <c r="H23" s="528">
        <f>Экскаваторы!Q43</f>
        <v>0</v>
      </c>
      <c r="I23" s="528">
        <f t="shared" si="38"/>
        <v>0</v>
      </c>
      <c r="J23" s="528">
        <f>Экскаваторы!N43</f>
        <v>0</v>
      </c>
      <c r="K23" s="686">
        <f>Экскаваторы!O43</f>
        <v>0</v>
      </c>
      <c r="L23" s="528">
        <f t="shared" si="34"/>
        <v>0</v>
      </c>
      <c r="M23" s="528">
        <f>IF($B$29="зима",C64,E64)</f>
        <v>32.142857142857146</v>
      </c>
      <c r="N23" s="236">
        <f t="shared" si="39"/>
        <v>0</v>
      </c>
      <c r="O23" s="528"/>
      <c r="P23" s="528">
        <f>Экскаваторы!V43</f>
        <v>0</v>
      </c>
      <c r="Q23" s="528">
        <f>Экскаваторы!W43</f>
        <v>0</v>
      </c>
      <c r="R23" s="528">
        <f>Экскаваторы!X43</f>
        <v>0</v>
      </c>
      <c r="S23" s="175"/>
      <c r="T23" s="528">
        <f>Экскаваторы!Y43</f>
        <v>0</v>
      </c>
      <c r="U23" s="528">
        <f>Экскаваторы!Z43</f>
        <v>0</v>
      </c>
      <c r="V23" s="528">
        <f t="shared" si="40"/>
        <v>0</v>
      </c>
      <c r="W23" s="528">
        <f t="shared" si="41"/>
        <v>0</v>
      </c>
      <c r="X23" s="528">
        <f>Экскаваторы!AC43</f>
        <v>0</v>
      </c>
      <c r="Y23" s="528">
        <f>Экскаваторы!AD43</f>
        <v>0</v>
      </c>
      <c r="Z23" s="528">
        <f>Экскаваторы!AE43</f>
        <v>0</v>
      </c>
      <c r="AA23" s="528">
        <f>Экскаваторы!AF43</f>
        <v>0</v>
      </c>
      <c r="AB23" s="528">
        <f>Экскаваторы!AG43</f>
        <v>0</v>
      </c>
      <c r="AC23" s="528">
        <f t="shared" si="42"/>
        <v>0</v>
      </c>
      <c r="AD23" s="528">
        <f>Экскаваторы!AI43</f>
        <v>0</v>
      </c>
      <c r="AE23" s="528">
        <f>Экскаваторы!AJ43</f>
        <v>0</v>
      </c>
      <c r="AF23" s="528">
        <f>Экскаваторы!AK43</f>
        <v>0</v>
      </c>
      <c r="AG23" s="528">
        <f>Экскаваторы!AL43</f>
        <v>0</v>
      </c>
      <c r="AH23" s="528">
        <f>Экскаваторы!AM43</f>
        <v>0</v>
      </c>
      <c r="AI23" s="528">
        <f>Экскаваторы!AN43</f>
        <v>0</v>
      </c>
      <c r="AJ23" s="528">
        <f>Экскаваторы!AO43</f>
        <v>0</v>
      </c>
      <c r="AK23" s="528">
        <f>Экскаваторы!AP43</f>
        <v>0</v>
      </c>
      <c r="AL23" s="528">
        <f t="shared" si="43"/>
        <v>0</v>
      </c>
      <c r="AM23" s="528">
        <f>Экскаваторы!AR43</f>
        <v>0</v>
      </c>
      <c r="AN23" s="528">
        <f>Экскаваторы!AS43</f>
        <v>0</v>
      </c>
      <c r="AO23" s="528">
        <f>Экскаваторы!AT43</f>
        <v>0</v>
      </c>
      <c r="AP23" s="528">
        <f>Экскаваторы!AU43</f>
        <v>0</v>
      </c>
      <c r="AQ23" s="528">
        <f>Экскаваторы!AV43</f>
        <v>0</v>
      </c>
      <c r="AR23" s="528">
        <f t="shared" ref="AR23:AR24" si="47">SUM(AM23:AQ23)</f>
        <v>0</v>
      </c>
      <c r="AS23" s="528">
        <f>Экскаваторы!AX43</f>
        <v>0</v>
      </c>
      <c r="AT23" s="528">
        <f>Экскаваторы!AY43</f>
        <v>0</v>
      </c>
      <c r="AU23" s="528">
        <f t="shared" ref="AU23:AU24" si="48">SUM(AS23:AT23)</f>
        <v>0</v>
      </c>
      <c r="AV23" s="528">
        <f>Экскаваторы!BA43</f>
        <v>0</v>
      </c>
      <c r="AW23" s="528">
        <f t="shared" si="44"/>
        <v>0</v>
      </c>
      <c r="AX23" s="528">
        <f t="shared" si="45"/>
        <v>0</v>
      </c>
      <c r="AY23" s="543">
        <f t="shared" si="46"/>
        <v>0</v>
      </c>
    </row>
    <row r="24" spans="1:51" x14ac:dyDescent="0.2">
      <c r="A24" s="1216" t="s">
        <v>216</v>
      </c>
      <c r="B24" s="528">
        <f>IF(Экскаваторы!AB44&gt;0,1,0)</f>
        <v>0</v>
      </c>
      <c r="C24" s="25"/>
      <c r="D24" s="25"/>
      <c r="E24" s="528" t="s">
        <v>44</v>
      </c>
      <c r="F24" s="686">
        <f>(Экскаваторы!J44+Экскаваторы!F44)*'Сводка внутр.'!$P$1</f>
        <v>0</v>
      </c>
      <c r="G24" s="528">
        <f>Экскаваторы!S44+Экскаваторы!T44</f>
        <v>0</v>
      </c>
      <c r="H24" s="528">
        <f>Экскаваторы!Q44</f>
        <v>0</v>
      </c>
      <c r="I24" s="528">
        <f t="shared" si="38"/>
        <v>0</v>
      </c>
      <c r="J24" s="528">
        <f>Экскаваторы!N44</f>
        <v>0</v>
      </c>
      <c r="K24" s="686">
        <f>Экскаваторы!O44</f>
        <v>0</v>
      </c>
      <c r="L24" s="528">
        <f t="shared" si="34"/>
        <v>0</v>
      </c>
      <c r="M24" s="528">
        <f>IF($B$29="зима",C66,E66)</f>
        <v>32.142857142857146</v>
      </c>
      <c r="N24" s="236">
        <f t="shared" si="39"/>
        <v>0</v>
      </c>
      <c r="O24" s="528"/>
      <c r="P24" s="528">
        <f>Экскаваторы!V44</f>
        <v>0</v>
      </c>
      <c r="Q24" s="528">
        <f>Экскаваторы!W44</f>
        <v>0</v>
      </c>
      <c r="R24" s="528">
        <f>Экскаваторы!X44</f>
        <v>0</v>
      </c>
      <c r="S24" s="175"/>
      <c r="T24" s="528">
        <f>Экскаваторы!Y44</f>
        <v>0</v>
      </c>
      <c r="U24" s="528">
        <f>Экскаваторы!Z44</f>
        <v>0</v>
      </c>
      <c r="V24" s="528">
        <f t="shared" si="40"/>
        <v>0</v>
      </c>
      <c r="W24" s="528">
        <f t="shared" si="41"/>
        <v>0</v>
      </c>
      <c r="X24" s="528">
        <f>Экскаваторы!AC44</f>
        <v>0</v>
      </c>
      <c r="Y24" s="528">
        <f>Экскаваторы!AD44</f>
        <v>0</v>
      </c>
      <c r="Z24" s="528">
        <f>Экскаваторы!AE44</f>
        <v>0</v>
      </c>
      <c r="AA24" s="528">
        <f>Экскаваторы!AF44</f>
        <v>0</v>
      </c>
      <c r="AB24" s="528">
        <f>Экскаваторы!AG44</f>
        <v>0</v>
      </c>
      <c r="AC24" s="528">
        <f t="shared" si="42"/>
        <v>0</v>
      </c>
      <c r="AD24" s="528">
        <f>Экскаваторы!AI44</f>
        <v>0</v>
      </c>
      <c r="AE24" s="528">
        <f>Экскаваторы!AJ44</f>
        <v>0</v>
      </c>
      <c r="AF24" s="528">
        <f>Экскаваторы!AK44</f>
        <v>0</v>
      </c>
      <c r="AG24" s="528">
        <f>Экскаваторы!AL44</f>
        <v>0</v>
      </c>
      <c r="AH24" s="528">
        <f>Экскаваторы!AM44</f>
        <v>0</v>
      </c>
      <c r="AI24" s="528">
        <f>Экскаваторы!AN44</f>
        <v>0</v>
      </c>
      <c r="AJ24" s="528">
        <f>Экскаваторы!AO44</f>
        <v>0</v>
      </c>
      <c r="AK24" s="528">
        <f>Экскаваторы!AP44</f>
        <v>0</v>
      </c>
      <c r="AL24" s="528">
        <f t="shared" si="43"/>
        <v>0</v>
      </c>
      <c r="AM24" s="528">
        <f>Экскаваторы!AR44</f>
        <v>0</v>
      </c>
      <c r="AN24" s="528">
        <f>Экскаваторы!AS44</f>
        <v>0</v>
      </c>
      <c r="AO24" s="528">
        <f>Экскаваторы!AT44</f>
        <v>0</v>
      </c>
      <c r="AP24" s="528">
        <f>Экскаваторы!AU44</f>
        <v>0</v>
      </c>
      <c r="AQ24" s="528">
        <f>Экскаваторы!AV44</f>
        <v>0</v>
      </c>
      <c r="AR24" s="528">
        <f t="shared" si="47"/>
        <v>0</v>
      </c>
      <c r="AS24" s="528">
        <f>Экскаваторы!AX44</f>
        <v>0</v>
      </c>
      <c r="AT24" s="528">
        <f>Экскаваторы!AY44</f>
        <v>0</v>
      </c>
      <c r="AU24" s="528">
        <f t="shared" si="48"/>
        <v>0</v>
      </c>
      <c r="AV24" s="528">
        <f>Экскаваторы!BA44</f>
        <v>0</v>
      </c>
      <c r="AW24" s="528">
        <f t="shared" si="44"/>
        <v>0</v>
      </c>
      <c r="AX24" s="528">
        <f t="shared" si="45"/>
        <v>0</v>
      </c>
      <c r="AY24" s="543">
        <f t="shared" si="46"/>
        <v>0</v>
      </c>
    </row>
    <row r="25" spans="1:51" x14ac:dyDescent="0.2">
      <c r="A25" s="1216" t="s">
        <v>523</v>
      </c>
      <c r="B25" s="528">
        <f>IF(Экскаваторы!AB45&gt;0,1,0)</f>
        <v>0</v>
      </c>
      <c r="C25" s="25"/>
      <c r="D25" s="25"/>
      <c r="E25" s="528" t="s">
        <v>44</v>
      </c>
      <c r="F25" s="686">
        <f>(Экскаваторы!J45+Экскаваторы!F45)*'Сводка внутр.'!$P$1</f>
        <v>0</v>
      </c>
      <c r="G25" s="528">
        <f>Экскаваторы!S45+Экскаваторы!T45</f>
        <v>0</v>
      </c>
      <c r="H25" s="528">
        <f>Экскаваторы!Q45</f>
        <v>0</v>
      </c>
      <c r="I25" s="528">
        <f t="shared" si="38"/>
        <v>0</v>
      </c>
      <c r="J25" s="528">
        <f>Экскаваторы!N45</f>
        <v>0</v>
      </c>
      <c r="K25" s="686">
        <f>Экскаваторы!O45</f>
        <v>0</v>
      </c>
      <c r="L25" s="528">
        <f t="shared" ref="L25" si="49">IF(K25=0,0,K25/J25)</f>
        <v>0</v>
      </c>
      <c r="M25" s="528">
        <f>IF($B$29="зима",C66,E66)</f>
        <v>32.142857142857146</v>
      </c>
      <c r="N25" s="236">
        <f t="shared" si="39"/>
        <v>0</v>
      </c>
      <c r="O25" s="528"/>
      <c r="P25" s="528">
        <f>Экскаваторы!V45</f>
        <v>0</v>
      </c>
      <c r="Q25" s="528">
        <f>Экскаваторы!W45</f>
        <v>0</v>
      </c>
      <c r="R25" s="528">
        <f>Экскаваторы!X45</f>
        <v>0</v>
      </c>
      <c r="S25" s="175"/>
      <c r="T25" s="528">
        <f>Экскаваторы!Y45</f>
        <v>0</v>
      </c>
      <c r="U25" s="528">
        <f>Экскаваторы!Z45</f>
        <v>0</v>
      </c>
      <c r="V25" s="528">
        <f t="shared" si="40"/>
        <v>0</v>
      </c>
      <c r="W25" s="528">
        <f t="shared" si="41"/>
        <v>0</v>
      </c>
      <c r="X25" s="528">
        <f>Экскаваторы!AC45</f>
        <v>0</v>
      </c>
      <c r="Y25" s="528">
        <f>Экскаваторы!AD45</f>
        <v>0</v>
      </c>
      <c r="Z25" s="528">
        <f>Экскаваторы!AE45</f>
        <v>0</v>
      </c>
      <c r="AA25" s="528">
        <f>Экскаваторы!AF45</f>
        <v>0</v>
      </c>
      <c r="AB25" s="528">
        <f>Экскаваторы!AG45</f>
        <v>0</v>
      </c>
      <c r="AC25" s="528">
        <f t="shared" si="42"/>
        <v>0</v>
      </c>
      <c r="AD25" s="528">
        <f>Экскаваторы!AI45</f>
        <v>0</v>
      </c>
      <c r="AE25" s="528">
        <f>Экскаваторы!AJ45</f>
        <v>0</v>
      </c>
      <c r="AF25" s="528">
        <f>Экскаваторы!AK45</f>
        <v>0</v>
      </c>
      <c r="AG25" s="528">
        <f>Экскаваторы!AL45</f>
        <v>0</v>
      </c>
      <c r="AH25" s="528">
        <f>Экскаваторы!AM45</f>
        <v>0</v>
      </c>
      <c r="AI25" s="528">
        <f>Экскаваторы!AN45</f>
        <v>0</v>
      </c>
      <c r="AJ25" s="528">
        <f>Экскаваторы!AO45</f>
        <v>0</v>
      </c>
      <c r="AK25" s="528">
        <f>Экскаваторы!AP45</f>
        <v>0</v>
      </c>
      <c r="AL25" s="528">
        <f t="shared" si="43"/>
        <v>0</v>
      </c>
      <c r="AM25" s="528">
        <f>Экскаваторы!AR45</f>
        <v>0</v>
      </c>
      <c r="AN25" s="528">
        <f>Экскаваторы!AS45</f>
        <v>0</v>
      </c>
      <c r="AO25" s="528">
        <f>Экскаваторы!AT45</f>
        <v>0</v>
      </c>
      <c r="AP25" s="528">
        <f>Экскаваторы!AU45</f>
        <v>0</v>
      </c>
      <c r="AQ25" s="528">
        <f>Экскаваторы!AV45</f>
        <v>0</v>
      </c>
      <c r="AR25" s="528">
        <f>SUM(AM25:AQ25)</f>
        <v>0</v>
      </c>
      <c r="AS25" s="528">
        <f>Экскаваторы!AX45</f>
        <v>0</v>
      </c>
      <c r="AT25" s="528">
        <f>Экскаваторы!AY45</f>
        <v>0</v>
      </c>
      <c r="AU25" s="528">
        <f>SUM(AS25:AT25)</f>
        <v>0</v>
      </c>
      <c r="AV25" s="528">
        <f>Экскаваторы!BA45</f>
        <v>0</v>
      </c>
      <c r="AW25" s="528">
        <f t="shared" si="44"/>
        <v>0</v>
      </c>
      <c r="AX25" s="528">
        <f t="shared" si="45"/>
        <v>0</v>
      </c>
      <c r="AY25" s="543">
        <f t="shared" si="46"/>
        <v>0</v>
      </c>
    </row>
    <row r="26" spans="1:51" x14ac:dyDescent="0.2">
      <c r="A26" s="1216" t="s">
        <v>535</v>
      </c>
      <c r="B26" s="528">
        <f>IF(Экскаваторы!AB46&gt;0,1,0)</f>
        <v>0</v>
      </c>
      <c r="C26" s="25"/>
      <c r="D26" s="25"/>
      <c r="E26" s="528" t="s">
        <v>44</v>
      </c>
      <c r="F26" s="686">
        <f>(Экскаваторы!J46+Экскаваторы!F46)*'Сводка внутр.'!$P$1</f>
        <v>0</v>
      </c>
      <c r="G26" s="528">
        <f>Экскаваторы!S46+Экскаваторы!T46</f>
        <v>0</v>
      </c>
      <c r="H26" s="528">
        <f>Экскаваторы!Q46</f>
        <v>0</v>
      </c>
      <c r="I26" s="528">
        <f t="shared" ref="I26" si="50">G26+H26</f>
        <v>0</v>
      </c>
      <c r="J26" s="528">
        <f>Экскаваторы!N46</f>
        <v>0</v>
      </c>
      <c r="K26" s="686">
        <f>Экскаваторы!O46</f>
        <v>0</v>
      </c>
      <c r="L26" s="528">
        <f t="shared" ref="L26" si="51">IF(K26=0,0,K26/J26)</f>
        <v>0</v>
      </c>
      <c r="M26" s="528">
        <f>IF($B$29="зима",C67,E67)</f>
        <v>32.142857142857146</v>
      </c>
      <c r="N26" s="236">
        <f t="shared" ref="N26" si="52">IF(L26=0,0,(1-L26/M26)*100)</f>
        <v>0</v>
      </c>
      <c r="O26" s="528"/>
      <c r="P26" s="528">
        <f>Экскаваторы!V46</f>
        <v>0</v>
      </c>
      <c r="Q26" s="528">
        <f>Экскаваторы!W46</f>
        <v>0</v>
      </c>
      <c r="R26" s="528">
        <f>Экскаваторы!X46</f>
        <v>0</v>
      </c>
      <c r="S26" s="175"/>
      <c r="T26" s="528">
        <f>Экскаваторы!Y46</f>
        <v>0</v>
      </c>
      <c r="U26" s="528">
        <f>Экскаваторы!Z46</f>
        <v>0</v>
      </c>
      <c r="V26" s="528">
        <f t="shared" ref="V26" si="53">SUM(P26:U26)</f>
        <v>0</v>
      </c>
      <c r="W26" s="528">
        <f t="shared" ref="W26" si="54">V26+I26</f>
        <v>0</v>
      </c>
      <c r="X26" s="528">
        <f>Экскаваторы!AC46</f>
        <v>0</v>
      </c>
      <c r="Y26" s="528">
        <f>Экскаваторы!AD46</f>
        <v>0</v>
      </c>
      <c r="Z26" s="528">
        <f>Экскаваторы!AE46</f>
        <v>0</v>
      </c>
      <c r="AA26" s="528">
        <f>Экскаваторы!AF46</f>
        <v>0</v>
      </c>
      <c r="AB26" s="528">
        <f>Экскаваторы!AG46</f>
        <v>0</v>
      </c>
      <c r="AC26" s="528">
        <f t="shared" ref="AC26" si="55">SUM(X26:AB26)</f>
        <v>0</v>
      </c>
      <c r="AD26" s="528">
        <f>Экскаваторы!AI46</f>
        <v>0</v>
      </c>
      <c r="AE26" s="528">
        <f>Экскаваторы!AJ46</f>
        <v>0</v>
      </c>
      <c r="AF26" s="528">
        <f>Экскаваторы!AK46</f>
        <v>0</v>
      </c>
      <c r="AG26" s="528">
        <f>Экскаваторы!AL46</f>
        <v>0</v>
      </c>
      <c r="AH26" s="528">
        <f>Экскаваторы!AM46</f>
        <v>0</v>
      </c>
      <c r="AI26" s="528">
        <f>Экскаваторы!AN46</f>
        <v>0</v>
      </c>
      <c r="AJ26" s="528">
        <f>Экскаваторы!AO46</f>
        <v>0</v>
      </c>
      <c r="AK26" s="528">
        <f>Экскаваторы!AP46</f>
        <v>0</v>
      </c>
      <c r="AL26" s="528">
        <f t="shared" ref="AL26" si="56">SUM(AD26:AK26)</f>
        <v>0</v>
      </c>
      <c r="AM26" s="528">
        <f>Экскаваторы!AR46</f>
        <v>0</v>
      </c>
      <c r="AN26" s="528">
        <f>Экскаваторы!AS46</f>
        <v>0</v>
      </c>
      <c r="AO26" s="528">
        <f>Экскаваторы!AT46</f>
        <v>0</v>
      </c>
      <c r="AP26" s="528">
        <f>Экскаваторы!AU46</f>
        <v>0</v>
      </c>
      <c r="AQ26" s="528">
        <f>Экскаваторы!AV46</f>
        <v>0</v>
      </c>
      <c r="AR26" s="528">
        <f>SUM(AM26:AQ26)</f>
        <v>0</v>
      </c>
      <c r="AS26" s="528">
        <f>Экскаваторы!AX46</f>
        <v>0</v>
      </c>
      <c r="AT26" s="528">
        <f>Экскаваторы!AY46</f>
        <v>0</v>
      </c>
      <c r="AU26" s="528">
        <f>SUM(AS26:AT26)</f>
        <v>0</v>
      </c>
      <c r="AV26" s="528">
        <f>Экскаваторы!BA46</f>
        <v>0</v>
      </c>
      <c r="AW26" s="528">
        <f t="shared" ref="AW26" si="57">AV26+AU26+AR26+AL26</f>
        <v>0</v>
      </c>
      <c r="AX26" s="528">
        <f t="shared" ref="AX26" si="58">AW26+AC26</f>
        <v>0</v>
      </c>
      <c r="AY26" s="543">
        <f t="shared" ref="AY26" si="59">AX26+W26</f>
        <v>0</v>
      </c>
    </row>
    <row r="27" spans="1:51" ht="13.5" thickBot="1" x14ac:dyDescent="0.25">
      <c r="A27" s="1221" t="s">
        <v>525</v>
      </c>
      <c r="B27" s="535">
        <f>IF(Экскаваторы!AB47&gt;0,1,0)</f>
        <v>0</v>
      </c>
      <c r="C27" s="133"/>
      <c r="D27" s="133"/>
      <c r="E27" s="535" t="s">
        <v>44</v>
      </c>
      <c r="F27" s="984">
        <f>(Экскаваторы!J47+Экскаваторы!F47)*'Сводка внутр.'!$P$1</f>
        <v>0</v>
      </c>
      <c r="G27" s="535">
        <f>Экскаваторы!S47+Экскаваторы!T47</f>
        <v>0</v>
      </c>
      <c r="H27" s="535">
        <f>Экскаваторы!Q47</f>
        <v>0</v>
      </c>
      <c r="I27" s="535">
        <f t="shared" si="38"/>
        <v>0</v>
      </c>
      <c r="J27" s="535">
        <f>Экскаваторы!N47</f>
        <v>0</v>
      </c>
      <c r="K27" s="984">
        <f>Экскаваторы!O47</f>
        <v>0</v>
      </c>
      <c r="L27" s="535">
        <f t="shared" ref="L27" si="60">IF(K27=0,0,K27/J27)</f>
        <v>0</v>
      </c>
      <c r="M27" s="535">
        <f>IF($B$29="зима",C67,E67)</f>
        <v>32.142857142857146</v>
      </c>
      <c r="N27" s="963">
        <f t="shared" si="39"/>
        <v>0</v>
      </c>
      <c r="O27" s="535"/>
      <c r="P27" s="535">
        <f>Экскаваторы!V47</f>
        <v>0</v>
      </c>
      <c r="Q27" s="535">
        <f>Экскаваторы!W47</f>
        <v>0</v>
      </c>
      <c r="R27" s="535">
        <f>Экскаваторы!X47</f>
        <v>0</v>
      </c>
      <c r="S27" s="177"/>
      <c r="T27" s="535">
        <f>Экскаваторы!Y47</f>
        <v>0</v>
      </c>
      <c r="U27" s="535">
        <f>Экскаваторы!Z47</f>
        <v>0</v>
      </c>
      <c r="V27" s="535">
        <f t="shared" si="40"/>
        <v>0</v>
      </c>
      <c r="W27" s="535">
        <f t="shared" si="41"/>
        <v>0</v>
      </c>
      <c r="X27" s="535">
        <f>Экскаваторы!AC47</f>
        <v>0</v>
      </c>
      <c r="Y27" s="535">
        <f>Экскаваторы!AD47</f>
        <v>0</v>
      </c>
      <c r="Z27" s="535">
        <f>Экскаваторы!AE47</f>
        <v>0</v>
      </c>
      <c r="AA27" s="535">
        <f>Экскаваторы!AF47</f>
        <v>0</v>
      </c>
      <c r="AB27" s="535">
        <f>Экскаваторы!AG47</f>
        <v>0</v>
      </c>
      <c r="AC27" s="535">
        <f t="shared" si="42"/>
        <v>0</v>
      </c>
      <c r="AD27" s="535">
        <f>Экскаваторы!AI47</f>
        <v>0</v>
      </c>
      <c r="AE27" s="535">
        <f>Экскаваторы!AJ47</f>
        <v>0</v>
      </c>
      <c r="AF27" s="535">
        <f>Экскаваторы!AK47</f>
        <v>0</v>
      </c>
      <c r="AG27" s="535">
        <f>Экскаваторы!AL47</f>
        <v>0</v>
      </c>
      <c r="AH27" s="535">
        <f>Экскаваторы!AM47</f>
        <v>0</v>
      </c>
      <c r="AI27" s="535">
        <f>Экскаваторы!AN47</f>
        <v>0</v>
      </c>
      <c r="AJ27" s="535">
        <f>Экскаваторы!AO47</f>
        <v>0</v>
      </c>
      <c r="AK27" s="535">
        <f>Экскаваторы!AP47</f>
        <v>0</v>
      </c>
      <c r="AL27" s="535">
        <f t="shared" si="43"/>
        <v>0</v>
      </c>
      <c r="AM27" s="535">
        <f>Экскаваторы!AR47</f>
        <v>0</v>
      </c>
      <c r="AN27" s="535">
        <f>Экскаваторы!AS47</f>
        <v>0</v>
      </c>
      <c r="AO27" s="535">
        <f>Экскаваторы!AT47</f>
        <v>0</v>
      </c>
      <c r="AP27" s="535">
        <f>Экскаваторы!AU47</f>
        <v>0</v>
      </c>
      <c r="AQ27" s="535">
        <f>Экскаваторы!AV47</f>
        <v>0</v>
      </c>
      <c r="AR27" s="535">
        <f>SUM(AM27:AQ27)</f>
        <v>0</v>
      </c>
      <c r="AS27" s="535">
        <f>Экскаваторы!AX47</f>
        <v>0</v>
      </c>
      <c r="AT27" s="535">
        <f>Экскаваторы!AY47</f>
        <v>0</v>
      </c>
      <c r="AU27" s="535">
        <f>SUM(AS27:AT27)</f>
        <v>0</v>
      </c>
      <c r="AV27" s="535">
        <f>Экскаваторы!BA47</f>
        <v>0</v>
      </c>
      <c r="AW27" s="535">
        <f t="shared" si="44"/>
        <v>0</v>
      </c>
      <c r="AX27" s="535">
        <f t="shared" si="45"/>
        <v>0</v>
      </c>
      <c r="AY27" s="964">
        <f t="shared" si="46"/>
        <v>0</v>
      </c>
    </row>
    <row r="28" spans="1:51" s="310" customFormat="1" x14ac:dyDescent="0.2">
      <c r="A28" s="762"/>
      <c r="B28" s="763"/>
      <c r="C28" s="763"/>
      <c r="D28" s="763"/>
      <c r="E28" s="763"/>
      <c r="F28" s="763"/>
      <c r="G28" s="763"/>
      <c r="H28" s="763"/>
      <c r="I28" s="763"/>
      <c r="J28" s="763"/>
      <c r="K28" s="763"/>
      <c r="L28" s="763"/>
      <c r="M28" s="763"/>
      <c r="N28" s="763"/>
      <c r="O28" s="763"/>
      <c r="P28" s="763"/>
      <c r="Q28" s="763"/>
      <c r="R28" s="763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763"/>
      <c r="AD28" s="763"/>
      <c r="AE28" s="763"/>
      <c r="AF28" s="763"/>
      <c r="AG28" s="763"/>
      <c r="AH28" s="763"/>
      <c r="AI28" s="763"/>
      <c r="AJ28" s="763"/>
      <c r="AK28" s="763"/>
      <c r="AL28" s="763"/>
      <c r="AM28" s="763"/>
      <c r="AN28" s="763"/>
      <c r="AO28" s="763"/>
      <c r="AP28" s="763"/>
      <c r="AQ28" s="763"/>
      <c r="AR28" s="763"/>
      <c r="AS28" s="763"/>
      <c r="AT28" s="763"/>
      <c r="AU28" s="763"/>
      <c r="AV28" s="763"/>
      <c r="AW28" s="763"/>
      <c r="AX28" s="763"/>
      <c r="AY28" s="763"/>
    </row>
    <row r="29" spans="1:51" x14ac:dyDescent="0.2">
      <c r="A29" s="7" t="s">
        <v>375</v>
      </c>
      <c r="B29" s="702" t="s">
        <v>373</v>
      </c>
      <c r="C29" s="29"/>
      <c r="D29" s="29"/>
      <c r="E29" s="29"/>
    </row>
    <row r="30" spans="1:51" x14ac:dyDescent="0.2">
      <c r="B30" s="1283" t="s">
        <v>373</v>
      </c>
      <c r="C30" s="1283"/>
      <c r="D30" s="1283" t="s">
        <v>374</v>
      </c>
      <c r="E30" s="1283"/>
    </row>
    <row r="31" spans="1:51" x14ac:dyDescent="0.2">
      <c r="A31" s="7" t="s">
        <v>370</v>
      </c>
      <c r="B31" s="703" t="s">
        <v>371</v>
      </c>
      <c r="C31" s="703" t="s">
        <v>372</v>
      </c>
      <c r="D31" s="703" t="s">
        <v>371</v>
      </c>
      <c r="E31" s="703" t="s">
        <v>372</v>
      </c>
    </row>
    <row r="32" spans="1:51" x14ac:dyDescent="0.2">
      <c r="A32" s="761" t="s">
        <v>279</v>
      </c>
      <c r="B32" s="703">
        <v>72</v>
      </c>
      <c r="C32" s="424">
        <f>B32/0.84</f>
        <v>85.714285714285722</v>
      </c>
      <c r="D32" s="703">
        <v>76</v>
      </c>
      <c r="E32" s="424">
        <f>D32/0.84</f>
        <v>90.476190476190482</v>
      </c>
    </row>
    <row r="33" spans="1:5" x14ac:dyDescent="0.2">
      <c r="A33" s="761" t="s">
        <v>324</v>
      </c>
      <c r="B33" s="703">
        <v>72</v>
      </c>
      <c r="C33" s="424">
        <f t="shared" ref="C33:C67" si="61">B33/0.84</f>
        <v>85.714285714285722</v>
      </c>
      <c r="D33" s="703">
        <v>76</v>
      </c>
      <c r="E33" s="424">
        <f t="shared" ref="E33:E67" si="62">D33/0.84</f>
        <v>90.476190476190482</v>
      </c>
    </row>
    <row r="34" spans="1:5" x14ac:dyDescent="0.2">
      <c r="A34" s="761" t="s">
        <v>132</v>
      </c>
      <c r="B34" s="703">
        <v>72</v>
      </c>
      <c r="C34" s="424">
        <f t="shared" si="61"/>
        <v>85.714285714285722</v>
      </c>
      <c r="D34" s="703">
        <v>76</v>
      </c>
      <c r="E34" s="424">
        <f t="shared" si="62"/>
        <v>90.476190476190482</v>
      </c>
    </row>
    <row r="35" spans="1:5" x14ac:dyDescent="0.2">
      <c r="A35" s="761" t="s">
        <v>327</v>
      </c>
      <c r="B35" s="703">
        <v>22</v>
      </c>
      <c r="C35" s="424">
        <f t="shared" si="61"/>
        <v>26.19047619047619</v>
      </c>
      <c r="D35" s="703">
        <v>24</v>
      </c>
      <c r="E35" s="424">
        <f t="shared" si="62"/>
        <v>28.571428571428573</v>
      </c>
    </row>
    <row r="36" spans="1:5" x14ac:dyDescent="0.2">
      <c r="A36" s="761" t="s">
        <v>328</v>
      </c>
      <c r="B36" s="703">
        <v>22</v>
      </c>
      <c r="C36" s="424">
        <f t="shared" si="61"/>
        <v>26.19047619047619</v>
      </c>
      <c r="D36" s="703">
        <v>24</v>
      </c>
      <c r="E36" s="424">
        <f t="shared" si="62"/>
        <v>28.571428571428573</v>
      </c>
    </row>
    <row r="37" spans="1:5" x14ac:dyDescent="0.2">
      <c r="A37" s="761" t="s">
        <v>335</v>
      </c>
      <c r="B37" s="703">
        <v>72</v>
      </c>
      <c r="C37" s="424">
        <f t="shared" si="61"/>
        <v>85.714285714285722</v>
      </c>
      <c r="D37" s="703">
        <v>76</v>
      </c>
      <c r="E37" s="424">
        <f t="shared" si="62"/>
        <v>90.476190476190482</v>
      </c>
    </row>
    <row r="38" spans="1:5" x14ac:dyDescent="0.2">
      <c r="A38" s="761" t="s">
        <v>233</v>
      </c>
      <c r="B38" s="703">
        <v>180</v>
      </c>
      <c r="C38" s="424">
        <f t="shared" si="61"/>
        <v>214.28571428571431</v>
      </c>
      <c r="D38" s="703">
        <v>180</v>
      </c>
      <c r="E38" s="424">
        <f t="shared" si="62"/>
        <v>214.28571428571431</v>
      </c>
    </row>
    <row r="39" spans="1:5" x14ac:dyDescent="0.2">
      <c r="A39" s="761" t="s">
        <v>103</v>
      </c>
      <c r="B39" s="703">
        <v>180</v>
      </c>
      <c r="C39" s="424">
        <f t="shared" si="61"/>
        <v>214.28571428571431</v>
      </c>
      <c r="D39" s="703">
        <v>180</v>
      </c>
      <c r="E39" s="424">
        <f t="shared" si="62"/>
        <v>214.28571428571431</v>
      </c>
    </row>
    <row r="40" spans="1:5" x14ac:dyDescent="0.2">
      <c r="A40" s="761" t="s">
        <v>171</v>
      </c>
      <c r="B40" s="703">
        <v>350</v>
      </c>
      <c r="C40" s="424">
        <f t="shared" si="61"/>
        <v>416.66666666666669</v>
      </c>
      <c r="D40" s="703">
        <v>350</v>
      </c>
      <c r="E40" s="424">
        <f t="shared" si="62"/>
        <v>416.66666666666669</v>
      </c>
    </row>
    <row r="41" spans="1:5" x14ac:dyDescent="0.2">
      <c r="A41" s="761" t="s">
        <v>172</v>
      </c>
      <c r="B41" s="980">
        <v>350</v>
      </c>
      <c r="C41" s="424">
        <f t="shared" si="61"/>
        <v>416.66666666666669</v>
      </c>
      <c r="D41" s="980">
        <v>350</v>
      </c>
      <c r="E41" s="424">
        <f t="shared" si="62"/>
        <v>416.66666666666669</v>
      </c>
    </row>
    <row r="42" spans="1:5" x14ac:dyDescent="0.2">
      <c r="A42" s="761" t="s">
        <v>178</v>
      </c>
      <c r="B42" s="980">
        <v>350</v>
      </c>
      <c r="C42" s="424">
        <f t="shared" si="61"/>
        <v>416.66666666666669</v>
      </c>
      <c r="D42" s="980">
        <v>350</v>
      </c>
      <c r="E42" s="424">
        <f t="shared" si="62"/>
        <v>416.66666666666669</v>
      </c>
    </row>
    <row r="43" spans="1:5" x14ac:dyDescent="0.2">
      <c r="A43" s="761" t="s">
        <v>176</v>
      </c>
      <c r="B43" s="980">
        <v>350</v>
      </c>
      <c r="C43" s="424">
        <f t="shared" si="61"/>
        <v>416.66666666666669</v>
      </c>
      <c r="D43" s="980">
        <v>350</v>
      </c>
      <c r="E43" s="424">
        <f t="shared" si="62"/>
        <v>416.66666666666669</v>
      </c>
    </row>
    <row r="44" spans="1:5" x14ac:dyDescent="0.2">
      <c r="A44" s="761" t="s">
        <v>174</v>
      </c>
      <c r="B44" s="980">
        <v>350</v>
      </c>
      <c r="C44" s="424">
        <f t="shared" si="61"/>
        <v>416.66666666666669</v>
      </c>
      <c r="D44" s="980">
        <v>350</v>
      </c>
      <c r="E44" s="424">
        <f t="shared" si="62"/>
        <v>416.66666666666669</v>
      </c>
    </row>
    <row r="45" spans="1:5" x14ac:dyDescent="0.2">
      <c r="A45" s="761" t="s">
        <v>173</v>
      </c>
      <c r="B45" s="980">
        <v>350</v>
      </c>
      <c r="C45" s="424">
        <f t="shared" si="61"/>
        <v>416.66666666666669</v>
      </c>
      <c r="D45" s="980">
        <v>350</v>
      </c>
      <c r="E45" s="424">
        <f t="shared" si="62"/>
        <v>416.66666666666669</v>
      </c>
    </row>
    <row r="46" spans="1:5" x14ac:dyDescent="0.2">
      <c r="A46" s="761" t="s">
        <v>175</v>
      </c>
      <c r="B46" s="980">
        <v>350</v>
      </c>
      <c r="C46" s="424">
        <f t="shared" si="61"/>
        <v>416.66666666666669</v>
      </c>
      <c r="D46" s="980">
        <v>350</v>
      </c>
      <c r="E46" s="424">
        <f t="shared" si="62"/>
        <v>416.66666666666669</v>
      </c>
    </row>
    <row r="47" spans="1:5" x14ac:dyDescent="0.2">
      <c r="A47" s="761" t="s">
        <v>177</v>
      </c>
      <c r="B47" s="980">
        <v>350</v>
      </c>
      <c r="C47" s="424">
        <f t="shared" si="61"/>
        <v>416.66666666666669</v>
      </c>
      <c r="D47" s="980">
        <v>350</v>
      </c>
      <c r="E47" s="424">
        <f t="shared" si="62"/>
        <v>416.66666666666669</v>
      </c>
    </row>
    <row r="48" spans="1:5" x14ac:dyDescent="0.2">
      <c r="A48" s="761" t="s">
        <v>190</v>
      </c>
      <c r="B48" s="980">
        <v>350</v>
      </c>
      <c r="C48" s="424">
        <f t="shared" si="61"/>
        <v>416.66666666666669</v>
      </c>
      <c r="D48" s="980">
        <v>350</v>
      </c>
      <c r="E48" s="424">
        <f t="shared" si="62"/>
        <v>416.66666666666669</v>
      </c>
    </row>
    <row r="49" spans="1:5" x14ac:dyDescent="0.2">
      <c r="A49" s="761" t="s">
        <v>191</v>
      </c>
      <c r="B49" s="980">
        <v>350</v>
      </c>
      <c r="C49" s="424">
        <f t="shared" si="61"/>
        <v>416.66666666666669</v>
      </c>
      <c r="D49" s="980">
        <v>350</v>
      </c>
      <c r="E49" s="424">
        <f t="shared" si="62"/>
        <v>416.66666666666669</v>
      </c>
    </row>
    <row r="50" spans="1:5" x14ac:dyDescent="0.2">
      <c r="A50" s="761" t="s">
        <v>192</v>
      </c>
      <c r="B50" s="980">
        <v>350</v>
      </c>
      <c r="C50" s="424">
        <f t="shared" si="61"/>
        <v>416.66666666666669</v>
      </c>
      <c r="D50" s="980">
        <v>350</v>
      </c>
      <c r="E50" s="424">
        <f t="shared" si="62"/>
        <v>416.66666666666669</v>
      </c>
    </row>
    <row r="51" spans="1:5" x14ac:dyDescent="0.2">
      <c r="A51" s="761" t="s">
        <v>193</v>
      </c>
      <c r="B51" s="980">
        <v>350</v>
      </c>
      <c r="C51" s="424">
        <f t="shared" si="61"/>
        <v>416.66666666666669</v>
      </c>
      <c r="D51" s="980">
        <v>350</v>
      </c>
      <c r="E51" s="424">
        <f t="shared" si="62"/>
        <v>416.66666666666669</v>
      </c>
    </row>
    <row r="52" spans="1:5" x14ac:dyDescent="0.2">
      <c r="A52" s="761" t="s">
        <v>282</v>
      </c>
      <c r="B52" s="980">
        <v>350</v>
      </c>
      <c r="C52" s="424">
        <f t="shared" si="61"/>
        <v>416.66666666666669</v>
      </c>
      <c r="D52" s="980">
        <v>350</v>
      </c>
      <c r="E52" s="424">
        <f t="shared" si="62"/>
        <v>416.66666666666669</v>
      </c>
    </row>
    <row r="53" spans="1:5" x14ac:dyDescent="0.2">
      <c r="A53" s="761" t="s">
        <v>283</v>
      </c>
      <c r="B53" s="980">
        <v>350</v>
      </c>
      <c r="C53" s="424">
        <f t="shared" si="61"/>
        <v>416.66666666666669</v>
      </c>
      <c r="D53" s="980">
        <v>350</v>
      </c>
      <c r="E53" s="424">
        <f t="shared" si="62"/>
        <v>416.66666666666669</v>
      </c>
    </row>
    <row r="54" spans="1:5" x14ac:dyDescent="0.2">
      <c r="A54" s="761" t="s">
        <v>219</v>
      </c>
      <c r="B54" s="703">
        <v>27</v>
      </c>
      <c r="C54" s="424">
        <f t="shared" si="61"/>
        <v>32.142857142857146</v>
      </c>
      <c r="D54" s="703">
        <v>30</v>
      </c>
      <c r="E54" s="424">
        <f t="shared" si="62"/>
        <v>35.714285714285715</v>
      </c>
    </row>
    <row r="55" spans="1:5" x14ac:dyDescent="0.2">
      <c r="A55" s="761" t="s">
        <v>220</v>
      </c>
      <c r="B55" s="703">
        <v>27</v>
      </c>
      <c r="C55" s="424">
        <f t="shared" si="61"/>
        <v>32.142857142857146</v>
      </c>
      <c r="D55" s="980">
        <v>30</v>
      </c>
      <c r="E55" s="424">
        <f t="shared" si="62"/>
        <v>35.714285714285715</v>
      </c>
    </row>
    <row r="56" spans="1:5" x14ac:dyDescent="0.2">
      <c r="A56" s="761" t="s">
        <v>221</v>
      </c>
      <c r="B56" s="703">
        <v>27</v>
      </c>
      <c r="C56" s="424">
        <f t="shared" si="61"/>
        <v>32.142857142857146</v>
      </c>
      <c r="D56" s="980">
        <v>30</v>
      </c>
      <c r="E56" s="424">
        <f t="shared" si="62"/>
        <v>35.714285714285715</v>
      </c>
    </row>
    <row r="57" spans="1:5" x14ac:dyDescent="0.2">
      <c r="A57" s="761" t="s">
        <v>124</v>
      </c>
      <c r="B57" s="703">
        <v>14</v>
      </c>
      <c r="C57" s="424">
        <f t="shared" si="61"/>
        <v>16.666666666666668</v>
      </c>
      <c r="D57" s="703">
        <v>17.899999999999999</v>
      </c>
      <c r="E57" s="424">
        <f t="shared" si="62"/>
        <v>21.30952380952381</v>
      </c>
    </row>
    <row r="58" spans="1:5" x14ac:dyDescent="0.2">
      <c r="A58" s="761" t="s">
        <v>368</v>
      </c>
      <c r="B58" s="703">
        <v>27</v>
      </c>
      <c r="C58" s="424">
        <f t="shared" si="61"/>
        <v>32.142857142857146</v>
      </c>
      <c r="D58" s="703">
        <v>30</v>
      </c>
      <c r="E58" s="424">
        <f t="shared" si="62"/>
        <v>35.714285714285715</v>
      </c>
    </row>
    <row r="59" spans="1:5" x14ac:dyDescent="0.2">
      <c r="A59" s="761" t="s">
        <v>228</v>
      </c>
      <c r="B59" s="703">
        <v>40</v>
      </c>
      <c r="C59" s="424">
        <f t="shared" si="61"/>
        <v>47.61904761904762</v>
      </c>
      <c r="D59" s="703">
        <v>45</v>
      </c>
      <c r="E59" s="424">
        <f t="shared" si="62"/>
        <v>53.571428571428577</v>
      </c>
    </row>
    <row r="60" spans="1:5" x14ac:dyDescent="0.2">
      <c r="A60" s="761" t="s">
        <v>273</v>
      </c>
      <c r="B60" s="703">
        <v>14.5</v>
      </c>
      <c r="C60" s="424">
        <f t="shared" si="61"/>
        <v>17.261904761904763</v>
      </c>
      <c r="D60" s="703">
        <v>14.5</v>
      </c>
      <c r="E60" s="424">
        <f t="shared" si="62"/>
        <v>17.261904761904763</v>
      </c>
    </row>
    <row r="61" spans="1:5" x14ac:dyDescent="0.2">
      <c r="A61" s="761" t="s">
        <v>195</v>
      </c>
      <c r="B61" s="703">
        <v>10.7</v>
      </c>
      <c r="C61" s="424">
        <f t="shared" si="61"/>
        <v>12.738095238095237</v>
      </c>
      <c r="D61" s="703">
        <v>10.7</v>
      </c>
      <c r="E61" s="424">
        <f t="shared" si="62"/>
        <v>12.738095238095237</v>
      </c>
    </row>
    <row r="62" spans="1:5" x14ac:dyDescent="0.2">
      <c r="A62" s="761" t="s">
        <v>512</v>
      </c>
      <c r="B62" s="703">
        <v>9</v>
      </c>
      <c r="C62" s="424">
        <f t="shared" si="61"/>
        <v>10.714285714285715</v>
      </c>
      <c r="D62" s="703">
        <v>9</v>
      </c>
      <c r="E62" s="424">
        <f t="shared" si="62"/>
        <v>10.714285714285715</v>
      </c>
    </row>
    <row r="63" spans="1:5" x14ac:dyDescent="0.2">
      <c r="A63" s="761" t="s">
        <v>511</v>
      </c>
      <c r="B63" s="703">
        <v>9</v>
      </c>
      <c r="C63" s="424">
        <f t="shared" si="61"/>
        <v>10.714285714285715</v>
      </c>
      <c r="D63" s="703">
        <v>9</v>
      </c>
      <c r="E63" s="424">
        <f t="shared" si="62"/>
        <v>10.714285714285715</v>
      </c>
    </row>
    <row r="64" spans="1:5" x14ac:dyDescent="0.2">
      <c r="A64" s="761" t="s">
        <v>218</v>
      </c>
      <c r="B64" s="703">
        <v>27</v>
      </c>
      <c r="C64" s="424">
        <f t="shared" si="61"/>
        <v>32.142857142857146</v>
      </c>
      <c r="D64" s="703">
        <v>29</v>
      </c>
      <c r="E64" s="424">
        <f t="shared" si="62"/>
        <v>34.523809523809526</v>
      </c>
    </row>
    <row r="65" spans="1:5" x14ac:dyDescent="0.2">
      <c r="A65" s="761" t="s">
        <v>281</v>
      </c>
      <c r="B65" s="703">
        <v>27</v>
      </c>
      <c r="C65" s="424">
        <f t="shared" si="61"/>
        <v>32.142857142857146</v>
      </c>
      <c r="D65" s="980">
        <v>29</v>
      </c>
      <c r="E65" s="424">
        <f t="shared" si="62"/>
        <v>34.523809523809526</v>
      </c>
    </row>
    <row r="66" spans="1:5" x14ac:dyDescent="0.2">
      <c r="A66" s="761" t="s">
        <v>216</v>
      </c>
      <c r="B66" s="703">
        <v>27</v>
      </c>
      <c r="C66" s="424">
        <f t="shared" si="61"/>
        <v>32.142857142857146</v>
      </c>
      <c r="D66" s="980">
        <v>29</v>
      </c>
      <c r="E66" s="424">
        <f t="shared" si="62"/>
        <v>34.523809523809526</v>
      </c>
    </row>
    <row r="67" spans="1:5" x14ac:dyDescent="0.2">
      <c r="A67" s="761" t="s">
        <v>131</v>
      </c>
      <c r="B67" s="703">
        <v>27</v>
      </c>
      <c r="C67" s="424">
        <f t="shared" si="61"/>
        <v>32.142857142857146</v>
      </c>
      <c r="D67" s="980">
        <v>29</v>
      </c>
      <c r="E67" s="424">
        <f t="shared" si="62"/>
        <v>34.523809523809526</v>
      </c>
    </row>
  </sheetData>
  <customSheetViews>
    <customSheetView guid="{3F312A0E-DF4A-4A92-9F0F-6B2059264CC1}" scale="85" showRuler="0">
      <pane xSplit="3" ySplit="8" topLeftCell="D42" activePane="bottomRight" state="frozen"/>
      <selection pane="bottomRight" activeCell="I66" sqref="I66"/>
      <pageMargins left="0.75" right="0.75" top="1" bottom="1" header="0.5" footer="0.5"/>
      <pageSetup paperSize="9" orientation="portrait" r:id="rId1"/>
      <headerFooter alignWithMargins="0"/>
    </customSheetView>
  </customSheetViews>
  <mergeCells count="45">
    <mergeCell ref="AY1:AY4"/>
    <mergeCell ref="P2:P4"/>
    <mergeCell ref="Q2:Q4"/>
    <mergeCell ref="R2:R4"/>
    <mergeCell ref="T2:T4"/>
    <mergeCell ref="U2:U4"/>
    <mergeCell ref="V2:V4"/>
    <mergeCell ref="X2:AB2"/>
    <mergeCell ref="AC2:AC4"/>
    <mergeCell ref="AD2:AV2"/>
    <mergeCell ref="AL3:AL4"/>
    <mergeCell ref="AM3:AQ3"/>
    <mergeCell ref="AR3:AR4"/>
    <mergeCell ref="AX1:AX4"/>
    <mergeCell ref="AW2:AW4"/>
    <mergeCell ref="AV3:AV4"/>
    <mergeCell ref="AU3:AU4"/>
    <mergeCell ref="AA3:AA4"/>
    <mergeCell ref="X3:X4"/>
    <mergeCell ref="S2:S4"/>
    <mergeCell ref="E1:E4"/>
    <mergeCell ref="P1:V1"/>
    <mergeCell ref="W1:W4"/>
    <mergeCell ref="X1:AW1"/>
    <mergeCell ref="AS3:AT3"/>
    <mergeCell ref="AB3:AB4"/>
    <mergeCell ref="AD3:AK3"/>
    <mergeCell ref="Z3:Z4"/>
    <mergeCell ref="Y3:Y4"/>
    <mergeCell ref="N1:N4"/>
    <mergeCell ref="O1:O4"/>
    <mergeCell ref="B30:C30"/>
    <mergeCell ref="M1:M4"/>
    <mergeCell ref="A1:A4"/>
    <mergeCell ref="F1:F4"/>
    <mergeCell ref="I1:I4"/>
    <mergeCell ref="D1:D4"/>
    <mergeCell ref="C1:C4"/>
    <mergeCell ref="B1:B4"/>
    <mergeCell ref="G1:G4"/>
    <mergeCell ref="K1:K4"/>
    <mergeCell ref="J1:J4"/>
    <mergeCell ref="L1:L4"/>
    <mergeCell ref="D30:E30"/>
    <mergeCell ref="H1:H4"/>
  </mergeCells>
  <phoneticPr fontId="2" type="noConversion"/>
  <conditionalFormatting sqref="N30">
    <cfRule type="cellIs" dxfId="121" priority="150" stopIfTrue="1" operator="greaterThan">
      <formula>0</formula>
    </cfRule>
  </conditionalFormatting>
  <conditionalFormatting sqref="N23 N18 N7:N8">
    <cfRule type="cellIs" dxfId="120" priority="144" stopIfTrue="1" operator="equal">
      <formula>0</formula>
    </cfRule>
    <cfRule type="cellIs" dxfId="119" priority="145" stopIfTrue="1" operator="lessThan">
      <formula>0</formula>
    </cfRule>
    <cfRule type="cellIs" dxfId="118" priority="146" stopIfTrue="1" operator="greaterThan">
      <formula>0</formula>
    </cfRule>
    <cfRule type="cellIs" dxfId="117" priority="147" stopIfTrue="1" operator="lessThan">
      <formula>0</formula>
    </cfRule>
    <cfRule type="cellIs" dxfId="116" priority="148" stopIfTrue="1" operator="greaterThan">
      <formula>0</formula>
    </cfRule>
    <cfRule type="cellIs" dxfId="115" priority="149" stopIfTrue="1" operator="greaterThan">
      <formula>0</formula>
    </cfRule>
  </conditionalFormatting>
  <conditionalFormatting sqref="N23 N18 N7:N8">
    <cfRule type="cellIs" dxfId="114" priority="141" stopIfTrue="1" operator="equal">
      <formula>0</formula>
    </cfRule>
    <cfRule type="cellIs" dxfId="113" priority="142" stopIfTrue="1" operator="greaterThan">
      <formula>0.01</formula>
    </cfRule>
    <cfRule type="cellIs" dxfId="112" priority="143" stopIfTrue="1" operator="equal">
      <formula>0</formula>
    </cfRule>
  </conditionalFormatting>
  <conditionalFormatting sqref="N10:N12">
    <cfRule type="cellIs" dxfId="111" priority="135" stopIfTrue="1" operator="equal">
      <formula>0</formula>
    </cfRule>
    <cfRule type="cellIs" dxfId="110" priority="136" stopIfTrue="1" operator="lessThan">
      <formula>0</formula>
    </cfRule>
    <cfRule type="cellIs" dxfId="109" priority="137" stopIfTrue="1" operator="greaterThan">
      <formula>0</formula>
    </cfRule>
    <cfRule type="cellIs" dxfId="108" priority="138" stopIfTrue="1" operator="lessThan">
      <formula>0</formula>
    </cfRule>
    <cfRule type="cellIs" dxfId="107" priority="139" stopIfTrue="1" operator="greaterThan">
      <formula>0</formula>
    </cfRule>
    <cfRule type="cellIs" dxfId="106" priority="140" stopIfTrue="1" operator="greaterThan">
      <formula>0</formula>
    </cfRule>
  </conditionalFormatting>
  <conditionalFormatting sqref="N10:N12">
    <cfRule type="cellIs" dxfId="105" priority="132" stopIfTrue="1" operator="equal">
      <formula>0</formula>
    </cfRule>
    <cfRule type="cellIs" dxfId="104" priority="133" stopIfTrue="1" operator="greaterThan">
      <formula>0.01</formula>
    </cfRule>
    <cfRule type="cellIs" dxfId="103" priority="134" stopIfTrue="1" operator="equal">
      <formula>0</formula>
    </cfRule>
  </conditionalFormatting>
  <conditionalFormatting sqref="N15">
    <cfRule type="cellIs" dxfId="102" priority="117" stopIfTrue="1" operator="equal">
      <formula>0</formula>
    </cfRule>
    <cfRule type="cellIs" dxfId="101" priority="118" stopIfTrue="1" operator="lessThan">
      <formula>0</formula>
    </cfRule>
    <cfRule type="cellIs" dxfId="100" priority="119" stopIfTrue="1" operator="greaterThan">
      <formula>0</formula>
    </cfRule>
    <cfRule type="cellIs" dxfId="99" priority="120" stopIfTrue="1" operator="lessThan">
      <formula>0</formula>
    </cfRule>
    <cfRule type="cellIs" dxfId="98" priority="121" stopIfTrue="1" operator="greaterThan">
      <formula>0</formula>
    </cfRule>
    <cfRule type="cellIs" dxfId="97" priority="122" stopIfTrue="1" operator="greaterThan">
      <formula>0</formula>
    </cfRule>
  </conditionalFormatting>
  <conditionalFormatting sqref="N15">
    <cfRule type="cellIs" dxfId="96" priority="114" stopIfTrue="1" operator="equal">
      <formula>0</formula>
    </cfRule>
    <cfRule type="cellIs" dxfId="95" priority="115" stopIfTrue="1" operator="greaterThan">
      <formula>0.01</formula>
    </cfRule>
    <cfRule type="cellIs" dxfId="94" priority="116" stopIfTrue="1" operator="equal">
      <formula>0</formula>
    </cfRule>
  </conditionalFormatting>
  <conditionalFormatting sqref="N16">
    <cfRule type="cellIs" dxfId="93" priority="99" stopIfTrue="1" operator="equal">
      <formula>0</formula>
    </cfRule>
    <cfRule type="cellIs" dxfId="92" priority="100" stopIfTrue="1" operator="lessThan">
      <formula>0</formula>
    </cfRule>
    <cfRule type="cellIs" dxfId="91" priority="101" stopIfTrue="1" operator="greaterThan">
      <formula>0</formula>
    </cfRule>
    <cfRule type="cellIs" dxfId="90" priority="102" stopIfTrue="1" operator="lessThan">
      <formula>0</formula>
    </cfRule>
    <cfRule type="cellIs" dxfId="89" priority="103" stopIfTrue="1" operator="greaterThan">
      <formula>0</formula>
    </cfRule>
    <cfRule type="cellIs" dxfId="88" priority="104" stopIfTrue="1" operator="greaterThan">
      <formula>0</formula>
    </cfRule>
  </conditionalFormatting>
  <conditionalFormatting sqref="N16">
    <cfRule type="cellIs" dxfId="87" priority="96" stopIfTrue="1" operator="equal">
      <formula>0</formula>
    </cfRule>
    <cfRule type="cellIs" dxfId="86" priority="97" stopIfTrue="1" operator="greaterThan">
      <formula>0.01</formula>
    </cfRule>
    <cfRule type="cellIs" dxfId="85" priority="98" stopIfTrue="1" operator="equal">
      <formula>0</formula>
    </cfRule>
  </conditionalFormatting>
  <conditionalFormatting sqref="N21:N22">
    <cfRule type="cellIs" dxfId="84" priority="72" stopIfTrue="1" operator="equal">
      <formula>0</formula>
    </cfRule>
    <cfRule type="cellIs" dxfId="83" priority="73" stopIfTrue="1" operator="lessThan">
      <formula>0</formula>
    </cfRule>
    <cfRule type="cellIs" dxfId="82" priority="74" stopIfTrue="1" operator="greaterThan">
      <formula>0</formula>
    </cfRule>
    <cfRule type="cellIs" dxfId="81" priority="75" stopIfTrue="1" operator="lessThan">
      <formula>0</formula>
    </cfRule>
    <cfRule type="cellIs" dxfId="80" priority="76" stopIfTrue="1" operator="greaterThan">
      <formula>0</formula>
    </cfRule>
    <cfRule type="cellIs" dxfId="79" priority="77" stopIfTrue="1" operator="greaterThan">
      <formula>0</formula>
    </cfRule>
  </conditionalFormatting>
  <conditionalFormatting sqref="N21:N22">
    <cfRule type="cellIs" dxfId="78" priority="69" stopIfTrue="1" operator="equal">
      <formula>0</formula>
    </cfRule>
    <cfRule type="cellIs" dxfId="77" priority="70" stopIfTrue="1" operator="greaterThan">
      <formula>0.01</formula>
    </cfRule>
    <cfRule type="cellIs" dxfId="76" priority="71" stopIfTrue="1" operator="equal">
      <formula>0</formula>
    </cfRule>
  </conditionalFormatting>
  <conditionalFormatting sqref="N24">
    <cfRule type="cellIs" dxfId="75" priority="54" stopIfTrue="1" operator="equal">
      <formula>0</formula>
    </cfRule>
    <cfRule type="cellIs" dxfId="74" priority="55" stopIfTrue="1" operator="lessThan">
      <formula>0</formula>
    </cfRule>
    <cfRule type="cellIs" dxfId="73" priority="56" stopIfTrue="1" operator="greaterThan">
      <formula>0</formula>
    </cfRule>
    <cfRule type="cellIs" dxfId="72" priority="57" stopIfTrue="1" operator="lessThan">
      <formula>0</formula>
    </cfRule>
    <cfRule type="cellIs" dxfId="71" priority="58" stopIfTrue="1" operator="greaterThan">
      <formula>0</formula>
    </cfRule>
    <cfRule type="cellIs" dxfId="70" priority="59" stopIfTrue="1" operator="greaterThan">
      <formula>0</formula>
    </cfRule>
  </conditionalFormatting>
  <conditionalFormatting sqref="N24">
    <cfRule type="cellIs" dxfId="69" priority="51" stopIfTrue="1" operator="equal">
      <formula>0</formula>
    </cfRule>
    <cfRule type="cellIs" dxfId="68" priority="52" stopIfTrue="1" operator="greaterThan">
      <formula>0.01</formula>
    </cfRule>
    <cfRule type="cellIs" dxfId="67" priority="53" stopIfTrue="1" operator="equal">
      <formula>0</formula>
    </cfRule>
  </conditionalFormatting>
  <conditionalFormatting sqref="AY21:AY24 AY15:AY16 AY18 AY7:AY12">
    <cfRule type="cellIs" dxfId="66" priority="41" stopIfTrue="1" operator="notEqual">
      <formula>24</formula>
    </cfRule>
  </conditionalFormatting>
  <conditionalFormatting sqref="N25">
    <cfRule type="cellIs" dxfId="65" priority="35" stopIfTrue="1" operator="equal">
      <formula>0</formula>
    </cfRule>
    <cfRule type="cellIs" dxfId="64" priority="36" stopIfTrue="1" operator="lessThan">
      <formula>0</formula>
    </cfRule>
    <cfRule type="cellIs" dxfId="63" priority="37" stopIfTrue="1" operator="greaterThan">
      <formula>0</formula>
    </cfRule>
    <cfRule type="cellIs" dxfId="62" priority="38" stopIfTrue="1" operator="lessThan">
      <formula>0</formula>
    </cfRule>
    <cfRule type="cellIs" dxfId="61" priority="39" stopIfTrue="1" operator="greaterThan">
      <formula>0</formula>
    </cfRule>
    <cfRule type="cellIs" dxfId="60" priority="40" stopIfTrue="1" operator="greaterThan">
      <formula>0</formula>
    </cfRule>
  </conditionalFormatting>
  <conditionalFormatting sqref="N25">
    <cfRule type="cellIs" dxfId="59" priority="32" stopIfTrue="1" operator="equal">
      <formula>0</formula>
    </cfRule>
    <cfRule type="cellIs" dxfId="58" priority="33" stopIfTrue="1" operator="greaterThan">
      <formula>0.01</formula>
    </cfRule>
    <cfRule type="cellIs" dxfId="57" priority="34" stopIfTrue="1" operator="equal">
      <formula>0</formula>
    </cfRule>
  </conditionalFormatting>
  <conditionalFormatting sqref="AY25">
    <cfRule type="cellIs" dxfId="56" priority="31" stopIfTrue="1" operator="notEqual">
      <formula>24</formula>
    </cfRule>
  </conditionalFormatting>
  <conditionalFormatting sqref="N27">
    <cfRule type="cellIs" dxfId="55" priority="25" stopIfTrue="1" operator="equal">
      <formula>0</formula>
    </cfRule>
    <cfRule type="cellIs" dxfId="54" priority="26" stopIfTrue="1" operator="lessThan">
      <formula>0</formula>
    </cfRule>
    <cfRule type="cellIs" dxfId="53" priority="27" stopIfTrue="1" operator="greaterThan">
      <formula>0</formula>
    </cfRule>
    <cfRule type="cellIs" dxfId="52" priority="28" stopIfTrue="1" operator="lessThan">
      <formula>0</formula>
    </cfRule>
    <cfRule type="cellIs" dxfId="51" priority="29" stopIfTrue="1" operator="greaterThan">
      <formula>0</formula>
    </cfRule>
    <cfRule type="cellIs" dxfId="50" priority="30" stopIfTrue="1" operator="greaterThan">
      <formula>0</formula>
    </cfRule>
  </conditionalFormatting>
  <conditionalFormatting sqref="N27">
    <cfRule type="cellIs" dxfId="49" priority="22" stopIfTrue="1" operator="equal">
      <formula>0</formula>
    </cfRule>
    <cfRule type="cellIs" dxfId="48" priority="23" stopIfTrue="1" operator="greaterThan">
      <formula>0.01</formula>
    </cfRule>
    <cfRule type="cellIs" dxfId="47" priority="24" stopIfTrue="1" operator="equal">
      <formula>0</formula>
    </cfRule>
  </conditionalFormatting>
  <conditionalFormatting sqref="AY27">
    <cfRule type="cellIs" dxfId="46" priority="21" stopIfTrue="1" operator="notEqual">
      <formula>24</formula>
    </cfRule>
  </conditionalFormatting>
  <conditionalFormatting sqref="N19">
    <cfRule type="cellIs" dxfId="45" priority="15" stopIfTrue="1" operator="equal">
      <formula>0</formula>
    </cfRule>
    <cfRule type="cellIs" dxfId="44" priority="16" stopIfTrue="1" operator="lessThan">
      <formula>0</formula>
    </cfRule>
    <cfRule type="cellIs" dxfId="43" priority="17" stopIfTrue="1" operator="greaterThan">
      <formula>0</formula>
    </cfRule>
    <cfRule type="cellIs" dxfId="42" priority="18" stopIfTrue="1" operator="lessThan">
      <formula>0</formula>
    </cfRule>
    <cfRule type="cellIs" dxfId="41" priority="19" stopIfTrue="1" operator="greaterThan">
      <formula>0</formula>
    </cfRule>
    <cfRule type="cellIs" dxfId="40" priority="20" stopIfTrue="1" operator="greaterThan">
      <formula>0</formula>
    </cfRule>
  </conditionalFormatting>
  <conditionalFormatting sqref="N19">
    <cfRule type="cellIs" dxfId="39" priority="12" stopIfTrue="1" operator="equal">
      <formula>0</formula>
    </cfRule>
    <cfRule type="cellIs" dxfId="38" priority="13" stopIfTrue="1" operator="greaterThan">
      <formula>0.01</formula>
    </cfRule>
    <cfRule type="cellIs" dxfId="37" priority="14" stopIfTrue="1" operator="equal">
      <formula>0</formula>
    </cfRule>
  </conditionalFormatting>
  <conditionalFormatting sqref="AY19">
    <cfRule type="cellIs" dxfId="36" priority="11" stopIfTrue="1" operator="notEqual">
      <formula>24</formula>
    </cfRule>
  </conditionalFormatting>
  <conditionalFormatting sqref="N26">
    <cfRule type="cellIs" dxfId="35" priority="5" stopIfTrue="1" operator="equal">
      <formula>0</formula>
    </cfRule>
    <cfRule type="cellIs" dxfId="34" priority="6" stopIfTrue="1" operator="lessThan">
      <formula>0</formula>
    </cfRule>
    <cfRule type="cellIs" dxfId="33" priority="7" stopIfTrue="1" operator="greaterThan">
      <formula>0</formula>
    </cfRule>
    <cfRule type="cellIs" dxfId="32" priority="8" stopIfTrue="1" operator="lessThan">
      <formula>0</formula>
    </cfRule>
    <cfRule type="cellIs" dxfId="31" priority="9" stopIfTrue="1" operator="greaterThan">
      <formula>0</formula>
    </cfRule>
    <cfRule type="cellIs" dxfId="30" priority="10" stopIfTrue="1" operator="greaterThan">
      <formula>0</formula>
    </cfRule>
  </conditionalFormatting>
  <conditionalFormatting sqref="N26">
    <cfRule type="cellIs" dxfId="29" priority="2" stopIfTrue="1" operator="equal">
      <formula>0</formula>
    </cfRule>
    <cfRule type="cellIs" dxfId="28" priority="3" stopIfTrue="1" operator="greaterThan">
      <formula>0.01</formula>
    </cfRule>
    <cfRule type="cellIs" dxfId="27" priority="4" stopIfTrue="1" operator="equal">
      <formula>0</formula>
    </cfRule>
  </conditionalFormatting>
  <conditionalFormatting sqref="AY26">
    <cfRule type="cellIs" dxfId="26" priority="1" stopIfTrue="1" operator="notEqual">
      <formula>24</formula>
    </cfRule>
  </conditionalFormatting>
  <pageMargins left="0.35433070866141736" right="0.35433070866141736" top="0.39370078740157483" bottom="0.39370078740157483" header="0.51181102362204722" footer="0.51181102362204722"/>
  <pageSetup paperSize="9" scale="47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 tint="0.39997558519241921"/>
  </sheetPr>
  <dimension ref="A1:CH46"/>
  <sheetViews>
    <sheetView workbookViewId="0"/>
  </sheetViews>
  <sheetFormatPr defaultRowHeight="12.75" x14ac:dyDescent="0.2"/>
  <cols>
    <col min="1" max="1" width="3.85546875" style="1" customWidth="1"/>
    <col min="2" max="2" width="12.7109375" style="1" customWidth="1"/>
    <col min="3" max="3" width="10.5703125" style="1" customWidth="1"/>
    <col min="4" max="4" width="29.42578125" style="1" bestFit="1" customWidth="1"/>
    <col min="5" max="5" width="8.140625" style="1" customWidth="1"/>
    <col min="6" max="6" width="9" style="1" customWidth="1"/>
    <col min="7" max="7" width="9.85546875" style="1" customWidth="1"/>
    <col min="8" max="9" width="6.140625" style="1" customWidth="1"/>
    <col min="10" max="10" width="5" style="35" customWidth="1"/>
    <col min="11" max="15" width="8.28515625" style="1" customWidth="1"/>
    <col min="16" max="16" width="9.85546875" style="1" customWidth="1"/>
    <col min="17" max="17" width="11.28515625" style="1" customWidth="1"/>
    <col min="18" max="21" width="8.28515625" style="1" customWidth="1"/>
    <col min="22" max="22" width="9" style="1" customWidth="1"/>
    <col min="23" max="25" width="8.28515625" style="1" customWidth="1"/>
    <col min="26" max="26" width="7.42578125" style="1" hidden="1" customWidth="1"/>
    <col min="27" max="28" width="5.42578125" style="1" hidden="1" customWidth="1"/>
    <col min="29" max="30" width="6" style="1" hidden="1" customWidth="1"/>
    <col min="31" max="31" width="5.140625" style="1" hidden="1" customWidth="1"/>
    <col min="32" max="32" width="8.42578125" style="1" hidden="1" customWidth="1"/>
    <col min="33" max="33" width="10.140625" style="1" hidden="1" customWidth="1"/>
    <col min="34" max="85" width="8.28515625" style="1" hidden="1" customWidth="1"/>
    <col min="86" max="16384" width="9.140625" style="1"/>
  </cols>
  <sheetData>
    <row r="1" spans="1:86" ht="14.25" customHeight="1" x14ac:dyDescent="0.2">
      <c r="B1" s="27"/>
      <c r="C1" s="1357" t="s">
        <v>94</v>
      </c>
      <c r="D1" s="1357"/>
      <c r="E1" s="1357"/>
      <c r="F1" s="1357"/>
      <c r="G1" s="1357"/>
      <c r="H1" s="1357"/>
      <c r="I1" s="1357"/>
      <c r="J1" s="1357"/>
      <c r="K1" s="1357"/>
      <c r="L1" s="1357"/>
      <c r="M1" s="1357"/>
      <c r="N1" s="1357"/>
      <c r="O1" s="1357"/>
      <c r="P1" s="1357"/>
      <c r="Q1" s="1357"/>
      <c r="R1" s="1357"/>
      <c r="S1" s="1357"/>
      <c r="T1" s="1357"/>
      <c r="U1" s="1357"/>
      <c r="V1" s="1357"/>
      <c r="W1" s="1357"/>
      <c r="X1" s="1357"/>
      <c r="Y1" s="1357"/>
    </row>
    <row r="2" spans="1:86" ht="14.25" customHeight="1" x14ac:dyDescent="0.25">
      <c r="B2" s="27"/>
      <c r="C2" s="37" t="s">
        <v>0</v>
      </c>
      <c r="D2" s="38"/>
      <c r="J2" s="39" t="s">
        <v>118</v>
      </c>
      <c r="K2" s="39">
        <v>15</v>
      </c>
      <c r="L2" s="39">
        <v>1</v>
      </c>
      <c r="M2" s="39">
        <v>2</v>
      </c>
      <c r="N2" s="39">
        <v>3</v>
      </c>
      <c r="O2" s="39">
        <v>4</v>
      </c>
      <c r="P2" s="28">
        <v>5</v>
      </c>
      <c r="Q2" s="28">
        <v>6</v>
      </c>
      <c r="R2" s="28">
        <v>7</v>
      </c>
      <c r="S2" s="28">
        <v>8</v>
      </c>
      <c r="T2" s="39">
        <v>9</v>
      </c>
      <c r="U2" s="39">
        <v>10</v>
      </c>
      <c r="V2" s="39">
        <v>11</v>
      </c>
      <c r="W2" s="39">
        <v>12</v>
      </c>
      <c r="X2" s="39">
        <v>13</v>
      </c>
      <c r="Y2" s="39">
        <v>14</v>
      </c>
      <c r="AE2" s="39" t="s">
        <v>117</v>
      </c>
      <c r="AF2" s="39">
        <v>1</v>
      </c>
      <c r="AG2" s="39">
        <v>2</v>
      </c>
      <c r="AH2" s="39">
        <v>3</v>
      </c>
      <c r="AI2" s="39"/>
      <c r="AJ2" s="39"/>
      <c r="AK2" s="39"/>
      <c r="AL2" s="39"/>
      <c r="AM2" s="39"/>
      <c r="AN2" s="39" t="s">
        <v>117</v>
      </c>
      <c r="AO2" s="39">
        <v>1</v>
      </c>
      <c r="AP2" s="39">
        <v>2</v>
      </c>
      <c r="AQ2" s="39">
        <v>3</v>
      </c>
      <c r="AR2" s="39"/>
      <c r="AS2" s="39"/>
      <c r="AT2" s="39"/>
      <c r="AU2" s="39"/>
      <c r="AV2" s="39"/>
      <c r="AW2" s="39" t="s">
        <v>117</v>
      </c>
      <c r="AX2" s="39">
        <v>1</v>
      </c>
      <c r="AY2" s="39">
        <v>2</v>
      </c>
      <c r="AZ2" s="39">
        <v>3</v>
      </c>
      <c r="BA2" s="39"/>
      <c r="BB2" s="39"/>
      <c r="BC2" s="39"/>
      <c r="BD2" s="39"/>
      <c r="BE2" s="39"/>
      <c r="BF2" s="39" t="s">
        <v>117</v>
      </c>
      <c r="BG2" s="39">
        <v>1</v>
      </c>
      <c r="BH2" s="39">
        <v>2</v>
      </c>
      <c r="BI2" s="39">
        <v>3</v>
      </c>
      <c r="BJ2" s="39"/>
      <c r="BK2" s="39"/>
      <c r="BL2" s="39"/>
      <c r="BM2" s="39"/>
      <c r="BN2" s="39"/>
      <c r="BO2" s="39" t="s">
        <v>117</v>
      </c>
      <c r="BP2" s="39">
        <v>1</v>
      </c>
      <c r="BQ2" s="39">
        <v>2</v>
      </c>
      <c r="BR2" s="39"/>
      <c r="BS2" s="39"/>
      <c r="BT2" s="39"/>
      <c r="BU2" s="39"/>
      <c r="BV2" s="39"/>
      <c r="BW2" s="39" t="s">
        <v>117</v>
      </c>
      <c r="BX2" s="39">
        <v>1</v>
      </c>
      <c r="BY2" s="39">
        <v>2</v>
      </c>
      <c r="BZ2" s="39"/>
      <c r="CA2" s="39"/>
      <c r="CB2" s="39"/>
      <c r="CC2" s="39"/>
      <c r="CD2" s="39"/>
      <c r="CE2" s="39" t="s">
        <v>117</v>
      </c>
      <c r="CF2" s="39">
        <v>1</v>
      </c>
      <c r="CG2" s="39">
        <v>2</v>
      </c>
    </row>
    <row r="3" spans="1:86" ht="9" customHeight="1" thickBot="1" x14ac:dyDescent="0.25">
      <c r="B3" s="27"/>
      <c r="P3" s="27"/>
      <c r="Q3" s="27"/>
      <c r="R3" s="27"/>
      <c r="S3" s="27"/>
    </row>
    <row r="4" spans="1:86" ht="18.75" x14ac:dyDescent="0.2">
      <c r="A4" s="1340" t="s">
        <v>1</v>
      </c>
      <c r="B4" s="1343" t="s">
        <v>51</v>
      </c>
      <c r="C4" s="1358" t="s">
        <v>95</v>
      </c>
      <c r="D4" s="1358"/>
      <c r="E4" s="1358"/>
      <c r="F4" s="1359" t="s">
        <v>104</v>
      </c>
      <c r="G4" s="1359"/>
      <c r="H4" s="1359" t="s">
        <v>105</v>
      </c>
      <c r="I4" s="1360"/>
      <c r="J4" s="1396" t="s">
        <v>116</v>
      </c>
      <c r="K4" s="1361" t="s">
        <v>114</v>
      </c>
      <c r="L4" s="1361"/>
      <c r="M4" s="1361"/>
      <c r="N4" s="1361"/>
      <c r="O4" s="1361"/>
      <c r="P4" s="1361"/>
      <c r="Q4" s="1361"/>
      <c r="R4" s="1361"/>
      <c r="S4" s="1361"/>
      <c r="T4" s="1361"/>
      <c r="U4" s="1361"/>
      <c r="V4" s="1361"/>
      <c r="W4" s="1361"/>
      <c r="X4" s="1361"/>
      <c r="Y4" s="1362"/>
      <c r="Z4" s="1399" t="s">
        <v>203</v>
      </c>
      <c r="AA4" s="1400"/>
      <c r="AB4" s="1400"/>
      <c r="AC4" s="1400"/>
      <c r="AD4" s="1400"/>
      <c r="AE4" s="1400"/>
      <c r="AF4" s="1400"/>
      <c r="AG4" s="1401"/>
      <c r="AH4" s="1402"/>
      <c r="AI4" s="1408" t="s">
        <v>207</v>
      </c>
      <c r="AJ4" s="1400"/>
      <c r="AK4" s="1400"/>
      <c r="AL4" s="1400"/>
      <c r="AM4" s="1400"/>
      <c r="AN4" s="1400"/>
      <c r="AO4" s="1400"/>
      <c r="AP4" s="1401"/>
      <c r="AQ4" s="1401"/>
      <c r="AR4" s="1399" t="s">
        <v>208</v>
      </c>
      <c r="AS4" s="1400"/>
      <c r="AT4" s="1400"/>
      <c r="AU4" s="1400"/>
      <c r="AV4" s="1400"/>
      <c r="AW4" s="1400"/>
      <c r="AX4" s="1400"/>
      <c r="AY4" s="1401"/>
      <c r="AZ4" s="1402"/>
      <c r="BA4" s="1408" t="s">
        <v>209</v>
      </c>
      <c r="BB4" s="1400"/>
      <c r="BC4" s="1400"/>
      <c r="BD4" s="1400"/>
      <c r="BE4" s="1400"/>
      <c r="BF4" s="1400"/>
      <c r="BG4" s="1400"/>
      <c r="BH4" s="1401"/>
      <c r="BI4" s="1401"/>
      <c r="BJ4" s="1399" t="s">
        <v>210</v>
      </c>
      <c r="BK4" s="1400"/>
      <c r="BL4" s="1400"/>
      <c r="BM4" s="1400"/>
      <c r="BN4" s="1400"/>
      <c r="BO4" s="1400"/>
      <c r="BP4" s="1400"/>
      <c r="BQ4" s="1402"/>
      <c r="BR4" s="1408" t="s">
        <v>211</v>
      </c>
      <c r="BS4" s="1400"/>
      <c r="BT4" s="1400"/>
      <c r="BU4" s="1400"/>
      <c r="BV4" s="1400"/>
      <c r="BW4" s="1400"/>
      <c r="BX4" s="1400"/>
      <c r="BY4" s="1401"/>
      <c r="BZ4" s="1399" t="s">
        <v>212</v>
      </c>
      <c r="CA4" s="1400"/>
      <c r="CB4" s="1400"/>
      <c r="CC4" s="1400"/>
      <c r="CD4" s="1400"/>
      <c r="CE4" s="1400"/>
      <c r="CF4" s="1400"/>
      <c r="CG4" s="1402"/>
      <c r="CH4" s="1">
        <v>1</v>
      </c>
    </row>
    <row r="5" spans="1:86" ht="15.75" customHeight="1" x14ac:dyDescent="0.2">
      <c r="A5" s="1341"/>
      <c r="B5" s="1344"/>
      <c r="C5" s="1363" t="s">
        <v>102</v>
      </c>
      <c r="D5" s="1367" t="s">
        <v>96</v>
      </c>
      <c r="E5" s="1389" t="s">
        <v>121</v>
      </c>
      <c r="F5" s="1391" t="s">
        <v>201</v>
      </c>
      <c r="G5" s="1369" t="s">
        <v>202</v>
      </c>
      <c r="H5" s="1371" t="s">
        <v>97</v>
      </c>
      <c r="I5" s="1365" t="s">
        <v>98</v>
      </c>
      <c r="J5" s="1397"/>
      <c r="K5" s="1393" t="s">
        <v>111</v>
      </c>
      <c r="L5" s="1373" t="s">
        <v>213</v>
      </c>
      <c r="M5" s="1373"/>
      <c r="N5" s="1373"/>
      <c r="O5" s="1373"/>
      <c r="P5" s="1384" t="s">
        <v>125</v>
      </c>
      <c r="Q5" s="1384" t="s">
        <v>214</v>
      </c>
      <c r="R5" s="1380" t="s">
        <v>106</v>
      </c>
      <c r="S5" s="1381"/>
      <c r="T5" s="1378" t="s">
        <v>115</v>
      </c>
      <c r="U5" s="1363" t="s">
        <v>107</v>
      </c>
      <c r="V5" s="1363"/>
      <c r="W5" s="1363"/>
      <c r="X5" s="1363" t="s">
        <v>108</v>
      </c>
      <c r="Y5" s="1376"/>
      <c r="Z5" s="1405" t="s">
        <v>110</v>
      </c>
      <c r="AA5" s="1387"/>
      <c r="AB5" s="1387"/>
      <c r="AC5" s="1387"/>
      <c r="AD5" s="1387"/>
      <c r="AE5" s="1403" t="s">
        <v>116</v>
      </c>
      <c r="AF5" s="1387" t="s">
        <v>109</v>
      </c>
      <c r="AG5" s="1406"/>
      <c r="AH5" s="1407"/>
      <c r="AI5" s="1409" t="s">
        <v>110</v>
      </c>
      <c r="AJ5" s="1387"/>
      <c r="AK5" s="1387"/>
      <c r="AL5" s="1387"/>
      <c r="AM5" s="1387"/>
      <c r="AN5" s="1403" t="s">
        <v>116</v>
      </c>
      <c r="AO5" s="1387" t="s">
        <v>109</v>
      </c>
      <c r="AP5" s="1406"/>
      <c r="AQ5" s="1406"/>
      <c r="AR5" s="1405" t="s">
        <v>110</v>
      </c>
      <c r="AS5" s="1387"/>
      <c r="AT5" s="1387"/>
      <c r="AU5" s="1387"/>
      <c r="AV5" s="1387"/>
      <c r="AW5" s="1403" t="s">
        <v>116</v>
      </c>
      <c r="AX5" s="1387" t="s">
        <v>109</v>
      </c>
      <c r="AY5" s="1406"/>
      <c r="AZ5" s="1407"/>
      <c r="BA5" s="1409" t="s">
        <v>110</v>
      </c>
      <c r="BB5" s="1387"/>
      <c r="BC5" s="1387"/>
      <c r="BD5" s="1387"/>
      <c r="BE5" s="1387"/>
      <c r="BF5" s="1403" t="s">
        <v>116</v>
      </c>
      <c r="BG5" s="1387" t="s">
        <v>109</v>
      </c>
      <c r="BH5" s="1406"/>
      <c r="BI5" s="1406"/>
      <c r="BJ5" s="1405" t="s">
        <v>110</v>
      </c>
      <c r="BK5" s="1387"/>
      <c r="BL5" s="1387"/>
      <c r="BM5" s="1387"/>
      <c r="BN5" s="1387"/>
      <c r="BO5" s="1403" t="s">
        <v>116</v>
      </c>
      <c r="BP5" s="1387" t="s">
        <v>109</v>
      </c>
      <c r="BQ5" s="1407"/>
      <c r="BR5" s="1409" t="s">
        <v>110</v>
      </c>
      <c r="BS5" s="1387"/>
      <c r="BT5" s="1387"/>
      <c r="BU5" s="1387"/>
      <c r="BV5" s="1387"/>
      <c r="BW5" s="1403" t="s">
        <v>116</v>
      </c>
      <c r="BX5" s="1387" t="s">
        <v>109</v>
      </c>
      <c r="BY5" s="1406"/>
      <c r="BZ5" s="1405" t="s">
        <v>110</v>
      </c>
      <c r="CA5" s="1387"/>
      <c r="CB5" s="1387"/>
      <c r="CC5" s="1387"/>
      <c r="CD5" s="1387"/>
      <c r="CE5" s="1403" t="s">
        <v>116</v>
      </c>
      <c r="CF5" s="1387" t="s">
        <v>109</v>
      </c>
      <c r="CG5" s="1407"/>
    </row>
    <row r="6" spans="1:86" ht="15" customHeight="1" x14ac:dyDescent="0.2">
      <c r="A6" s="1341"/>
      <c r="B6" s="1344"/>
      <c r="C6" s="1363"/>
      <c r="D6" s="1367"/>
      <c r="E6" s="1389"/>
      <c r="F6" s="1391"/>
      <c r="G6" s="1369"/>
      <c r="H6" s="1371"/>
      <c r="I6" s="1365"/>
      <c r="J6" s="1397"/>
      <c r="K6" s="1394"/>
      <c r="L6" s="1373"/>
      <c r="M6" s="1373"/>
      <c r="N6" s="1373"/>
      <c r="O6" s="1373"/>
      <c r="P6" s="1385"/>
      <c r="Q6" s="1385"/>
      <c r="R6" s="1382"/>
      <c r="S6" s="1383"/>
      <c r="T6" s="1378"/>
      <c r="U6" s="1363" t="s">
        <v>204</v>
      </c>
      <c r="V6" s="1363" t="s">
        <v>206</v>
      </c>
      <c r="W6" s="1363" t="s">
        <v>205</v>
      </c>
      <c r="X6" s="1374" t="s">
        <v>100</v>
      </c>
      <c r="Y6" s="1376" t="s">
        <v>101</v>
      </c>
      <c r="Z6" s="1411" t="s">
        <v>122</v>
      </c>
      <c r="AA6" s="1387" t="s">
        <v>99</v>
      </c>
      <c r="AB6" s="1387"/>
      <c r="AC6" s="1387" t="s">
        <v>105</v>
      </c>
      <c r="AD6" s="1387"/>
      <c r="AE6" s="1404"/>
      <c r="AF6" s="1363" t="s">
        <v>204</v>
      </c>
      <c r="AG6" s="1363" t="s">
        <v>206</v>
      </c>
      <c r="AH6" s="1376" t="s">
        <v>205</v>
      </c>
      <c r="AI6" s="1410" t="s">
        <v>122</v>
      </c>
      <c r="AJ6" s="1387" t="s">
        <v>99</v>
      </c>
      <c r="AK6" s="1387"/>
      <c r="AL6" s="1387" t="s">
        <v>105</v>
      </c>
      <c r="AM6" s="1387"/>
      <c r="AN6" s="1404"/>
      <c r="AO6" s="1363" t="s">
        <v>204</v>
      </c>
      <c r="AP6" s="1363" t="s">
        <v>206</v>
      </c>
      <c r="AQ6" s="1388" t="s">
        <v>205</v>
      </c>
      <c r="AR6" s="1411" t="s">
        <v>122</v>
      </c>
      <c r="AS6" s="1387" t="s">
        <v>99</v>
      </c>
      <c r="AT6" s="1387"/>
      <c r="AU6" s="1387" t="s">
        <v>105</v>
      </c>
      <c r="AV6" s="1387"/>
      <c r="AW6" s="1404"/>
      <c r="AX6" s="1363" t="s">
        <v>204</v>
      </c>
      <c r="AY6" s="1363" t="s">
        <v>206</v>
      </c>
      <c r="AZ6" s="1376" t="s">
        <v>205</v>
      </c>
      <c r="BA6" s="1410" t="s">
        <v>122</v>
      </c>
      <c r="BB6" s="1387" t="s">
        <v>99</v>
      </c>
      <c r="BC6" s="1387"/>
      <c r="BD6" s="1387" t="s">
        <v>105</v>
      </c>
      <c r="BE6" s="1387"/>
      <c r="BF6" s="1404"/>
      <c r="BG6" s="1363" t="s">
        <v>204</v>
      </c>
      <c r="BH6" s="1363" t="s">
        <v>206</v>
      </c>
      <c r="BI6" s="1388" t="s">
        <v>205</v>
      </c>
      <c r="BJ6" s="1411" t="s">
        <v>122</v>
      </c>
      <c r="BK6" s="1387" t="s">
        <v>99</v>
      </c>
      <c r="BL6" s="1387"/>
      <c r="BM6" s="1387" t="s">
        <v>105</v>
      </c>
      <c r="BN6" s="1387"/>
      <c r="BO6" s="1404"/>
      <c r="BP6" s="1363" t="s">
        <v>100</v>
      </c>
      <c r="BQ6" s="1376" t="s">
        <v>101</v>
      </c>
      <c r="BR6" s="1410" t="s">
        <v>122</v>
      </c>
      <c r="BS6" s="1387" t="s">
        <v>99</v>
      </c>
      <c r="BT6" s="1387"/>
      <c r="BU6" s="1387" t="s">
        <v>105</v>
      </c>
      <c r="BV6" s="1387"/>
      <c r="BW6" s="1404"/>
      <c r="BX6" s="1363" t="s">
        <v>100</v>
      </c>
      <c r="BY6" s="1388" t="s">
        <v>101</v>
      </c>
      <c r="BZ6" s="1411" t="s">
        <v>122</v>
      </c>
      <c r="CA6" s="1387" t="s">
        <v>99</v>
      </c>
      <c r="CB6" s="1387"/>
      <c r="CC6" s="1387" t="s">
        <v>105</v>
      </c>
      <c r="CD6" s="1387"/>
      <c r="CE6" s="1404"/>
      <c r="CF6" s="1363" t="s">
        <v>100</v>
      </c>
      <c r="CG6" s="1376" t="s">
        <v>101</v>
      </c>
    </row>
    <row r="7" spans="1:86" ht="36" customHeight="1" thickBot="1" x14ac:dyDescent="0.25">
      <c r="A7" s="1342"/>
      <c r="B7" s="1345"/>
      <c r="C7" s="1364"/>
      <c r="D7" s="1368"/>
      <c r="E7" s="1390"/>
      <c r="F7" s="1392"/>
      <c r="G7" s="1370"/>
      <c r="H7" s="1372"/>
      <c r="I7" s="1366"/>
      <c r="J7" s="1398"/>
      <c r="K7" s="1395"/>
      <c r="L7" s="130">
        <v>1</v>
      </c>
      <c r="M7" s="130">
        <v>2</v>
      </c>
      <c r="N7" s="130">
        <v>3</v>
      </c>
      <c r="O7" s="130">
        <v>4</v>
      </c>
      <c r="P7" s="1386"/>
      <c r="Q7" s="1386"/>
      <c r="R7" s="17" t="s">
        <v>126</v>
      </c>
      <c r="S7" s="17" t="s">
        <v>111</v>
      </c>
      <c r="T7" s="1379"/>
      <c r="U7" s="1364"/>
      <c r="V7" s="1364"/>
      <c r="W7" s="1364"/>
      <c r="X7" s="1375"/>
      <c r="Y7" s="1377"/>
      <c r="Z7" s="1411"/>
      <c r="AA7" s="40" t="s">
        <v>112</v>
      </c>
      <c r="AB7" s="41" t="s">
        <v>113</v>
      </c>
      <c r="AC7" s="40" t="s">
        <v>97</v>
      </c>
      <c r="AD7" s="41" t="s">
        <v>98</v>
      </c>
      <c r="AE7" s="1404"/>
      <c r="AF7" s="1363"/>
      <c r="AG7" s="1363"/>
      <c r="AH7" s="1376"/>
      <c r="AI7" s="1410"/>
      <c r="AJ7" s="40" t="s">
        <v>112</v>
      </c>
      <c r="AK7" s="41" t="s">
        <v>113</v>
      </c>
      <c r="AL7" s="40" t="s">
        <v>97</v>
      </c>
      <c r="AM7" s="41" t="s">
        <v>98</v>
      </c>
      <c r="AN7" s="1404"/>
      <c r="AO7" s="1363"/>
      <c r="AP7" s="1363"/>
      <c r="AQ7" s="1388"/>
      <c r="AR7" s="1411"/>
      <c r="AS7" s="40" t="s">
        <v>112</v>
      </c>
      <c r="AT7" s="41" t="s">
        <v>113</v>
      </c>
      <c r="AU7" s="40" t="s">
        <v>97</v>
      </c>
      <c r="AV7" s="41" t="s">
        <v>98</v>
      </c>
      <c r="AW7" s="1404"/>
      <c r="AX7" s="1363"/>
      <c r="AY7" s="1363"/>
      <c r="AZ7" s="1376"/>
      <c r="BA7" s="1410"/>
      <c r="BB7" s="40" t="s">
        <v>112</v>
      </c>
      <c r="BC7" s="41" t="s">
        <v>113</v>
      </c>
      <c r="BD7" s="40" t="s">
        <v>97</v>
      </c>
      <c r="BE7" s="41" t="s">
        <v>98</v>
      </c>
      <c r="BF7" s="1404"/>
      <c r="BG7" s="1363"/>
      <c r="BH7" s="1363"/>
      <c r="BI7" s="1388"/>
      <c r="BJ7" s="1411"/>
      <c r="BK7" s="40" t="s">
        <v>112</v>
      </c>
      <c r="BL7" s="41" t="s">
        <v>113</v>
      </c>
      <c r="BM7" s="40" t="s">
        <v>97</v>
      </c>
      <c r="BN7" s="41" t="s">
        <v>98</v>
      </c>
      <c r="BO7" s="1404"/>
      <c r="BP7" s="1363"/>
      <c r="BQ7" s="1376"/>
      <c r="BR7" s="1410"/>
      <c r="BS7" s="40" t="s">
        <v>112</v>
      </c>
      <c r="BT7" s="41" t="s">
        <v>113</v>
      </c>
      <c r="BU7" s="40" t="s">
        <v>97</v>
      </c>
      <c r="BV7" s="41" t="s">
        <v>98</v>
      </c>
      <c r="BW7" s="1404"/>
      <c r="BX7" s="1363"/>
      <c r="BY7" s="1388"/>
      <c r="BZ7" s="1411"/>
      <c r="CA7" s="40" t="s">
        <v>112</v>
      </c>
      <c r="CB7" s="41" t="s">
        <v>113</v>
      </c>
      <c r="CC7" s="40" t="s">
        <v>97</v>
      </c>
      <c r="CD7" s="41" t="s">
        <v>98</v>
      </c>
      <c r="CE7" s="1404"/>
      <c r="CF7" s="1363"/>
      <c r="CG7" s="1376"/>
    </row>
    <row r="8" spans="1:86" s="143" customFormat="1" ht="16.5" customHeight="1" thickBot="1" x14ac:dyDescent="0.25">
      <c r="A8" s="291">
        <v>1</v>
      </c>
      <c r="B8" s="292"/>
      <c r="C8" s="292">
        <f>A8+1</f>
        <v>2</v>
      </c>
      <c r="D8" s="292">
        <f t="shared" ref="D8:BQ8" si="0">C8+1</f>
        <v>3</v>
      </c>
      <c r="E8" s="292">
        <f t="shared" si="0"/>
        <v>4</v>
      </c>
      <c r="F8" s="292">
        <f t="shared" si="0"/>
        <v>5</v>
      </c>
      <c r="G8" s="292">
        <f t="shared" si="0"/>
        <v>6</v>
      </c>
      <c r="H8" s="292">
        <f t="shared" si="0"/>
        <v>7</v>
      </c>
      <c r="I8" s="293">
        <f t="shared" si="0"/>
        <v>8</v>
      </c>
      <c r="J8" s="294">
        <f t="shared" si="0"/>
        <v>9</v>
      </c>
      <c r="K8" s="295">
        <f t="shared" si="0"/>
        <v>10</v>
      </c>
      <c r="L8" s="295">
        <f t="shared" si="0"/>
        <v>11</v>
      </c>
      <c r="M8" s="295">
        <f t="shared" si="0"/>
        <v>12</v>
      </c>
      <c r="N8" s="295">
        <f t="shared" si="0"/>
        <v>13</v>
      </c>
      <c r="O8" s="295">
        <f t="shared" si="0"/>
        <v>14</v>
      </c>
      <c r="P8" s="295">
        <f t="shared" si="0"/>
        <v>15</v>
      </c>
      <c r="Q8" s="295">
        <v>16</v>
      </c>
      <c r="R8" s="295">
        <f>Q8+1</f>
        <v>17</v>
      </c>
      <c r="S8" s="295">
        <v>17</v>
      </c>
      <c r="T8" s="295">
        <f>S8+1</f>
        <v>18</v>
      </c>
      <c r="U8" s="295">
        <v>18</v>
      </c>
      <c r="V8" s="295">
        <f>U8+1</f>
        <v>19</v>
      </c>
      <c r="W8" s="295">
        <v>19</v>
      </c>
      <c r="X8" s="295">
        <f>W8+1</f>
        <v>20</v>
      </c>
      <c r="Y8" s="296">
        <v>20</v>
      </c>
      <c r="Z8" s="297">
        <f t="shared" si="0"/>
        <v>21</v>
      </c>
      <c r="AA8" s="298">
        <f t="shared" si="0"/>
        <v>22</v>
      </c>
      <c r="AB8" s="298">
        <f t="shared" si="0"/>
        <v>23</v>
      </c>
      <c r="AC8" s="298">
        <f t="shared" si="0"/>
        <v>24</v>
      </c>
      <c r="AD8" s="298">
        <f t="shared" si="0"/>
        <v>25</v>
      </c>
      <c r="AE8" s="298">
        <f t="shared" si="0"/>
        <v>26</v>
      </c>
      <c r="AF8" s="298">
        <f t="shared" si="0"/>
        <v>27</v>
      </c>
      <c r="AG8" s="298">
        <f t="shared" si="0"/>
        <v>28</v>
      </c>
      <c r="AH8" s="299">
        <f t="shared" si="0"/>
        <v>29</v>
      </c>
      <c r="AI8" s="300">
        <f t="shared" si="0"/>
        <v>30</v>
      </c>
      <c r="AJ8" s="298">
        <f t="shared" si="0"/>
        <v>31</v>
      </c>
      <c r="AK8" s="298">
        <f t="shared" si="0"/>
        <v>32</v>
      </c>
      <c r="AL8" s="298">
        <f t="shared" si="0"/>
        <v>33</v>
      </c>
      <c r="AM8" s="298">
        <f t="shared" si="0"/>
        <v>34</v>
      </c>
      <c r="AN8" s="298">
        <f t="shared" si="0"/>
        <v>35</v>
      </c>
      <c r="AO8" s="298">
        <f t="shared" si="0"/>
        <v>36</v>
      </c>
      <c r="AP8" s="298">
        <f t="shared" si="0"/>
        <v>37</v>
      </c>
      <c r="AQ8" s="301">
        <f t="shared" si="0"/>
        <v>38</v>
      </c>
      <c r="AR8" s="297">
        <f t="shared" si="0"/>
        <v>39</v>
      </c>
      <c r="AS8" s="298">
        <f t="shared" si="0"/>
        <v>40</v>
      </c>
      <c r="AT8" s="298">
        <f t="shared" si="0"/>
        <v>41</v>
      </c>
      <c r="AU8" s="298">
        <f t="shared" si="0"/>
        <v>42</v>
      </c>
      <c r="AV8" s="298">
        <f t="shared" si="0"/>
        <v>43</v>
      </c>
      <c r="AW8" s="298">
        <f t="shared" si="0"/>
        <v>44</v>
      </c>
      <c r="AX8" s="298">
        <f t="shared" si="0"/>
        <v>45</v>
      </c>
      <c r="AY8" s="298">
        <f t="shared" si="0"/>
        <v>46</v>
      </c>
      <c r="AZ8" s="299">
        <f t="shared" si="0"/>
        <v>47</v>
      </c>
      <c r="BA8" s="300">
        <f t="shared" si="0"/>
        <v>48</v>
      </c>
      <c r="BB8" s="298">
        <f t="shared" si="0"/>
        <v>49</v>
      </c>
      <c r="BC8" s="298">
        <f t="shared" si="0"/>
        <v>50</v>
      </c>
      <c r="BD8" s="298">
        <f t="shared" si="0"/>
        <v>51</v>
      </c>
      <c r="BE8" s="298">
        <f t="shared" si="0"/>
        <v>52</v>
      </c>
      <c r="BF8" s="298">
        <f t="shared" si="0"/>
        <v>53</v>
      </c>
      <c r="BG8" s="298">
        <f t="shared" si="0"/>
        <v>54</v>
      </c>
      <c r="BH8" s="298">
        <f t="shared" si="0"/>
        <v>55</v>
      </c>
      <c r="BI8" s="301">
        <f t="shared" si="0"/>
        <v>56</v>
      </c>
      <c r="BJ8" s="297">
        <f t="shared" si="0"/>
        <v>57</v>
      </c>
      <c r="BK8" s="298">
        <f t="shared" si="0"/>
        <v>58</v>
      </c>
      <c r="BL8" s="298">
        <f t="shared" si="0"/>
        <v>59</v>
      </c>
      <c r="BM8" s="298">
        <f t="shared" si="0"/>
        <v>60</v>
      </c>
      <c r="BN8" s="298">
        <f t="shared" si="0"/>
        <v>61</v>
      </c>
      <c r="BO8" s="298">
        <f t="shared" si="0"/>
        <v>62</v>
      </c>
      <c r="BP8" s="298">
        <f t="shared" si="0"/>
        <v>63</v>
      </c>
      <c r="BQ8" s="299">
        <f t="shared" si="0"/>
        <v>64</v>
      </c>
      <c r="BR8" s="300">
        <f t="shared" ref="BR8:CG8" si="1">BQ8+1</f>
        <v>65</v>
      </c>
      <c r="BS8" s="298">
        <f t="shared" si="1"/>
        <v>66</v>
      </c>
      <c r="BT8" s="298">
        <f t="shared" si="1"/>
        <v>67</v>
      </c>
      <c r="BU8" s="298">
        <f t="shared" si="1"/>
        <v>68</v>
      </c>
      <c r="BV8" s="298">
        <f t="shared" si="1"/>
        <v>69</v>
      </c>
      <c r="BW8" s="298">
        <f t="shared" si="1"/>
        <v>70</v>
      </c>
      <c r="BX8" s="298">
        <f t="shared" si="1"/>
        <v>71</v>
      </c>
      <c r="BY8" s="301">
        <f t="shared" si="1"/>
        <v>72</v>
      </c>
      <c r="BZ8" s="297">
        <f t="shared" si="1"/>
        <v>73</v>
      </c>
      <c r="CA8" s="298">
        <f t="shared" si="1"/>
        <v>74</v>
      </c>
      <c r="CB8" s="298">
        <f t="shared" si="1"/>
        <v>75</v>
      </c>
      <c r="CC8" s="298">
        <f t="shared" si="1"/>
        <v>76</v>
      </c>
      <c r="CD8" s="298">
        <f t="shared" si="1"/>
        <v>77</v>
      </c>
      <c r="CE8" s="298">
        <f t="shared" si="1"/>
        <v>78</v>
      </c>
      <c r="CF8" s="298">
        <f t="shared" si="1"/>
        <v>79</v>
      </c>
      <c r="CG8" s="299">
        <f t="shared" si="1"/>
        <v>80</v>
      </c>
    </row>
    <row r="9" spans="1:86" ht="19.5" customHeight="1" x14ac:dyDescent="0.25">
      <c r="A9" s="1346">
        <v>1</v>
      </c>
      <c r="B9" s="1351" t="s">
        <v>183</v>
      </c>
      <c r="C9" s="583"/>
      <c r="D9" s="240" t="s">
        <v>331</v>
      </c>
      <c r="E9" s="42"/>
      <c r="F9" s="42"/>
      <c r="G9" s="42"/>
      <c r="H9" s="16">
        <f>E9*F9/1000</f>
        <v>0</v>
      </c>
      <c r="I9" s="584">
        <f t="shared" ref="I9:I19" si="2">E9*G9/1000</f>
        <v>0</v>
      </c>
      <c r="J9" s="577"/>
      <c r="K9" s="262">
        <f>IF($J9=15,$E9,0)</f>
        <v>0</v>
      </c>
      <c r="L9" s="262">
        <f t="shared" ref="L9:L20" si="3">IF($J9=1,$E9,0)</f>
        <v>0</v>
      </c>
      <c r="M9" s="262">
        <f t="shared" ref="M9:M20" si="4">IF($J9=2,$E9,0)</f>
        <v>0</v>
      </c>
      <c r="N9" s="262">
        <f t="shared" ref="N9:N20" si="5">IF($J9=3,$E9,0)</f>
        <v>0</v>
      </c>
      <c r="O9" s="262">
        <f>IF($J9=4,$E9,0)</f>
        <v>0</v>
      </c>
      <c r="P9" s="262">
        <f t="shared" ref="P9:P20" si="6">IF($J9=5,$E9,0)</f>
        <v>0</v>
      </c>
      <c r="Q9" s="262">
        <f>IF($J9=6,$E9,0)</f>
        <v>0</v>
      </c>
      <c r="R9" s="262">
        <f>IF($J9=7,$E9,0)</f>
        <v>0</v>
      </c>
      <c r="S9" s="262">
        <f>IF($J9=8,$E9,0)</f>
        <v>0</v>
      </c>
      <c r="T9" s="262">
        <f>IF($J9=9,$E9,0)</f>
        <v>0</v>
      </c>
      <c r="U9" s="262">
        <f>IF($J9=10,$E9,0)</f>
        <v>0</v>
      </c>
      <c r="V9" s="262">
        <f>IF($J9=11,$E9,0)</f>
        <v>0</v>
      </c>
      <c r="W9" s="262">
        <f>IF($J9=12,$E9,0)</f>
        <v>0</v>
      </c>
      <c r="X9" s="262">
        <f>IF($J9=13,$E9,0)</f>
        <v>0</v>
      </c>
      <c r="Y9" s="263">
        <f>IF($J9=14,$E9,0)</f>
        <v>0</v>
      </c>
      <c r="Z9" s="66"/>
      <c r="AA9" s="42"/>
      <c r="AB9" s="42"/>
      <c r="AC9" s="16">
        <f>Z9*0.97*AA9/1000</f>
        <v>0</v>
      </c>
      <c r="AD9" s="43">
        <f>Z9*0.97*AB9/1000</f>
        <v>0</v>
      </c>
      <c r="AE9" s="15"/>
      <c r="AF9" s="16">
        <f>IF($AE9=1,$Z9,0)</f>
        <v>0</v>
      </c>
      <c r="AG9" s="16">
        <f>IF($AE9=2,$Z9,0)</f>
        <v>0</v>
      </c>
      <c r="AH9" s="62">
        <f>IF($AE9=3,$Z9,0)</f>
        <v>0</v>
      </c>
      <c r="AI9" s="72"/>
      <c r="AJ9" s="42"/>
      <c r="AK9" s="42"/>
      <c r="AL9" s="16">
        <f t="shared" ref="AL9:AL20" si="7">AI9*0.97*AJ9/1000</f>
        <v>0</v>
      </c>
      <c r="AM9" s="43">
        <f>AI9*0.97*AK9/1000</f>
        <v>0</v>
      </c>
      <c r="AN9" s="15"/>
      <c r="AO9" s="16">
        <f>IF($AN9=1,$AI9,0)</f>
        <v>0</v>
      </c>
      <c r="AP9" s="16">
        <f>IF($AN9=2,$AI9,0)</f>
        <v>0</v>
      </c>
      <c r="AQ9" s="62">
        <f>IF($AN9=3,$AI9,0)</f>
        <v>0</v>
      </c>
      <c r="AR9" s="72"/>
      <c r="AS9" s="42"/>
      <c r="AT9" s="42"/>
      <c r="AU9" s="16">
        <f t="shared" ref="AU9:AU20" si="8">AR9*0.97*AS9/1000</f>
        <v>0</v>
      </c>
      <c r="AV9" s="43">
        <f>AR9*0.97*AT9/1000</f>
        <v>0</v>
      </c>
      <c r="AW9" s="15"/>
      <c r="AX9" s="16">
        <f>IF($AW9=1,$AR9,0)</f>
        <v>0</v>
      </c>
      <c r="AY9" s="16">
        <f>IF($AW9=2,$AR9,0)</f>
        <v>0</v>
      </c>
      <c r="AZ9" s="62">
        <f>IF($AW9=3,$AR9,0)</f>
        <v>0</v>
      </c>
      <c r="BA9" s="72"/>
      <c r="BB9" s="42"/>
      <c r="BC9" s="42"/>
      <c r="BD9" s="16">
        <f t="shared" ref="BD9:BD20" si="9">BA9*0.97*BB9/1000</f>
        <v>0</v>
      </c>
      <c r="BE9" s="43">
        <f>BA9*0.97*BC9/1000</f>
        <v>0</v>
      </c>
      <c r="BF9" s="15"/>
      <c r="BG9" s="16">
        <f>IF($BF9=1,$BA9,0)</f>
        <v>0</v>
      </c>
      <c r="BH9" s="16">
        <f>IF($BF9=2,$BA9,0)</f>
        <v>0</v>
      </c>
      <c r="BI9" s="62">
        <f>IF($BF9=3,$BA9,0)</f>
        <v>0</v>
      </c>
      <c r="BJ9" s="72"/>
      <c r="BK9" s="42"/>
      <c r="BL9" s="42"/>
      <c r="BM9" s="16">
        <f>BJ9*0.84*BK9/1000</f>
        <v>0</v>
      </c>
      <c r="BN9" s="43">
        <f>BJ9*0.84*BL9/1000</f>
        <v>0</v>
      </c>
      <c r="BO9" s="15"/>
      <c r="BP9" s="16">
        <f>IF($BO9=1,$BJ9,0)</f>
        <v>0</v>
      </c>
      <c r="BQ9" s="62">
        <f>IF($BO9=2,$BJ9,0)</f>
        <v>0</v>
      </c>
      <c r="BR9" s="72"/>
      <c r="BS9" s="42"/>
      <c r="BT9" s="42"/>
      <c r="BU9" s="16">
        <f>BR9*0.84*BS9/1000</f>
        <v>0</v>
      </c>
      <c r="BV9" s="43">
        <f>BR9*0.84*BT9/1000</f>
        <v>0</v>
      </c>
      <c r="BW9" s="15"/>
      <c r="BX9" s="16">
        <f>IF($BW9=1,$BR9,0)</f>
        <v>0</v>
      </c>
      <c r="BY9" s="62">
        <f>IF($BW9=2,$BR9,0)</f>
        <v>0</v>
      </c>
      <c r="BZ9" s="72"/>
      <c r="CA9" s="42"/>
      <c r="CB9" s="42"/>
      <c r="CC9" s="16">
        <f>BZ9*0.84*CA9/1000</f>
        <v>0</v>
      </c>
      <c r="CD9" s="43">
        <f>BZ9*0.84*CB9/1000</f>
        <v>0</v>
      </c>
      <c r="CE9" s="15"/>
      <c r="CF9" s="16">
        <f>IF($CE9=1,$BZ9,0)</f>
        <v>0</v>
      </c>
      <c r="CG9" s="20">
        <f>IF($CE9=2,$BZ9,0)</f>
        <v>0</v>
      </c>
    </row>
    <row r="10" spans="1:86" ht="19.5" customHeight="1" x14ac:dyDescent="0.25">
      <c r="A10" s="1346"/>
      <c r="B10" s="1352"/>
      <c r="C10" s="585"/>
      <c r="D10" s="241" t="s">
        <v>331</v>
      </c>
      <c r="E10" s="7"/>
      <c r="F10" s="7"/>
      <c r="G10" s="7"/>
      <c r="H10" s="6">
        <f>E10*F10/1000</f>
        <v>0</v>
      </c>
      <c r="I10" s="586">
        <f t="shared" si="2"/>
        <v>0</v>
      </c>
      <c r="J10" s="578"/>
      <c r="K10" s="162">
        <f>IF($J10=15,$E10,0)</f>
        <v>0</v>
      </c>
      <c r="L10" s="162">
        <f t="shared" si="3"/>
        <v>0</v>
      </c>
      <c r="M10" s="162">
        <f t="shared" si="4"/>
        <v>0</v>
      </c>
      <c r="N10" s="162">
        <f t="shared" si="5"/>
        <v>0</v>
      </c>
      <c r="O10" s="162">
        <f t="shared" ref="O10:O20" si="10">IF($J10=4,$E10,0)</f>
        <v>0</v>
      </c>
      <c r="P10" s="162">
        <f t="shared" si="6"/>
        <v>0</v>
      </c>
      <c r="Q10" s="162">
        <f t="shared" ref="Q10:Q20" si="11">IF($J10=6,$E10,0)</f>
        <v>0</v>
      </c>
      <c r="R10" s="162">
        <f t="shared" ref="R10:R20" si="12">IF($J10=7,$E10,0)</f>
        <v>0</v>
      </c>
      <c r="S10" s="162">
        <f t="shared" ref="S10:S20" si="13">IF($J10=8,$E10,0)</f>
        <v>0</v>
      </c>
      <c r="T10" s="162">
        <f t="shared" ref="T10:T20" si="14">IF($J10=9,$E10,0)</f>
        <v>0</v>
      </c>
      <c r="U10" s="162">
        <f t="shared" ref="U10:U20" si="15">IF($J10=10,$E10,0)</f>
        <v>0</v>
      </c>
      <c r="V10" s="162">
        <f t="shared" ref="V10:V20" si="16">IF($J10=11,$E10,0)</f>
        <v>0</v>
      </c>
      <c r="W10" s="162">
        <f t="shared" ref="W10:W20" si="17">IF($J10=12,$E10,0)</f>
        <v>0</v>
      </c>
      <c r="X10" s="162">
        <f t="shared" ref="X10:X20" si="18">IF($J10=13,$E10,0)</f>
        <v>0</v>
      </c>
      <c r="Y10" s="268">
        <f t="shared" ref="Y10:Y20" si="19">IF($J10=14,$E10,0)</f>
        <v>0</v>
      </c>
      <c r="Z10" s="67"/>
      <c r="AA10" s="7"/>
      <c r="AB10" s="7"/>
      <c r="AC10" s="6">
        <f t="shared" ref="AC10:AC18" si="20">Z10*0.97*AA10/1000</f>
        <v>0</v>
      </c>
      <c r="AD10" s="31">
        <f t="shared" ref="AD10:AD18" si="21">Z10*0.97*AB10/1000</f>
        <v>0</v>
      </c>
      <c r="AE10" s="10"/>
      <c r="AF10" s="6">
        <f t="shared" ref="AF10:AF20" si="22">IF($AE10=1,$Z10,0)</f>
        <v>0</v>
      </c>
      <c r="AG10" s="6">
        <f>IF($AE10=2,$Z10,0)</f>
        <v>0</v>
      </c>
      <c r="AH10" s="63">
        <f t="shared" ref="AH10:AH20" si="23">IF($AE10=3,$Z10,0)</f>
        <v>0</v>
      </c>
      <c r="AI10" s="73"/>
      <c r="AJ10" s="7"/>
      <c r="AK10" s="7"/>
      <c r="AL10" s="6">
        <f t="shared" si="7"/>
        <v>0</v>
      </c>
      <c r="AM10" s="31">
        <f t="shared" ref="AM10:AM18" si="24">AI10*0.97*AK10/1000</f>
        <v>0</v>
      </c>
      <c r="AN10" s="10"/>
      <c r="AO10" s="6">
        <f t="shared" ref="AO10:AO20" si="25">IF($AN10=1,$AI10,0)</f>
        <v>0</v>
      </c>
      <c r="AP10" s="6">
        <f t="shared" ref="AP10:AP20" si="26">IF($AN10=2,$AI10,0)</f>
        <v>0</v>
      </c>
      <c r="AQ10" s="63">
        <f t="shared" ref="AQ10:AQ20" si="27">IF($AN10=3,$AI10,0)</f>
        <v>0</v>
      </c>
      <c r="AR10" s="73"/>
      <c r="AS10" s="7"/>
      <c r="AT10" s="7"/>
      <c r="AU10" s="6">
        <f t="shared" si="8"/>
        <v>0</v>
      </c>
      <c r="AV10" s="31">
        <f t="shared" ref="AV10:AV18" si="28">AR10*0.97*AT10/1000</f>
        <v>0</v>
      </c>
      <c r="AW10" s="10"/>
      <c r="AX10" s="6">
        <f t="shared" ref="AX10:AX20" si="29">IF($AW10=1,$AR10,0)</f>
        <v>0</v>
      </c>
      <c r="AY10" s="6">
        <f t="shared" ref="AY10:AY20" si="30">IF($AW10=2,$AR10,0)</f>
        <v>0</v>
      </c>
      <c r="AZ10" s="63">
        <f t="shared" ref="AZ10:AZ20" si="31">IF($AW10=3,$AR10,0)</f>
        <v>0</v>
      </c>
      <c r="BA10" s="73"/>
      <c r="BB10" s="7"/>
      <c r="BC10" s="7"/>
      <c r="BD10" s="6">
        <f t="shared" si="9"/>
        <v>0</v>
      </c>
      <c r="BE10" s="31">
        <f t="shared" ref="BE10:BE18" si="32">BA10*0.97*BC10/1000</f>
        <v>0</v>
      </c>
      <c r="BF10" s="10"/>
      <c r="BG10" s="6">
        <f t="shared" ref="BG10:BG20" si="33">IF($BF10=1,$BA10,0)</f>
        <v>0</v>
      </c>
      <c r="BH10" s="6">
        <f t="shared" ref="BH10:BH20" si="34">IF($BF10=2,$BA10,0)</f>
        <v>0</v>
      </c>
      <c r="BI10" s="63">
        <f t="shared" ref="BI10:BI20" si="35">IF($BF10=3,$BA10,0)</f>
        <v>0</v>
      </c>
      <c r="BJ10" s="73"/>
      <c r="BK10" s="7"/>
      <c r="BL10" s="7"/>
      <c r="BM10" s="6">
        <f t="shared" ref="BM10:BM20" si="36">BJ10*0.84*BK10/1000</f>
        <v>0</v>
      </c>
      <c r="BN10" s="31">
        <f t="shared" ref="BN10:BN20" si="37">BJ10*0.84*BL10/1000</f>
        <v>0</v>
      </c>
      <c r="BO10" s="10"/>
      <c r="BP10" s="6">
        <f t="shared" ref="BP10:BP20" si="38">IF($BO10=1,$BJ10,0)</f>
        <v>0</v>
      </c>
      <c r="BQ10" s="63">
        <f t="shared" ref="BQ10:BQ20" si="39">IF($BO10=2,$BJ10,0)</f>
        <v>0</v>
      </c>
      <c r="BR10" s="73"/>
      <c r="BS10" s="7"/>
      <c r="BT10" s="7"/>
      <c r="BU10" s="6">
        <f t="shared" ref="BU10:BU20" si="40">BR10*0.84*BS10/1000</f>
        <v>0</v>
      </c>
      <c r="BV10" s="31">
        <f t="shared" ref="BV10:BV20" si="41">BR10*0.84*BT10/1000</f>
        <v>0</v>
      </c>
      <c r="BW10" s="10"/>
      <c r="BX10" s="6">
        <f t="shared" ref="BX10:BX20" si="42">IF($BW10=1,$BR10,0)</f>
        <v>0</v>
      </c>
      <c r="BY10" s="63">
        <f t="shared" ref="BY10:BY20" si="43">IF($BW10=2,$BR10,0)</f>
        <v>0</v>
      </c>
      <c r="BZ10" s="73"/>
      <c r="CA10" s="7"/>
      <c r="CB10" s="7"/>
      <c r="CC10" s="6">
        <f t="shared" ref="CC10:CC20" si="44">BZ10*0.84*CA10/1000</f>
        <v>0</v>
      </c>
      <c r="CD10" s="31">
        <f t="shared" ref="CD10:CD20" si="45">BZ10*0.84*CB10/1000</f>
        <v>0</v>
      </c>
      <c r="CE10" s="10"/>
      <c r="CF10" s="6">
        <f t="shared" ref="CF10:CF20" si="46">IF($CE10=1,$BZ10,0)</f>
        <v>0</v>
      </c>
      <c r="CG10" s="21">
        <f t="shared" ref="CG10:CG20" si="47">IF($CE10=2,$BZ10,0)</f>
        <v>0</v>
      </c>
    </row>
    <row r="11" spans="1:86" ht="19.5" customHeight="1" x14ac:dyDescent="0.25">
      <c r="A11" s="1346"/>
      <c r="B11" s="1353"/>
      <c r="C11" s="585"/>
      <c r="D11" s="241" t="s">
        <v>331</v>
      </c>
      <c r="E11" s="7"/>
      <c r="F11" s="7"/>
      <c r="G11" s="7"/>
      <c r="H11" s="6">
        <f>E11*F11/1000</f>
        <v>0</v>
      </c>
      <c r="I11" s="586">
        <f>E11*G11/1000</f>
        <v>0</v>
      </c>
      <c r="J11" s="578"/>
      <c r="K11" s="162">
        <f>IF($J11=15,$E11,0)</f>
        <v>0</v>
      </c>
      <c r="L11" s="162">
        <f t="shared" si="3"/>
        <v>0</v>
      </c>
      <c r="M11" s="162">
        <f>IF($J11=2,$E11,0)</f>
        <v>0</v>
      </c>
      <c r="N11" s="162">
        <f t="shared" si="5"/>
        <v>0</v>
      </c>
      <c r="O11" s="162">
        <f t="shared" si="10"/>
        <v>0</v>
      </c>
      <c r="P11" s="162">
        <f t="shared" si="6"/>
        <v>0</v>
      </c>
      <c r="Q11" s="162">
        <f t="shared" si="11"/>
        <v>0</v>
      </c>
      <c r="R11" s="162">
        <f t="shared" si="12"/>
        <v>0</v>
      </c>
      <c r="S11" s="162">
        <f t="shared" si="13"/>
        <v>0</v>
      </c>
      <c r="T11" s="162">
        <f t="shared" si="14"/>
        <v>0</v>
      </c>
      <c r="U11" s="162">
        <f t="shared" si="15"/>
        <v>0</v>
      </c>
      <c r="V11" s="162">
        <f t="shared" si="16"/>
        <v>0</v>
      </c>
      <c r="W11" s="162">
        <f t="shared" si="17"/>
        <v>0</v>
      </c>
      <c r="X11" s="162">
        <f t="shared" si="18"/>
        <v>0</v>
      </c>
      <c r="Y11" s="268">
        <f t="shared" si="19"/>
        <v>0</v>
      </c>
      <c r="Z11" s="67"/>
      <c r="AA11" s="7"/>
      <c r="AB11" s="7"/>
      <c r="AC11" s="6">
        <f t="shared" si="20"/>
        <v>0</v>
      </c>
      <c r="AD11" s="31">
        <f t="shared" si="21"/>
        <v>0</v>
      </c>
      <c r="AE11" s="10"/>
      <c r="AF11" s="6">
        <f t="shared" si="22"/>
        <v>0</v>
      </c>
      <c r="AG11" s="6">
        <f t="shared" ref="AG11:AG20" si="48">IF($AE11=2,$Z11,0)</f>
        <v>0</v>
      </c>
      <c r="AH11" s="63">
        <f t="shared" si="23"/>
        <v>0</v>
      </c>
      <c r="AI11" s="73"/>
      <c r="AJ11" s="7"/>
      <c r="AK11" s="7"/>
      <c r="AL11" s="6">
        <f t="shared" si="7"/>
        <v>0</v>
      </c>
      <c r="AM11" s="31">
        <f t="shared" si="24"/>
        <v>0</v>
      </c>
      <c r="AN11" s="10"/>
      <c r="AO11" s="6">
        <f t="shared" si="25"/>
        <v>0</v>
      </c>
      <c r="AP11" s="6">
        <f t="shared" si="26"/>
        <v>0</v>
      </c>
      <c r="AQ11" s="63">
        <f t="shared" si="27"/>
        <v>0</v>
      </c>
      <c r="AR11" s="73"/>
      <c r="AS11" s="7"/>
      <c r="AT11" s="7"/>
      <c r="AU11" s="6">
        <f t="shared" si="8"/>
        <v>0</v>
      </c>
      <c r="AV11" s="31">
        <f t="shared" si="28"/>
        <v>0</v>
      </c>
      <c r="AW11" s="10"/>
      <c r="AX11" s="6">
        <f t="shared" si="29"/>
        <v>0</v>
      </c>
      <c r="AY11" s="6">
        <f t="shared" si="30"/>
        <v>0</v>
      </c>
      <c r="AZ11" s="63">
        <f t="shared" si="31"/>
        <v>0</v>
      </c>
      <c r="BA11" s="73"/>
      <c r="BB11" s="7"/>
      <c r="BC11" s="7"/>
      <c r="BD11" s="6">
        <f t="shared" si="9"/>
        <v>0</v>
      </c>
      <c r="BE11" s="31">
        <f t="shared" si="32"/>
        <v>0</v>
      </c>
      <c r="BF11" s="10"/>
      <c r="BG11" s="6">
        <f t="shared" si="33"/>
        <v>0</v>
      </c>
      <c r="BH11" s="6">
        <f t="shared" si="34"/>
        <v>0</v>
      </c>
      <c r="BI11" s="63">
        <f t="shared" si="35"/>
        <v>0</v>
      </c>
      <c r="BJ11" s="73"/>
      <c r="BK11" s="7"/>
      <c r="BL11" s="7"/>
      <c r="BM11" s="6">
        <f t="shared" si="36"/>
        <v>0</v>
      </c>
      <c r="BN11" s="31">
        <f t="shared" si="37"/>
        <v>0</v>
      </c>
      <c r="BO11" s="10"/>
      <c r="BP11" s="6">
        <f t="shared" si="38"/>
        <v>0</v>
      </c>
      <c r="BQ11" s="63">
        <f t="shared" si="39"/>
        <v>0</v>
      </c>
      <c r="BR11" s="73"/>
      <c r="BS11" s="7"/>
      <c r="BT11" s="7"/>
      <c r="BU11" s="6">
        <f t="shared" si="40"/>
        <v>0</v>
      </c>
      <c r="BV11" s="31">
        <f t="shared" si="41"/>
        <v>0</v>
      </c>
      <c r="BW11" s="10"/>
      <c r="BX11" s="6">
        <f t="shared" si="42"/>
        <v>0</v>
      </c>
      <c r="BY11" s="63">
        <f t="shared" si="43"/>
        <v>0</v>
      </c>
      <c r="BZ11" s="73"/>
      <c r="CA11" s="7"/>
      <c r="CB11" s="7"/>
      <c r="CC11" s="6">
        <f t="shared" si="44"/>
        <v>0</v>
      </c>
      <c r="CD11" s="31">
        <f t="shared" si="45"/>
        <v>0</v>
      </c>
      <c r="CE11" s="10"/>
      <c r="CF11" s="6">
        <f t="shared" si="46"/>
        <v>0</v>
      </c>
      <c r="CG11" s="21">
        <f t="shared" si="47"/>
        <v>0</v>
      </c>
    </row>
    <row r="12" spans="1:86" ht="19.5" customHeight="1" thickBot="1" x14ac:dyDescent="0.3">
      <c r="A12" s="1346"/>
      <c r="B12" s="576" t="s">
        <v>182</v>
      </c>
      <c r="C12" s="587"/>
      <c r="D12" s="588" t="s">
        <v>331</v>
      </c>
      <c r="E12" s="44"/>
      <c r="F12" s="44"/>
      <c r="G12" s="44"/>
      <c r="H12" s="19">
        <f t="shared" ref="H12:H19" si="49">E12*F12/1000</f>
        <v>0</v>
      </c>
      <c r="I12" s="589">
        <f t="shared" si="2"/>
        <v>0</v>
      </c>
      <c r="J12" s="579"/>
      <c r="K12" s="269">
        <f>IF($J102=15,$E102,0)</f>
        <v>0</v>
      </c>
      <c r="L12" s="269">
        <f t="shared" si="3"/>
        <v>0</v>
      </c>
      <c r="M12" s="269">
        <f t="shared" si="4"/>
        <v>0</v>
      </c>
      <c r="N12" s="269">
        <f t="shared" si="5"/>
        <v>0</v>
      </c>
      <c r="O12" s="269">
        <f t="shared" si="10"/>
        <v>0</v>
      </c>
      <c r="P12" s="269">
        <f t="shared" si="6"/>
        <v>0</v>
      </c>
      <c r="Q12" s="269">
        <f t="shared" si="11"/>
        <v>0</v>
      </c>
      <c r="R12" s="269">
        <f t="shared" si="12"/>
        <v>0</v>
      </c>
      <c r="S12" s="269">
        <f t="shared" si="13"/>
        <v>0</v>
      </c>
      <c r="T12" s="269">
        <f t="shared" si="14"/>
        <v>0</v>
      </c>
      <c r="U12" s="269">
        <f t="shared" si="15"/>
        <v>0</v>
      </c>
      <c r="V12" s="269">
        <f t="shared" si="16"/>
        <v>0</v>
      </c>
      <c r="W12" s="269">
        <f t="shared" si="17"/>
        <v>0</v>
      </c>
      <c r="X12" s="269">
        <f t="shared" si="18"/>
        <v>0</v>
      </c>
      <c r="Y12" s="270">
        <f t="shared" si="19"/>
        <v>0</v>
      </c>
      <c r="Z12" s="67"/>
      <c r="AA12" s="7"/>
      <c r="AB12" s="7"/>
      <c r="AC12" s="6">
        <f t="shared" si="20"/>
        <v>0</v>
      </c>
      <c r="AD12" s="31">
        <f t="shared" si="21"/>
        <v>0</v>
      </c>
      <c r="AE12" s="10"/>
      <c r="AF12" s="6">
        <f t="shared" si="22"/>
        <v>0</v>
      </c>
      <c r="AG12" s="6">
        <f t="shared" si="48"/>
        <v>0</v>
      </c>
      <c r="AH12" s="63">
        <f t="shared" si="23"/>
        <v>0</v>
      </c>
      <c r="AI12" s="73"/>
      <c r="AJ12" s="7"/>
      <c r="AK12" s="7"/>
      <c r="AL12" s="6">
        <f t="shared" si="7"/>
        <v>0</v>
      </c>
      <c r="AM12" s="31">
        <f t="shared" si="24"/>
        <v>0</v>
      </c>
      <c r="AN12" s="10"/>
      <c r="AO12" s="6">
        <f t="shared" si="25"/>
        <v>0</v>
      </c>
      <c r="AP12" s="6">
        <f t="shared" si="26"/>
        <v>0</v>
      </c>
      <c r="AQ12" s="63">
        <f t="shared" si="27"/>
        <v>0</v>
      </c>
      <c r="AR12" s="73"/>
      <c r="AS12" s="7"/>
      <c r="AT12" s="7"/>
      <c r="AU12" s="6">
        <f t="shared" si="8"/>
        <v>0</v>
      </c>
      <c r="AV12" s="31">
        <f t="shared" si="28"/>
        <v>0</v>
      </c>
      <c r="AW12" s="10"/>
      <c r="AX12" s="6">
        <f t="shared" si="29"/>
        <v>0</v>
      </c>
      <c r="AY12" s="6">
        <f t="shared" si="30"/>
        <v>0</v>
      </c>
      <c r="AZ12" s="63">
        <f t="shared" si="31"/>
        <v>0</v>
      </c>
      <c r="BA12" s="73"/>
      <c r="BB12" s="7"/>
      <c r="BC12" s="7"/>
      <c r="BD12" s="6">
        <f t="shared" si="9"/>
        <v>0</v>
      </c>
      <c r="BE12" s="31">
        <f t="shared" si="32"/>
        <v>0</v>
      </c>
      <c r="BF12" s="10"/>
      <c r="BG12" s="6">
        <f t="shared" si="33"/>
        <v>0</v>
      </c>
      <c r="BH12" s="6">
        <f t="shared" si="34"/>
        <v>0</v>
      </c>
      <c r="BI12" s="63">
        <f t="shared" si="35"/>
        <v>0</v>
      </c>
      <c r="BJ12" s="73"/>
      <c r="BK12" s="7"/>
      <c r="BL12" s="7"/>
      <c r="BM12" s="6">
        <f t="shared" si="36"/>
        <v>0</v>
      </c>
      <c r="BN12" s="31">
        <f t="shared" si="37"/>
        <v>0</v>
      </c>
      <c r="BO12" s="10"/>
      <c r="BP12" s="6">
        <f t="shared" si="38"/>
        <v>0</v>
      </c>
      <c r="BQ12" s="63">
        <f t="shared" si="39"/>
        <v>0</v>
      </c>
      <c r="BR12" s="73"/>
      <c r="BS12" s="7"/>
      <c r="BT12" s="7"/>
      <c r="BU12" s="6">
        <f t="shared" si="40"/>
        <v>0</v>
      </c>
      <c r="BV12" s="31">
        <f t="shared" si="41"/>
        <v>0</v>
      </c>
      <c r="BW12" s="10"/>
      <c r="BX12" s="6">
        <f t="shared" si="42"/>
        <v>0</v>
      </c>
      <c r="BY12" s="63">
        <f t="shared" si="43"/>
        <v>0</v>
      </c>
      <c r="BZ12" s="73"/>
      <c r="CA12" s="7"/>
      <c r="CB12" s="7"/>
      <c r="CC12" s="6">
        <f t="shared" si="44"/>
        <v>0</v>
      </c>
      <c r="CD12" s="31">
        <f t="shared" si="45"/>
        <v>0</v>
      </c>
      <c r="CE12" s="10"/>
      <c r="CF12" s="6">
        <f t="shared" si="46"/>
        <v>0</v>
      </c>
      <c r="CG12" s="21">
        <f t="shared" si="47"/>
        <v>0</v>
      </c>
    </row>
    <row r="13" spans="1:86" ht="19.5" customHeight="1" x14ac:dyDescent="0.25">
      <c r="A13" s="1346"/>
      <c r="B13" s="97" t="s">
        <v>183</v>
      </c>
      <c r="C13" s="580"/>
      <c r="D13" s="581" t="s">
        <v>332</v>
      </c>
      <c r="E13" s="53"/>
      <c r="F13" s="53"/>
      <c r="G13" s="53"/>
      <c r="H13" s="24">
        <f t="shared" si="49"/>
        <v>0</v>
      </c>
      <c r="I13" s="582">
        <f t="shared" si="2"/>
        <v>0</v>
      </c>
      <c r="J13" s="91"/>
      <c r="K13" s="262">
        <f t="shared" ref="K13:K20" si="50">IF($J13=15,$E13,0)</f>
        <v>0</v>
      </c>
      <c r="L13" s="262">
        <f t="shared" si="3"/>
        <v>0</v>
      </c>
      <c r="M13" s="262">
        <f t="shared" si="4"/>
        <v>0</v>
      </c>
      <c r="N13" s="262">
        <f t="shared" si="5"/>
        <v>0</v>
      </c>
      <c r="O13" s="262">
        <f t="shared" si="10"/>
        <v>0</v>
      </c>
      <c r="P13" s="262">
        <f t="shared" si="6"/>
        <v>0</v>
      </c>
      <c r="Q13" s="262">
        <f t="shared" si="11"/>
        <v>0</v>
      </c>
      <c r="R13" s="262">
        <f t="shared" si="12"/>
        <v>0</v>
      </c>
      <c r="S13" s="262">
        <f t="shared" si="13"/>
        <v>0</v>
      </c>
      <c r="T13" s="262">
        <f t="shared" si="14"/>
        <v>0</v>
      </c>
      <c r="U13" s="262">
        <f t="shared" si="15"/>
        <v>0</v>
      </c>
      <c r="V13" s="262">
        <f t="shared" si="16"/>
        <v>0</v>
      </c>
      <c r="W13" s="262">
        <f t="shared" si="17"/>
        <v>0</v>
      </c>
      <c r="X13" s="262">
        <f t="shared" si="18"/>
        <v>0</v>
      </c>
      <c r="Y13" s="263">
        <f t="shared" si="19"/>
        <v>0</v>
      </c>
      <c r="Z13" s="66"/>
      <c r="AA13" s="42"/>
      <c r="AB13" s="42"/>
      <c r="AC13" s="16">
        <f>Z13*0.97*AA13/1000</f>
        <v>0</v>
      </c>
      <c r="AD13" s="43">
        <f t="shared" si="21"/>
        <v>0</v>
      </c>
      <c r="AE13" s="15"/>
      <c r="AF13" s="16">
        <f t="shared" si="22"/>
        <v>0</v>
      </c>
      <c r="AG13" s="16">
        <f t="shared" si="48"/>
        <v>0</v>
      </c>
      <c r="AH13" s="62">
        <f t="shared" si="23"/>
        <v>0</v>
      </c>
      <c r="AI13" s="72"/>
      <c r="AJ13" s="42"/>
      <c r="AK13" s="42"/>
      <c r="AL13" s="16">
        <f t="shared" si="7"/>
        <v>0</v>
      </c>
      <c r="AM13" s="43">
        <f t="shared" si="24"/>
        <v>0</v>
      </c>
      <c r="AN13" s="15"/>
      <c r="AO13" s="16">
        <f t="shared" si="25"/>
        <v>0</v>
      </c>
      <c r="AP13" s="16">
        <f t="shared" si="26"/>
        <v>0</v>
      </c>
      <c r="AQ13" s="62">
        <f t="shared" si="27"/>
        <v>0</v>
      </c>
      <c r="AR13" s="72"/>
      <c r="AS13" s="42"/>
      <c r="AT13" s="42"/>
      <c r="AU13" s="16">
        <f t="shared" si="8"/>
        <v>0</v>
      </c>
      <c r="AV13" s="43">
        <f t="shared" si="28"/>
        <v>0</v>
      </c>
      <c r="AW13" s="15"/>
      <c r="AX13" s="16">
        <f t="shared" si="29"/>
        <v>0</v>
      </c>
      <c r="AY13" s="16">
        <f t="shared" si="30"/>
        <v>0</v>
      </c>
      <c r="AZ13" s="62">
        <f t="shared" si="31"/>
        <v>0</v>
      </c>
      <c r="BA13" s="72"/>
      <c r="BB13" s="42"/>
      <c r="BC13" s="42"/>
      <c r="BD13" s="16">
        <f t="shared" si="9"/>
        <v>0</v>
      </c>
      <c r="BE13" s="43">
        <f t="shared" si="32"/>
        <v>0</v>
      </c>
      <c r="BF13" s="15"/>
      <c r="BG13" s="16">
        <f t="shared" si="33"/>
        <v>0</v>
      </c>
      <c r="BH13" s="16">
        <f t="shared" si="34"/>
        <v>0</v>
      </c>
      <c r="BI13" s="62">
        <f t="shared" si="35"/>
        <v>0</v>
      </c>
      <c r="BJ13" s="72"/>
      <c r="BK13" s="42"/>
      <c r="BL13" s="42"/>
      <c r="BM13" s="16">
        <f t="shared" si="36"/>
        <v>0</v>
      </c>
      <c r="BN13" s="43">
        <f t="shared" si="37"/>
        <v>0</v>
      </c>
      <c r="BO13" s="15"/>
      <c r="BP13" s="16">
        <f t="shared" si="38"/>
        <v>0</v>
      </c>
      <c r="BQ13" s="62">
        <f t="shared" si="39"/>
        <v>0</v>
      </c>
      <c r="BR13" s="72"/>
      <c r="BS13" s="42"/>
      <c r="BT13" s="42"/>
      <c r="BU13" s="16">
        <f t="shared" si="40"/>
        <v>0</v>
      </c>
      <c r="BV13" s="43">
        <f t="shared" si="41"/>
        <v>0</v>
      </c>
      <c r="BW13" s="15"/>
      <c r="BX13" s="16">
        <f t="shared" si="42"/>
        <v>0</v>
      </c>
      <c r="BY13" s="62">
        <f t="shared" si="43"/>
        <v>0</v>
      </c>
      <c r="BZ13" s="72"/>
      <c r="CA13" s="42"/>
      <c r="CB13" s="42"/>
      <c r="CC13" s="16">
        <f t="shared" si="44"/>
        <v>0</v>
      </c>
      <c r="CD13" s="43">
        <f t="shared" si="45"/>
        <v>0</v>
      </c>
      <c r="CE13" s="15"/>
      <c r="CF13" s="16">
        <f t="shared" si="46"/>
        <v>0</v>
      </c>
      <c r="CG13" s="20">
        <f t="shared" si="47"/>
        <v>0</v>
      </c>
    </row>
    <row r="14" spans="1:86" ht="19.5" customHeight="1" x14ac:dyDescent="0.25">
      <c r="A14" s="1346"/>
      <c r="B14" s="1338" t="s">
        <v>182</v>
      </c>
      <c r="C14" s="95"/>
      <c r="D14" s="47" t="s">
        <v>332</v>
      </c>
      <c r="E14" s="7"/>
      <c r="F14" s="7"/>
      <c r="G14" s="7"/>
      <c r="H14" s="6">
        <f>E14*F14/1000</f>
        <v>0</v>
      </c>
      <c r="I14" s="251">
        <f>E14*G14/1000</f>
        <v>0</v>
      </c>
      <c r="J14" s="256"/>
      <c r="K14" s="162">
        <f t="shared" si="50"/>
        <v>0</v>
      </c>
      <c r="L14" s="162">
        <f t="shared" si="3"/>
        <v>0</v>
      </c>
      <c r="M14" s="162">
        <f t="shared" si="4"/>
        <v>0</v>
      </c>
      <c r="N14" s="162">
        <f t="shared" si="5"/>
        <v>0</v>
      </c>
      <c r="O14" s="162">
        <f t="shared" si="10"/>
        <v>0</v>
      </c>
      <c r="P14" s="162">
        <f t="shared" si="6"/>
        <v>0</v>
      </c>
      <c r="Q14" s="162">
        <f t="shared" si="11"/>
        <v>0</v>
      </c>
      <c r="R14" s="162">
        <f t="shared" si="12"/>
        <v>0</v>
      </c>
      <c r="S14" s="162">
        <f t="shared" si="13"/>
        <v>0</v>
      </c>
      <c r="T14" s="162">
        <f t="shared" si="14"/>
        <v>0</v>
      </c>
      <c r="U14" s="162">
        <f t="shared" si="15"/>
        <v>0</v>
      </c>
      <c r="V14" s="162">
        <f t="shared" si="16"/>
        <v>0</v>
      </c>
      <c r="W14" s="162">
        <f t="shared" si="17"/>
        <v>0</v>
      </c>
      <c r="X14" s="162">
        <f t="shared" si="18"/>
        <v>0</v>
      </c>
      <c r="Y14" s="268">
        <f t="shared" si="19"/>
        <v>0</v>
      </c>
      <c r="Z14" s="67"/>
      <c r="AA14" s="7"/>
      <c r="AB14" s="7"/>
      <c r="AC14" s="6">
        <f t="shared" si="20"/>
        <v>0</v>
      </c>
      <c r="AD14" s="31">
        <f t="shared" si="21"/>
        <v>0</v>
      </c>
      <c r="AE14" s="10"/>
      <c r="AF14" s="6">
        <f t="shared" si="22"/>
        <v>0</v>
      </c>
      <c r="AG14" s="6">
        <f t="shared" si="48"/>
        <v>0</v>
      </c>
      <c r="AH14" s="63">
        <f t="shared" si="23"/>
        <v>0</v>
      </c>
      <c r="AI14" s="73"/>
      <c r="AJ14" s="7"/>
      <c r="AK14" s="7"/>
      <c r="AL14" s="6">
        <f t="shared" si="7"/>
        <v>0</v>
      </c>
      <c r="AM14" s="31">
        <f t="shared" si="24"/>
        <v>0</v>
      </c>
      <c r="AN14" s="10"/>
      <c r="AO14" s="6">
        <f t="shared" si="25"/>
        <v>0</v>
      </c>
      <c r="AP14" s="6">
        <f t="shared" si="26"/>
        <v>0</v>
      </c>
      <c r="AQ14" s="63">
        <f t="shared" si="27"/>
        <v>0</v>
      </c>
      <c r="AR14" s="73"/>
      <c r="AS14" s="7"/>
      <c r="AT14" s="7"/>
      <c r="AU14" s="6">
        <f t="shared" si="8"/>
        <v>0</v>
      </c>
      <c r="AV14" s="31">
        <f t="shared" si="28"/>
        <v>0</v>
      </c>
      <c r="AW14" s="10"/>
      <c r="AX14" s="6">
        <f t="shared" si="29"/>
        <v>0</v>
      </c>
      <c r="AY14" s="6">
        <f t="shared" si="30"/>
        <v>0</v>
      </c>
      <c r="AZ14" s="63">
        <f t="shared" si="31"/>
        <v>0</v>
      </c>
      <c r="BA14" s="73"/>
      <c r="BB14" s="7"/>
      <c r="BC14" s="7"/>
      <c r="BD14" s="6">
        <f t="shared" si="9"/>
        <v>0</v>
      </c>
      <c r="BE14" s="31">
        <f t="shared" si="32"/>
        <v>0</v>
      </c>
      <c r="BF14" s="10"/>
      <c r="BG14" s="6">
        <f t="shared" si="33"/>
        <v>0</v>
      </c>
      <c r="BH14" s="6">
        <f t="shared" si="34"/>
        <v>0</v>
      </c>
      <c r="BI14" s="63">
        <f t="shared" si="35"/>
        <v>0</v>
      </c>
      <c r="BJ14" s="73"/>
      <c r="BK14" s="7"/>
      <c r="BL14" s="7"/>
      <c r="BM14" s="6">
        <f t="shared" si="36"/>
        <v>0</v>
      </c>
      <c r="BN14" s="31">
        <f t="shared" si="37"/>
        <v>0</v>
      </c>
      <c r="BO14" s="10"/>
      <c r="BP14" s="6">
        <f t="shared" si="38"/>
        <v>0</v>
      </c>
      <c r="BQ14" s="63">
        <f t="shared" si="39"/>
        <v>0</v>
      </c>
      <c r="BR14" s="73"/>
      <c r="BS14" s="7"/>
      <c r="BT14" s="7"/>
      <c r="BU14" s="6">
        <f t="shared" si="40"/>
        <v>0</v>
      </c>
      <c r="BV14" s="31">
        <f t="shared" si="41"/>
        <v>0</v>
      </c>
      <c r="BW14" s="10"/>
      <c r="BX14" s="6">
        <f t="shared" si="42"/>
        <v>0</v>
      </c>
      <c r="BY14" s="63">
        <f t="shared" si="43"/>
        <v>0</v>
      </c>
      <c r="BZ14" s="73"/>
      <c r="CA14" s="7"/>
      <c r="CB14" s="7"/>
      <c r="CC14" s="6">
        <f t="shared" si="44"/>
        <v>0</v>
      </c>
      <c r="CD14" s="31">
        <f t="shared" si="45"/>
        <v>0</v>
      </c>
      <c r="CE14" s="10"/>
      <c r="CF14" s="6">
        <f t="shared" si="46"/>
        <v>0</v>
      </c>
      <c r="CG14" s="21">
        <f t="shared" si="47"/>
        <v>0</v>
      </c>
    </row>
    <row r="15" spans="1:86" ht="19.5" customHeight="1" thickBot="1" x14ac:dyDescent="0.3">
      <c r="A15" s="1346"/>
      <c r="B15" s="1339"/>
      <c r="C15" s="96"/>
      <c r="D15" s="48" t="s">
        <v>332</v>
      </c>
      <c r="E15" s="44"/>
      <c r="F15" s="44"/>
      <c r="G15" s="44"/>
      <c r="H15" s="19">
        <f t="shared" si="49"/>
        <v>0</v>
      </c>
      <c r="I15" s="252">
        <f t="shared" si="2"/>
        <v>0</v>
      </c>
      <c r="J15" s="257"/>
      <c r="K15" s="264">
        <f t="shared" si="50"/>
        <v>0</v>
      </c>
      <c r="L15" s="264">
        <f t="shared" si="3"/>
        <v>0</v>
      </c>
      <c r="M15" s="264">
        <f t="shared" si="4"/>
        <v>0</v>
      </c>
      <c r="N15" s="264">
        <f t="shared" si="5"/>
        <v>0</v>
      </c>
      <c r="O15" s="264">
        <f t="shared" si="10"/>
        <v>0</v>
      </c>
      <c r="P15" s="264">
        <f t="shared" si="6"/>
        <v>0</v>
      </c>
      <c r="Q15" s="264">
        <f t="shared" si="11"/>
        <v>0</v>
      </c>
      <c r="R15" s="264">
        <f t="shared" si="12"/>
        <v>0</v>
      </c>
      <c r="S15" s="264">
        <f t="shared" si="13"/>
        <v>0</v>
      </c>
      <c r="T15" s="264">
        <f t="shared" si="14"/>
        <v>0</v>
      </c>
      <c r="U15" s="264">
        <f t="shared" si="15"/>
        <v>0</v>
      </c>
      <c r="V15" s="264">
        <f t="shared" si="16"/>
        <v>0</v>
      </c>
      <c r="W15" s="264">
        <f t="shared" si="17"/>
        <v>0</v>
      </c>
      <c r="X15" s="264">
        <f t="shared" si="18"/>
        <v>0</v>
      </c>
      <c r="Y15" s="265">
        <f t="shared" si="19"/>
        <v>0</v>
      </c>
      <c r="Z15" s="68"/>
      <c r="AA15" s="44"/>
      <c r="AB15" s="44"/>
      <c r="AC15" s="19">
        <f t="shared" si="20"/>
        <v>0</v>
      </c>
      <c r="AD15" s="45">
        <f t="shared" si="21"/>
        <v>0</v>
      </c>
      <c r="AE15" s="18"/>
      <c r="AF15" s="19">
        <f t="shared" si="22"/>
        <v>0</v>
      </c>
      <c r="AG15" s="19">
        <f t="shared" si="48"/>
        <v>0</v>
      </c>
      <c r="AH15" s="64">
        <f t="shared" si="23"/>
        <v>0</v>
      </c>
      <c r="AI15" s="74"/>
      <c r="AJ15" s="44"/>
      <c r="AK15" s="44"/>
      <c r="AL15" s="19">
        <f t="shared" si="7"/>
        <v>0</v>
      </c>
      <c r="AM15" s="45">
        <f t="shared" si="24"/>
        <v>0</v>
      </c>
      <c r="AN15" s="18"/>
      <c r="AO15" s="19">
        <f t="shared" si="25"/>
        <v>0</v>
      </c>
      <c r="AP15" s="19">
        <f t="shared" si="26"/>
        <v>0</v>
      </c>
      <c r="AQ15" s="64">
        <f t="shared" si="27"/>
        <v>0</v>
      </c>
      <c r="AR15" s="74"/>
      <c r="AS15" s="44"/>
      <c r="AT15" s="44"/>
      <c r="AU15" s="19">
        <f t="shared" si="8"/>
        <v>0</v>
      </c>
      <c r="AV15" s="45">
        <f t="shared" si="28"/>
        <v>0</v>
      </c>
      <c r="AW15" s="18"/>
      <c r="AX15" s="19">
        <f t="shared" si="29"/>
        <v>0</v>
      </c>
      <c r="AY15" s="19">
        <f t="shared" si="30"/>
        <v>0</v>
      </c>
      <c r="AZ15" s="64">
        <f t="shared" si="31"/>
        <v>0</v>
      </c>
      <c r="BA15" s="74"/>
      <c r="BB15" s="44"/>
      <c r="BC15" s="44"/>
      <c r="BD15" s="19">
        <f t="shared" si="9"/>
        <v>0</v>
      </c>
      <c r="BE15" s="45">
        <f t="shared" si="32"/>
        <v>0</v>
      </c>
      <c r="BF15" s="18"/>
      <c r="BG15" s="19">
        <f t="shared" si="33"/>
        <v>0</v>
      </c>
      <c r="BH15" s="19">
        <f t="shared" si="34"/>
        <v>0</v>
      </c>
      <c r="BI15" s="64">
        <f t="shared" si="35"/>
        <v>0</v>
      </c>
      <c r="BJ15" s="74"/>
      <c r="BK15" s="44"/>
      <c r="BL15" s="44"/>
      <c r="BM15" s="19">
        <f t="shared" si="36"/>
        <v>0</v>
      </c>
      <c r="BN15" s="45">
        <f t="shared" si="37"/>
        <v>0</v>
      </c>
      <c r="BO15" s="18"/>
      <c r="BP15" s="19">
        <f t="shared" si="38"/>
        <v>0</v>
      </c>
      <c r="BQ15" s="64">
        <f t="shared" si="39"/>
        <v>0</v>
      </c>
      <c r="BR15" s="74"/>
      <c r="BS15" s="44"/>
      <c r="BT15" s="44"/>
      <c r="BU15" s="19">
        <f t="shared" si="40"/>
        <v>0</v>
      </c>
      <c r="BV15" s="45">
        <f t="shared" si="41"/>
        <v>0</v>
      </c>
      <c r="BW15" s="18"/>
      <c r="BX15" s="19">
        <f t="shared" si="42"/>
        <v>0</v>
      </c>
      <c r="BY15" s="64">
        <f t="shared" si="43"/>
        <v>0</v>
      </c>
      <c r="BZ15" s="74"/>
      <c r="CA15" s="44"/>
      <c r="CB15" s="44"/>
      <c r="CC15" s="19">
        <f t="shared" si="44"/>
        <v>0</v>
      </c>
      <c r="CD15" s="45">
        <f t="shared" si="45"/>
        <v>0</v>
      </c>
      <c r="CE15" s="18"/>
      <c r="CF15" s="19">
        <f t="shared" si="46"/>
        <v>0</v>
      </c>
      <c r="CG15" s="22">
        <f t="shared" si="47"/>
        <v>0</v>
      </c>
    </row>
    <row r="16" spans="1:86" ht="19.5" customHeight="1" x14ac:dyDescent="0.25">
      <c r="A16" s="1346"/>
      <c r="B16" s="97" t="s">
        <v>183</v>
      </c>
      <c r="C16" s="94"/>
      <c r="D16" s="243" t="s">
        <v>334</v>
      </c>
      <c r="E16" s="244"/>
      <c r="F16" s="244"/>
      <c r="G16" s="244"/>
      <c r="H16" s="16">
        <f t="shared" si="49"/>
        <v>0</v>
      </c>
      <c r="I16" s="250">
        <f t="shared" si="2"/>
        <v>0</v>
      </c>
      <c r="J16" s="258"/>
      <c r="K16" s="266">
        <f t="shared" si="50"/>
        <v>0</v>
      </c>
      <c r="L16" s="266">
        <f t="shared" si="3"/>
        <v>0</v>
      </c>
      <c r="M16" s="266">
        <f t="shared" si="4"/>
        <v>0</v>
      </c>
      <c r="N16" s="266">
        <f t="shared" si="5"/>
        <v>0</v>
      </c>
      <c r="O16" s="266">
        <f t="shared" si="10"/>
        <v>0</v>
      </c>
      <c r="P16" s="266">
        <f t="shared" si="6"/>
        <v>0</v>
      </c>
      <c r="Q16" s="266">
        <f t="shared" si="11"/>
        <v>0</v>
      </c>
      <c r="R16" s="266">
        <f t="shared" si="12"/>
        <v>0</v>
      </c>
      <c r="S16" s="266">
        <f t="shared" si="13"/>
        <v>0</v>
      </c>
      <c r="T16" s="266">
        <f t="shared" si="14"/>
        <v>0</v>
      </c>
      <c r="U16" s="266">
        <f t="shared" si="15"/>
        <v>0</v>
      </c>
      <c r="V16" s="266">
        <f t="shared" si="16"/>
        <v>0</v>
      </c>
      <c r="W16" s="266">
        <f t="shared" si="17"/>
        <v>0</v>
      </c>
      <c r="X16" s="266">
        <f t="shared" si="18"/>
        <v>0</v>
      </c>
      <c r="Y16" s="267">
        <f t="shared" si="19"/>
        <v>0</v>
      </c>
      <c r="Z16" s="89"/>
      <c r="AA16" s="76"/>
      <c r="AB16" s="76"/>
      <c r="AC16" s="76">
        <f t="shared" si="20"/>
        <v>0</v>
      </c>
      <c r="AD16" s="76">
        <f t="shared" si="21"/>
        <v>0</v>
      </c>
      <c r="AE16" s="76"/>
      <c r="AF16" s="76">
        <f t="shared" si="22"/>
        <v>0</v>
      </c>
      <c r="AG16" s="76">
        <f t="shared" si="48"/>
        <v>0</v>
      </c>
      <c r="AH16" s="87">
        <f t="shared" si="23"/>
        <v>0</v>
      </c>
      <c r="AI16" s="84"/>
      <c r="AJ16" s="76"/>
      <c r="AK16" s="76"/>
      <c r="AL16" s="76">
        <f t="shared" si="7"/>
        <v>0</v>
      </c>
      <c r="AM16" s="76">
        <f t="shared" si="24"/>
        <v>0</v>
      </c>
      <c r="AN16" s="76"/>
      <c r="AO16" s="76">
        <f t="shared" si="25"/>
        <v>0</v>
      </c>
      <c r="AP16" s="76">
        <f t="shared" si="26"/>
        <v>0</v>
      </c>
      <c r="AQ16" s="87">
        <f t="shared" si="27"/>
        <v>0</v>
      </c>
      <c r="AR16" s="84"/>
      <c r="AS16" s="76"/>
      <c r="AT16" s="76"/>
      <c r="AU16" s="76">
        <f t="shared" si="8"/>
        <v>0</v>
      </c>
      <c r="AV16" s="76">
        <f t="shared" si="28"/>
        <v>0</v>
      </c>
      <c r="AW16" s="76"/>
      <c r="AX16" s="76">
        <f t="shared" si="29"/>
        <v>0</v>
      </c>
      <c r="AY16" s="76">
        <f t="shared" si="30"/>
        <v>0</v>
      </c>
      <c r="AZ16" s="87">
        <f t="shared" si="31"/>
        <v>0</v>
      </c>
      <c r="BA16" s="84"/>
      <c r="BB16" s="76"/>
      <c r="BC16" s="76"/>
      <c r="BD16" s="76">
        <f t="shared" si="9"/>
        <v>0</v>
      </c>
      <c r="BE16" s="76">
        <f t="shared" si="32"/>
        <v>0</v>
      </c>
      <c r="BF16" s="76"/>
      <c r="BG16" s="76">
        <f t="shared" si="33"/>
        <v>0</v>
      </c>
      <c r="BH16" s="76">
        <f t="shared" si="34"/>
        <v>0</v>
      </c>
      <c r="BI16" s="87">
        <f t="shared" si="35"/>
        <v>0</v>
      </c>
      <c r="BJ16" s="84"/>
      <c r="BK16" s="76"/>
      <c r="BL16" s="76"/>
      <c r="BM16" s="76">
        <f t="shared" si="36"/>
        <v>0</v>
      </c>
      <c r="BN16" s="76">
        <f t="shared" si="37"/>
        <v>0</v>
      </c>
      <c r="BO16" s="76"/>
      <c r="BP16" s="76">
        <f t="shared" si="38"/>
        <v>0</v>
      </c>
      <c r="BQ16" s="87">
        <f t="shared" si="39"/>
        <v>0</v>
      </c>
      <c r="BR16" s="84"/>
      <c r="BS16" s="76"/>
      <c r="BT16" s="76"/>
      <c r="BU16" s="76">
        <f t="shared" si="40"/>
        <v>0</v>
      </c>
      <c r="BV16" s="76">
        <f t="shared" si="41"/>
        <v>0</v>
      </c>
      <c r="BW16" s="76"/>
      <c r="BX16" s="76">
        <f t="shared" si="42"/>
        <v>0</v>
      </c>
      <c r="BY16" s="87">
        <f t="shared" si="43"/>
        <v>0</v>
      </c>
      <c r="BZ16" s="84"/>
      <c r="CA16" s="76"/>
      <c r="CB16" s="76"/>
      <c r="CC16" s="76">
        <f t="shared" si="44"/>
        <v>0</v>
      </c>
      <c r="CD16" s="76">
        <f t="shared" si="45"/>
        <v>0</v>
      </c>
      <c r="CE16" s="76"/>
      <c r="CF16" s="76">
        <f t="shared" si="46"/>
        <v>0</v>
      </c>
      <c r="CG16" s="85">
        <f t="shared" si="47"/>
        <v>0</v>
      </c>
    </row>
    <row r="17" spans="1:85" ht="19.5" customHeight="1" x14ac:dyDescent="0.25">
      <c r="A17" s="1346"/>
      <c r="B17" s="1338" t="s">
        <v>182</v>
      </c>
      <c r="C17" s="95"/>
      <c r="D17" s="245" t="s">
        <v>334</v>
      </c>
      <c r="E17" s="246"/>
      <c r="F17" s="246"/>
      <c r="G17" s="246"/>
      <c r="H17" s="6">
        <f>E17*F17/1000</f>
        <v>0</v>
      </c>
      <c r="I17" s="251">
        <f>E17*G17/1000</f>
        <v>0</v>
      </c>
      <c r="J17" s="256"/>
      <c r="K17" s="162">
        <f t="shared" si="50"/>
        <v>0</v>
      </c>
      <c r="L17" s="162">
        <f t="shared" si="3"/>
        <v>0</v>
      </c>
      <c r="M17" s="162">
        <f t="shared" si="4"/>
        <v>0</v>
      </c>
      <c r="N17" s="162">
        <f t="shared" si="5"/>
        <v>0</v>
      </c>
      <c r="O17" s="162">
        <f t="shared" si="10"/>
        <v>0</v>
      </c>
      <c r="P17" s="162">
        <f t="shared" si="6"/>
        <v>0</v>
      </c>
      <c r="Q17" s="162">
        <f t="shared" si="11"/>
        <v>0</v>
      </c>
      <c r="R17" s="162">
        <f t="shared" si="12"/>
        <v>0</v>
      </c>
      <c r="S17" s="162">
        <f t="shared" si="13"/>
        <v>0</v>
      </c>
      <c r="T17" s="162">
        <f t="shared" si="14"/>
        <v>0</v>
      </c>
      <c r="U17" s="162">
        <f t="shared" si="15"/>
        <v>0</v>
      </c>
      <c r="V17" s="162">
        <f t="shared" si="16"/>
        <v>0</v>
      </c>
      <c r="W17" s="162">
        <f t="shared" si="17"/>
        <v>0</v>
      </c>
      <c r="X17" s="162">
        <f t="shared" si="18"/>
        <v>0</v>
      </c>
      <c r="Y17" s="268">
        <f t="shared" si="19"/>
        <v>0</v>
      </c>
      <c r="Z17" s="70"/>
      <c r="AA17" s="50"/>
      <c r="AB17" s="50"/>
      <c r="AC17" s="50">
        <f t="shared" si="20"/>
        <v>0</v>
      </c>
      <c r="AD17" s="50">
        <f t="shared" si="21"/>
        <v>0</v>
      </c>
      <c r="AE17" s="50"/>
      <c r="AF17" s="50">
        <f t="shared" si="22"/>
        <v>0</v>
      </c>
      <c r="AG17" s="50">
        <f t="shared" si="48"/>
        <v>0</v>
      </c>
      <c r="AH17" s="65">
        <f t="shared" si="23"/>
        <v>0</v>
      </c>
      <c r="AI17" s="75"/>
      <c r="AJ17" s="50"/>
      <c r="AK17" s="50"/>
      <c r="AL17" s="50">
        <f t="shared" si="7"/>
        <v>0</v>
      </c>
      <c r="AM17" s="50">
        <f t="shared" si="24"/>
        <v>0</v>
      </c>
      <c r="AN17" s="50"/>
      <c r="AO17" s="50">
        <f t="shared" si="25"/>
        <v>0</v>
      </c>
      <c r="AP17" s="50">
        <f t="shared" si="26"/>
        <v>0</v>
      </c>
      <c r="AQ17" s="65">
        <f t="shared" si="27"/>
        <v>0</v>
      </c>
      <c r="AR17" s="75"/>
      <c r="AS17" s="50"/>
      <c r="AT17" s="50"/>
      <c r="AU17" s="50">
        <f t="shared" si="8"/>
        <v>0</v>
      </c>
      <c r="AV17" s="50">
        <f t="shared" si="28"/>
        <v>0</v>
      </c>
      <c r="AW17" s="50"/>
      <c r="AX17" s="50">
        <f t="shared" si="29"/>
        <v>0</v>
      </c>
      <c r="AY17" s="50">
        <f t="shared" si="30"/>
        <v>0</v>
      </c>
      <c r="AZ17" s="65">
        <f t="shared" si="31"/>
        <v>0</v>
      </c>
      <c r="BA17" s="75"/>
      <c r="BB17" s="50"/>
      <c r="BC17" s="50"/>
      <c r="BD17" s="50">
        <f t="shared" si="9"/>
        <v>0</v>
      </c>
      <c r="BE17" s="50">
        <f t="shared" si="32"/>
        <v>0</v>
      </c>
      <c r="BF17" s="50"/>
      <c r="BG17" s="50">
        <f t="shared" si="33"/>
        <v>0</v>
      </c>
      <c r="BH17" s="50">
        <f t="shared" si="34"/>
        <v>0</v>
      </c>
      <c r="BI17" s="65">
        <f t="shared" si="35"/>
        <v>0</v>
      </c>
      <c r="BJ17" s="75"/>
      <c r="BK17" s="50"/>
      <c r="BL17" s="50"/>
      <c r="BM17" s="50">
        <f t="shared" si="36"/>
        <v>0</v>
      </c>
      <c r="BN17" s="50">
        <f t="shared" si="37"/>
        <v>0</v>
      </c>
      <c r="BO17" s="50"/>
      <c r="BP17" s="50">
        <f t="shared" si="38"/>
        <v>0</v>
      </c>
      <c r="BQ17" s="65">
        <f t="shared" si="39"/>
        <v>0</v>
      </c>
      <c r="BR17" s="75"/>
      <c r="BS17" s="50"/>
      <c r="BT17" s="50"/>
      <c r="BU17" s="50">
        <f t="shared" si="40"/>
        <v>0</v>
      </c>
      <c r="BV17" s="50">
        <f t="shared" si="41"/>
        <v>0</v>
      </c>
      <c r="BW17" s="50"/>
      <c r="BX17" s="50">
        <f t="shared" si="42"/>
        <v>0</v>
      </c>
      <c r="BY17" s="65">
        <f t="shared" si="43"/>
        <v>0</v>
      </c>
      <c r="BZ17" s="75"/>
      <c r="CA17" s="50"/>
      <c r="CB17" s="50"/>
      <c r="CC17" s="50">
        <f t="shared" si="44"/>
        <v>0</v>
      </c>
      <c r="CD17" s="50">
        <f t="shared" si="45"/>
        <v>0</v>
      </c>
      <c r="CE17" s="50"/>
      <c r="CF17" s="50">
        <f t="shared" si="46"/>
        <v>0</v>
      </c>
      <c r="CG17" s="51">
        <f t="shared" si="47"/>
        <v>0</v>
      </c>
    </row>
    <row r="18" spans="1:85" ht="19.5" customHeight="1" thickBot="1" x14ac:dyDescent="0.3">
      <c r="A18" s="1346"/>
      <c r="B18" s="1339"/>
      <c r="C18" s="96"/>
      <c r="D18" s="247" t="s">
        <v>334</v>
      </c>
      <c r="E18" s="248"/>
      <c r="F18" s="248"/>
      <c r="G18" s="248"/>
      <c r="H18" s="19">
        <f t="shared" si="49"/>
        <v>0</v>
      </c>
      <c r="I18" s="252">
        <f t="shared" si="2"/>
        <v>0</v>
      </c>
      <c r="J18" s="259"/>
      <c r="K18" s="269">
        <f t="shared" si="50"/>
        <v>0</v>
      </c>
      <c r="L18" s="269">
        <f t="shared" si="3"/>
        <v>0</v>
      </c>
      <c r="M18" s="269">
        <f t="shared" si="4"/>
        <v>0</v>
      </c>
      <c r="N18" s="269">
        <f t="shared" si="5"/>
        <v>0</v>
      </c>
      <c r="O18" s="269">
        <f t="shared" si="10"/>
        <v>0</v>
      </c>
      <c r="P18" s="269">
        <f t="shared" si="6"/>
        <v>0</v>
      </c>
      <c r="Q18" s="269">
        <f t="shared" si="11"/>
        <v>0</v>
      </c>
      <c r="R18" s="269">
        <f t="shared" si="12"/>
        <v>0</v>
      </c>
      <c r="S18" s="269">
        <f t="shared" si="13"/>
        <v>0</v>
      </c>
      <c r="T18" s="269">
        <f t="shared" si="14"/>
        <v>0</v>
      </c>
      <c r="U18" s="269">
        <f t="shared" si="15"/>
        <v>0</v>
      </c>
      <c r="V18" s="269">
        <f t="shared" si="16"/>
        <v>0</v>
      </c>
      <c r="W18" s="269">
        <f t="shared" si="17"/>
        <v>0</v>
      </c>
      <c r="X18" s="269">
        <f t="shared" si="18"/>
        <v>0</v>
      </c>
      <c r="Y18" s="270">
        <f t="shared" si="19"/>
        <v>0</v>
      </c>
      <c r="Z18" s="90"/>
      <c r="AA18" s="83"/>
      <c r="AB18" s="83"/>
      <c r="AC18" s="83">
        <f t="shared" si="20"/>
        <v>0</v>
      </c>
      <c r="AD18" s="83">
        <f t="shared" si="21"/>
        <v>0</v>
      </c>
      <c r="AE18" s="83"/>
      <c r="AF18" s="83">
        <f t="shared" si="22"/>
        <v>0</v>
      </c>
      <c r="AG18" s="83">
        <f t="shared" si="48"/>
        <v>0</v>
      </c>
      <c r="AH18" s="88">
        <f t="shared" si="23"/>
        <v>0</v>
      </c>
      <c r="AI18" s="82"/>
      <c r="AJ18" s="83"/>
      <c r="AK18" s="83"/>
      <c r="AL18" s="83">
        <f t="shared" si="7"/>
        <v>0</v>
      </c>
      <c r="AM18" s="83">
        <f t="shared" si="24"/>
        <v>0</v>
      </c>
      <c r="AN18" s="83"/>
      <c r="AO18" s="83">
        <f t="shared" si="25"/>
        <v>0</v>
      </c>
      <c r="AP18" s="83">
        <f t="shared" si="26"/>
        <v>0</v>
      </c>
      <c r="AQ18" s="88">
        <f t="shared" si="27"/>
        <v>0</v>
      </c>
      <c r="AR18" s="82"/>
      <c r="AS18" s="83"/>
      <c r="AT18" s="83"/>
      <c r="AU18" s="83">
        <f t="shared" si="8"/>
        <v>0</v>
      </c>
      <c r="AV18" s="83">
        <f t="shared" si="28"/>
        <v>0</v>
      </c>
      <c r="AW18" s="83"/>
      <c r="AX18" s="83">
        <f t="shared" si="29"/>
        <v>0</v>
      </c>
      <c r="AY18" s="83">
        <f t="shared" si="30"/>
        <v>0</v>
      </c>
      <c r="AZ18" s="88">
        <f t="shared" si="31"/>
        <v>0</v>
      </c>
      <c r="BA18" s="82"/>
      <c r="BB18" s="83"/>
      <c r="BC18" s="83"/>
      <c r="BD18" s="83">
        <f t="shared" si="9"/>
        <v>0</v>
      </c>
      <c r="BE18" s="83">
        <f t="shared" si="32"/>
        <v>0</v>
      </c>
      <c r="BF18" s="83"/>
      <c r="BG18" s="83">
        <f t="shared" si="33"/>
        <v>0</v>
      </c>
      <c r="BH18" s="83">
        <f t="shared" si="34"/>
        <v>0</v>
      </c>
      <c r="BI18" s="88">
        <f t="shared" si="35"/>
        <v>0</v>
      </c>
      <c r="BJ18" s="82"/>
      <c r="BK18" s="83"/>
      <c r="BL18" s="83"/>
      <c r="BM18" s="83">
        <f t="shared" si="36"/>
        <v>0</v>
      </c>
      <c r="BN18" s="83">
        <f t="shared" si="37"/>
        <v>0</v>
      </c>
      <c r="BO18" s="83"/>
      <c r="BP18" s="83">
        <f t="shared" si="38"/>
        <v>0</v>
      </c>
      <c r="BQ18" s="88">
        <f t="shared" si="39"/>
        <v>0</v>
      </c>
      <c r="BR18" s="82"/>
      <c r="BS18" s="83"/>
      <c r="BT18" s="83"/>
      <c r="BU18" s="83">
        <f t="shared" si="40"/>
        <v>0</v>
      </c>
      <c r="BV18" s="83">
        <f t="shared" si="41"/>
        <v>0</v>
      </c>
      <c r="BW18" s="83"/>
      <c r="BX18" s="83">
        <f t="shared" si="42"/>
        <v>0</v>
      </c>
      <c r="BY18" s="88">
        <f t="shared" si="43"/>
        <v>0</v>
      </c>
      <c r="BZ18" s="82"/>
      <c r="CA18" s="83"/>
      <c r="CB18" s="83"/>
      <c r="CC18" s="83">
        <f t="shared" si="44"/>
        <v>0</v>
      </c>
      <c r="CD18" s="83">
        <f t="shared" si="45"/>
        <v>0</v>
      </c>
      <c r="CE18" s="83"/>
      <c r="CF18" s="83">
        <f t="shared" si="46"/>
        <v>0</v>
      </c>
      <c r="CG18" s="86">
        <f t="shared" si="47"/>
        <v>0</v>
      </c>
    </row>
    <row r="19" spans="1:85" ht="19.5" customHeight="1" x14ac:dyDescent="0.25">
      <c r="A19" s="1346"/>
      <c r="B19" s="97" t="s">
        <v>183</v>
      </c>
      <c r="C19" s="94"/>
      <c r="D19" s="46" t="s">
        <v>333</v>
      </c>
      <c r="E19" s="42"/>
      <c r="F19" s="42"/>
      <c r="G19" s="42"/>
      <c r="H19" s="16">
        <f t="shared" si="49"/>
        <v>0</v>
      </c>
      <c r="I19" s="250">
        <f t="shared" si="2"/>
        <v>0</v>
      </c>
      <c r="J19" s="260"/>
      <c r="K19" s="262">
        <f t="shared" si="50"/>
        <v>0</v>
      </c>
      <c r="L19" s="262">
        <f t="shared" si="3"/>
        <v>0</v>
      </c>
      <c r="M19" s="262">
        <f t="shared" si="4"/>
        <v>0</v>
      </c>
      <c r="N19" s="262">
        <f t="shared" si="5"/>
        <v>0</v>
      </c>
      <c r="O19" s="262">
        <f t="shared" si="10"/>
        <v>0</v>
      </c>
      <c r="P19" s="262">
        <f t="shared" si="6"/>
        <v>0</v>
      </c>
      <c r="Q19" s="262">
        <f t="shared" si="11"/>
        <v>0</v>
      </c>
      <c r="R19" s="262">
        <f t="shared" si="12"/>
        <v>0</v>
      </c>
      <c r="S19" s="262">
        <f t="shared" si="13"/>
        <v>0</v>
      </c>
      <c r="T19" s="262">
        <f t="shared" si="14"/>
        <v>0</v>
      </c>
      <c r="U19" s="262">
        <f t="shared" si="15"/>
        <v>0</v>
      </c>
      <c r="V19" s="262">
        <f t="shared" si="16"/>
        <v>0</v>
      </c>
      <c r="W19" s="262">
        <f t="shared" si="17"/>
        <v>0</v>
      </c>
      <c r="X19" s="262">
        <f t="shared" si="18"/>
        <v>0</v>
      </c>
      <c r="Y19" s="263">
        <f t="shared" si="19"/>
        <v>0</v>
      </c>
      <c r="Z19" s="66"/>
      <c r="AA19" s="42"/>
      <c r="AB19" s="42"/>
      <c r="AC19" s="16">
        <f>Z19*0.97*AA19/1000</f>
        <v>0</v>
      </c>
      <c r="AD19" s="43">
        <f>Z19*0.97*AB19/1000</f>
        <v>0</v>
      </c>
      <c r="AE19" s="15"/>
      <c r="AF19" s="16">
        <f t="shared" si="22"/>
        <v>0</v>
      </c>
      <c r="AG19" s="16">
        <f t="shared" si="48"/>
        <v>0</v>
      </c>
      <c r="AH19" s="62">
        <f t="shared" si="23"/>
        <v>0</v>
      </c>
      <c r="AI19" s="72"/>
      <c r="AJ19" s="42"/>
      <c r="AK19" s="42"/>
      <c r="AL19" s="16">
        <f t="shared" si="7"/>
        <v>0</v>
      </c>
      <c r="AM19" s="43">
        <f>AI19*0.97*AK19/1000</f>
        <v>0</v>
      </c>
      <c r="AN19" s="15"/>
      <c r="AO19" s="16">
        <f t="shared" si="25"/>
        <v>0</v>
      </c>
      <c r="AP19" s="16">
        <f t="shared" si="26"/>
        <v>0</v>
      </c>
      <c r="AQ19" s="62">
        <f t="shared" si="27"/>
        <v>0</v>
      </c>
      <c r="AR19" s="72"/>
      <c r="AS19" s="42"/>
      <c r="AT19" s="42"/>
      <c r="AU19" s="16">
        <f t="shared" si="8"/>
        <v>0</v>
      </c>
      <c r="AV19" s="43">
        <f>AR19*0.97*AT19/1000</f>
        <v>0</v>
      </c>
      <c r="AW19" s="15"/>
      <c r="AX19" s="16">
        <f t="shared" si="29"/>
        <v>0</v>
      </c>
      <c r="AY19" s="16">
        <f t="shared" si="30"/>
        <v>0</v>
      </c>
      <c r="AZ19" s="62">
        <f t="shared" si="31"/>
        <v>0</v>
      </c>
      <c r="BA19" s="72"/>
      <c r="BB19" s="42"/>
      <c r="BC19" s="42"/>
      <c r="BD19" s="16">
        <f t="shared" si="9"/>
        <v>0</v>
      </c>
      <c r="BE19" s="43">
        <f>BA19*0.97*BC19/1000</f>
        <v>0</v>
      </c>
      <c r="BF19" s="15"/>
      <c r="BG19" s="16">
        <f t="shared" si="33"/>
        <v>0</v>
      </c>
      <c r="BH19" s="16">
        <f t="shared" si="34"/>
        <v>0</v>
      </c>
      <c r="BI19" s="62">
        <f t="shared" si="35"/>
        <v>0</v>
      </c>
      <c r="BJ19" s="72"/>
      <c r="BK19" s="42"/>
      <c r="BL19" s="42"/>
      <c r="BM19" s="16">
        <f t="shared" si="36"/>
        <v>0</v>
      </c>
      <c r="BN19" s="43">
        <f t="shared" si="37"/>
        <v>0</v>
      </c>
      <c r="BO19" s="15"/>
      <c r="BP19" s="16">
        <f t="shared" si="38"/>
        <v>0</v>
      </c>
      <c r="BQ19" s="62">
        <f t="shared" si="39"/>
        <v>0</v>
      </c>
      <c r="BR19" s="72"/>
      <c r="BS19" s="42"/>
      <c r="BT19" s="42"/>
      <c r="BU19" s="16">
        <f t="shared" si="40"/>
        <v>0</v>
      </c>
      <c r="BV19" s="43">
        <f t="shared" si="41"/>
        <v>0</v>
      </c>
      <c r="BW19" s="15"/>
      <c r="BX19" s="16">
        <f t="shared" si="42"/>
        <v>0</v>
      </c>
      <c r="BY19" s="62">
        <f t="shared" si="43"/>
        <v>0</v>
      </c>
      <c r="BZ19" s="72"/>
      <c r="CA19" s="42"/>
      <c r="CB19" s="42"/>
      <c r="CC19" s="16">
        <f t="shared" si="44"/>
        <v>0</v>
      </c>
      <c r="CD19" s="43">
        <f t="shared" si="45"/>
        <v>0</v>
      </c>
      <c r="CE19" s="15"/>
      <c r="CF19" s="16">
        <f t="shared" si="46"/>
        <v>0</v>
      </c>
      <c r="CG19" s="20">
        <f t="shared" si="47"/>
        <v>0</v>
      </c>
    </row>
    <row r="20" spans="1:85" ht="19.5" customHeight="1" thickBot="1" x14ac:dyDescent="0.3">
      <c r="A20" s="1346"/>
      <c r="B20" s="98" t="s">
        <v>182</v>
      </c>
      <c r="C20" s="95"/>
      <c r="D20" s="47" t="s">
        <v>333</v>
      </c>
      <c r="E20" s="7"/>
      <c r="F20" s="7"/>
      <c r="G20" s="7"/>
      <c r="H20" s="6">
        <f>E20*F20/1000</f>
        <v>0</v>
      </c>
      <c r="I20" s="251">
        <f>E20*G20/1000</f>
        <v>0</v>
      </c>
      <c r="J20" s="257"/>
      <c r="K20" s="264">
        <f t="shared" si="50"/>
        <v>0</v>
      </c>
      <c r="L20" s="264">
        <f t="shared" si="3"/>
        <v>0</v>
      </c>
      <c r="M20" s="264">
        <f t="shared" si="4"/>
        <v>0</v>
      </c>
      <c r="N20" s="264">
        <f t="shared" si="5"/>
        <v>0</v>
      </c>
      <c r="O20" s="264">
        <f t="shared" si="10"/>
        <v>0</v>
      </c>
      <c r="P20" s="264">
        <f t="shared" si="6"/>
        <v>0</v>
      </c>
      <c r="Q20" s="264">
        <f t="shared" si="11"/>
        <v>0</v>
      </c>
      <c r="R20" s="264">
        <f t="shared" si="12"/>
        <v>0</v>
      </c>
      <c r="S20" s="264">
        <f t="shared" si="13"/>
        <v>0</v>
      </c>
      <c r="T20" s="264">
        <f t="shared" si="14"/>
        <v>0</v>
      </c>
      <c r="U20" s="264">
        <f t="shared" si="15"/>
        <v>0</v>
      </c>
      <c r="V20" s="264">
        <f t="shared" si="16"/>
        <v>0</v>
      </c>
      <c r="W20" s="264">
        <f t="shared" si="17"/>
        <v>0</v>
      </c>
      <c r="X20" s="264">
        <f t="shared" si="18"/>
        <v>0</v>
      </c>
      <c r="Y20" s="265">
        <f t="shared" si="19"/>
        <v>0</v>
      </c>
      <c r="Z20" s="68"/>
      <c r="AA20" s="44"/>
      <c r="AB20" s="44"/>
      <c r="AC20" s="19">
        <f>Z20*0.97*AA20/1000</f>
        <v>0</v>
      </c>
      <c r="AD20" s="45">
        <f>Z20*0.97*AB20/1000</f>
        <v>0</v>
      </c>
      <c r="AE20" s="18"/>
      <c r="AF20" s="19">
        <f t="shared" si="22"/>
        <v>0</v>
      </c>
      <c r="AG20" s="19">
        <f t="shared" si="48"/>
        <v>0</v>
      </c>
      <c r="AH20" s="64">
        <f t="shared" si="23"/>
        <v>0</v>
      </c>
      <c r="AI20" s="74"/>
      <c r="AJ20" s="44"/>
      <c r="AK20" s="44"/>
      <c r="AL20" s="19">
        <f t="shared" si="7"/>
        <v>0</v>
      </c>
      <c r="AM20" s="45">
        <f>AI20*0.97*AK20/1000</f>
        <v>0</v>
      </c>
      <c r="AN20" s="18"/>
      <c r="AO20" s="19">
        <f t="shared" si="25"/>
        <v>0</v>
      </c>
      <c r="AP20" s="19">
        <f t="shared" si="26"/>
        <v>0</v>
      </c>
      <c r="AQ20" s="64">
        <f t="shared" si="27"/>
        <v>0</v>
      </c>
      <c r="AR20" s="74"/>
      <c r="AS20" s="44"/>
      <c r="AT20" s="44"/>
      <c r="AU20" s="19">
        <f t="shared" si="8"/>
        <v>0</v>
      </c>
      <c r="AV20" s="45">
        <f>AR20*0.97*AT20/1000</f>
        <v>0</v>
      </c>
      <c r="AW20" s="18"/>
      <c r="AX20" s="19">
        <f t="shared" si="29"/>
        <v>0</v>
      </c>
      <c r="AY20" s="19">
        <f t="shared" si="30"/>
        <v>0</v>
      </c>
      <c r="AZ20" s="64">
        <f t="shared" si="31"/>
        <v>0</v>
      </c>
      <c r="BA20" s="74"/>
      <c r="BB20" s="44"/>
      <c r="BC20" s="44"/>
      <c r="BD20" s="19">
        <f t="shared" si="9"/>
        <v>0</v>
      </c>
      <c r="BE20" s="45">
        <f>BA20*0.97*BC20/1000</f>
        <v>0</v>
      </c>
      <c r="BF20" s="18"/>
      <c r="BG20" s="19">
        <f t="shared" si="33"/>
        <v>0</v>
      </c>
      <c r="BH20" s="19">
        <f t="shared" si="34"/>
        <v>0</v>
      </c>
      <c r="BI20" s="64">
        <f t="shared" si="35"/>
        <v>0</v>
      </c>
      <c r="BJ20" s="74"/>
      <c r="BK20" s="44"/>
      <c r="BL20" s="44"/>
      <c r="BM20" s="19">
        <f t="shared" si="36"/>
        <v>0</v>
      </c>
      <c r="BN20" s="45">
        <f t="shared" si="37"/>
        <v>0</v>
      </c>
      <c r="BO20" s="18"/>
      <c r="BP20" s="19">
        <f t="shared" si="38"/>
        <v>0</v>
      </c>
      <c r="BQ20" s="64">
        <f t="shared" si="39"/>
        <v>0</v>
      </c>
      <c r="BR20" s="74"/>
      <c r="BS20" s="44"/>
      <c r="BT20" s="44"/>
      <c r="BU20" s="19">
        <f t="shared" si="40"/>
        <v>0</v>
      </c>
      <c r="BV20" s="45">
        <f t="shared" si="41"/>
        <v>0</v>
      </c>
      <c r="BW20" s="18"/>
      <c r="BX20" s="19">
        <f t="shared" si="42"/>
        <v>0</v>
      </c>
      <c r="BY20" s="64">
        <f t="shared" si="43"/>
        <v>0</v>
      </c>
      <c r="BZ20" s="74"/>
      <c r="CA20" s="44"/>
      <c r="CB20" s="44"/>
      <c r="CC20" s="19">
        <f t="shared" si="44"/>
        <v>0</v>
      </c>
      <c r="CD20" s="45">
        <f t="shared" si="45"/>
        <v>0</v>
      </c>
      <c r="CE20" s="18"/>
      <c r="CF20" s="19">
        <f t="shared" si="46"/>
        <v>0</v>
      </c>
      <c r="CG20" s="22">
        <f t="shared" si="47"/>
        <v>0</v>
      </c>
    </row>
    <row r="21" spans="1:85" s="278" customFormat="1" ht="19.5" customHeight="1" x14ac:dyDescent="0.25">
      <c r="A21" s="1323" t="s">
        <v>120</v>
      </c>
      <c r="B21" s="1324"/>
      <c r="C21" s="1347"/>
      <c r="D21" s="239" t="s">
        <v>331</v>
      </c>
      <c r="E21" s="302">
        <f>SUM(E9:E12)*0.962*CH4</f>
        <v>0</v>
      </c>
      <c r="F21" s="271">
        <f>IF(E21=0,0,H21/E21*1000)</f>
        <v>0</v>
      </c>
      <c r="G21" s="305">
        <f>IF(E21=0,0,I21/E21*1000)</f>
        <v>0</v>
      </c>
      <c r="H21" s="271">
        <f>SUM(H9:H12)*0.962</f>
        <v>0</v>
      </c>
      <c r="I21" s="272">
        <f>SUM(I9:I12)*0.962</f>
        <v>0</v>
      </c>
      <c r="J21" s="273"/>
      <c r="K21" s="274">
        <f t="shared" ref="K21:Z21" si="51">SUM(K9:K12)</f>
        <v>0</v>
      </c>
      <c r="L21" s="274">
        <f t="shared" si="51"/>
        <v>0</v>
      </c>
      <c r="M21" s="274">
        <f t="shared" si="51"/>
        <v>0</v>
      </c>
      <c r="N21" s="274">
        <f t="shared" si="51"/>
        <v>0</v>
      </c>
      <c r="O21" s="274">
        <f t="shared" si="51"/>
        <v>0</v>
      </c>
      <c r="P21" s="274">
        <f t="shared" si="51"/>
        <v>0</v>
      </c>
      <c r="Q21" s="274">
        <f t="shared" si="51"/>
        <v>0</v>
      </c>
      <c r="R21" s="274">
        <f t="shared" si="51"/>
        <v>0</v>
      </c>
      <c r="S21" s="274">
        <f t="shared" si="51"/>
        <v>0</v>
      </c>
      <c r="T21" s="274">
        <f t="shared" si="51"/>
        <v>0</v>
      </c>
      <c r="U21" s="274">
        <f t="shared" si="51"/>
        <v>0</v>
      </c>
      <c r="V21" s="274">
        <f t="shared" si="51"/>
        <v>0</v>
      </c>
      <c r="W21" s="274">
        <f t="shared" si="51"/>
        <v>0</v>
      </c>
      <c r="X21" s="274">
        <f t="shared" si="51"/>
        <v>0</v>
      </c>
      <c r="Y21" s="275">
        <f t="shared" si="51"/>
        <v>0</v>
      </c>
      <c r="Z21" s="276">
        <f t="shared" si="51"/>
        <v>0</v>
      </c>
      <c r="AA21" s="99">
        <f>IF(Z21=0,0,AC21/Z21*1000)</f>
        <v>0</v>
      </c>
      <c r="AB21" s="99">
        <f>IF(Z21=0,0,AD21/Z21*1000)</f>
        <v>0</v>
      </c>
      <c r="AC21" s="99">
        <f>SUM(AC9:AC12)</f>
        <v>0</v>
      </c>
      <c r="AD21" s="99">
        <f>SUM(AD9:AD12)</f>
        <v>0</v>
      </c>
      <c r="AE21" s="99"/>
      <c r="AF21" s="99">
        <f>SUM(AF9:AF12)</f>
        <v>0</v>
      </c>
      <c r="AG21" s="99">
        <f>SUM(AG9:AG12)</f>
        <v>0</v>
      </c>
      <c r="AH21" s="277">
        <f>SUM(AH9:AH12)</f>
        <v>0</v>
      </c>
      <c r="AI21" s="276">
        <f>SUM(AI9:AI12)</f>
        <v>0</v>
      </c>
      <c r="AJ21" s="99">
        <f>IF(AI21=0,0,AL21/AI21*1000)</f>
        <v>0</v>
      </c>
      <c r="AK21" s="99">
        <f>IF(AI21=0,0,AM21/AI21*1000)</f>
        <v>0</v>
      </c>
      <c r="AL21" s="99">
        <f>SUM(AL9:AL12)</f>
        <v>0</v>
      </c>
      <c r="AM21" s="99">
        <f>SUM(AM9:AM12)</f>
        <v>0</v>
      </c>
      <c r="AN21" s="99"/>
      <c r="AO21" s="99">
        <f>SUM(AO9:AO12)</f>
        <v>0</v>
      </c>
      <c r="AP21" s="99">
        <f>SUM(AP9:AP12)</f>
        <v>0</v>
      </c>
      <c r="AQ21" s="277">
        <f>SUM(AQ9:AQ12)</f>
        <v>0</v>
      </c>
      <c r="AR21" s="276">
        <f>SUM(AR9:AR12)</f>
        <v>0</v>
      </c>
      <c r="AS21" s="99">
        <f>IF(AR21=0,0,AU21/AR21*1000)</f>
        <v>0</v>
      </c>
      <c r="AT21" s="99">
        <f>IF(AR21=0,0,AV21/AR21*1000)</f>
        <v>0</v>
      </c>
      <c r="AU21" s="99">
        <f>SUM(AU9:AU12)</f>
        <v>0</v>
      </c>
      <c r="AV21" s="99">
        <f>SUM(AV9:AV12)</f>
        <v>0</v>
      </c>
      <c r="AW21" s="99"/>
      <c r="AX21" s="99">
        <f>SUM(AX9:AX12)</f>
        <v>0</v>
      </c>
      <c r="AY21" s="99">
        <f>SUM(AY9:AY12)</f>
        <v>0</v>
      </c>
      <c r="AZ21" s="277">
        <f>SUM(AZ9:AZ12)</f>
        <v>0</v>
      </c>
      <c r="BA21" s="276">
        <f>SUM(BA9:BA12)</f>
        <v>0</v>
      </c>
      <c r="BB21" s="99">
        <f>IF(BA21=0,0,BD21/BA21*1000)</f>
        <v>0</v>
      </c>
      <c r="BC21" s="99">
        <f>IF(BA21=0,0,BE21/BA21*1000)</f>
        <v>0</v>
      </c>
      <c r="BD21" s="99">
        <f>SUM(BD9:BD12)</f>
        <v>0</v>
      </c>
      <c r="BE21" s="99">
        <f>SUM(BE9:BE12)</f>
        <v>0</v>
      </c>
      <c r="BF21" s="99"/>
      <c r="BG21" s="99">
        <f>SUM(BG9:BG12)</f>
        <v>0</v>
      </c>
      <c r="BH21" s="99">
        <f>SUM(BH9:BH12)</f>
        <v>0</v>
      </c>
      <c r="BI21" s="277">
        <f>SUM(BI9:BI12)</f>
        <v>0</v>
      </c>
      <c r="BJ21" s="276">
        <f>SUM(BJ9:BJ12)</f>
        <v>0</v>
      </c>
      <c r="BK21" s="99">
        <f>IF(BJ21=0,0,BM21/BJ21*1000)</f>
        <v>0</v>
      </c>
      <c r="BL21" s="99">
        <f>IF(BJ21=0,0,BN21/BJ21*1000)</f>
        <v>0</v>
      </c>
      <c r="BM21" s="99">
        <f>SUM(BM9:BM12)</f>
        <v>0</v>
      </c>
      <c r="BN21" s="99">
        <f>SUM(BN9:BN12)</f>
        <v>0</v>
      </c>
      <c r="BO21" s="99"/>
      <c r="BP21" s="99">
        <f>SUM(BP9:BP12)</f>
        <v>0</v>
      </c>
      <c r="BQ21" s="277">
        <f>SUM(BQ9:BQ12)</f>
        <v>0</v>
      </c>
      <c r="BR21" s="276">
        <f>SUM(BR9:BR12)</f>
        <v>0</v>
      </c>
      <c r="BS21" s="99">
        <f>IF(BR21=0,0,BU21/BR21*1000)</f>
        <v>0</v>
      </c>
      <c r="BT21" s="99">
        <f>IF(BR21=0,0,BV21/BR21*1000)</f>
        <v>0</v>
      </c>
      <c r="BU21" s="99">
        <f>SUM(BU9:BU12)</f>
        <v>0</v>
      </c>
      <c r="BV21" s="99">
        <f>SUM(BV9:BV12)</f>
        <v>0</v>
      </c>
      <c r="BW21" s="99"/>
      <c r="BX21" s="99">
        <f>SUM(BX9:BX12)</f>
        <v>0</v>
      </c>
      <c r="BY21" s="277">
        <f>SUM(BY9:BY12)</f>
        <v>0</v>
      </c>
      <c r="BZ21" s="276">
        <f>SUM(BZ9:BZ12)</f>
        <v>0</v>
      </c>
      <c r="CA21" s="99">
        <f>IF(BZ21=0,0,CC21/BZ21*1000)</f>
        <v>0</v>
      </c>
      <c r="CB21" s="99">
        <f>IF(BZ21=0,0,CD21/BZ21*1000)</f>
        <v>0</v>
      </c>
      <c r="CC21" s="99">
        <f>SUM(CC9:CC12)</f>
        <v>0</v>
      </c>
      <c r="CD21" s="99">
        <f>SUM(CD9:CD12)</f>
        <v>0</v>
      </c>
      <c r="CE21" s="99"/>
      <c r="CF21" s="99">
        <f>SUM(CF9:CF12)</f>
        <v>0</v>
      </c>
      <c r="CG21" s="277">
        <f>SUM(CG9:CG12)</f>
        <v>0</v>
      </c>
    </row>
    <row r="22" spans="1:85" s="278" customFormat="1" ht="19.5" customHeight="1" x14ac:dyDescent="0.25">
      <c r="A22" s="1348"/>
      <c r="B22" s="1349"/>
      <c r="C22" s="1350"/>
      <c r="D22" s="104" t="s">
        <v>332</v>
      </c>
      <c r="E22" s="303">
        <f>SUM(E13:E15)*0.85*CH4</f>
        <v>0</v>
      </c>
      <c r="F22" s="104">
        <f>IF(E22=0,0,H22/E22*1000)</f>
        <v>0</v>
      </c>
      <c r="G22" s="249">
        <f>IF(E22=0,0,I22/E22*1000)</f>
        <v>0</v>
      </c>
      <c r="H22" s="104">
        <f>SUM(H13:H15)*0.85</f>
        <v>0</v>
      </c>
      <c r="I22" s="279">
        <f>SUM(I13:I15)*0.85</f>
        <v>0</v>
      </c>
      <c r="J22" s="280"/>
      <c r="K22" s="261">
        <f t="shared" ref="K22:Z22" si="52">SUM(K13:K15)</f>
        <v>0</v>
      </c>
      <c r="L22" s="261">
        <f t="shared" si="52"/>
        <v>0</v>
      </c>
      <c r="M22" s="261">
        <f t="shared" si="52"/>
        <v>0</v>
      </c>
      <c r="N22" s="261">
        <f t="shared" si="52"/>
        <v>0</v>
      </c>
      <c r="O22" s="261">
        <f t="shared" si="52"/>
        <v>0</v>
      </c>
      <c r="P22" s="261">
        <f t="shared" si="52"/>
        <v>0</v>
      </c>
      <c r="Q22" s="261">
        <f t="shared" si="52"/>
        <v>0</v>
      </c>
      <c r="R22" s="261">
        <f t="shared" si="52"/>
        <v>0</v>
      </c>
      <c r="S22" s="261">
        <f t="shared" si="52"/>
        <v>0</v>
      </c>
      <c r="T22" s="261">
        <f t="shared" si="52"/>
        <v>0</v>
      </c>
      <c r="U22" s="261">
        <f t="shared" si="52"/>
        <v>0</v>
      </c>
      <c r="V22" s="261">
        <f t="shared" si="52"/>
        <v>0</v>
      </c>
      <c r="W22" s="261">
        <f t="shared" si="52"/>
        <v>0</v>
      </c>
      <c r="X22" s="261">
        <f t="shared" si="52"/>
        <v>0</v>
      </c>
      <c r="Y22" s="281">
        <f t="shared" si="52"/>
        <v>0</v>
      </c>
      <c r="Z22" s="282">
        <f t="shared" si="52"/>
        <v>0</v>
      </c>
      <c r="AA22" s="104">
        <f>IF(Z22=0,0,AC22/Z22*1000)</f>
        <v>0</v>
      </c>
      <c r="AB22" s="104">
        <f>IF(Z22=0,0,AD22/Z22*1000)</f>
        <v>0</v>
      </c>
      <c r="AC22" s="104">
        <f>SUM(AC13:AC15)</f>
        <v>0</v>
      </c>
      <c r="AD22" s="104">
        <f>SUM(AD13:AD15)</f>
        <v>0</v>
      </c>
      <c r="AE22" s="104"/>
      <c r="AF22" s="104">
        <f>SUM(AF13:AF15)</f>
        <v>0</v>
      </c>
      <c r="AG22" s="104">
        <f>SUM(AG13:AG15)</f>
        <v>0</v>
      </c>
      <c r="AH22" s="283">
        <f>SUM(AH13:AH15)</f>
        <v>0</v>
      </c>
      <c r="AI22" s="282">
        <f>SUM(AI13:AI15)</f>
        <v>0</v>
      </c>
      <c r="AJ22" s="104">
        <f>IF(AI22=0,0,AL22/AI22*1000)</f>
        <v>0</v>
      </c>
      <c r="AK22" s="104">
        <f>IF(AI22=0,0,AM22/AI22*1000)</f>
        <v>0</v>
      </c>
      <c r="AL22" s="104">
        <f>SUM(AL13:AL15)</f>
        <v>0</v>
      </c>
      <c r="AM22" s="104">
        <f>SUM(AM13:AM15)</f>
        <v>0</v>
      </c>
      <c r="AN22" s="104"/>
      <c r="AO22" s="104">
        <f>SUM(AO13:AO15)</f>
        <v>0</v>
      </c>
      <c r="AP22" s="104">
        <f>SUM(AP13:AP15)</f>
        <v>0</v>
      </c>
      <c r="AQ22" s="283">
        <f>SUM(AQ13:AQ15)</f>
        <v>0</v>
      </c>
      <c r="AR22" s="282">
        <f>SUM(AR13:AR15)</f>
        <v>0</v>
      </c>
      <c r="AS22" s="104">
        <f>IF(AR22=0,0,AU22/AR22*1000)</f>
        <v>0</v>
      </c>
      <c r="AT22" s="104">
        <f>IF(AR22=0,0,AV22/AR22*1000)</f>
        <v>0</v>
      </c>
      <c r="AU22" s="104">
        <f>SUM(AU13:AU15)</f>
        <v>0</v>
      </c>
      <c r="AV22" s="104">
        <f>SUM(AV13:AV15)</f>
        <v>0</v>
      </c>
      <c r="AW22" s="104"/>
      <c r="AX22" s="104">
        <f>SUM(AX13:AX15)</f>
        <v>0</v>
      </c>
      <c r="AY22" s="104">
        <f>SUM(AY13:AY15)</f>
        <v>0</v>
      </c>
      <c r="AZ22" s="283">
        <f>SUM(AZ13:AZ15)</f>
        <v>0</v>
      </c>
      <c r="BA22" s="282">
        <f>SUM(BA13:BA15)</f>
        <v>0</v>
      </c>
      <c r="BB22" s="104">
        <f>IF(BA22=0,0,BD22/BA22*1000)</f>
        <v>0</v>
      </c>
      <c r="BC22" s="104">
        <f>IF(BA22=0,0,BE22/BA22*1000)</f>
        <v>0</v>
      </c>
      <c r="BD22" s="104">
        <f>SUM(BD13:BD15)</f>
        <v>0</v>
      </c>
      <c r="BE22" s="104">
        <f>SUM(BE13:BE15)</f>
        <v>0</v>
      </c>
      <c r="BF22" s="104"/>
      <c r="BG22" s="104">
        <f>SUM(BG13:BG15)</f>
        <v>0</v>
      </c>
      <c r="BH22" s="104">
        <f>SUM(BH13:BH15)</f>
        <v>0</v>
      </c>
      <c r="BI22" s="283">
        <f>SUM(BI13:BI15)</f>
        <v>0</v>
      </c>
      <c r="BJ22" s="282">
        <f>SUM(BJ13:BJ15)</f>
        <v>0</v>
      </c>
      <c r="BK22" s="104">
        <f>IF(BJ22=0,0,BM22/BJ22*1000)</f>
        <v>0</v>
      </c>
      <c r="BL22" s="104">
        <f>IF(BJ22=0,0,BN22/BJ22*1000)</f>
        <v>0</v>
      </c>
      <c r="BM22" s="104">
        <f>SUM(BM13:BM15)</f>
        <v>0</v>
      </c>
      <c r="BN22" s="104">
        <f>SUM(BN13:BN15)</f>
        <v>0</v>
      </c>
      <c r="BO22" s="104"/>
      <c r="BP22" s="104">
        <f>SUM(BP13:BP15)</f>
        <v>0</v>
      </c>
      <c r="BQ22" s="283">
        <f>SUM(BQ13:BQ15)</f>
        <v>0</v>
      </c>
      <c r="BR22" s="282">
        <f>SUM(BR13:BR15)</f>
        <v>0</v>
      </c>
      <c r="BS22" s="104">
        <f>IF(BR22=0,0,BU22/BR22*1000)</f>
        <v>0</v>
      </c>
      <c r="BT22" s="104">
        <f>IF(BR22=0,0,BV22/BR22*1000)</f>
        <v>0</v>
      </c>
      <c r="BU22" s="104">
        <f>SUM(BU13:BU15)</f>
        <v>0</v>
      </c>
      <c r="BV22" s="104">
        <f>SUM(BV13:BV15)</f>
        <v>0</v>
      </c>
      <c r="BW22" s="104"/>
      <c r="BX22" s="104">
        <f>SUM(BX13:BX15)</f>
        <v>0</v>
      </c>
      <c r="BY22" s="283">
        <f>SUM(BY13:BY15)</f>
        <v>0</v>
      </c>
      <c r="BZ22" s="282">
        <f>SUM(BZ13:BZ15)</f>
        <v>0</v>
      </c>
      <c r="CA22" s="104">
        <f>IF(BZ22=0,0,CC22/BZ22*1000)</f>
        <v>0</v>
      </c>
      <c r="CB22" s="104">
        <f>IF(BZ22=0,0,CD22/BZ22*1000)</f>
        <v>0</v>
      </c>
      <c r="CC22" s="104">
        <f>SUM(CC13:CC15)</f>
        <v>0</v>
      </c>
      <c r="CD22" s="104">
        <f>SUM(CD13:CD15)</f>
        <v>0</v>
      </c>
      <c r="CE22" s="104"/>
      <c r="CF22" s="104">
        <f>SUM(CF13:CF15)</f>
        <v>0</v>
      </c>
      <c r="CG22" s="283">
        <f>SUM(CG13:CG15)</f>
        <v>0</v>
      </c>
    </row>
    <row r="23" spans="1:85" s="278" customFormat="1" ht="19.5" customHeight="1" x14ac:dyDescent="0.25">
      <c r="A23" s="1348"/>
      <c r="B23" s="1349"/>
      <c r="C23" s="1350"/>
      <c r="D23" s="590" t="s">
        <v>334</v>
      </c>
      <c r="E23" s="303">
        <f>SUM(E16:E18)*0.85*CH4</f>
        <v>0</v>
      </c>
      <c r="F23" s="104">
        <f>IF(E23=0,0,H23/E23*1000)</f>
        <v>0</v>
      </c>
      <c r="G23" s="249">
        <f>IF(E23=0,0,I23/E23*1000)</f>
        <v>0</v>
      </c>
      <c r="H23" s="104">
        <f>SUM(H16:H18)*0.85</f>
        <v>0</v>
      </c>
      <c r="I23" s="279">
        <f>SUM(I16:I18)*0.85</f>
        <v>0</v>
      </c>
      <c r="J23" s="280"/>
      <c r="K23" s="261">
        <f t="shared" ref="K23:Z23" si="53">SUM(K16:K18)</f>
        <v>0</v>
      </c>
      <c r="L23" s="261">
        <f t="shared" si="53"/>
        <v>0</v>
      </c>
      <c r="M23" s="261">
        <f t="shared" si="53"/>
        <v>0</v>
      </c>
      <c r="N23" s="261">
        <f t="shared" si="53"/>
        <v>0</v>
      </c>
      <c r="O23" s="261">
        <f t="shared" si="53"/>
        <v>0</v>
      </c>
      <c r="P23" s="261">
        <f t="shared" si="53"/>
        <v>0</v>
      </c>
      <c r="Q23" s="261">
        <f t="shared" si="53"/>
        <v>0</v>
      </c>
      <c r="R23" s="261">
        <f t="shared" si="53"/>
        <v>0</v>
      </c>
      <c r="S23" s="261">
        <f t="shared" si="53"/>
        <v>0</v>
      </c>
      <c r="T23" s="261">
        <f t="shared" si="53"/>
        <v>0</v>
      </c>
      <c r="U23" s="261">
        <f t="shared" si="53"/>
        <v>0</v>
      </c>
      <c r="V23" s="261">
        <f t="shared" si="53"/>
        <v>0</v>
      </c>
      <c r="W23" s="261">
        <f t="shared" si="53"/>
        <v>0</v>
      </c>
      <c r="X23" s="261">
        <f t="shared" si="53"/>
        <v>0</v>
      </c>
      <c r="Y23" s="281">
        <f t="shared" si="53"/>
        <v>0</v>
      </c>
      <c r="Z23" s="284">
        <f t="shared" si="53"/>
        <v>0</v>
      </c>
      <c r="AA23" s="108">
        <f>IF(Z23=0,0,AC23/Z23*1000)</f>
        <v>0</v>
      </c>
      <c r="AB23" s="108">
        <f>IF(Z23=0,0,AD23/Z23*1000)</f>
        <v>0</v>
      </c>
      <c r="AC23" s="108">
        <f>SUM(AC16:AC18)</f>
        <v>0</v>
      </c>
      <c r="AD23" s="108">
        <f>SUM(AD16:AD18)</f>
        <v>0</v>
      </c>
      <c r="AE23" s="108"/>
      <c r="AF23" s="108">
        <f>SUM(AF16:AF18)</f>
        <v>0</v>
      </c>
      <c r="AG23" s="108">
        <f>SUM(AG16:AG18)</f>
        <v>0</v>
      </c>
      <c r="AH23" s="285">
        <f>SUM(AH16:AH18)</f>
        <v>0</v>
      </c>
      <c r="AI23" s="284">
        <f>SUM(AI16:AI18)</f>
        <v>0</v>
      </c>
      <c r="AJ23" s="108">
        <f>IF(AI23=0,0,AL23/AI23*1000)</f>
        <v>0</v>
      </c>
      <c r="AK23" s="108">
        <f>IF(AI23=0,0,AM23/AI23*1000)</f>
        <v>0</v>
      </c>
      <c r="AL23" s="108">
        <f>SUM(AL16:AL18)</f>
        <v>0</v>
      </c>
      <c r="AM23" s="108">
        <f>SUM(AM16:AM18)</f>
        <v>0</v>
      </c>
      <c r="AN23" s="108"/>
      <c r="AO23" s="108">
        <f>SUM(AO16:AO18)</f>
        <v>0</v>
      </c>
      <c r="AP23" s="108">
        <f>SUM(AP16:AP18)</f>
        <v>0</v>
      </c>
      <c r="AQ23" s="285">
        <f>SUM(AQ16:AQ18)</f>
        <v>0</v>
      </c>
      <c r="AR23" s="284">
        <f>SUM(AR16:AR18)</f>
        <v>0</v>
      </c>
      <c r="AS23" s="108">
        <f>IF(AR23=0,0,AU23/AR23*1000)</f>
        <v>0</v>
      </c>
      <c r="AT23" s="108">
        <f>IF(AR23=0,0,AV23/AR23*1000)</f>
        <v>0</v>
      </c>
      <c r="AU23" s="108">
        <f>SUM(AU16:AU18)</f>
        <v>0</v>
      </c>
      <c r="AV23" s="108">
        <f>SUM(AV16:AV18)</f>
        <v>0</v>
      </c>
      <c r="AW23" s="108"/>
      <c r="AX23" s="108">
        <f>SUM(AX16:AX18)</f>
        <v>0</v>
      </c>
      <c r="AY23" s="108">
        <f>SUM(AY16:AY18)</f>
        <v>0</v>
      </c>
      <c r="AZ23" s="285">
        <f>SUM(AZ16:AZ18)</f>
        <v>0</v>
      </c>
      <c r="BA23" s="284">
        <f>SUM(BA16:BA18)</f>
        <v>0</v>
      </c>
      <c r="BB23" s="108">
        <f>IF(BA23=0,0,BD23/BA23*1000)</f>
        <v>0</v>
      </c>
      <c r="BC23" s="108">
        <f>IF(BA23=0,0,BE23/BA23*1000)</f>
        <v>0</v>
      </c>
      <c r="BD23" s="108">
        <f>SUM(BD16:BD18)</f>
        <v>0</v>
      </c>
      <c r="BE23" s="108">
        <f>SUM(BE16:BE18)</f>
        <v>0</v>
      </c>
      <c r="BF23" s="108"/>
      <c r="BG23" s="108">
        <f>SUM(BG16:BG18)</f>
        <v>0</v>
      </c>
      <c r="BH23" s="108">
        <f>SUM(BH16:BH18)</f>
        <v>0</v>
      </c>
      <c r="BI23" s="285">
        <f>SUM(BI16:BI18)</f>
        <v>0</v>
      </c>
      <c r="BJ23" s="284">
        <f>SUM(BJ16:BJ18)</f>
        <v>0</v>
      </c>
      <c r="BK23" s="108">
        <f>IF(BJ23=0,0,BM23/BJ23*1000)</f>
        <v>0</v>
      </c>
      <c r="BL23" s="108">
        <f>IF(BJ23=0,0,BN23/BJ23*1000)</f>
        <v>0</v>
      </c>
      <c r="BM23" s="108">
        <f>SUM(BM16:BM18)</f>
        <v>0</v>
      </c>
      <c r="BN23" s="108">
        <f>SUM(BN16:BN18)</f>
        <v>0</v>
      </c>
      <c r="BO23" s="108"/>
      <c r="BP23" s="108">
        <f>SUM(BP16:BP18)</f>
        <v>0</v>
      </c>
      <c r="BQ23" s="285">
        <f>SUM(BQ16:BQ18)</f>
        <v>0</v>
      </c>
      <c r="BR23" s="284">
        <f>SUM(BR16:BR18)</f>
        <v>0</v>
      </c>
      <c r="BS23" s="108">
        <f>IF(BR23=0,0,BU23/BR23*1000)</f>
        <v>0</v>
      </c>
      <c r="BT23" s="108">
        <f>IF(BR23=0,0,BV23/BR23*1000)</f>
        <v>0</v>
      </c>
      <c r="BU23" s="108">
        <f>SUM(BU16:BU18)</f>
        <v>0</v>
      </c>
      <c r="BV23" s="108">
        <f>SUM(BV16:BV18)</f>
        <v>0</v>
      </c>
      <c r="BW23" s="108"/>
      <c r="BX23" s="108">
        <f>SUM(BX16:BX18)</f>
        <v>0</v>
      </c>
      <c r="BY23" s="285">
        <f>SUM(BY16:BY18)</f>
        <v>0</v>
      </c>
      <c r="BZ23" s="284">
        <f>SUM(BZ16:BZ18)</f>
        <v>0</v>
      </c>
      <c r="CA23" s="108">
        <f>IF(BZ23=0,0,CC23/BZ23*1000)</f>
        <v>0</v>
      </c>
      <c r="CB23" s="108">
        <f>IF(BZ23=0,0,CD23/BZ23*1000)</f>
        <v>0</v>
      </c>
      <c r="CC23" s="108">
        <f>SUM(CC16:CC18)</f>
        <v>0</v>
      </c>
      <c r="CD23" s="108">
        <f>SUM(CD16:CD18)</f>
        <v>0</v>
      </c>
      <c r="CE23" s="108"/>
      <c r="CF23" s="108">
        <f>SUM(CF16:CF18)</f>
        <v>0</v>
      </c>
      <c r="CG23" s="285">
        <f>SUM(CG16:CG18)</f>
        <v>0</v>
      </c>
    </row>
    <row r="24" spans="1:85" s="278" customFormat="1" ht="19.5" customHeight="1" thickBot="1" x14ac:dyDescent="0.3">
      <c r="A24" s="1348"/>
      <c r="B24" s="1349"/>
      <c r="C24" s="1350"/>
      <c r="D24" s="104" t="s">
        <v>333</v>
      </c>
      <c r="E24" s="303">
        <f>SUM(E19:E20)*0.92*CH4</f>
        <v>0</v>
      </c>
      <c r="F24" s="104">
        <f>IF(E24=0,0,H24/E24*1000)</f>
        <v>0</v>
      </c>
      <c r="G24" s="249">
        <f>IF(E24=0,0,I24/E24*1000)</f>
        <v>0</v>
      </c>
      <c r="H24" s="104">
        <f>SUM(H19:H20)*0.92</f>
        <v>0</v>
      </c>
      <c r="I24" s="279">
        <f>SUM(I19:I20)*0.92</f>
        <v>0</v>
      </c>
      <c r="J24" s="280"/>
      <c r="K24" s="261">
        <f t="shared" ref="K24:Z24" si="54">SUM(K19:K20)</f>
        <v>0</v>
      </c>
      <c r="L24" s="261">
        <f t="shared" si="54"/>
        <v>0</v>
      </c>
      <c r="M24" s="261">
        <f t="shared" si="54"/>
        <v>0</v>
      </c>
      <c r="N24" s="261">
        <f t="shared" si="54"/>
        <v>0</v>
      </c>
      <c r="O24" s="261">
        <f t="shared" si="54"/>
        <v>0</v>
      </c>
      <c r="P24" s="261">
        <f t="shared" si="54"/>
        <v>0</v>
      </c>
      <c r="Q24" s="261">
        <f t="shared" si="54"/>
        <v>0</v>
      </c>
      <c r="R24" s="261">
        <f t="shared" si="54"/>
        <v>0</v>
      </c>
      <c r="S24" s="261">
        <f t="shared" si="54"/>
        <v>0</v>
      </c>
      <c r="T24" s="261">
        <f t="shared" si="54"/>
        <v>0</v>
      </c>
      <c r="U24" s="261">
        <f t="shared" si="54"/>
        <v>0</v>
      </c>
      <c r="V24" s="261">
        <f t="shared" si="54"/>
        <v>0</v>
      </c>
      <c r="W24" s="261">
        <f t="shared" si="54"/>
        <v>0</v>
      </c>
      <c r="X24" s="261">
        <f t="shared" si="54"/>
        <v>0</v>
      </c>
      <c r="Y24" s="281">
        <f t="shared" si="54"/>
        <v>0</v>
      </c>
      <c r="Z24" s="286">
        <f t="shared" si="54"/>
        <v>0</v>
      </c>
      <c r="AA24" s="112">
        <f>IF(Z24=0,0,AC24/Z24*1000)</f>
        <v>0</v>
      </c>
      <c r="AB24" s="112">
        <f>IF(Z24=0,0,AD24/Z24*1000)</f>
        <v>0</v>
      </c>
      <c r="AC24" s="112">
        <f>SUM(AC19:AC20)</f>
        <v>0</v>
      </c>
      <c r="AD24" s="112">
        <f>SUM(AD19:AD20)</f>
        <v>0</v>
      </c>
      <c r="AE24" s="112"/>
      <c r="AF24" s="112">
        <f>SUM(AF19:AF20)</f>
        <v>0</v>
      </c>
      <c r="AG24" s="112">
        <f>SUM(AG19:AG20)</f>
        <v>0</v>
      </c>
      <c r="AH24" s="287">
        <f>SUM(AH19:AH20)</f>
        <v>0</v>
      </c>
      <c r="AI24" s="286">
        <f>SUM(AI19:AI20)</f>
        <v>0</v>
      </c>
      <c r="AJ24" s="112">
        <f>IF(AI24=0,0,AL24/AI24*1000)</f>
        <v>0</v>
      </c>
      <c r="AK24" s="112">
        <f>IF(AI24=0,0,AM24/AI24*1000)</f>
        <v>0</v>
      </c>
      <c r="AL24" s="112">
        <f>SUM(AL19:AL20)</f>
        <v>0</v>
      </c>
      <c r="AM24" s="112">
        <f>SUM(AM19:AM20)</f>
        <v>0</v>
      </c>
      <c r="AN24" s="112"/>
      <c r="AO24" s="112">
        <f>SUM(AO19:AO20)</f>
        <v>0</v>
      </c>
      <c r="AP24" s="112">
        <f>SUM(AP19:AP20)</f>
        <v>0</v>
      </c>
      <c r="AQ24" s="287">
        <f>SUM(AQ19:AQ20)</f>
        <v>0</v>
      </c>
      <c r="AR24" s="286">
        <f>SUM(AR19:AR20)</f>
        <v>0</v>
      </c>
      <c r="AS24" s="112">
        <f>IF(AR24=0,0,AU24/AR24*1000)</f>
        <v>0</v>
      </c>
      <c r="AT24" s="112">
        <f>IF(AR24=0,0,AV24/AR24*1000)</f>
        <v>0</v>
      </c>
      <c r="AU24" s="112">
        <f>SUM(AU19:AU20)</f>
        <v>0</v>
      </c>
      <c r="AV24" s="112">
        <f>SUM(AV19:AV20)</f>
        <v>0</v>
      </c>
      <c r="AW24" s="112"/>
      <c r="AX24" s="112">
        <f>SUM(AX19:AX20)</f>
        <v>0</v>
      </c>
      <c r="AY24" s="112">
        <f>SUM(AY19:AY20)</f>
        <v>0</v>
      </c>
      <c r="AZ24" s="287">
        <f>SUM(AZ19:AZ20)</f>
        <v>0</v>
      </c>
      <c r="BA24" s="286">
        <f>SUM(BA19:BA20)</f>
        <v>0</v>
      </c>
      <c r="BB24" s="112">
        <f>IF(BA24=0,0,BD24/BA24*1000)</f>
        <v>0</v>
      </c>
      <c r="BC24" s="112">
        <f>IF(BA24=0,0,BE24/BA24*1000)</f>
        <v>0</v>
      </c>
      <c r="BD24" s="112">
        <f>SUM(BD19:BD20)</f>
        <v>0</v>
      </c>
      <c r="BE24" s="112">
        <f>SUM(BE19:BE20)</f>
        <v>0</v>
      </c>
      <c r="BF24" s="112"/>
      <c r="BG24" s="112">
        <f>SUM(BG19:BG20)</f>
        <v>0</v>
      </c>
      <c r="BH24" s="112">
        <f>SUM(BH19:BH20)</f>
        <v>0</v>
      </c>
      <c r="BI24" s="287">
        <f>SUM(BI19:BI20)</f>
        <v>0</v>
      </c>
      <c r="BJ24" s="286">
        <f>SUM(BJ19:BJ20)</f>
        <v>0</v>
      </c>
      <c r="BK24" s="112">
        <f>IF(BJ24=0,0,BM24/BJ24*1000)</f>
        <v>0</v>
      </c>
      <c r="BL24" s="112">
        <f>IF(BJ24=0,0,BN24/BJ24*1000)</f>
        <v>0</v>
      </c>
      <c r="BM24" s="112">
        <f>SUM(BM19:BM20)</f>
        <v>0</v>
      </c>
      <c r="BN24" s="112">
        <f>SUM(BN19:BN20)</f>
        <v>0</v>
      </c>
      <c r="BO24" s="112"/>
      <c r="BP24" s="112">
        <f>SUM(BP19:BP20)</f>
        <v>0</v>
      </c>
      <c r="BQ24" s="287">
        <f>SUM(BQ19:BQ20)</f>
        <v>0</v>
      </c>
      <c r="BR24" s="286">
        <f>SUM(BR19:BR20)</f>
        <v>0</v>
      </c>
      <c r="BS24" s="112">
        <f>IF(BR24=0,0,BU24/BR24*1000)</f>
        <v>0</v>
      </c>
      <c r="BT24" s="112">
        <f>IF(BR24=0,0,BV24/BR24*1000)</f>
        <v>0</v>
      </c>
      <c r="BU24" s="112">
        <f>SUM(BU19:BU20)</f>
        <v>0</v>
      </c>
      <c r="BV24" s="112">
        <f>SUM(BV19:BV20)</f>
        <v>0</v>
      </c>
      <c r="BW24" s="112"/>
      <c r="BX24" s="112">
        <f>SUM(BX19:BX20)</f>
        <v>0</v>
      </c>
      <c r="BY24" s="287">
        <f>SUM(BY19:BY20)</f>
        <v>0</v>
      </c>
      <c r="BZ24" s="286">
        <f>SUM(BZ19:BZ20)</f>
        <v>0</v>
      </c>
      <c r="CA24" s="112">
        <f>IF(BZ24=0,0,CC24/BZ24*1000)</f>
        <v>0</v>
      </c>
      <c r="CB24" s="112">
        <f>IF(BZ24=0,0,CD24/BZ24*1000)</f>
        <v>0</v>
      </c>
      <c r="CC24" s="112">
        <f>SUM(CC19:CC20)</f>
        <v>0</v>
      </c>
      <c r="CD24" s="112">
        <f>SUM(CD19:CD20)</f>
        <v>0</v>
      </c>
      <c r="CE24" s="112"/>
      <c r="CF24" s="112">
        <f>SUM(CF19:CF20)</f>
        <v>0</v>
      </c>
      <c r="CG24" s="287">
        <f>SUM(CG19:CG20)</f>
        <v>0</v>
      </c>
    </row>
    <row r="25" spans="1:85" ht="19.5" customHeight="1" x14ac:dyDescent="0.25">
      <c r="A25" s="1346">
        <v>2</v>
      </c>
      <c r="B25" s="1354" t="s">
        <v>183</v>
      </c>
      <c r="C25" s="94"/>
      <c r="D25" s="240" t="s">
        <v>331</v>
      </c>
      <c r="E25" s="42"/>
      <c r="F25" s="42"/>
      <c r="G25" s="42"/>
      <c r="H25" s="16">
        <f t="shared" ref="H25:H36" si="55">E25*F25/1000</f>
        <v>0</v>
      </c>
      <c r="I25" s="250">
        <f t="shared" ref="I25:I36" si="56">E25*G25/1000</f>
        <v>0</v>
      </c>
      <c r="J25" s="91"/>
      <c r="K25" s="262">
        <f>IF($J25=15,$E25,0)</f>
        <v>0</v>
      </c>
      <c r="L25" s="262">
        <f t="shared" ref="L25:L36" si="57">IF($J25=1,$E25,0)</f>
        <v>0</v>
      </c>
      <c r="M25" s="262">
        <f t="shared" ref="M25:M36" si="58">IF($J25=2,$E25,0)</f>
        <v>0</v>
      </c>
      <c r="N25" s="262">
        <f t="shared" ref="N25:N36" si="59">IF($J25=3,$E25,0)</f>
        <v>0</v>
      </c>
      <c r="O25" s="262">
        <f t="shared" ref="O25:O36" si="60">IF($J25=4,$E25,0)</f>
        <v>0</v>
      </c>
      <c r="P25" s="262">
        <f t="shared" ref="P25:P31" si="61">IF($J25=5,$E25,0)</f>
        <v>0</v>
      </c>
      <c r="Q25" s="262">
        <f>IF($J25=6,$E25,0)</f>
        <v>0</v>
      </c>
      <c r="R25" s="262">
        <f>IF($J25=7,$E25,0)</f>
        <v>0</v>
      </c>
      <c r="S25" s="262">
        <f>IF($J25=8,$E25,0)</f>
        <v>0</v>
      </c>
      <c r="T25" s="262">
        <f>IF($J25=9,$E25,0)</f>
        <v>0</v>
      </c>
      <c r="U25" s="262">
        <f>IF($J25=10,$E25,0)</f>
        <v>0</v>
      </c>
      <c r="V25" s="262">
        <f>IF($J25=11,$E25,0)</f>
        <v>0</v>
      </c>
      <c r="W25" s="262">
        <f>IF($J25=12,$E25,0)</f>
        <v>0</v>
      </c>
      <c r="X25" s="262">
        <f>IF($J25=13,$E25,0)</f>
        <v>0</v>
      </c>
      <c r="Y25" s="263">
        <f>IF($J25=14,$E25,0)</f>
        <v>0</v>
      </c>
      <c r="Z25" s="66"/>
      <c r="AA25" s="42"/>
      <c r="AB25" s="42"/>
      <c r="AC25" s="23">
        <f>Z25*0.97*AA25/1000</f>
        <v>0</v>
      </c>
      <c r="AD25" s="79">
        <f>Z25*0.97*AB25/1000</f>
        <v>0</v>
      </c>
      <c r="AE25" s="15"/>
      <c r="AF25" s="16">
        <f t="shared" ref="AF25:AF36" si="62">IF($AE25=1,$Z25,0)</f>
        <v>0</v>
      </c>
      <c r="AG25" s="23">
        <f>IF($AE25=2,$Z25,0)</f>
        <v>0</v>
      </c>
      <c r="AH25" s="62">
        <f>IF($AE25=3,$Z25,0)</f>
        <v>0</v>
      </c>
      <c r="AI25" s="72"/>
      <c r="AJ25" s="42"/>
      <c r="AK25" s="42"/>
      <c r="AL25" s="16">
        <f t="shared" ref="AL25:AL36" si="63">AI25*0.97*AJ25/1000</f>
        <v>0</v>
      </c>
      <c r="AM25" s="43">
        <f>AI25*0.97*AK25/1000</f>
        <v>0</v>
      </c>
      <c r="AN25" s="15"/>
      <c r="AO25" s="16">
        <f>IF($AN25=1,$AI25,0)</f>
        <v>0</v>
      </c>
      <c r="AP25" s="16">
        <f>IF($AN25=2,$AI25,0)</f>
        <v>0</v>
      </c>
      <c r="AQ25" s="62">
        <f>IF($AN25=3,$AI25,0)</f>
        <v>0</v>
      </c>
      <c r="AR25" s="72"/>
      <c r="AS25" s="42"/>
      <c r="AT25" s="42"/>
      <c r="AU25" s="16">
        <f t="shared" ref="AU25:AU36" si="64">AR25*0.97*AS25/1000</f>
        <v>0</v>
      </c>
      <c r="AV25" s="43">
        <f>AR25*0.97*AT25/1000</f>
        <v>0</v>
      </c>
      <c r="AW25" s="15"/>
      <c r="AX25" s="16">
        <f>IF($AW25=1,$AR25,0)</f>
        <v>0</v>
      </c>
      <c r="AY25" s="16">
        <f>IF($AW25=2,$AR25,0)</f>
        <v>0</v>
      </c>
      <c r="AZ25" s="62">
        <f>IF($AW25=3,$AR25,0)</f>
        <v>0</v>
      </c>
      <c r="BA25" s="72"/>
      <c r="BB25" s="42"/>
      <c r="BC25" s="42"/>
      <c r="BD25" s="16">
        <f t="shared" ref="BD25:BD36" si="65">BA25*0.97*BB25/1000</f>
        <v>0</v>
      </c>
      <c r="BE25" s="43">
        <f>BA25*0.97*BC25/1000</f>
        <v>0</v>
      </c>
      <c r="BF25" s="15"/>
      <c r="BG25" s="16">
        <f>IF($BF25=1,$BA25,0)</f>
        <v>0</v>
      </c>
      <c r="BH25" s="16">
        <f>IF($BF25=2,$BA25,0)</f>
        <v>0</v>
      </c>
      <c r="BI25" s="62">
        <f>IF($BF25=3,$BA25,0)</f>
        <v>0</v>
      </c>
      <c r="BJ25" s="72"/>
      <c r="BK25" s="42"/>
      <c r="BL25" s="42"/>
      <c r="BM25" s="16">
        <f>BJ25*0.84*BK25/1000</f>
        <v>0</v>
      </c>
      <c r="BN25" s="43">
        <f>BJ25*0.84*BL25/1000</f>
        <v>0</v>
      </c>
      <c r="BO25" s="15"/>
      <c r="BP25" s="16">
        <f>IF($BO25=1,$BJ25,0)</f>
        <v>0</v>
      </c>
      <c r="BQ25" s="62">
        <f>IF($BO25=2,$BJ25,0)</f>
        <v>0</v>
      </c>
      <c r="BR25" s="72"/>
      <c r="BS25" s="42"/>
      <c r="BT25" s="42"/>
      <c r="BU25" s="16">
        <f>BR25*0.84*BS25/1000</f>
        <v>0</v>
      </c>
      <c r="BV25" s="43">
        <f>BR25*0.84*BT25/1000</f>
        <v>0</v>
      </c>
      <c r="BW25" s="15"/>
      <c r="BX25" s="16">
        <f>IF($BW25=1,$BR25,0)</f>
        <v>0</v>
      </c>
      <c r="BY25" s="20">
        <f>IF($BW25=2,$BR25,0)</f>
        <v>0</v>
      </c>
      <c r="BZ25" s="72"/>
      <c r="CA25" s="42"/>
      <c r="CB25" s="42"/>
      <c r="CC25" s="16">
        <f>BZ25*0.84*CA25/1000</f>
        <v>0</v>
      </c>
      <c r="CD25" s="43">
        <f>BZ25*0.84*CB25/1000</f>
        <v>0</v>
      </c>
      <c r="CE25" s="15"/>
      <c r="CF25" s="16">
        <f t="shared" ref="CF25:CF36" si="66">IF($CE25=1,$BZ25,0)</f>
        <v>0</v>
      </c>
      <c r="CG25" s="20">
        <f>IF($CE25=2,$BZ25,0)</f>
        <v>0</v>
      </c>
    </row>
    <row r="26" spans="1:85" ht="19.5" customHeight="1" x14ac:dyDescent="0.25">
      <c r="A26" s="1346"/>
      <c r="B26" s="1355"/>
      <c r="C26" s="95"/>
      <c r="D26" s="241" t="s">
        <v>331</v>
      </c>
      <c r="E26" s="7"/>
      <c r="F26" s="7"/>
      <c r="G26" s="7"/>
      <c r="H26" s="6">
        <f t="shared" si="55"/>
        <v>0</v>
      </c>
      <c r="I26" s="251">
        <f t="shared" si="56"/>
        <v>0</v>
      </c>
      <c r="J26" s="92"/>
      <c r="K26" s="162">
        <f>IF($J26=15,$E26,0)</f>
        <v>0</v>
      </c>
      <c r="L26" s="162">
        <f t="shared" si="57"/>
        <v>0</v>
      </c>
      <c r="M26" s="162">
        <f t="shared" si="58"/>
        <v>0</v>
      </c>
      <c r="N26" s="162">
        <f t="shared" si="59"/>
        <v>0</v>
      </c>
      <c r="O26" s="162">
        <f t="shared" si="60"/>
        <v>0</v>
      </c>
      <c r="P26" s="162">
        <f t="shared" si="61"/>
        <v>0</v>
      </c>
      <c r="Q26" s="162">
        <f t="shared" ref="Q26:Q36" si="67">IF($J26=6,$E26,0)</f>
        <v>0</v>
      </c>
      <c r="R26" s="162">
        <f t="shared" ref="R26:R36" si="68">IF($J26=7,$E26,0)</f>
        <v>0</v>
      </c>
      <c r="S26" s="162">
        <f t="shared" ref="S26:S36" si="69">IF($J26=8,$E26,0)</f>
        <v>0</v>
      </c>
      <c r="T26" s="162">
        <f t="shared" ref="T26:T36" si="70">IF($J26=9,$E26,0)</f>
        <v>0</v>
      </c>
      <c r="U26" s="162">
        <f t="shared" ref="U26:U36" si="71">IF($J26=10,$E26,0)</f>
        <v>0</v>
      </c>
      <c r="V26" s="162">
        <f t="shared" ref="V26:V36" si="72">IF($J26=11,$E26,0)</f>
        <v>0</v>
      </c>
      <c r="W26" s="162">
        <f t="shared" ref="W26:W36" si="73">IF($J26=12,$E26,0)</f>
        <v>0</v>
      </c>
      <c r="X26" s="162">
        <f t="shared" ref="X26:X36" si="74">IF($J26=13,$E26,0)</f>
        <v>0</v>
      </c>
      <c r="Y26" s="268">
        <f t="shared" ref="Y26:Y36" si="75">IF($J26=14,$E26,0)</f>
        <v>0</v>
      </c>
      <c r="Z26" s="67"/>
      <c r="AA26" s="7"/>
      <c r="AB26" s="7"/>
      <c r="AC26" s="6">
        <f t="shared" ref="AC26:AC34" si="76">Z26*0.97*AA26/1000</f>
        <v>0</v>
      </c>
      <c r="AD26" s="31">
        <f t="shared" ref="AD26:AD34" si="77">Z26*0.97*AB26/1000</f>
        <v>0</v>
      </c>
      <c r="AE26" s="10"/>
      <c r="AF26" s="6">
        <f t="shared" si="62"/>
        <v>0</v>
      </c>
      <c r="AG26" s="6">
        <f>IF($AE26=2,$Z26,0)</f>
        <v>0</v>
      </c>
      <c r="AH26" s="63">
        <f t="shared" ref="AH26:AH36" si="78">IF($AE26=3,$Z26,0)</f>
        <v>0</v>
      </c>
      <c r="AI26" s="73"/>
      <c r="AJ26" s="7"/>
      <c r="AK26" s="7"/>
      <c r="AL26" s="6">
        <f t="shared" si="63"/>
        <v>0</v>
      </c>
      <c r="AM26" s="31">
        <f t="shared" ref="AM26:AM34" si="79">AI26*0.97*AK26/1000</f>
        <v>0</v>
      </c>
      <c r="AN26" s="10"/>
      <c r="AO26" s="6">
        <f t="shared" ref="AO26:AO36" si="80">IF($AN26=1,$AI26,0)</f>
        <v>0</v>
      </c>
      <c r="AP26" s="6">
        <f t="shared" ref="AP26:AP36" si="81">IF($AN26=2,$AI26,0)</f>
        <v>0</v>
      </c>
      <c r="AQ26" s="63">
        <f t="shared" ref="AQ26:AQ36" si="82">IF($AN26=3,$AI26,0)</f>
        <v>0</v>
      </c>
      <c r="AR26" s="73"/>
      <c r="AS26" s="7"/>
      <c r="AT26" s="7"/>
      <c r="AU26" s="6">
        <f t="shared" si="64"/>
        <v>0</v>
      </c>
      <c r="AV26" s="31">
        <f t="shared" ref="AV26:AV34" si="83">AR26*0.97*AT26/1000</f>
        <v>0</v>
      </c>
      <c r="AW26" s="10"/>
      <c r="AX26" s="6">
        <f t="shared" ref="AX26:AX36" si="84">IF($AW26=1,$AR26,0)</f>
        <v>0</v>
      </c>
      <c r="AY26" s="6">
        <f t="shared" ref="AY26:AY36" si="85">IF($AW26=2,$AR26,0)</f>
        <v>0</v>
      </c>
      <c r="AZ26" s="63">
        <f t="shared" ref="AZ26:AZ36" si="86">IF($AW26=3,$AR26,0)</f>
        <v>0</v>
      </c>
      <c r="BA26" s="73"/>
      <c r="BB26" s="7"/>
      <c r="BC26" s="7"/>
      <c r="BD26" s="6">
        <f t="shared" si="65"/>
        <v>0</v>
      </c>
      <c r="BE26" s="31">
        <f t="shared" ref="BE26:BE34" si="87">BA26*0.97*BC26/1000</f>
        <v>0</v>
      </c>
      <c r="BF26" s="10"/>
      <c r="BG26" s="6">
        <f t="shared" ref="BG26:BG36" si="88">IF($BF26=1,$BA26,0)</f>
        <v>0</v>
      </c>
      <c r="BH26" s="6">
        <f t="shared" ref="BH26:BH36" si="89">IF($BF26=2,$BA26,0)</f>
        <v>0</v>
      </c>
      <c r="BI26" s="63">
        <f t="shared" ref="BI26:BI36" si="90">IF($BF26=3,$BA26,0)</f>
        <v>0</v>
      </c>
      <c r="BJ26" s="73"/>
      <c r="BK26" s="7"/>
      <c r="BL26" s="7"/>
      <c r="BM26" s="6">
        <f t="shared" ref="BM26:BM36" si="91">BJ26*0.84*BK26/1000</f>
        <v>0</v>
      </c>
      <c r="BN26" s="31">
        <f t="shared" ref="BN26:BN36" si="92">BJ26*0.84*BL26/1000</f>
        <v>0</v>
      </c>
      <c r="BO26" s="10"/>
      <c r="BP26" s="6">
        <f t="shared" ref="BP26:BP36" si="93">IF($BO26=1,$BJ26,0)</f>
        <v>0</v>
      </c>
      <c r="BQ26" s="63">
        <f t="shared" ref="BQ26:BQ36" si="94">IF($BO26=2,$BJ26,0)</f>
        <v>0</v>
      </c>
      <c r="BR26" s="73"/>
      <c r="BS26" s="7"/>
      <c r="BT26" s="7"/>
      <c r="BU26" s="6">
        <f t="shared" ref="BU26:BU36" si="95">BR26*0.84*BS26/1000</f>
        <v>0</v>
      </c>
      <c r="BV26" s="31">
        <f t="shared" ref="BV26:BV36" si="96">BR26*0.84*BT26/1000</f>
        <v>0</v>
      </c>
      <c r="BW26" s="10"/>
      <c r="BX26" s="6">
        <f t="shared" ref="BX26:BX36" si="97">IF($BW26=1,$BR26,0)</f>
        <v>0</v>
      </c>
      <c r="BY26" s="21">
        <f t="shared" ref="BY26:BY36" si="98">IF($BW26=2,$BR26,0)</f>
        <v>0</v>
      </c>
      <c r="BZ26" s="73"/>
      <c r="CA26" s="7"/>
      <c r="CB26" s="7"/>
      <c r="CC26" s="6">
        <f t="shared" ref="CC26:CC36" si="99">BZ26*0.84*CA26/1000</f>
        <v>0</v>
      </c>
      <c r="CD26" s="31">
        <f t="shared" ref="CD26:CD36" si="100">BZ26*0.84*CB26/1000</f>
        <v>0</v>
      </c>
      <c r="CE26" s="10"/>
      <c r="CF26" s="6">
        <f t="shared" si="66"/>
        <v>0</v>
      </c>
      <c r="CG26" s="21">
        <f t="shared" ref="CG26:CG36" si="101">IF($CE26=2,$BZ26,0)</f>
        <v>0</v>
      </c>
    </row>
    <row r="27" spans="1:85" ht="19.5" customHeight="1" x14ac:dyDescent="0.25">
      <c r="A27" s="1346"/>
      <c r="B27" s="1356"/>
      <c r="C27" s="95"/>
      <c r="D27" s="241" t="s">
        <v>331</v>
      </c>
      <c r="E27" s="7"/>
      <c r="F27" s="7"/>
      <c r="G27" s="7"/>
      <c r="H27" s="6">
        <f>E27*F27/1000</f>
        <v>0</v>
      </c>
      <c r="I27" s="251">
        <f>E27*G27/1000</f>
        <v>0</v>
      </c>
      <c r="J27" s="92"/>
      <c r="K27" s="162">
        <f>IF($J302=15,$E302,0)</f>
        <v>0</v>
      </c>
      <c r="L27" s="162">
        <f t="shared" si="57"/>
        <v>0</v>
      </c>
      <c r="M27" s="162">
        <f t="shared" si="58"/>
        <v>0</v>
      </c>
      <c r="N27" s="162">
        <f t="shared" si="59"/>
        <v>0</v>
      </c>
      <c r="O27" s="162">
        <f t="shared" si="60"/>
        <v>0</v>
      </c>
      <c r="P27" s="162">
        <f t="shared" si="61"/>
        <v>0</v>
      </c>
      <c r="Q27" s="162">
        <f t="shared" si="67"/>
        <v>0</v>
      </c>
      <c r="R27" s="162">
        <f t="shared" si="68"/>
        <v>0</v>
      </c>
      <c r="S27" s="162">
        <f t="shared" si="69"/>
        <v>0</v>
      </c>
      <c r="T27" s="162">
        <f t="shared" si="70"/>
        <v>0</v>
      </c>
      <c r="U27" s="162">
        <f t="shared" si="71"/>
        <v>0</v>
      </c>
      <c r="V27" s="162">
        <f t="shared" si="72"/>
        <v>0</v>
      </c>
      <c r="W27" s="162">
        <f t="shared" si="73"/>
        <v>0</v>
      </c>
      <c r="X27" s="162">
        <f t="shared" si="74"/>
        <v>0</v>
      </c>
      <c r="Y27" s="268">
        <f t="shared" si="75"/>
        <v>0</v>
      </c>
      <c r="Z27" s="67"/>
      <c r="AA27" s="7"/>
      <c r="AB27" s="7"/>
      <c r="AC27" s="6">
        <f t="shared" si="76"/>
        <v>0</v>
      </c>
      <c r="AD27" s="31">
        <f t="shared" si="77"/>
        <v>0</v>
      </c>
      <c r="AE27" s="10"/>
      <c r="AF27" s="6">
        <f t="shared" si="62"/>
        <v>0</v>
      </c>
      <c r="AG27" s="6">
        <f t="shared" ref="AG27:AG36" si="102">IF($AE27=2,$Z27,0)</f>
        <v>0</v>
      </c>
      <c r="AH27" s="63">
        <f t="shared" si="78"/>
        <v>0</v>
      </c>
      <c r="AI27" s="73"/>
      <c r="AJ27" s="7"/>
      <c r="AK27" s="7"/>
      <c r="AL27" s="6">
        <f t="shared" si="63"/>
        <v>0</v>
      </c>
      <c r="AM27" s="31">
        <f t="shared" si="79"/>
        <v>0</v>
      </c>
      <c r="AN27" s="10"/>
      <c r="AO27" s="6">
        <f t="shared" si="80"/>
        <v>0</v>
      </c>
      <c r="AP27" s="6">
        <f t="shared" si="81"/>
        <v>0</v>
      </c>
      <c r="AQ27" s="63">
        <f t="shared" si="82"/>
        <v>0</v>
      </c>
      <c r="AR27" s="73"/>
      <c r="AS27" s="7"/>
      <c r="AT27" s="7"/>
      <c r="AU27" s="6">
        <f t="shared" si="64"/>
        <v>0</v>
      </c>
      <c r="AV27" s="31">
        <f t="shared" si="83"/>
        <v>0</v>
      </c>
      <c r="AW27" s="10"/>
      <c r="AX27" s="6">
        <f t="shared" si="84"/>
        <v>0</v>
      </c>
      <c r="AY27" s="6">
        <f t="shared" si="85"/>
        <v>0</v>
      </c>
      <c r="AZ27" s="63">
        <f t="shared" si="86"/>
        <v>0</v>
      </c>
      <c r="BA27" s="73"/>
      <c r="BB27" s="7"/>
      <c r="BC27" s="7"/>
      <c r="BD27" s="6">
        <f t="shared" si="65"/>
        <v>0</v>
      </c>
      <c r="BE27" s="31">
        <f t="shared" si="87"/>
        <v>0</v>
      </c>
      <c r="BF27" s="10"/>
      <c r="BG27" s="6">
        <f t="shared" si="88"/>
        <v>0</v>
      </c>
      <c r="BH27" s="6">
        <f t="shared" si="89"/>
        <v>0</v>
      </c>
      <c r="BI27" s="63">
        <f t="shared" si="90"/>
        <v>0</v>
      </c>
      <c r="BJ27" s="73"/>
      <c r="BK27" s="7"/>
      <c r="BL27" s="7"/>
      <c r="BM27" s="6">
        <f t="shared" si="91"/>
        <v>0</v>
      </c>
      <c r="BN27" s="31">
        <f t="shared" si="92"/>
        <v>0</v>
      </c>
      <c r="BO27" s="10"/>
      <c r="BP27" s="6">
        <f t="shared" si="93"/>
        <v>0</v>
      </c>
      <c r="BQ27" s="63">
        <f t="shared" si="94"/>
        <v>0</v>
      </c>
      <c r="BR27" s="73"/>
      <c r="BS27" s="7"/>
      <c r="BT27" s="7"/>
      <c r="BU27" s="6">
        <f t="shared" si="95"/>
        <v>0</v>
      </c>
      <c r="BV27" s="31">
        <f t="shared" si="96"/>
        <v>0</v>
      </c>
      <c r="BW27" s="10"/>
      <c r="BX27" s="6">
        <f t="shared" si="97"/>
        <v>0</v>
      </c>
      <c r="BY27" s="21">
        <f t="shared" si="98"/>
        <v>0</v>
      </c>
      <c r="BZ27" s="73"/>
      <c r="CA27" s="7"/>
      <c r="CB27" s="7"/>
      <c r="CC27" s="6">
        <f t="shared" si="99"/>
        <v>0</v>
      </c>
      <c r="CD27" s="31">
        <f t="shared" si="100"/>
        <v>0</v>
      </c>
      <c r="CE27" s="10"/>
      <c r="CF27" s="6">
        <f t="shared" si="66"/>
        <v>0</v>
      </c>
      <c r="CG27" s="21">
        <f t="shared" si="101"/>
        <v>0</v>
      </c>
    </row>
    <row r="28" spans="1:85" ht="19.5" customHeight="1" thickBot="1" x14ac:dyDescent="0.3">
      <c r="A28" s="1346"/>
      <c r="B28" s="98" t="s">
        <v>182</v>
      </c>
      <c r="C28" s="95"/>
      <c r="D28" s="241" t="s">
        <v>331</v>
      </c>
      <c r="E28" s="7"/>
      <c r="F28" s="7"/>
      <c r="G28" s="7"/>
      <c r="H28" s="6">
        <f>E28*F28/1000</f>
        <v>0</v>
      </c>
      <c r="I28" s="251">
        <f>E28*G28/1000</f>
        <v>0</v>
      </c>
      <c r="J28" s="126"/>
      <c r="K28" s="269">
        <f t="shared" ref="K28:K35" si="103">IF($J28=15,$E28,0)</f>
        <v>0</v>
      </c>
      <c r="L28" s="269">
        <f t="shared" si="57"/>
        <v>0</v>
      </c>
      <c r="M28" s="269">
        <f t="shared" si="58"/>
        <v>0</v>
      </c>
      <c r="N28" s="269">
        <f t="shared" si="59"/>
        <v>0</v>
      </c>
      <c r="O28" s="269">
        <f t="shared" si="60"/>
        <v>0</v>
      </c>
      <c r="P28" s="269">
        <f t="shared" si="61"/>
        <v>0</v>
      </c>
      <c r="Q28" s="269">
        <f t="shared" si="67"/>
        <v>0</v>
      </c>
      <c r="R28" s="269">
        <f t="shared" si="68"/>
        <v>0</v>
      </c>
      <c r="S28" s="269">
        <f t="shared" si="69"/>
        <v>0</v>
      </c>
      <c r="T28" s="269">
        <f t="shared" si="70"/>
        <v>0</v>
      </c>
      <c r="U28" s="269">
        <f t="shared" si="71"/>
        <v>0</v>
      </c>
      <c r="V28" s="269">
        <f t="shared" si="72"/>
        <v>0</v>
      </c>
      <c r="W28" s="269">
        <f t="shared" si="73"/>
        <v>0</v>
      </c>
      <c r="X28" s="269">
        <f t="shared" si="74"/>
        <v>0</v>
      </c>
      <c r="Y28" s="270">
        <f t="shared" si="75"/>
        <v>0</v>
      </c>
      <c r="Z28" s="67"/>
      <c r="AA28" s="7"/>
      <c r="AB28" s="7"/>
      <c r="AC28" s="6">
        <f t="shared" si="76"/>
        <v>0</v>
      </c>
      <c r="AD28" s="31">
        <f t="shared" si="77"/>
        <v>0</v>
      </c>
      <c r="AE28" s="10"/>
      <c r="AF28" s="6">
        <f t="shared" si="62"/>
        <v>0</v>
      </c>
      <c r="AG28" s="6">
        <f t="shared" si="102"/>
        <v>0</v>
      </c>
      <c r="AH28" s="63">
        <f t="shared" si="78"/>
        <v>0</v>
      </c>
      <c r="AI28" s="73"/>
      <c r="AJ28" s="7"/>
      <c r="AK28" s="7"/>
      <c r="AL28" s="6">
        <f t="shared" si="63"/>
        <v>0</v>
      </c>
      <c r="AM28" s="31">
        <f t="shared" si="79"/>
        <v>0</v>
      </c>
      <c r="AN28" s="10"/>
      <c r="AO28" s="6">
        <f t="shared" si="80"/>
        <v>0</v>
      </c>
      <c r="AP28" s="6">
        <f t="shared" si="81"/>
        <v>0</v>
      </c>
      <c r="AQ28" s="63">
        <f t="shared" si="82"/>
        <v>0</v>
      </c>
      <c r="AR28" s="73"/>
      <c r="AS28" s="7"/>
      <c r="AT28" s="7"/>
      <c r="AU28" s="6">
        <f t="shared" si="64"/>
        <v>0</v>
      </c>
      <c r="AV28" s="31">
        <f t="shared" si="83"/>
        <v>0</v>
      </c>
      <c r="AW28" s="10"/>
      <c r="AX28" s="6">
        <f t="shared" si="84"/>
        <v>0</v>
      </c>
      <c r="AY28" s="6">
        <f t="shared" si="85"/>
        <v>0</v>
      </c>
      <c r="AZ28" s="63">
        <f t="shared" si="86"/>
        <v>0</v>
      </c>
      <c r="BA28" s="73"/>
      <c r="BB28" s="7"/>
      <c r="BC28" s="7"/>
      <c r="BD28" s="6">
        <f t="shared" si="65"/>
        <v>0</v>
      </c>
      <c r="BE28" s="31">
        <f t="shared" si="87"/>
        <v>0</v>
      </c>
      <c r="BF28" s="10"/>
      <c r="BG28" s="6">
        <f t="shared" si="88"/>
        <v>0</v>
      </c>
      <c r="BH28" s="6">
        <f t="shared" si="89"/>
        <v>0</v>
      </c>
      <c r="BI28" s="63">
        <f t="shared" si="90"/>
        <v>0</v>
      </c>
      <c r="BJ28" s="73"/>
      <c r="BK28" s="7"/>
      <c r="BL28" s="7"/>
      <c r="BM28" s="6">
        <f t="shared" si="91"/>
        <v>0</v>
      </c>
      <c r="BN28" s="31">
        <f t="shared" si="92"/>
        <v>0</v>
      </c>
      <c r="BO28" s="10"/>
      <c r="BP28" s="6">
        <f t="shared" si="93"/>
        <v>0</v>
      </c>
      <c r="BQ28" s="63">
        <f t="shared" si="94"/>
        <v>0</v>
      </c>
      <c r="BR28" s="73"/>
      <c r="BS28" s="7"/>
      <c r="BT28" s="7"/>
      <c r="BU28" s="6">
        <f t="shared" si="95"/>
        <v>0</v>
      </c>
      <c r="BV28" s="31">
        <f t="shared" si="96"/>
        <v>0</v>
      </c>
      <c r="BW28" s="10"/>
      <c r="BX28" s="6">
        <f t="shared" si="97"/>
        <v>0</v>
      </c>
      <c r="BY28" s="21">
        <f t="shared" si="98"/>
        <v>0</v>
      </c>
      <c r="BZ28" s="73"/>
      <c r="CA28" s="7"/>
      <c r="CB28" s="7"/>
      <c r="CC28" s="6">
        <f t="shared" si="99"/>
        <v>0</v>
      </c>
      <c r="CD28" s="31">
        <f t="shared" si="100"/>
        <v>0</v>
      </c>
      <c r="CE28" s="10"/>
      <c r="CF28" s="6">
        <f t="shared" si="66"/>
        <v>0</v>
      </c>
      <c r="CG28" s="21">
        <f t="shared" si="101"/>
        <v>0</v>
      </c>
    </row>
    <row r="29" spans="1:85" ht="19.5" customHeight="1" x14ac:dyDescent="0.25">
      <c r="A29" s="1346"/>
      <c r="B29" s="97" t="s">
        <v>183</v>
      </c>
      <c r="C29" s="94"/>
      <c r="D29" s="46" t="s">
        <v>332</v>
      </c>
      <c r="E29" s="42"/>
      <c r="F29" s="42"/>
      <c r="G29" s="42"/>
      <c r="H29" s="16">
        <f t="shared" si="55"/>
        <v>0</v>
      </c>
      <c r="I29" s="250">
        <f t="shared" si="56"/>
        <v>0</v>
      </c>
      <c r="J29" s="91"/>
      <c r="K29" s="262">
        <f t="shared" si="103"/>
        <v>0</v>
      </c>
      <c r="L29" s="262">
        <f t="shared" si="57"/>
        <v>0</v>
      </c>
      <c r="M29" s="262">
        <f t="shared" si="58"/>
        <v>0</v>
      </c>
      <c r="N29" s="262">
        <f t="shared" si="59"/>
        <v>0</v>
      </c>
      <c r="O29" s="262">
        <f t="shared" si="60"/>
        <v>0</v>
      </c>
      <c r="P29" s="262">
        <f t="shared" si="61"/>
        <v>0</v>
      </c>
      <c r="Q29" s="262">
        <f t="shared" si="67"/>
        <v>0</v>
      </c>
      <c r="R29" s="262">
        <f t="shared" si="68"/>
        <v>0</v>
      </c>
      <c r="S29" s="262">
        <f t="shared" si="69"/>
        <v>0</v>
      </c>
      <c r="T29" s="262">
        <f t="shared" si="70"/>
        <v>0</v>
      </c>
      <c r="U29" s="262">
        <f t="shared" si="71"/>
        <v>0</v>
      </c>
      <c r="V29" s="262">
        <f t="shared" si="72"/>
        <v>0</v>
      </c>
      <c r="W29" s="262">
        <f t="shared" si="73"/>
        <v>0</v>
      </c>
      <c r="X29" s="262">
        <f t="shared" si="74"/>
        <v>0</v>
      </c>
      <c r="Y29" s="263">
        <f t="shared" si="75"/>
        <v>0</v>
      </c>
      <c r="Z29" s="66"/>
      <c r="AA29" s="42"/>
      <c r="AB29" s="42"/>
      <c r="AC29" s="23">
        <f>Z29*0.97*AA29/1000</f>
        <v>0</v>
      </c>
      <c r="AD29" s="79">
        <f t="shared" si="77"/>
        <v>0</v>
      </c>
      <c r="AE29" s="15"/>
      <c r="AF29" s="16">
        <f t="shared" si="62"/>
        <v>0</v>
      </c>
      <c r="AG29" s="23">
        <f t="shared" si="102"/>
        <v>0</v>
      </c>
      <c r="AH29" s="62">
        <f t="shared" si="78"/>
        <v>0</v>
      </c>
      <c r="AI29" s="72"/>
      <c r="AJ29" s="42"/>
      <c r="AK29" s="42"/>
      <c r="AL29" s="16">
        <f t="shared" si="63"/>
        <v>0</v>
      </c>
      <c r="AM29" s="43">
        <f t="shared" si="79"/>
        <v>0</v>
      </c>
      <c r="AN29" s="15"/>
      <c r="AO29" s="16">
        <f t="shared" si="80"/>
        <v>0</v>
      </c>
      <c r="AP29" s="16">
        <f t="shared" si="81"/>
        <v>0</v>
      </c>
      <c r="AQ29" s="62">
        <f t="shared" si="82"/>
        <v>0</v>
      </c>
      <c r="AR29" s="72"/>
      <c r="AS29" s="42"/>
      <c r="AT29" s="42"/>
      <c r="AU29" s="16">
        <f t="shared" si="64"/>
        <v>0</v>
      </c>
      <c r="AV29" s="43">
        <f t="shared" si="83"/>
        <v>0</v>
      </c>
      <c r="AW29" s="15"/>
      <c r="AX29" s="16">
        <f t="shared" si="84"/>
        <v>0</v>
      </c>
      <c r="AY29" s="16">
        <f t="shared" si="85"/>
        <v>0</v>
      </c>
      <c r="AZ29" s="62">
        <f t="shared" si="86"/>
        <v>0</v>
      </c>
      <c r="BA29" s="72"/>
      <c r="BB29" s="42"/>
      <c r="BC29" s="42"/>
      <c r="BD29" s="16">
        <f t="shared" si="65"/>
        <v>0</v>
      </c>
      <c r="BE29" s="43">
        <f t="shared" si="87"/>
        <v>0</v>
      </c>
      <c r="BF29" s="15"/>
      <c r="BG29" s="16">
        <f t="shared" si="88"/>
        <v>0</v>
      </c>
      <c r="BH29" s="16">
        <f t="shared" si="89"/>
        <v>0</v>
      </c>
      <c r="BI29" s="62">
        <f t="shared" si="90"/>
        <v>0</v>
      </c>
      <c r="BJ29" s="72"/>
      <c r="BK29" s="42"/>
      <c r="BL29" s="42"/>
      <c r="BM29" s="16">
        <f t="shared" si="91"/>
        <v>0</v>
      </c>
      <c r="BN29" s="43">
        <f t="shared" si="92"/>
        <v>0</v>
      </c>
      <c r="BO29" s="15"/>
      <c r="BP29" s="16">
        <f t="shared" si="93"/>
        <v>0</v>
      </c>
      <c r="BQ29" s="62">
        <f t="shared" si="94"/>
        <v>0</v>
      </c>
      <c r="BR29" s="72"/>
      <c r="BS29" s="42"/>
      <c r="BT29" s="42"/>
      <c r="BU29" s="16">
        <f t="shared" si="95"/>
        <v>0</v>
      </c>
      <c r="BV29" s="43">
        <f t="shared" si="96"/>
        <v>0</v>
      </c>
      <c r="BW29" s="15"/>
      <c r="BX29" s="16">
        <f t="shared" si="97"/>
        <v>0</v>
      </c>
      <c r="BY29" s="20">
        <f t="shared" si="98"/>
        <v>0</v>
      </c>
      <c r="BZ29" s="72"/>
      <c r="CA29" s="42"/>
      <c r="CB29" s="42"/>
      <c r="CC29" s="16">
        <f t="shared" si="99"/>
        <v>0</v>
      </c>
      <c r="CD29" s="43">
        <f t="shared" si="100"/>
        <v>0</v>
      </c>
      <c r="CE29" s="15"/>
      <c r="CF29" s="16">
        <f t="shared" si="66"/>
        <v>0</v>
      </c>
      <c r="CG29" s="20">
        <f t="shared" si="101"/>
        <v>0</v>
      </c>
    </row>
    <row r="30" spans="1:85" ht="19.5" customHeight="1" x14ac:dyDescent="0.25">
      <c r="A30" s="1346"/>
      <c r="B30" s="1338" t="s">
        <v>182</v>
      </c>
      <c r="C30" s="95"/>
      <c r="D30" s="47" t="s">
        <v>332</v>
      </c>
      <c r="E30" s="7"/>
      <c r="F30" s="7"/>
      <c r="G30" s="7"/>
      <c r="H30" s="6">
        <f t="shared" si="55"/>
        <v>0</v>
      </c>
      <c r="I30" s="251">
        <f t="shared" si="56"/>
        <v>0</v>
      </c>
      <c r="J30" s="92"/>
      <c r="K30" s="162">
        <f t="shared" si="103"/>
        <v>0</v>
      </c>
      <c r="L30" s="162">
        <f t="shared" si="57"/>
        <v>0</v>
      </c>
      <c r="M30" s="162">
        <f t="shared" si="58"/>
        <v>0</v>
      </c>
      <c r="N30" s="162">
        <f t="shared" si="59"/>
        <v>0</v>
      </c>
      <c r="O30" s="162">
        <f t="shared" si="60"/>
        <v>0</v>
      </c>
      <c r="P30" s="162">
        <f t="shared" si="61"/>
        <v>0</v>
      </c>
      <c r="Q30" s="162">
        <f t="shared" si="67"/>
        <v>0</v>
      </c>
      <c r="R30" s="162">
        <f t="shared" si="68"/>
        <v>0</v>
      </c>
      <c r="S30" s="162">
        <f t="shared" si="69"/>
        <v>0</v>
      </c>
      <c r="T30" s="162">
        <f t="shared" si="70"/>
        <v>0</v>
      </c>
      <c r="U30" s="162">
        <f t="shared" si="71"/>
        <v>0</v>
      </c>
      <c r="V30" s="162">
        <f t="shared" si="72"/>
        <v>0</v>
      </c>
      <c r="W30" s="162">
        <f t="shared" si="73"/>
        <v>0</v>
      </c>
      <c r="X30" s="162">
        <f t="shared" si="74"/>
        <v>0</v>
      </c>
      <c r="Y30" s="268">
        <f t="shared" si="75"/>
        <v>0</v>
      </c>
      <c r="Z30" s="67"/>
      <c r="AA30" s="7"/>
      <c r="AB30" s="7"/>
      <c r="AC30" s="6">
        <f t="shared" si="76"/>
        <v>0</v>
      </c>
      <c r="AD30" s="31">
        <f t="shared" si="77"/>
        <v>0</v>
      </c>
      <c r="AE30" s="10"/>
      <c r="AF30" s="6">
        <f t="shared" si="62"/>
        <v>0</v>
      </c>
      <c r="AG30" s="6">
        <f t="shared" si="102"/>
        <v>0</v>
      </c>
      <c r="AH30" s="63">
        <f t="shared" si="78"/>
        <v>0</v>
      </c>
      <c r="AI30" s="73"/>
      <c r="AJ30" s="7"/>
      <c r="AK30" s="7"/>
      <c r="AL30" s="6">
        <f t="shared" si="63"/>
        <v>0</v>
      </c>
      <c r="AM30" s="31">
        <f t="shared" si="79"/>
        <v>0</v>
      </c>
      <c r="AN30" s="10"/>
      <c r="AO30" s="6">
        <f t="shared" si="80"/>
        <v>0</v>
      </c>
      <c r="AP30" s="6">
        <f t="shared" si="81"/>
        <v>0</v>
      </c>
      <c r="AQ30" s="63">
        <f t="shared" si="82"/>
        <v>0</v>
      </c>
      <c r="AR30" s="73"/>
      <c r="AS30" s="7"/>
      <c r="AT30" s="7"/>
      <c r="AU30" s="6">
        <f t="shared" si="64"/>
        <v>0</v>
      </c>
      <c r="AV30" s="31">
        <f t="shared" si="83"/>
        <v>0</v>
      </c>
      <c r="AW30" s="10"/>
      <c r="AX30" s="6">
        <f t="shared" si="84"/>
        <v>0</v>
      </c>
      <c r="AY30" s="6">
        <f t="shared" si="85"/>
        <v>0</v>
      </c>
      <c r="AZ30" s="63">
        <f t="shared" si="86"/>
        <v>0</v>
      </c>
      <c r="BA30" s="73"/>
      <c r="BB30" s="7"/>
      <c r="BC30" s="7"/>
      <c r="BD30" s="6">
        <f t="shared" si="65"/>
        <v>0</v>
      </c>
      <c r="BE30" s="31">
        <f t="shared" si="87"/>
        <v>0</v>
      </c>
      <c r="BF30" s="10"/>
      <c r="BG30" s="6">
        <f t="shared" si="88"/>
        <v>0</v>
      </c>
      <c r="BH30" s="6">
        <f t="shared" si="89"/>
        <v>0</v>
      </c>
      <c r="BI30" s="63">
        <f t="shared" si="90"/>
        <v>0</v>
      </c>
      <c r="BJ30" s="73"/>
      <c r="BK30" s="7"/>
      <c r="BL30" s="7"/>
      <c r="BM30" s="6">
        <f t="shared" si="91"/>
        <v>0</v>
      </c>
      <c r="BN30" s="31">
        <f t="shared" si="92"/>
        <v>0</v>
      </c>
      <c r="BO30" s="10"/>
      <c r="BP30" s="6">
        <f t="shared" si="93"/>
        <v>0</v>
      </c>
      <c r="BQ30" s="63">
        <f t="shared" si="94"/>
        <v>0</v>
      </c>
      <c r="BR30" s="73"/>
      <c r="BS30" s="7"/>
      <c r="BT30" s="7"/>
      <c r="BU30" s="6">
        <f t="shared" si="95"/>
        <v>0</v>
      </c>
      <c r="BV30" s="31">
        <f t="shared" si="96"/>
        <v>0</v>
      </c>
      <c r="BW30" s="10"/>
      <c r="BX30" s="6">
        <f t="shared" si="97"/>
        <v>0</v>
      </c>
      <c r="BY30" s="21">
        <f t="shared" si="98"/>
        <v>0</v>
      </c>
      <c r="BZ30" s="73"/>
      <c r="CA30" s="7"/>
      <c r="CB30" s="7"/>
      <c r="CC30" s="6">
        <f t="shared" si="99"/>
        <v>0</v>
      </c>
      <c r="CD30" s="31">
        <f t="shared" si="100"/>
        <v>0</v>
      </c>
      <c r="CE30" s="10"/>
      <c r="CF30" s="6">
        <f t="shared" si="66"/>
        <v>0</v>
      </c>
      <c r="CG30" s="21">
        <f t="shared" si="101"/>
        <v>0</v>
      </c>
    </row>
    <row r="31" spans="1:85" ht="19.5" customHeight="1" thickBot="1" x14ac:dyDescent="0.3">
      <c r="A31" s="1346"/>
      <c r="B31" s="1339"/>
      <c r="C31" s="96"/>
      <c r="D31" s="48" t="s">
        <v>332</v>
      </c>
      <c r="E31" s="44"/>
      <c r="F31" s="44"/>
      <c r="G31" s="44"/>
      <c r="H31" s="19">
        <f t="shared" si="55"/>
        <v>0</v>
      </c>
      <c r="I31" s="252">
        <f t="shared" si="56"/>
        <v>0</v>
      </c>
      <c r="J31" s="257"/>
      <c r="K31" s="264">
        <f t="shared" si="103"/>
        <v>0</v>
      </c>
      <c r="L31" s="264">
        <f t="shared" si="57"/>
        <v>0</v>
      </c>
      <c r="M31" s="264">
        <f t="shared" si="58"/>
        <v>0</v>
      </c>
      <c r="N31" s="264">
        <f t="shared" si="59"/>
        <v>0</v>
      </c>
      <c r="O31" s="264">
        <f t="shared" si="60"/>
        <v>0</v>
      </c>
      <c r="P31" s="264">
        <f t="shared" si="61"/>
        <v>0</v>
      </c>
      <c r="Q31" s="264">
        <f t="shared" si="67"/>
        <v>0</v>
      </c>
      <c r="R31" s="264">
        <f t="shared" si="68"/>
        <v>0</v>
      </c>
      <c r="S31" s="264">
        <f t="shared" si="69"/>
        <v>0</v>
      </c>
      <c r="T31" s="264">
        <f t="shared" si="70"/>
        <v>0</v>
      </c>
      <c r="U31" s="264">
        <f t="shared" si="71"/>
        <v>0</v>
      </c>
      <c r="V31" s="264">
        <f t="shared" si="72"/>
        <v>0</v>
      </c>
      <c r="W31" s="264">
        <f t="shared" si="73"/>
        <v>0</v>
      </c>
      <c r="X31" s="264">
        <f t="shared" si="74"/>
        <v>0</v>
      </c>
      <c r="Y31" s="265">
        <f t="shared" si="75"/>
        <v>0</v>
      </c>
      <c r="Z31" s="68"/>
      <c r="AA31" s="44"/>
      <c r="AB31" s="44"/>
      <c r="AC31" s="77">
        <f t="shared" si="76"/>
        <v>0</v>
      </c>
      <c r="AD31" s="80">
        <f t="shared" si="77"/>
        <v>0</v>
      </c>
      <c r="AE31" s="18"/>
      <c r="AF31" s="19">
        <f t="shared" si="62"/>
        <v>0</v>
      </c>
      <c r="AG31" s="24">
        <f t="shared" si="102"/>
        <v>0</v>
      </c>
      <c r="AH31" s="64">
        <f t="shared" si="78"/>
        <v>0</v>
      </c>
      <c r="AI31" s="74"/>
      <c r="AJ31" s="44"/>
      <c r="AK31" s="44"/>
      <c r="AL31" s="19">
        <f t="shared" si="63"/>
        <v>0</v>
      </c>
      <c r="AM31" s="45">
        <f t="shared" si="79"/>
        <v>0</v>
      </c>
      <c r="AN31" s="18"/>
      <c r="AO31" s="19">
        <f t="shared" si="80"/>
        <v>0</v>
      </c>
      <c r="AP31" s="19">
        <f t="shared" si="81"/>
        <v>0</v>
      </c>
      <c r="AQ31" s="64">
        <f t="shared" si="82"/>
        <v>0</v>
      </c>
      <c r="AR31" s="74"/>
      <c r="AS31" s="44"/>
      <c r="AT31" s="44"/>
      <c r="AU31" s="19">
        <f t="shared" si="64"/>
        <v>0</v>
      </c>
      <c r="AV31" s="45">
        <f t="shared" si="83"/>
        <v>0</v>
      </c>
      <c r="AW31" s="18"/>
      <c r="AX31" s="19">
        <f t="shared" si="84"/>
        <v>0</v>
      </c>
      <c r="AY31" s="19">
        <f t="shared" si="85"/>
        <v>0</v>
      </c>
      <c r="AZ31" s="64">
        <f t="shared" si="86"/>
        <v>0</v>
      </c>
      <c r="BA31" s="74"/>
      <c r="BB31" s="44"/>
      <c r="BC31" s="44"/>
      <c r="BD31" s="19">
        <f t="shared" si="65"/>
        <v>0</v>
      </c>
      <c r="BE31" s="45">
        <f t="shared" si="87"/>
        <v>0</v>
      </c>
      <c r="BF31" s="18"/>
      <c r="BG31" s="19">
        <f t="shared" si="88"/>
        <v>0</v>
      </c>
      <c r="BH31" s="19">
        <f t="shared" si="89"/>
        <v>0</v>
      </c>
      <c r="BI31" s="64">
        <f t="shared" si="90"/>
        <v>0</v>
      </c>
      <c r="BJ31" s="74"/>
      <c r="BK31" s="44"/>
      <c r="BL31" s="44"/>
      <c r="BM31" s="19">
        <f t="shared" si="91"/>
        <v>0</v>
      </c>
      <c r="BN31" s="45">
        <f t="shared" si="92"/>
        <v>0</v>
      </c>
      <c r="BO31" s="18"/>
      <c r="BP31" s="19">
        <f t="shared" si="93"/>
        <v>0</v>
      </c>
      <c r="BQ31" s="64">
        <f t="shared" si="94"/>
        <v>0</v>
      </c>
      <c r="BR31" s="74"/>
      <c r="BS31" s="44"/>
      <c r="BT31" s="44"/>
      <c r="BU31" s="19">
        <f t="shared" si="95"/>
        <v>0</v>
      </c>
      <c r="BV31" s="45">
        <f t="shared" si="96"/>
        <v>0</v>
      </c>
      <c r="BW31" s="18"/>
      <c r="BX31" s="19">
        <f t="shared" si="97"/>
        <v>0</v>
      </c>
      <c r="BY31" s="22">
        <f t="shared" si="98"/>
        <v>0</v>
      </c>
      <c r="BZ31" s="74"/>
      <c r="CA31" s="44"/>
      <c r="CB31" s="44"/>
      <c r="CC31" s="19">
        <f t="shared" si="99"/>
        <v>0</v>
      </c>
      <c r="CD31" s="45">
        <f t="shared" si="100"/>
        <v>0</v>
      </c>
      <c r="CE31" s="18"/>
      <c r="CF31" s="19">
        <f t="shared" si="66"/>
        <v>0</v>
      </c>
      <c r="CG31" s="22">
        <f t="shared" si="101"/>
        <v>0</v>
      </c>
    </row>
    <row r="32" spans="1:85" ht="19.5" customHeight="1" x14ac:dyDescent="0.25">
      <c r="A32" s="1346"/>
      <c r="B32" s="97" t="s">
        <v>183</v>
      </c>
      <c r="C32" s="94"/>
      <c r="D32" s="243" t="s">
        <v>334</v>
      </c>
      <c r="E32" s="244"/>
      <c r="F32" s="244"/>
      <c r="G32" s="244"/>
      <c r="H32" s="16">
        <f t="shared" si="55"/>
        <v>0</v>
      </c>
      <c r="I32" s="250">
        <f t="shared" si="56"/>
        <v>0</v>
      </c>
      <c r="J32" s="258"/>
      <c r="K32" s="266">
        <f t="shared" si="103"/>
        <v>0</v>
      </c>
      <c r="L32" s="266">
        <f t="shared" si="57"/>
        <v>0</v>
      </c>
      <c r="M32" s="266">
        <f t="shared" si="58"/>
        <v>0</v>
      </c>
      <c r="N32" s="266">
        <f t="shared" si="59"/>
        <v>0</v>
      </c>
      <c r="O32" s="266">
        <f t="shared" si="60"/>
        <v>0</v>
      </c>
      <c r="P32" s="266">
        <f>IF($J32=5,$E32,0)</f>
        <v>0</v>
      </c>
      <c r="Q32" s="266">
        <f t="shared" si="67"/>
        <v>0</v>
      </c>
      <c r="R32" s="266">
        <f t="shared" si="68"/>
        <v>0</v>
      </c>
      <c r="S32" s="266">
        <f t="shared" si="69"/>
        <v>0</v>
      </c>
      <c r="T32" s="266">
        <f t="shared" si="70"/>
        <v>0</v>
      </c>
      <c r="U32" s="266">
        <f t="shared" si="71"/>
        <v>0</v>
      </c>
      <c r="V32" s="266">
        <f t="shared" si="72"/>
        <v>0</v>
      </c>
      <c r="W32" s="266">
        <f t="shared" si="73"/>
        <v>0</v>
      </c>
      <c r="X32" s="266">
        <f t="shared" si="74"/>
        <v>0</v>
      </c>
      <c r="Y32" s="267">
        <f t="shared" si="75"/>
        <v>0</v>
      </c>
      <c r="Z32" s="69"/>
      <c r="AA32" s="49"/>
      <c r="AB32" s="49"/>
      <c r="AC32" s="49">
        <f t="shared" si="76"/>
        <v>0</v>
      </c>
      <c r="AD32" s="49">
        <f t="shared" si="77"/>
        <v>0</v>
      </c>
      <c r="AE32" s="49"/>
      <c r="AF32" s="49">
        <f t="shared" si="62"/>
        <v>0</v>
      </c>
      <c r="AG32" s="81">
        <f t="shared" si="102"/>
        <v>0</v>
      </c>
      <c r="AH32" s="87">
        <f t="shared" si="78"/>
        <v>0</v>
      </c>
      <c r="AI32" s="84"/>
      <c r="AJ32" s="76"/>
      <c r="AK32" s="76"/>
      <c r="AL32" s="76">
        <f t="shared" si="63"/>
        <v>0</v>
      </c>
      <c r="AM32" s="76">
        <f t="shared" si="79"/>
        <v>0</v>
      </c>
      <c r="AN32" s="76"/>
      <c r="AO32" s="76">
        <f t="shared" si="80"/>
        <v>0</v>
      </c>
      <c r="AP32" s="76">
        <f t="shared" si="81"/>
        <v>0</v>
      </c>
      <c r="AQ32" s="87">
        <f t="shared" si="82"/>
        <v>0</v>
      </c>
      <c r="AR32" s="84"/>
      <c r="AS32" s="76"/>
      <c r="AT32" s="76"/>
      <c r="AU32" s="76">
        <f t="shared" si="64"/>
        <v>0</v>
      </c>
      <c r="AV32" s="76">
        <f t="shared" si="83"/>
        <v>0</v>
      </c>
      <c r="AW32" s="76"/>
      <c r="AX32" s="76">
        <f t="shared" si="84"/>
        <v>0</v>
      </c>
      <c r="AY32" s="76">
        <f t="shared" si="85"/>
        <v>0</v>
      </c>
      <c r="AZ32" s="87">
        <f t="shared" si="86"/>
        <v>0</v>
      </c>
      <c r="BA32" s="84"/>
      <c r="BB32" s="76"/>
      <c r="BC32" s="76"/>
      <c r="BD32" s="76">
        <f t="shared" si="65"/>
        <v>0</v>
      </c>
      <c r="BE32" s="76">
        <f t="shared" si="87"/>
        <v>0</v>
      </c>
      <c r="BF32" s="76"/>
      <c r="BG32" s="76">
        <f t="shared" si="88"/>
        <v>0</v>
      </c>
      <c r="BH32" s="76">
        <f t="shared" si="89"/>
        <v>0</v>
      </c>
      <c r="BI32" s="87">
        <f t="shared" si="90"/>
        <v>0</v>
      </c>
      <c r="BJ32" s="84"/>
      <c r="BK32" s="76"/>
      <c r="BL32" s="76"/>
      <c r="BM32" s="76">
        <f t="shared" si="91"/>
        <v>0</v>
      </c>
      <c r="BN32" s="76">
        <f t="shared" si="92"/>
        <v>0</v>
      </c>
      <c r="BO32" s="76"/>
      <c r="BP32" s="76">
        <f t="shared" si="93"/>
        <v>0</v>
      </c>
      <c r="BQ32" s="87">
        <f t="shared" si="94"/>
        <v>0</v>
      </c>
      <c r="BR32" s="84"/>
      <c r="BS32" s="76"/>
      <c r="BT32" s="76"/>
      <c r="BU32" s="76">
        <f t="shared" si="95"/>
        <v>0</v>
      </c>
      <c r="BV32" s="76">
        <f t="shared" si="96"/>
        <v>0</v>
      </c>
      <c r="BW32" s="76"/>
      <c r="BX32" s="76">
        <f t="shared" si="97"/>
        <v>0</v>
      </c>
      <c r="BY32" s="85">
        <f t="shared" si="98"/>
        <v>0</v>
      </c>
      <c r="BZ32" s="84"/>
      <c r="CA32" s="76"/>
      <c r="CB32" s="76"/>
      <c r="CC32" s="76">
        <f t="shared" si="99"/>
        <v>0</v>
      </c>
      <c r="CD32" s="76">
        <f t="shared" si="100"/>
        <v>0</v>
      </c>
      <c r="CE32" s="76"/>
      <c r="CF32" s="76">
        <f t="shared" si="66"/>
        <v>0</v>
      </c>
      <c r="CG32" s="85">
        <f t="shared" si="101"/>
        <v>0</v>
      </c>
    </row>
    <row r="33" spans="1:85" ht="19.5" customHeight="1" x14ac:dyDescent="0.25">
      <c r="A33" s="1346"/>
      <c r="B33" s="1338" t="s">
        <v>182</v>
      </c>
      <c r="C33" s="95"/>
      <c r="D33" s="245" t="s">
        <v>334</v>
      </c>
      <c r="E33" s="246"/>
      <c r="F33" s="246"/>
      <c r="G33" s="246"/>
      <c r="H33" s="6">
        <f t="shared" si="55"/>
        <v>0</v>
      </c>
      <c r="I33" s="251">
        <f t="shared" si="56"/>
        <v>0</v>
      </c>
      <c r="J33" s="256"/>
      <c r="K33" s="162">
        <f t="shared" si="103"/>
        <v>0</v>
      </c>
      <c r="L33" s="162">
        <f t="shared" si="57"/>
        <v>0</v>
      </c>
      <c r="M33" s="162">
        <f t="shared" si="58"/>
        <v>0</v>
      </c>
      <c r="N33" s="162">
        <f t="shared" si="59"/>
        <v>0</v>
      </c>
      <c r="O33" s="162">
        <f t="shared" si="60"/>
        <v>0</v>
      </c>
      <c r="P33" s="162">
        <f>IF($J33=5,$E33,0)</f>
        <v>0</v>
      </c>
      <c r="Q33" s="162">
        <f t="shared" si="67"/>
        <v>0</v>
      </c>
      <c r="R33" s="162">
        <f t="shared" si="68"/>
        <v>0</v>
      </c>
      <c r="S33" s="162">
        <f t="shared" si="69"/>
        <v>0</v>
      </c>
      <c r="T33" s="162">
        <f t="shared" si="70"/>
        <v>0</v>
      </c>
      <c r="U33" s="162">
        <f t="shared" si="71"/>
        <v>0</v>
      </c>
      <c r="V33" s="162">
        <f t="shared" si="72"/>
        <v>0</v>
      </c>
      <c r="W33" s="162">
        <f t="shared" si="73"/>
        <v>0</v>
      </c>
      <c r="X33" s="162">
        <f t="shared" si="74"/>
        <v>0</v>
      </c>
      <c r="Y33" s="268">
        <f t="shared" si="75"/>
        <v>0</v>
      </c>
      <c r="Z33" s="70"/>
      <c r="AA33" s="50"/>
      <c r="AB33" s="50"/>
      <c r="AC33" s="76">
        <f t="shared" si="76"/>
        <v>0</v>
      </c>
      <c r="AD33" s="76">
        <f t="shared" si="77"/>
        <v>0</v>
      </c>
      <c r="AE33" s="50"/>
      <c r="AF33" s="50">
        <f t="shared" si="62"/>
        <v>0</v>
      </c>
      <c r="AG33" s="50">
        <f t="shared" si="102"/>
        <v>0</v>
      </c>
      <c r="AH33" s="65">
        <f t="shared" si="78"/>
        <v>0</v>
      </c>
      <c r="AI33" s="75"/>
      <c r="AJ33" s="50"/>
      <c r="AK33" s="50"/>
      <c r="AL33" s="50">
        <f t="shared" si="63"/>
        <v>0</v>
      </c>
      <c r="AM33" s="50">
        <f t="shared" si="79"/>
        <v>0</v>
      </c>
      <c r="AN33" s="50"/>
      <c r="AO33" s="50">
        <f t="shared" si="80"/>
        <v>0</v>
      </c>
      <c r="AP33" s="50">
        <f t="shared" si="81"/>
        <v>0</v>
      </c>
      <c r="AQ33" s="65">
        <f t="shared" si="82"/>
        <v>0</v>
      </c>
      <c r="AR33" s="75"/>
      <c r="AS33" s="50"/>
      <c r="AT33" s="50"/>
      <c r="AU33" s="50">
        <f t="shared" si="64"/>
        <v>0</v>
      </c>
      <c r="AV33" s="50">
        <f t="shared" si="83"/>
        <v>0</v>
      </c>
      <c r="AW33" s="50"/>
      <c r="AX33" s="50">
        <f t="shared" si="84"/>
        <v>0</v>
      </c>
      <c r="AY33" s="50">
        <f t="shared" si="85"/>
        <v>0</v>
      </c>
      <c r="AZ33" s="65">
        <f t="shared" si="86"/>
        <v>0</v>
      </c>
      <c r="BA33" s="75"/>
      <c r="BB33" s="50"/>
      <c r="BC33" s="50"/>
      <c r="BD33" s="50">
        <f t="shared" si="65"/>
        <v>0</v>
      </c>
      <c r="BE33" s="50">
        <f t="shared" si="87"/>
        <v>0</v>
      </c>
      <c r="BF33" s="50"/>
      <c r="BG33" s="50">
        <f t="shared" si="88"/>
        <v>0</v>
      </c>
      <c r="BH33" s="50">
        <f t="shared" si="89"/>
        <v>0</v>
      </c>
      <c r="BI33" s="65">
        <f t="shared" si="90"/>
        <v>0</v>
      </c>
      <c r="BJ33" s="75"/>
      <c r="BK33" s="50"/>
      <c r="BL33" s="50"/>
      <c r="BM33" s="50">
        <f t="shared" si="91"/>
        <v>0</v>
      </c>
      <c r="BN33" s="50">
        <f t="shared" si="92"/>
        <v>0</v>
      </c>
      <c r="BO33" s="50"/>
      <c r="BP33" s="50">
        <f t="shared" si="93"/>
        <v>0</v>
      </c>
      <c r="BQ33" s="65">
        <f t="shared" si="94"/>
        <v>0</v>
      </c>
      <c r="BR33" s="75"/>
      <c r="BS33" s="50"/>
      <c r="BT33" s="50"/>
      <c r="BU33" s="50">
        <f t="shared" si="95"/>
        <v>0</v>
      </c>
      <c r="BV33" s="50">
        <f t="shared" si="96"/>
        <v>0</v>
      </c>
      <c r="BW33" s="50"/>
      <c r="BX33" s="50">
        <f t="shared" si="97"/>
        <v>0</v>
      </c>
      <c r="BY33" s="51">
        <f t="shared" si="98"/>
        <v>0</v>
      </c>
      <c r="BZ33" s="75"/>
      <c r="CA33" s="50"/>
      <c r="CB33" s="50"/>
      <c r="CC33" s="50">
        <f t="shared" si="99"/>
        <v>0</v>
      </c>
      <c r="CD33" s="50">
        <f t="shared" si="100"/>
        <v>0</v>
      </c>
      <c r="CE33" s="50"/>
      <c r="CF33" s="50">
        <f t="shared" si="66"/>
        <v>0</v>
      </c>
      <c r="CG33" s="51">
        <f t="shared" si="101"/>
        <v>0</v>
      </c>
    </row>
    <row r="34" spans="1:85" ht="19.5" customHeight="1" thickBot="1" x14ac:dyDescent="0.3">
      <c r="A34" s="1346"/>
      <c r="B34" s="1339"/>
      <c r="C34" s="96"/>
      <c r="D34" s="247" t="s">
        <v>334</v>
      </c>
      <c r="E34" s="248"/>
      <c r="F34" s="248"/>
      <c r="G34" s="248"/>
      <c r="H34" s="19">
        <f t="shared" si="55"/>
        <v>0</v>
      </c>
      <c r="I34" s="252">
        <f t="shared" si="56"/>
        <v>0</v>
      </c>
      <c r="J34" s="259"/>
      <c r="K34" s="269">
        <f t="shared" si="103"/>
        <v>0</v>
      </c>
      <c r="L34" s="269">
        <f t="shared" si="57"/>
        <v>0</v>
      </c>
      <c r="M34" s="269">
        <f t="shared" si="58"/>
        <v>0</v>
      </c>
      <c r="N34" s="269">
        <f t="shared" si="59"/>
        <v>0</v>
      </c>
      <c r="O34" s="269">
        <f t="shared" si="60"/>
        <v>0</v>
      </c>
      <c r="P34" s="269">
        <f>IF($J34=5,$E34,0)</f>
        <v>0</v>
      </c>
      <c r="Q34" s="269">
        <f t="shared" si="67"/>
        <v>0</v>
      </c>
      <c r="R34" s="269">
        <f t="shared" si="68"/>
        <v>0</v>
      </c>
      <c r="S34" s="269">
        <f t="shared" si="69"/>
        <v>0</v>
      </c>
      <c r="T34" s="269">
        <f t="shared" si="70"/>
        <v>0</v>
      </c>
      <c r="U34" s="269">
        <f t="shared" si="71"/>
        <v>0</v>
      </c>
      <c r="V34" s="269">
        <f t="shared" si="72"/>
        <v>0</v>
      </c>
      <c r="W34" s="269">
        <f t="shared" si="73"/>
        <v>0</v>
      </c>
      <c r="X34" s="269">
        <f t="shared" si="74"/>
        <v>0</v>
      </c>
      <c r="Y34" s="270">
        <f t="shared" si="75"/>
        <v>0</v>
      </c>
      <c r="Z34" s="71"/>
      <c r="AA34" s="52"/>
      <c r="AB34" s="52"/>
      <c r="AC34" s="78">
        <f t="shared" si="76"/>
        <v>0</v>
      </c>
      <c r="AD34" s="78">
        <f t="shared" si="77"/>
        <v>0</v>
      </c>
      <c r="AE34" s="52"/>
      <c r="AF34" s="52">
        <f t="shared" si="62"/>
        <v>0</v>
      </c>
      <c r="AG34" s="76">
        <f t="shared" si="102"/>
        <v>0</v>
      </c>
      <c r="AH34" s="88">
        <f t="shared" si="78"/>
        <v>0</v>
      </c>
      <c r="AI34" s="82"/>
      <c r="AJ34" s="83"/>
      <c r="AK34" s="83"/>
      <c r="AL34" s="83">
        <f t="shared" si="63"/>
        <v>0</v>
      </c>
      <c r="AM34" s="83">
        <f t="shared" si="79"/>
        <v>0</v>
      </c>
      <c r="AN34" s="83"/>
      <c r="AO34" s="83">
        <f t="shared" si="80"/>
        <v>0</v>
      </c>
      <c r="AP34" s="83">
        <f t="shared" si="81"/>
        <v>0</v>
      </c>
      <c r="AQ34" s="88">
        <f t="shared" si="82"/>
        <v>0</v>
      </c>
      <c r="AR34" s="82"/>
      <c r="AS34" s="83"/>
      <c r="AT34" s="83"/>
      <c r="AU34" s="83">
        <f t="shared" si="64"/>
        <v>0</v>
      </c>
      <c r="AV34" s="83">
        <f t="shared" si="83"/>
        <v>0</v>
      </c>
      <c r="AW34" s="83"/>
      <c r="AX34" s="83">
        <f t="shared" si="84"/>
        <v>0</v>
      </c>
      <c r="AY34" s="83">
        <f t="shared" si="85"/>
        <v>0</v>
      </c>
      <c r="AZ34" s="88">
        <f t="shared" si="86"/>
        <v>0</v>
      </c>
      <c r="BA34" s="82"/>
      <c r="BB34" s="83"/>
      <c r="BC34" s="83"/>
      <c r="BD34" s="83">
        <f t="shared" si="65"/>
        <v>0</v>
      </c>
      <c r="BE34" s="83">
        <f t="shared" si="87"/>
        <v>0</v>
      </c>
      <c r="BF34" s="83"/>
      <c r="BG34" s="83">
        <f t="shared" si="88"/>
        <v>0</v>
      </c>
      <c r="BH34" s="83">
        <f t="shared" si="89"/>
        <v>0</v>
      </c>
      <c r="BI34" s="88">
        <f t="shared" si="90"/>
        <v>0</v>
      </c>
      <c r="BJ34" s="82"/>
      <c r="BK34" s="83"/>
      <c r="BL34" s="83"/>
      <c r="BM34" s="83">
        <f t="shared" si="91"/>
        <v>0</v>
      </c>
      <c r="BN34" s="83">
        <f t="shared" si="92"/>
        <v>0</v>
      </c>
      <c r="BO34" s="83"/>
      <c r="BP34" s="83">
        <f t="shared" si="93"/>
        <v>0</v>
      </c>
      <c r="BQ34" s="88">
        <f t="shared" si="94"/>
        <v>0</v>
      </c>
      <c r="BR34" s="82"/>
      <c r="BS34" s="83"/>
      <c r="BT34" s="83"/>
      <c r="BU34" s="83">
        <f t="shared" si="95"/>
        <v>0</v>
      </c>
      <c r="BV34" s="83">
        <f t="shared" si="96"/>
        <v>0</v>
      </c>
      <c r="BW34" s="83"/>
      <c r="BX34" s="83">
        <f t="shared" si="97"/>
        <v>0</v>
      </c>
      <c r="BY34" s="86">
        <f t="shared" si="98"/>
        <v>0</v>
      </c>
      <c r="BZ34" s="82"/>
      <c r="CA34" s="83"/>
      <c r="CB34" s="83"/>
      <c r="CC34" s="83">
        <f t="shared" si="99"/>
        <v>0</v>
      </c>
      <c r="CD34" s="83">
        <f t="shared" si="100"/>
        <v>0</v>
      </c>
      <c r="CE34" s="83"/>
      <c r="CF34" s="83">
        <f t="shared" si="66"/>
        <v>0</v>
      </c>
      <c r="CG34" s="86">
        <f t="shared" si="101"/>
        <v>0</v>
      </c>
    </row>
    <row r="35" spans="1:85" ht="19.5" customHeight="1" x14ac:dyDescent="0.25">
      <c r="A35" s="1346"/>
      <c r="B35" s="97" t="s">
        <v>183</v>
      </c>
      <c r="C35" s="94"/>
      <c r="D35" s="46" t="s">
        <v>333</v>
      </c>
      <c r="E35" s="42"/>
      <c r="F35" s="42"/>
      <c r="G35" s="42"/>
      <c r="H35" s="16">
        <f t="shared" si="55"/>
        <v>0</v>
      </c>
      <c r="I35" s="250">
        <f t="shared" si="56"/>
        <v>0</v>
      </c>
      <c r="J35" s="260"/>
      <c r="K35" s="262">
        <f t="shared" si="103"/>
        <v>0</v>
      </c>
      <c r="L35" s="262">
        <f t="shared" si="57"/>
        <v>0</v>
      </c>
      <c r="M35" s="262">
        <f t="shared" si="58"/>
        <v>0</v>
      </c>
      <c r="N35" s="262">
        <f t="shared" si="59"/>
        <v>0</v>
      </c>
      <c r="O35" s="262">
        <f t="shared" si="60"/>
        <v>0</v>
      </c>
      <c r="P35" s="262">
        <f>IF($J35=5,$E35,0)</f>
        <v>0</v>
      </c>
      <c r="Q35" s="262">
        <f t="shared" si="67"/>
        <v>0</v>
      </c>
      <c r="R35" s="262">
        <f t="shared" si="68"/>
        <v>0</v>
      </c>
      <c r="S35" s="262">
        <f t="shared" si="69"/>
        <v>0</v>
      </c>
      <c r="T35" s="262">
        <f t="shared" si="70"/>
        <v>0</v>
      </c>
      <c r="U35" s="262">
        <f t="shared" si="71"/>
        <v>0</v>
      </c>
      <c r="V35" s="262">
        <f t="shared" si="72"/>
        <v>0</v>
      </c>
      <c r="W35" s="262">
        <f t="shared" si="73"/>
        <v>0</v>
      </c>
      <c r="X35" s="262">
        <f t="shared" si="74"/>
        <v>0</v>
      </c>
      <c r="Y35" s="263">
        <f t="shared" si="75"/>
        <v>0</v>
      </c>
      <c r="Z35" s="66"/>
      <c r="AA35" s="42"/>
      <c r="AB35" s="42"/>
      <c r="AC35" s="23">
        <f>Z35*0.97*AA35/1000</f>
        <v>0</v>
      </c>
      <c r="AD35" s="79">
        <f>Z35*0.97*AB35/1000</f>
        <v>0</v>
      </c>
      <c r="AE35" s="15"/>
      <c r="AF35" s="16">
        <f t="shared" si="62"/>
        <v>0</v>
      </c>
      <c r="AG35" s="23">
        <f t="shared" si="102"/>
        <v>0</v>
      </c>
      <c r="AH35" s="62">
        <f t="shared" si="78"/>
        <v>0</v>
      </c>
      <c r="AI35" s="72"/>
      <c r="AJ35" s="42"/>
      <c r="AK35" s="42"/>
      <c r="AL35" s="16">
        <f t="shared" si="63"/>
        <v>0</v>
      </c>
      <c r="AM35" s="43">
        <f>AI35*0.97*AK35/1000</f>
        <v>0</v>
      </c>
      <c r="AN35" s="15"/>
      <c r="AO35" s="16">
        <f t="shared" si="80"/>
        <v>0</v>
      </c>
      <c r="AP35" s="16">
        <f t="shared" si="81"/>
        <v>0</v>
      </c>
      <c r="AQ35" s="62">
        <f t="shared" si="82"/>
        <v>0</v>
      </c>
      <c r="AR35" s="72"/>
      <c r="AS35" s="42"/>
      <c r="AT35" s="42"/>
      <c r="AU35" s="16">
        <f t="shared" si="64"/>
        <v>0</v>
      </c>
      <c r="AV35" s="43">
        <f>AR35*0.97*AT35/1000</f>
        <v>0</v>
      </c>
      <c r="AW35" s="15"/>
      <c r="AX35" s="16">
        <f t="shared" si="84"/>
        <v>0</v>
      </c>
      <c r="AY35" s="16">
        <f t="shared" si="85"/>
        <v>0</v>
      </c>
      <c r="AZ35" s="62">
        <f t="shared" si="86"/>
        <v>0</v>
      </c>
      <c r="BA35" s="72"/>
      <c r="BB35" s="42"/>
      <c r="BC35" s="42"/>
      <c r="BD35" s="16">
        <f t="shared" si="65"/>
        <v>0</v>
      </c>
      <c r="BE35" s="43">
        <f>BA35*0.97*BC35/1000</f>
        <v>0</v>
      </c>
      <c r="BF35" s="15"/>
      <c r="BG35" s="16">
        <f t="shared" si="88"/>
        <v>0</v>
      </c>
      <c r="BH35" s="16">
        <f t="shared" si="89"/>
        <v>0</v>
      </c>
      <c r="BI35" s="62">
        <f t="shared" si="90"/>
        <v>0</v>
      </c>
      <c r="BJ35" s="72"/>
      <c r="BK35" s="42"/>
      <c r="BL35" s="42"/>
      <c r="BM35" s="16">
        <f t="shared" si="91"/>
        <v>0</v>
      </c>
      <c r="BN35" s="43">
        <f t="shared" si="92"/>
        <v>0</v>
      </c>
      <c r="BO35" s="15"/>
      <c r="BP35" s="16">
        <f t="shared" si="93"/>
        <v>0</v>
      </c>
      <c r="BQ35" s="62">
        <f t="shared" si="94"/>
        <v>0</v>
      </c>
      <c r="BR35" s="72"/>
      <c r="BS35" s="42"/>
      <c r="BT35" s="42"/>
      <c r="BU35" s="16">
        <f t="shared" si="95"/>
        <v>0</v>
      </c>
      <c r="BV35" s="43">
        <f t="shared" si="96"/>
        <v>0</v>
      </c>
      <c r="BW35" s="15"/>
      <c r="BX35" s="16">
        <f t="shared" si="97"/>
        <v>0</v>
      </c>
      <c r="BY35" s="20">
        <f t="shared" si="98"/>
        <v>0</v>
      </c>
      <c r="BZ35" s="72"/>
      <c r="CA35" s="42"/>
      <c r="CB35" s="42"/>
      <c r="CC35" s="16">
        <f t="shared" si="99"/>
        <v>0</v>
      </c>
      <c r="CD35" s="43">
        <f t="shared" si="100"/>
        <v>0</v>
      </c>
      <c r="CE35" s="15"/>
      <c r="CF35" s="16">
        <f t="shared" si="66"/>
        <v>0</v>
      </c>
      <c r="CG35" s="20">
        <f t="shared" si="101"/>
        <v>0</v>
      </c>
    </row>
    <row r="36" spans="1:85" ht="19.5" customHeight="1" thickBot="1" x14ac:dyDescent="0.3">
      <c r="A36" s="1346"/>
      <c r="B36" s="98" t="s">
        <v>182</v>
      </c>
      <c r="C36" s="95"/>
      <c r="D36" s="47" t="s">
        <v>333</v>
      </c>
      <c r="E36" s="7"/>
      <c r="F36" s="7"/>
      <c r="G36" s="7"/>
      <c r="H36" s="6">
        <f t="shared" si="55"/>
        <v>0</v>
      </c>
      <c r="I36" s="251">
        <f t="shared" si="56"/>
        <v>0</v>
      </c>
      <c r="J36" s="93"/>
      <c r="K36" s="264">
        <f>IF($J402=15,$E402,0)</f>
        <v>0</v>
      </c>
      <c r="L36" s="264">
        <f t="shared" si="57"/>
        <v>0</v>
      </c>
      <c r="M36" s="264">
        <f t="shared" si="58"/>
        <v>0</v>
      </c>
      <c r="N36" s="264">
        <f t="shared" si="59"/>
        <v>0</v>
      </c>
      <c r="O36" s="264">
        <f t="shared" si="60"/>
        <v>0</v>
      </c>
      <c r="P36" s="264">
        <f>IF($J36=5,$E36,0)</f>
        <v>0</v>
      </c>
      <c r="Q36" s="264">
        <f t="shared" si="67"/>
        <v>0</v>
      </c>
      <c r="R36" s="264">
        <f t="shared" si="68"/>
        <v>0</v>
      </c>
      <c r="S36" s="264">
        <f t="shared" si="69"/>
        <v>0</v>
      </c>
      <c r="T36" s="264">
        <f t="shared" si="70"/>
        <v>0</v>
      </c>
      <c r="U36" s="264">
        <f t="shared" si="71"/>
        <v>0</v>
      </c>
      <c r="V36" s="264">
        <f t="shared" si="72"/>
        <v>0</v>
      </c>
      <c r="W36" s="264">
        <f t="shared" si="73"/>
        <v>0</v>
      </c>
      <c r="X36" s="264">
        <f t="shared" si="74"/>
        <v>0</v>
      </c>
      <c r="Y36" s="265">
        <f t="shared" si="75"/>
        <v>0</v>
      </c>
      <c r="Z36" s="67"/>
      <c r="AA36" s="7"/>
      <c r="AB36" s="7"/>
      <c r="AC36" s="6">
        <f>Z36*0.97*AA36/1000</f>
        <v>0</v>
      </c>
      <c r="AD36" s="31">
        <f>Z36*0.97*AB36/1000</f>
        <v>0</v>
      </c>
      <c r="AE36" s="10"/>
      <c r="AF36" s="6">
        <f t="shared" si="62"/>
        <v>0</v>
      </c>
      <c r="AG36" s="6">
        <f t="shared" si="102"/>
        <v>0</v>
      </c>
      <c r="AH36" s="63">
        <f t="shared" si="78"/>
        <v>0</v>
      </c>
      <c r="AI36" s="73"/>
      <c r="AJ36" s="7"/>
      <c r="AK36" s="7"/>
      <c r="AL36" s="6">
        <f t="shared" si="63"/>
        <v>0</v>
      </c>
      <c r="AM36" s="31">
        <f>AI36*0.97*AK36/1000</f>
        <v>0</v>
      </c>
      <c r="AN36" s="10"/>
      <c r="AO36" s="6">
        <f t="shared" si="80"/>
        <v>0</v>
      </c>
      <c r="AP36" s="6">
        <f t="shared" si="81"/>
        <v>0</v>
      </c>
      <c r="AQ36" s="63">
        <f t="shared" si="82"/>
        <v>0</v>
      </c>
      <c r="AR36" s="73"/>
      <c r="AS36" s="7"/>
      <c r="AT36" s="7"/>
      <c r="AU36" s="6">
        <f t="shared" si="64"/>
        <v>0</v>
      </c>
      <c r="AV36" s="31">
        <f>AR36*0.97*AT36/1000</f>
        <v>0</v>
      </c>
      <c r="AW36" s="10"/>
      <c r="AX36" s="6">
        <f t="shared" si="84"/>
        <v>0</v>
      </c>
      <c r="AY36" s="6">
        <f t="shared" si="85"/>
        <v>0</v>
      </c>
      <c r="AZ36" s="63">
        <f t="shared" si="86"/>
        <v>0</v>
      </c>
      <c r="BA36" s="73"/>
      <c r="BB36" s="7"/>
      <c r="BC36" s="7"/>
      <c r="BD36" s="6">
        <f t="shared" si="65"/>
        <v>0</v>
      </c>
      <c r="BE36" s="31">
        <f>BA36*0.97*BC36/1000</f>
        <v>0</v>
      </c>
      <c r="BF36" s="10"/>
      <c r="BG36" s="6">
        <f t="shared" si="88"/>
        <v>0</v>
      </c>
      <c r="BH36" s="6">
        <f t="shared" si="89"/>
        <v>0</v>
      </c>
      <c r="BI36" s="63">
        <f t="shared" si="90"/>
        <v>0</v>
      </c>
      <c r="BJ36" s="73"/>
      <c r="BK36" s="7"/>
      <c r="BL36" s="7"/>
      <c r="BM36" s="6">
        <f t="shared" si="91"/>
        <v>0</v>
      </c>
      <c r="BN36" s="31">
        <f t="shared" si="92"/>
        <v>0</v>
      </c>
      <c r="BO36" s="10"/>
      <c r="BP36" s="6">
        <f t="shared" si="93"/>
        <v>0</v>
      </c>
      <c r="BQ36" s="63">
        <f t="shared" si="94"/>
        <v>0</v>
      </c>
      <c r="BR36" s="73"/>
      <c r="BS36" s="7"/>
      <c r="BT36" s="7"/>
      <c r="BU36" s="6">
        <f t="shared" si="95"/>
        <v>0</v>
      </c>
      <c r="BV36" s="31">
        <f t="shared" si="96"/>
        <v>0</v>
      </c>
      <c r="BW36" s="10"/>
      <c r="BX36" s="6">
        <f t="shared" si="97"/>
        <v>0</v>
      </c>
      <c r="BY36" s="21">
        <f t="shared" si="98"/>
        <v>0</v>
      </c>
      <c r="BZ36" s="73"/>
      <c r="CA36" s="7"/>
      <c r="CB36" s="7"/>
      <c r="CC36" s="6">
        <f t="shared" si="99"/>
        <v>0</v>
      </c>
      <c r="CD36" s="31">
        <f t="shared" si="100"/>
        <v>0</v>
      </c>
      <c r="CE36" s="10"/>
      <c r="CF36" s="6">
        <f t="shared" si="66"/>
        <v>0</v>
      </c>
      <c r="CG36" s="21">
        <f t="shared" si="101"/>
        <v>0</v>
      </c>
    </row>
    <row r="37" spans="1:85" s="103" customFormat="1" ht="19.5" customHeight="1" x14ac:dyDescent="0.25">
      <c r="A37" s="1332" t="s">
        <v>119</v>
      </c>
      <c r="B37" s="1333"/>
      <c r="C37" s="1334"/>
      <c r="D37" s="239" t="s">
        <v>331</v>
      </c>
      <c r="E37" s="302">
        <f>SUM(E25:E28)*0.962*CH4</f>
        <v>0</v>
      </c>
      <c r="F37" s="271">
        <f t="shared" ref="F37:F44" si="104">IF(E37=0,0,H37/E37*1000)</f>
        <v>0</v>
      </c>
      <c r="G37" s="305">
        <f t="shared" ref="G37:G44" si="105">IF(E37=0,0,I37/E37*1000)</f>
        <v>0</v>
      </c>
      <c r="H37" s="271">
        <f>SUM(H25:H28)*0.962</f>
        <v>0</v>
      </c>
      <c r="I37" s="272">
        <f>SUM(I25:I28)*0.962</f>
        <v>0</v>
      </c>
      <c r="J37" s="273"/>
      <c r="K37" s="274">
        <f t="shared" ref="K37:Z37" si="106">SUM(K25:K28)</f>
        <v>0</v>
      </c>
      <c r="L37" s="274">
        <f t="shared" si="106"/>
        <v>0</v>
      </c>
      <c r="M37" s="274">
        <f t="shared" si="106"/>
        <v>0</v>
      </c>
      <c r="N37" s="274">
        <f t="shared" si="106"/>
        <v>0</v>
      </c>
      <c r="O37" s="274">
        <f t="shared" si="106"/>
        <v>0</v>
      </c>
      <c r="P37" s="274">
        <f t="shared" si="106"/>
        <v>0</v>
      </c>
      <c r="Q37" s="274">
        <f t="shared" si="106"/>
        <v>0</v>
      </c>
      <c r="R37" s="274">
        <f t="shared" si="106"/>
        <v>0</v>
      </c>
      <c r="S37" s="274">
        <f t="shared" si="106"/>
        <v>0</v>
      </c>
      <c r="T37" s="274">
        <f t="shared" si="106"/>
        <v>0</v>
      </c>
      <c r="U37" s="274">
        <f t="shared" si="106"/>
        <v>0</v>
      </c>
      <c r="V37" s="274">
        <f t="shared" si="106"/>
        <v>0</v>
      </c>
      <c r="W37" s="274">
        <f t="shared" si="106"/>
        <v>0</v>
      </c>
      <c r="X37" s="274">
        <f t="shared" si="106"/>
        <v>0</v>
      </c>
      <c r="Y37" s="275">
        <f t="shared" si="106"/>
        <v>0</v>
      </c>
      <c r="Z37" s="102">
        <f t="shared" si="106"/>
        <v>0</v>
      </c>
      <c r="AA37" s="100">
        <f t="shared" ref="AA37:AA44" si="107">IF(Z37=0,0,AC37/Z37*1000)</f>
        <v>0</v>
      </c>
      <c r="AB37" s="100">
        <f t="shared" ref="AB37:AB44" si="108">IF(Z37=0,0,AD37/Z37*1000)</f>
        <v>0</v>
      </c>
      <c r="AC37" s="100">
        <f>SUM(AC25:AC28)</f>
        <v>0</v>
      </c>
      <c r="AD37" s="100">
        <f>SUM(AD25:AD28)</f>
        <v>0</v>
      </c>
      <c r="AE37" s="100"/>
      <c r="AF37" s="100">
        <f>SUM(AF25:AF28)</f>
        <v>0</v>
      </c>
      <c r="AG37" s="100">
        <f>SUM(AG25:AG28)</f>
        <v>0</v>
      </c>
      <c r="AH37" s="101">
        <f>SUM(AH25:AH28)</f>
        <v>0</v>
      </c>
      <c r="AI37" s="102">
        <f>SUM(AI25:AI28)</f>
        <v>0</v>
      </c>
      <c r="AJ37" s="100">
        <f t="shared" ref="AJ37:AJ44" si="109">IF(AI37=0,0,AL37/AI37*1000)</f>
        <v>0</v>
      </c>
      <c r="AK37" s="100">
        <f t="shared" ref="AK37:AK44" si="110">IF(AI37=0,0,AM37/AI37*1000)</f>
        <v>0</v>
      </c>
      <c r="AL37" s="100">
        <f>SUM(AL25:AL28)</f>
        <v>0</v>
      </c>
      <c r="AM37" s="100">
        <f>SUM(AM25:AM28)</f>
        <v>0</v>
      </c>
      <c r="AN37" s="100"/>
      <c r="AO37" s="100">
        <f>SUM(AO25:AO28)</f>
        <v>0</v>
      </c>
      <c r="AP37" s="100">
        <f>SUM(AP25:AP28)</f>
        <v>0</v>
      </c>
      <c r="AQ37" s="101">
        <f>SUM(AQ25:AQ28)</f>
        <v>0</v>
      </c>
      <c r="AR37" s="102">
        <f>SUM(AR25:AR28)</f>
        <v>0</v>
      </c>
      <c r="AS37" s="100">
        <f t="shared" ref="AS37:AS44" si="111">IF(AR37=0,0,AU37/AR37*1000)</f>
        <v>0</v>
      </c>
      <c r="AT37" s="100">
        <f t="shared" ref="AT37:AT44" si="112">IF(AR37=0,0,AV37/AR37*1000)</f>
        <v>0</v>
      </c>
      <c r="AU37" s="100">
        <f>SUM(AU25:AU28)</f>
        <v>0</v>
      </c>
      <c r="AV37" s="100">
        <f>SUM(AV25:AV28)</f>
        <v>0</v>
      </c>
      <c r="AW37" s="100"/>
      <c r="AX37" s="100">
        <f>SUM(AX25:AX28)</f>
        <v>0</v>
      </c>
      <c r="AY37" s="100">
        <f>SUM(AY25:AY28)</f>
        <v>0</v>
      </c>
      <c r="AZ37" s="101">
        <f>SUM(AZ25:AZ28)</f>
        <v>0</v>
      </c>
      <c r="BA37" s="102">
        <f>SUM(BA25:BA28)</f>
        <v>0</v>
      </c>
      <c r="BB37" s="100">
        <f t="shared" ref="BB37:BB44" si="113">IF(BA37=0,0,BD37/BA37*1000)</f>
        <v>0</v>
      </c>
      <c r="BC37" s="100">
        <f t="shared" ref="BC37:BC44" si="114">IF(BA37=0,0,BE37/BA37*1000)</f>
        <v>0</v>
      </c>
      <c r="BD37" s="100">
        <f>SUM(BD25:BD28)</f>
        <v>0</v>
      </c>
      <c r="BE37" s="100">
        <f>SUM(BE25:BE28)</f>
        <v>0</v>
      </c>
      <c r="BF37" s="100"/>
      <c r="BG37" s="100">
        <f>SUM(BG25:BG28)</f>
        <v>0</v>
      </c>
      <c r="BH37" s="100">
        <f>SUM(BH25:BH28)</f>
        <v>0</v>
      </c>
      <c r="BI37" s="101">
        <f>SUM(BI25:BI28)</f>
        <v>0</v>
      </c>
      <c r="BJ37" s="102">
        <f>SUM(BJ25:BJ28)</f>
        <v>0</v>
      </c>
      <c r="BK37" s="100">
        <f t="shared" ref="BK37:BK44" si="115">IF(BJ37=0,0,BM37/BJ37*1000)</f>
        <v>0</v>
      </c>
      <c r="BL37" s="100">
        <f t="shared" ref="BL37:BL44" si="116">IF(BJ37=0,0,BN37/BJ37*1000)</f>
        <v>0</v>
      </c>
      <c r="BM37" s="100">
        <f>SUM(BM25:BM28)</f>
        <v>0</v>
      </c>
      <c r="BN37" s="100">
        <f>SUM(BN25:BN28)</f>
        <v>0</v>
      </c>
      <c r="BO37" s="100"/>
      <c r="BP37" s="100">
        <f>SUM(BP25:BP28)</f>
        <v>0</v>
      </c>
      <c r="BQ37" s="101">
        <f>SUM(BQ25:BQ28)</f>
        <v>0</v>
      </c>
      <c r="BR37" s="102">
        <f>SUM(BR25:BR28)</f>
        <v>0</v>
      </c>
      <c r="BS37" s="100">
        <f t="shared" ref="BS37:BS44" si="117">IF(BR37=0,0,BU37/BR37*1000)</f>
        <v>0</v>
      </c>
      <c r="BT37" s="100">
        <f t="shared" ref="BT37:BT44" si="118">IF(BR37=0,0,BV37/BR37*1000)</f>
        <v>0</v>
      </c>
      <c r="BU37" s="100">
        <f>SUM(BU25:BU28)</f>
        <v>0</v>
      </c>
      <c r="BV37" s="100">
        <f>SUM(BV25:BV28)</f>
        <v>0</v>
      </c>
      <c r="BW37" s="100"/>
      <c r="BX37" s="100">
        <f>SUM(BX25:BX28)</f>
        <v>0</v>
      </c>
      <c r="BY37" s="101">
        <f>SUM(BY25:BY28)</f>
        <v>0</v>
      </c>
      <c r="BZ37" s="102">
        <f>SUM(BZ25:BZ28)</f>
        <v>0</v>
      </c>
      <c r="CA37" s="100">
        <f t="shared" ref="CA37:CA44" si="119">IF(BZ37=0,0,CC37/BZ37*1000)</f>
        <v>0</v>
      </c>
      <c r="CB37" s="100">
        <f t="shared" ref="CB37:CB44" si="120">IF(BZ37=0,0,CD37/BZ37*1000)</f>
        <v>0</v>
      </c>
      <c r="CC37" s="100">
        <f>SUM(CC25:CC28)</f>
        <v>0</v>
      </c>
      <c r="CD37" s="100">
        <f>SUM(CD25:CD28)</f>
        <v>0</v>
      </c>
      <c r="CE37" s="100"/>
      <c r="CF37" s="100">
        <f>SUM(CF25:CF28)</f>
        <v>0</v>
      </c>
      <c r="CG37" s="101">
        <f>SUM(CG25:CG28)</f>
        <v>0</v>
      </c>
    </row>
    <row r="38" spans="1:85" s="103" customFormat="1" ht="19.5" customHeight="1" x14ac:dyDescent="0.25">
      <c r="A38" s="1335"/>
      <c r="B38" s="1336"/>
      <c r="C38" s="1337"/>
      <c r="D38" s="104" t="s">
        <v>332</v>
      </c>
      <c r="E38" s="303">
        <f>SUM(E29:E31)*0.85*CH4</f>
        <v>0</v>
      </c>
      <c r="F38" s="104">
        <f>IF(E38=0,0,H38/E38*1000)</f>
        <v>0</v>
      </c>
      <c r="G38" s="249">
        <f t="shared" si="105"/>
        <v>0</v>
      </c>
      <c r="H38" s="104">
        <f>SUM(H29:H31)*0.85</f>
        <v>0</v>
      </c>
      <c r="I38" s="279">
        <f>SUM(I29:I31)*0.85</f>
        <v>0</v>
      </c>
      <c r="J38" s="280"/>
      <c r="K38" s="261">
        <f t="shared" ref="K38:Z38" si="121">SUM(K29:K31)</f>
        <v>0</v>
      </c>
      <c r="L38" s="261">
        <f t="shared" si="121"/>
        <v>0</v>
      </c>
      <c r="M38" s="261">
        <f t="shared" si="121"/>
        <v>0</v>
      </c>
      <c r="N38" s="261">
        <f t="shared" si="121"/>
        <v>0</v>
      </c>
      <c r="O38" s="261">
        <f t="shared" si="121"/>
        <v>0</v>
      </c>
      <c r="P38" s="261">
        <f t="shared" si="121"/>
        <v>0</v>
      </c>
      <c r="Q38" s="261">
        <f t="shared" si="121"/>
        <v>0</v>
      </c>
      <c r="R38" s="261">
        <f t="shared" si="121"/>
        <v>0</v>
      </c>
      <c r="S38" s="261">
        <f t="shared" si="121"/>
        <v>0</v>
      </c>
      <c r="T38" s="261">
        <f t="shared" si="121"/>
        <v>0</v>
      </c>
      <c r="U38" s="261">
        <f t="shared" si="121"/>
        <v>0</v>
      </c>
      <c r="V38" s="261">
        <f t="shared" si="121"/>
        <v>0</v>
      </c>
      <c r="W38" s="261">
        <f t="shared" si="121"/>
        <v>0</v>
      </c>
      <c r="X38" s="261">
        <f t="shared" si="121"/>
        <v>0</v>
      </c>
      <c r="Y38" s="281">
        <f t="shared" si="121"/>
        <v>0</v>
      </c>
      <c r="Z38" s="107">
        <f t="shared" si="121"/>
        <v>0</v>
      </c>
      <c r="AA38" s="105">
        <f t="shared" si="107"/>
        <v>0</v>
      </c>
      <c r="AB38" s="105">
        <f t="shared" si="108"/>
        <v>0</v>
      </c>
      <c r="AC38" s="105">
        <f>SUM(AC29:AC31)</f>
        <v>0</v>
      </c>
      <c r="AD38" s="105">
        <f>SUM(AD29:AD31)</f>
        <v>0</v>
      </c>
      <c r="AE38" s="105"/>
      <c r="AF38" s="105">
        <f>SUM(AF29:AF31)</f>
        <v>0</v>
      </c>
      <c r="AG38" s="105">
        <f>SUM(AG29:AG31)</f>
        <v>0</v>
      </c>
      <c r="AH38" s="106">
        <f>SUM(AH29:AH31)</f>
        <v>0</v>
      </c>
      <c r="AI38" s="107">
        <f>SUM(AI29:AI31)</f>
        <v>0</v>
      </c>
      <c r="AJ38" s="105">
        <f t="shared" si="109"/>
        <v>0</v>
      </c>
      <c r="AK38" s="105">
        <f t="shared" si="110"/>
        <v>0</v>
      </c>
      <c r="AL38" s="105">
        <f>SUM(AL29:AL31)</f>
        <v>0</v>
      </c>
      <c r="AM38" s="105">
        <f>SUM(AM29:AM31)</f>
        <v>0</v>
      </c>
      <c r="AN38" s="105"/>
      <c r="AO38" s="105">
        <f>SUM(AO29:AO31)</f>
        <v>0</v>
      </c>
      <c r="AP38" s="105">
        <f>SUM(AP29:AP31)</f>
        <v>0</v>
      </c>
      <c r="AQ38" s="106">
        <f>SUM(AQ29:AQ31)</f>
        <v>0</v>
      </c>
      <c r="AR38" s="107">
        <f>SUM(AR29:AR31)</f>
        <v>0</v>
      </c>
      <c r="AS38" s="105">
        <f t="shared" si="111"/>
        <v>0</v>
      </c>
      <c r="AT38" s="105">
        <f t="shared" si="112"/>
        <v>0</v>
      </c>
      <c r="AU38" s="105">
        <f>SUM(AU29:AU31)</f>
        <v>0</v>
      </c>
      <c r="AV38" s="105">
        <f>SUM(AV29:AV31)</f>
        <v>0</v>
      </c>
      <c r="AW38" s="105"/>
      <c r="AX38" s="105">
        <f>SUM(AX29:AX31)</f>
        <v>0</v>
      </c>
      <c r="AY38" s="105">
        <f>SUM(AY29:AY31)</f>
        <v>0</v>
      </c>
      <c r="AZ38" s="106">
        <f>SUM(AZ29:AZ31)</f>
        <v>0</v>
      </c>
      <c r="BA38" s="107">
        <f>SUM(BA29:BA31)</f>
        <v>0</v>
      </c>
      <c r="BB38" s="105">
        <f t="shared" si="113"/>
        <v>0</v>
      </c>
      <c r="BC38" s="105">
        <f t="shared" si="114"/>
        <v>0</v>
      </c>
      <c r="BD38" s="105">
        <f>SUM(BD29:BD31)</f>
        <v>0</v>
      </c>
      <c r="BE38" s="105">
        <f>SUM(BE29:BE31)</f>
        <v>0</v>
      </c>
      <c r="BF38" s="105"/>
      <c r="BG38" s="105">
        <f>SUM(BG29:BG31)</f>
        <v>0</v>
      </c>
      <c r="BH38" s="105">
        <f>SUM(BH29:BH31)</f>
        <v>0</v>
      </c>
      <c r="BI38" s="106">
        <f>SUM(BI29:BI31)</f>
        <v>0</v>
      </c>
      <c r="BJ38" s="107">
        <f>SUM(BJ29:BJ31)</f>
        <v>0</v>
      </c>
      <c r="BK38" s="105">
        <f t="shared" si="115"/>
        <v>0</v>
      </c>
      <c r="BL38" s="105">
        <f t="shared" si="116"/>
        <v>0</v>
      </c>
      <c r="BM38" s="105">
        <f>SUM(BM29:BM31)</f>
        <v>0</v>
      </c>
      <c r="BN38" s="105">
        <f>SUM(BN29:BN31)</f>
        <v>0</v>
      </c>
      <c r="BO38" s="105"/>
      <c r="BP38" s="105">
        <f>SUM(BP29:BP31)</f>
        <v>0</v>
      </c>
      <c r="BQ38" s="106">
        <f>SUM(BQ29:BQ31)</f>
        <v>0</v>
      </c>
      <c r="BR38" s="107">
        <f>SUM(BR29:BR31)</f>
        <v>0</v>
      </c>
      <c r="BS38" s="105">
        <f t="shared" si="117"/>
        <v>0</v>
      </c>
      <c r="BT38" s="105">
        <f t="shared" si="118"/>
        <v>0</v>
      </c>
      <c r="BU38" s="105">
        <f>SUM(BU29:BU31)</f>
        <v>0</v>
      </c>
      <c r="BV38" s="105">
        <f>SUM(BV29:BV31)</f>
        <v>0</v>
      </c>
      <c r="BW38" s="105"/>
      <c r="BX38" s="105">
        <f>SUM(BX29:BX31)</f>
        <v>0</v>
      </c>
      <c r="BY38" s="106">
        <f>SUM(BY29:BY31)</f>
        <v>0</v>
      </c>
      <c r="BZ38" s="107">
        <f>SUM(BZ29:BZ31)</f>
        <v>0</v>
      </c>
      <c r="CA38" s="105">
        <f t="shared" si="119"/>
        <v>0</v>
      </c>
      <c r="CB38" s="105">
        <f t="shared" si="120"/>
        <v>0</v>
      </c>
      <c r="CC38" s="105">
        <f>SUM(CC29:CC31)</f>
        <v>0</v>
      </c>
      <c r="CD38" s="105">
        <f>SUM(CD29:CD31)</f>
        <v>0</v>
      </c>
      <c r="CE38" s="105"/>
      <c r="CF38" s="105">
        <f>SUM(CF29:CF31)</f>
        <v>0</v>
      </c>
      <c r="CG38" s="106">
        <f>SUM(CG29:CG31)</f>
        <v>0</v>
      </c>
    </row>
    <row r="39" spans="1:85" s="103" customFormat="1" ht="19.5" customHeight="1" x14ac:dyDescent="0.25">
      <c r="A39" s="1335"/>
      <c r="B39" s="1336"/>
      <c r="C39" s="1337"/>
      <c r="D39" s="242" t="s">
        <v>334</v>
      </c>
      <c r="E39" s="303">
        <f>SUM(E32:E34)*0.85*CH4</f>
        <v>0</v>
      </c>
      <c r="F39" s="104">
        <f t="shared" si="104"/>
        <v>0</v>
      </c>
      <c r="G39" s="249">
        <f t="shared" si="105"/>
        <v>0</v>
      </c>
      <c r="H39" s="104">
        <f>SUM(H32:H34)*0.85</f>
        <v>0</v>
      </c>
      <c r="I39" s="279">
        <f>SUM(I32:I34)*0.85</f>
        <v>0</v>
      </c>
      <c r="J39" s="280"/>
      <c r="K39" s="261">
        <f t="shared" ref="K39:Z39" si="122">SUM(K32:K34)</f>
        <v>0</v>
      </c>
      <c r="L39" s="261">
        <f t="shared" si="122"/>
        <v>0</v>
      </c>
      <c r="M39" s="261">
        <f t="shared" si="122"/>
        <v>0</v>
      </c>
      <c r="N39" s="261">
        <f t="shared" si="122"/>
        <v>0</v>
      </c>
      <c r="O39" s="261">
        <f t="shared" si="122"/>
        <v>0</v>
      </c>
      <c r="P39" s="261">
        <f t="shared" si="122"/>
        <v>0</v>
      </c>
      <c r="Q39" s="261">
        <f t="shared" si="122"/>
        <v>0</v>
      </c>
      <c r="R39" s="261">
        <f t="shared" si="122"/>
        <v>0</v>
      </c>
      <c r="S39" s="261">
        <f t="shared" si="122"/>
        <v>0</v>
      </c>
      <c r="T39" s="261">
        <f t="shared" si="122"/>
        <v>0</v>
      </c>
      <c r="U39" s="261">
        <f t="shared" si="122"/>
        <v>0</v>
      </c>
      <c r="V39" s="261">
        <f t="shared" si="122"/>
        <v>0</v>
      </c>
      <c r="W39" s="261">
        <f t="shared" si="122"/>
        <v>0</v>
      </c>
      <c r="X39" s="261">
        <f t="shared" si="122"/>
        <v>0</v>
      </c>
      <c r="Y39" s="281">
        <f t="shared" si="122"/>
        <v>0</v>
      </c>
      <c r="Z39" s="111">
        <f t="shared" si="122"/>
        <v>0</v>
      </c>
      <c r="AA39" s="109">
        <f t="shared" si="107"/>
        <v>0</v>
      </c>
      <c r="AB39" s="109">
        <f t="shared" si="108"/>
        <v>0</v>
      </c>
      <c r="AC39" s="109">
        <f>SUM(AC32:AC34)</f>
        <v>0</v>
      </c>
      <c r="AD39" s="109">
        <f>SUM(AD32:AD34)</f>
        <v>0</v>
      </c>
      <c r="AE39" s="109"/>
      <c r="AF39" s="109">
        <f>SUM(AF32:AF34)</f>
        <v>0</v>
      </c>
      <c r="AG39" s="109">
        <f>SUM(AG32:AG34)</f>
        <v>0</v>
      </c>
      <c r="AH39" s="110">
        <f>SUM(AH32:AH34)</f>
        <v>0</v>
      </c>
      <c r="AI39" s="111">
        <f>SUM(AI32:AI34)</f>
        <v>0</v>
      </c>
      <c r="AJ39" s="109">
        <f t="shared" si="109"/>
        <v>0</v>
      </c>
      <c r="AK39" s="109">
        <f t="shared" si="110"/>
        <v>0</v>
      </c>
      <c r="AL39" s="109">
        <f>SUM(AL32:AL34)</f>
        <v>0</v>
      </c>
      <c r="AM39" s="109">
        <f>SUM(AM32:AM34)</f>
        <v>0</v>
      </c>
      <c r="AN39" s="109"/>
      <c r="AO39" s="109">
        <f>SUM(AO32:AO34)</f>
        <v>0</v>
      </c>
      <c r="AP39" s="109">
        <f>SUM(AP32:AP34)</f>
        <v>0</v>
      </c>
      <c r="AQ39" s="110">
        <f>SUM(AQ32:AQ34)</f>
        <v>0</v>
      </c>
      <c r="AR39" s="111">
        <f>SUM(AR32:AR34)</f>
        <v>0</v>
      </c>
      <c r="AS39" s="109">
        <f t="shared" si="111"/>
        <v>0</v>
      </c>
      <c r="AT39" s="109">
        <f t="shared" si="112"/>
        <v>0</v>
      </c>
      <c r="AU39" s="109">
        <f>SUM(AU32:AU34)</f>
        <v>0</v>
      </c>
      <c r="AV39" s="109">
        <f>SUM(AV32:AV34)</f>
        <v>0</v>
      </c>
      <c r="AW39" s="109"/>
      <c r="AX39" s="109">
        <f>SUM(AX32:AX34)</f>
        <v>0</v>
      </c>
      <c r="AY39" s="109">
        <f>SUM(AY32:AY34)</f>
        <v>0</v>
      </c>
      <c r="AZ39" s="110">
        <f>SUM(AZ32:AZ34)</f>
        <v>0</v>
      </c>
      <c r="BA39" s="111">
        <f>SUM(BA32:BA34)</f>
        <v>0</v>
      </c>
      <c r="BB39" s="109">
        <f t="shared" si="113"/>
        <v>0</v>
      </c>
      <c r="BC39" s="109">
        <f t="shared" si="114"/>
        <v>0</v>
      </c>
      <c r="BD39" s="109">
        <f>SUM(BD32:BD34)</f>
        <v>0</v>
      </c>
      <c r="BE39" s="109">
        <f>SUM(BE32:BE34)</f>
        <v>0</v>
      </c>
      <c r="BF39" s="109"/>
      <c r="BG39" s="109">
        <f>SUM(BG32:BG34)</f>
        <v>0</v>
      </c>
      <c r="BH39" s="109">
        <f>SUM(BH32:BH34)</f>
        <v>0</v>
      </c>
      <c r="BI39" s="110">
        <f>SUM(BI32:BI34)</f>
        <v>0</v>
      </c>
      <c r="BJ39" s="111">
        <f>SUM(BJ32:BJ34)</f>
        <v>0</v>
      </c>
      <c r="BK39" s="109">
        <f t="shared" si="115"/>
        <v>0</v>
      </c>
      <c r="BL39" s="109">
        <f t="shared" si="116"/>
        <v>0</v>
      </c>
      <c r="BM39" s="109">
        <f>SUM(BM32:BM34)</f>
        <v>0</v>
      </c>
      <c r="BN39" s="109">
        <f>SUM(BN32:BN34)</f>
        <v>0</v>
      </c>
      <c r="BO39" s="109"/>
      <c r="BP39" s="109">
        <f>SUM(BP32:BP34)</f>
        <v>0</v>
      </c>
      <c r="BQ39" s="110">
        <f>SUM(BQ32:BQ34)</f>
        <v>0</v>
      </c>
      <c r="BR39" s="111">
        <f>SUM(BR32:BR34)</f>
        <v>0</v>
      </c>
      <c r="BS39" s="109">
        <f t="shared" si="117"/>
        <v>0</v>
      </c>
      <c r="BT39" s="109">
        <f t="shared" si="118"/>
        <v>0</v>
      </c>
      <c r="BU39" s="109">
        <f>SUM(BU32:BU34)</f>
        <v>0</v>
      </c>
      <c r="BV39" s="109">
        <f>SUM(BV32:BV34)</f>
        <v>0</v>
      </c>
      <c r="BW39" s="109"/>
      <c r="BX39" s="109">
        <f>SUM(BX32:BX34)</f>
        <v>0</v>
      </c>
      <c r="BY39" s="110">
        <f>SUM(BY32:BY34)</f>
        <v>0</v>
      </c>
      <c r="BZ39" s="111">
        <f>SUM(BZ32:BZ34)</f>
        <v>0</v>
      </c>
      <c r="CA39" s="109">
        <f t="shared" si="119"/>
        <v>0</v>
      </c>
      <c r="CB39" s="109">
        <f t="shared" si="120"/>
        <v>0</v>
      </c>
      <c r="CC39" s="109">
        <f>SUM(CC32:CC34)</f>
        <v>0</v>
      </c>
      <c r="CD39" s="109">
        <f>SUM(CD32:CD34)</f>
        <v>0</v>
      </c>
      <c r="CE39" s="109"/>
      <c r="CF39" s="109">
        <f>SUM(CF32:CF34)</f>
        <v>0</v>
      </c>
      <c r="CG39" s="110">
        <f>SUM(CG32:CG34)</f>
        <v>0</v>
      </c>
    </row>
    <row r="40" spans="1:85" s="103" customFormat="1" ht="19.5" customHeight="1" thickBot="1" x14ac:dyDescent="0.3">
      <c r="A40" s="1335"/>
      <c r="B40" s="1336"/>
      <c r="C40" s="1337"/>
      <c r="D40" s="104" t="s">
        <v>333</v>
      </c>
      <c r="E40" s="303">
        <f>SUM(E35:E36)*0.92*CH4</f>
        <v>0</v>
      </c>
      <c r="F40" s="104">
        <f t="shared" si="104"/>
        <v>0</v>
      </c>
      <c r="G40" s="249">
        <f t="shared" si="105"/>
        <v>0</v>
      </c>
      <c r="H40" s="104">
        <f>SUM(H35:H36)*0.92</f>
        <v>0</v>
      </c>
      <c r="I40" s="279">
        <f>SUM(I35:I36)*0.92</f>
        <v>0</v>
      </c>
      <c r="J40" s="280"/>
      <c r="K40" s="261">
        <f t="shared" ref="K40:Z40" si="123">SUM(K35:K36)</f>
        <v>0</v>
      </c>
      <c r="L40" s="261">
        <f t="shared" si="123"/>
        <v>0</v>
      </c>
      <c r="M40" s="261">
        <f t="shared" si="123"/>
        <v>0</v>
      </c>
      <c r="N40" s="261">
        <f t="shared" si="123"/>
        <v>0</v>
      </c>
      <c r="O40" s="261">
        <f t="shared" si="123"/>
        <v>0</v>
      </c>
      <c r="P40" s="261">
        <f t="shared" si="123"/>
        <v>0</v>
      </c>
      <c r="Q40" s="261">
        <f t="shared" si="123"/>
        <v>0</v>
      </c>
      <c r="R40" s="261">
        <f t="shared" si="123"/>
        <v>0</v>
      </c>
      <c r="S40" s="261">
        <f t="shared" si="123"/>
        <v>0</v>
      </c>
      <c r="T40" s="261">
        <f t="shared" si="123"/>
        <v>0</v>
      </c>
      <c r="U40" s="261">
        <f t="shared" si="123"/>
        <v>0</v>
      </c>
      <c r="V40" s="261">
        <f t="shared" si="123"/>
        <v>0</v>
      </c>
      <c r="W40" s="261">
        <f t="shared" si="123"/>
        <v>0</v>
      </c>
      <c r="X40" s="261">
        <f t="shared" si="123"/>
        <v>0</v>
      </c>
      <c r="Y40" s="281">
        <f t="shared" si="123"/>
        <v>0</v>
      </c>
      <c r="Z40" s="115">
        <f t="shared" si="123"/>
        <v>0</v>
      </c>
      <c r="AA40" s="113">
        <f t="shared" si="107"/>
        <v>0</v>
      </c>
      <c r="AB40" s="113">
        <f t="shared" si="108"/>
        <v>0</v>
      </c>
      <c r="AC40" s="113">
        <f>SUM(AC35:AC36)</f>
        <v>0</v>
      </c>
      <c r="AD40" s="113">
        <f>SUM(AD35:AD36)</f>
        <v>0</v>
      </c>
      <c r="AE40" s="113"/>
      <c r="AF40" s="113">
        <f>SUM(AF35:AF36)</f>
        <v>0</v>
      </c>
      <c r="AG40" s="113">
        <f>SUM(AG35:AG36)</f>
        <v>0</v>
      </c>
      <c r="AH40" s="114">
        <f>SUM(AH35:AH36)</f>
        <v>0</v>
      </c>
      <c r="AI40" s="115">
        <f>SUM(AI35:AI36)</f>
        <v>0</v>
      </c>
      <c r="AJ40" s="113">
        <f t="shared" si="109"/>
        <v>0</v>
      </c>
      <c r="AK40" s="113">
        <f t="shared" si="110"/>
        <v>0</v>
      </c>
      <c r="AL40" s="113">
        <f>SUM(AL35:AL36)</f>
        <v>0</v>
      </c>
      <c r="AM40" s="113">
        <f>SUM(AM35:AM36)</f>
        <v>0</v>
      </c>
      <c r="AN40" s="113"/>
      <c r="AO40" s="113">
        <f>SUM(AO35:AO36)</f>
        <v>0</v>
      </c>
      <c r="AP40" s="113">
        <f>SUM(AP35:AP36)</f>
        <v>0</v>
      </c>
      <c r="AQ40" s="114">
        <f>SUM(AQ35:AQ36)</f>
        <v>0</v>
      </c>
      <c r="AR40" s="115">
        <f>SUM(AR35:AR36)</f>
        <v>0</v>
      </c>
      <c r="AS40" s="113">
        <f t="shared" si="111"/>
        <v>0</v>
      </c>
      <c r="AT40" s="113">
        <f t="shared" si="112"/>
        <v>0</v>
      </c>
      <c r="AU40" s="113">
        <f>SUM(AU35:AU36)</f>
        <v>0</v>
      </c>
      <c r="AV40" s="113">
        <f>SUM(AV35:AV36)</f>
        <v>0</v>
      </c>
      <c r="AW40" s="113"/>
      <c r="AX40" s="113">
        <f>SUM(AX35:AX36)</f>
        <v>0</v>
      </c>
      <c r="AY40" s="113">
        <f>SUM(AY35:AY36)</f>
        <v>0</v>
      </c>
      <c r="AZ40" s="114">
        <f>SUM(AZ35:AZ36)</f>
        <v>0</v>
      </c>
      <c r="BA40" s="115">
        <f>SUM(BA35:BA36)</f>
        <v>0</v>
      </c>
      <c r="BB40" s="113">
        <f t="shared" si="113"/>
        <v>0</v>
      </c>
      <c r="BC40" s="113">
        <f t="shared" si="114"/>
        <v>0</v>
      </c>
      <c r="BD40" s="113">
        <f>SUM(BD35:BD36)</f>
        <v>0</v>
      </c>
      <c r="BE40" s="113">
        <f>SUM(BE35:BE36)</f>
        <v>0</v>
      </c>
      <c r="BF40" s="113"/>
      <c r="BG40" s="113">
        <f>SUM(BG35:BG36)</f>
        <v>0</v>
      </c>
      <c r="BH40" s="113">
        <f>SUM(BH35:BH36)</f>
        <v>0</v>
      </c>
      <c r="BI40" s="114">
        <f>SUM(BI35:BI36)</f>
        <v>0</v>
      </c>
      <c r="BJ40" s="115">
        <f>SUM(BJ35:BJ36)</f>
        <v>0</v>
      </c>
      <c r="BK40" s="113">
        <f t="shared" si="115"/>
        <v>0</v>
      </c>
      <c r="BL40" s="113">
        <f t="shared" si="116"/>
        <v>0</v>
      </c>
      <c r="BM40" s="113">
        <f>SUM(BM35:BM36)</f>
        <v>0</v>
      </c>
      <c r="BN40" s="113">
        <f>SUM(BN35:BN36)</f>
        <v>0</v>
      </c>
      <c r="BO40" s="113"/>
      <c r="BP40" s="113">
        <f>SUM(BP35:BP36)</f>
        <v>0</v>
      </c>
      <c r="BQ40" s="114">
        <f>SUM(BQ35:BQ36)</f>
        <v>0</v>
      </c>
      <c r="BR40" s="115">
        <f>SUM(BR35:BR36)</f>
        <v>0</v>
      </c>
      <c r="BS40" s="113">
        <f t="shared" si="117"/>
        <v>0</v>
      </c>
      <c r="BT40" s="113">
        <f t="shared" si="118"/>
        <v>0</v>
      </c>
      <c r="BU40" s="113">
        <f>SUM(BU35:BU36)</f>
        <v>0</v>
      </c>
      <c r="BV40" s="113">
        <f>SUM(BV35:BV36)</f>
        <v>0</v>
      </c>
      <c r="BW40" s="113"/>
      <c r="BX40" s="113">
        <f>SUM(BX35:BX36)</f>
        <v>0</v>
      </c>
      <c r="BY40" s="114">
        <f>SUM(BY35:BY36)</f>
        <v>0</v>
      </c>
      <c r="BZ40" s="115">
        <f>SUM(BZ35:BZ36)</f>
        <v>0</v>
      </c>
      <c r="CA40" s="113">
        <f t="shared" si="119"/>
        <v>0</v>
      </c>
      <c r="CB40" s="113">
        <f t="shared" si="120"/>
        <v>0</v>
      </c>
      <c r="CC40" s="113">
        <f>SUM(CC35:CC36)</f>
        <v>0</v>
      </c>
      <c r="CD40" s="113">
        <f>SUM(CD35:CD36)</f>
        <v>0</v>
      </c>
      <c r="CE40" s="113"/>
      <c r="CF40" s="113">
        <f>SUM(CF35:CF36)</f>
        <v>0</v>
      </c>
      <c r="CG40" s="114">
        <f>SUM(CG35:CG36)</f>
        <v>0</v>
      </c>
    </row>
    <row r="41" spans="1:85" s="34" customFormat="1" ht="19.5" customHeight="1" x14ac:dyDescent="0.25">
      <c r="A41" s="1323" t="s">
        <v>73</v>
      </c>
      <c r="B41" s="1324"/>
      <c r="C41" s="1325"/>
      <c r="D41" s="239" t="s">
        <v>331</v>
      </c>
      <c r="E41" s="302">
        <f>E21+E37</f>
        <v>0</v>
      </c>
      <c r="F41" s="271">
        <f t="shared" si="104"/>
        <v>0</v>
      </c>
      <c r="G41" s="305">
        <f t="shared" si="105"/>
        <v>0</v>
      </c>
      <c r="H41" s="271">
        <f t="shared" ref="H41:I44" si="124">H21+H37</f>
        <v>0</v>
      </c>
      <c r="I41" s="272">
        <f t="shared" si="124"/>
        <v>0</v>
      </c>
      <c r="J41" s="273"/>
      <c r="K41" s="274">
        <f t="shared" ref="K41:Z41" si="125">K21+K37</f>
        <v>0</v>
      </c>
      <c r="L41" s="274">
        <f t="shared" si="125"/>
        <v>0</v>
      </c>
      <c r="M41" s="274">
        <f t="shared" si="125"/>
        <v>0</v>
      </c>
      <c r="N41" s="274">
        <f t="shared" si="125"/>
        <v>0</v>
      </c>
      <c r="O41" s="274">
        <f t="shared" si="125"/>
        <v>0</v>
      </c>
      <c r="P41" s="274">
        <f t="shared" si="125"/>
        <v>0</v>
      </c>
      <c r="Q41" s="274">
        <f t="shared" si="125"/>
        <v>0</v>
      </c>
      <c r="R41" s="274">
        <f t="shared" si="125"/>
        <v>0</v>
      </c>
      <c r="S41" s="274">
        <f t="shared" si="125"/>
        <v>0</v>
      </c>
      <c r="T41" s="274">
        <f t="shared" si="125"/>
        <v>0</v>
      </c>
      <c r="U41" s="274">
        <f t="shared" si="125"/>
        <v>0</v>
      </c>
      <c r="V41" s="274">
        <f t="shared" si="125"/>
        <v>0</v>
      </c>
      <c r="W41" s="274">
        <f t="shared" si="125"/>
        <v>0</v>
      </c>
      <c r="X41" s="274">
        <f t="shared" si="125"/>
        <v>0</v>
      </c>
      <c r="Y41" s="275">
        <f t="shared" si="125"/>
        <v>0</v>
      </c>
      <c r="Z41" s="120">
        <f t="shared" si="125"/>
        <v>0</v>
      </c>
      <c r="AA41" s="117">
        <f t="shared" si="107"/>
        <v>0</v>
      </c>
      <c r="AB41" s="118">
        <f t="shared" si="108"/>
        <v>0</v>
      </c>
      <c r="AC41" s="116">
        <f t="shared" ref="AC41:AD44" si="126">AC21+AC37</f>
        <v>0</v>
      </c>
      <c r="AD41" s="116">
        <f t="shared" si="126"/>
        <v>0</v>
      </c>
      <c r="AE41" s="121"/>
      <c r="AF41" s="116">
        <f t="shared" ref="AF41:AI44" si="127">AF21+AF37</f>
        <v>0</v>
      </c>
      <c r="AG41" s="116">
        <f t="shared" si="127"/>
        <v>0</v>
      </c>
      <c r="AH41" s="119">
        <f t="shared" si="127"/>
        <v>0</v>
      </c>
      <c r="AI41" s="120">
        <f t="shared" si="127"/>
        <v>0</v>
      </c>
      <c r="AJ41" s="117">
        <f t="shared" si="109"/>
        <v>0</v>
      </c>
      <c r="AK41" s="118">
        <f t="shared" si="110"/>
        <v>0</v>
      </c>
      <c r="AL41" s="116">
        <f t="shared" ref="AL41:AM44" si="128">AL21+AL37</f>
        <v>0</v>
      </c>
      <c r="AM41" s="116">
        <f t="shared" si="128"/>
        <v>0</v>
      </c>
      <c r="AN41" s="121"/>
      <c r="AO41" s="116">
        <f t="shared" ref="AO41:AR44" si="129">AO21+AO37</f>
        <v>0</v>
      </c>
      <c r="AP41" s="116">
        <f t="shared" si="129"/>
        <v>0</v>
      </c>
      <c r="AQ41" s="119">
        <f t="shared" si="129"/>
        <v>0</v>
      </c>
      <c r="AR41" s="120">
        <f t="shared" si="129"/>
        <v>0</v>
      </c>
      <c r="AS41" s="117">
        <f t="shared" si="111"/>
        <v>0</v>
      </c>
      <c r="AT41" s="118">
        <f t="shared" si="112"/>
        <v>0</v>
      </c>
      <c r="AU41" s="116">
        <f t="shared" ref="AU41:AV44" si="130">AU21+AU37</f>
        <v>0</v>
      </c>
      <c r="AV41" s="116">
        <f t="shared" si="130"/>
        <v>0</v>
      </c>
      <c r="AW41" s="121"/>
      <c r="AX41" s="116">
        <f t="shared" ref="AX41:BA44" si="131">AX21+AX37</f>
        <v>0</v>
      </c>
      <c r="AY41" s="116">
        <f t="shared" si="131"/>
        <v>0</v>
      </c>
      <c r="AZ41" s="119">
        <f t="shared" si="131"/>
        <v>0</v>
      </c>
      <c r="BA41" s="120">
        <f t="shared" si="131"/>
        <v>0</v>
      </c>
      <c r="BB41" s="117">
        <f t="shared" si="113"/>
        <v>0</v>
      </c>
      <c r="BC41" s="118">
        <f t="shared" si="114"/>
        <v>0</v>
      </c>
      <c r="BD41" s="116">
        <f t="shared" ref="BD41:BE44" si="132">BD21+BD37</f>
        <v>0</v>
      </c>
      <c r="BE41" s="116">
        <f t="shared" si="132"/>
        <v>0</v>
      </c>
      <c r="BF41" s="121"/>
      <c r="BG41" s="116">
        <f t="shared" ref="BG41:BJ44" si="133">BG21+BG37</f>
        <v>0</v>
      </c>
      <c r="BH41" s="116">
        <f t="shared" si="133"/>
        <v>0</v>
      </c>
      <c r="BI41" s="119">
        <f t="shared" si="133"/>
        <v>0</v>
      </c>
      <c r="BJ41" s="120">
        <f t="shared" si="133"/>
        <v>0</v>
      </c>
      <c r="BK41" s="117">
        <f t="shared" si="115"/>
        <v>0</v>
      </c>
      <c r="BL41" s="118">
        <f t="shared" si="116"/>
        <v>0</v>
      </c>
      <c r="BM41" s="116">
        <f t="shared" ref="BM41:BN44" si="134">BM21+BM37</f>
        <v>0</v>
      </c>
      <c r="BN41" s="116">
        <f t="shared" si="134"/>
        <v>0</v>
      </c>
      <c r="BO41" s="121"/>
      <c r="BP41" s="116">
        <f t="shared" ref="BP41:BR44" si="135">BP21+BP37</f>
        <v>0</v>
      </c>
      <c r="BQ41" s="119">
        <f t="shared" si="135"/>
        <v>0</v>
      </c>
      <c r="BR41" s="120">
        <f t="shared" si="135"/>
        <v>0</v>
      </c>
      <c r="BS41" s="117">
        <f t="shared" si="117"/>
        <v>0</v>
      </c>
      <c r="BT41" s="118">
        <f t="shared" si="118"/>
        <v>0</v>
      </c>
      <c r="BU41" s="116">
        <f t="shared" ref="BU41:BV44" si="136">BU21+BU37</f>
        <v>0</v>
      </c>
      <c r="BV41" s="116">
        <f t="shared" si="136"/>
        <v>0</v>
      </c>
      <c r="BW41" s="121"/>
      <c r="BX41" s="116">
        <f t="shared" ref="BX41:BZ44" si="137">BX21+BX37</f>
        <v>0</v>
      </c>
      <c r="BY41" s="119">
        <f t="shared" si="137"/>
        <v>0</v>
      </c>
      <c r="BZ41" s="120">
        <f t="shared" si="137"/>
        <v>0</v>
      </c>
      <c r="CA41" s="117">
        <f t="shared" si="119"/>
        <v>0</v>
      </c>
      <c r="CB41" s="118">
        <f t="shared" si="120"/>
        <v>0</v>
      </c>
      <c r="CC41" s="116">
        <f t="shared" ref="CC41:CD44" si="138">CC21+CC37</f>
        <v>0</v>
      </c>
      <c r="CD41" s="116">
        <f t="shared" si="138"/>
        <v>0</v>
      </c>
      <c r="CE41" s="121"/>
      <c r="CF41" s="116">
        <f t="shared" ref="CF41:CG44" si="139">CF21+CF37</f>
        <v>0</v>
      </c>
      <c r="CG41" s="119">
        <f t="shared" si="139"/>
        <v>0</v>
      </c>
    </row>
    <row r="42" spans="1:85" s="34" customFormat="1" ht="19.5" customHeight="1" x14ac:dyDescent="0.25">
      <c r="A42" s="1326"/>
      <c r="B42" s="1327"/>
      <c r="C42" s="1328"/>
      <c r="D42" s="104" t="s">
        <v>332</v>
      </c>
      <c r="E42" s="303">
        <f>E22+E38</f>
        <v>0</v>
      </c>
      <c r="F42" s="104">
        <f t="shared" si="104"/>
        <v>0</v>
      </c>
      <c r="G42" s="249">
        <f t="shared" si="105"/>
        <v>0</v>
      </c>
      <c r="H42" s="104">
        <f t="shared" si="124"/>
        <v>0</v>
      </c>
      <c r="I42" s="279">
        <f t="shared" si="124"/>
        <v>0</v>
      </c>
      <c r="J42" s="280"/>
      <c r="K42" s="261">
        <f t="shared" ref="K42:Z42" si="140">K22+K38</f>
        <v>0</v>
      </c>
      <c r="L42" s="261">
        <f t="shared" si="140"/>
        <v>0</v>
      </c>
      <c r="M42" s="261">
        <f t="shared" si="140"/>
        <v>0</v>
      </c>
      <c r="N42" s="261">
        <f t="shared" si="140"/>
        <v>0</v>
      </c>
      <c r="O42" s="261">
        <f t="shared" si="140"/>
        <v>0</v>
      </c>
      <c r="P42" s="261">
        <f t="shared" si="140"/>
        <v>0</v>
      </c>
      <c r="Q42" s="261">
        <f t="shared" si="140"/>
        <v>0</v>
      </c>
      <c r="R42" s="261">
        <f t="shared" si="140"/>
        <v>0</v>
      </c>
      <c r="S42" s="261">
        <f t="shared" si="140"/>
        <v>0</v>
      </c>
      <c r="T42" s="261">
        <f t="shared" si="140"/>
        <v>0</v>
      </c>
      <c r="U42" s="261">
        <f t="shared" si="140"/>
        <v>0</v>
      </c>
      <c r="V42" s="261">
        <f t="shared" si="140"/>
        <v>0</v>
      </c>
      <c r="W42" s="261">
        <f t="shared" si="140"/>
        <v>0</v>
      </c>
      <c r="X42" s="261">
        <f t="shared" si="140"/>
        <v>0</v>
      </c>
      <c r="Y42" s="281">
        <f t="shared" si="140"/>
        <v>0</v>
      </c>
      <c r="Z42" s="124">
        <f t="shared" si="140"/>
        <v>0</v>
      </c>
      <c r="AA42" s="105">
        <f t="shared" si="107"/>
        <v>0</v>
      </c>
      <c r="AB42" s="122">
        <f t="shared" si="108"/>
        <v>0</v>
      </c>
      <c r="AC42" s="12">
        <f t="shared" si="126"/>
        <v>0</v>
      </c>
      <c r="AD42" s="12">
        <f t="shared" si="126"/>
        <v>0</v>
      </c>
      <c r="AE42" s="125"/>
      <c r="AF42" s="12">
        <f t="shared" si="127"/>
        <v>0</v>
      </c>
      <c r="AG42" s="12">
        <f t="shared" si="127"/>
        <v>0</v>
      </c>
      <c r="AH42" s="123">
        <f t="shared" si="127"/>
        <v>0</v>
      </c>
      <c r="AI42" s="124">
        <f t="shared" si="127"/>
        <v>0</v>
      </c>
      <c r="AJ42" s="105">
        <f t="shared" si="109"/>
        <v>0</v>
      </c>
      <c r="AK42" s="122">
        <f t="shared" si="110"/>
        <v>0</v>
      </c>
      <c r="AL42" s="12">
        <f t="shared" si="128"/>
        <v>0</v>
      </c>
      <c r="AM42" s="12">
        <f t="shared" si="128"/>
        <v>0</v>
      </c>
      <c r="AN42" s="125"/>
      <c r="AO42" s="12">
        <f t="shared" si="129"/>
        <v>0</v>
      </c>
      <c r="AP42" s="12">
        <f t="shared" si="129"/>
        <v>0</v>
      </c>
      <c r="AQ42" s="123">
        <f t="shared" si="129"/>
        <v>0</v>
      </c>
      <c r="AR42" s="124">
        <f t="shared" si="129"/>
        <v>0</v>
      </c>
      <c r="AS42" s="105">
        <f t="shared" si="111"/>
        <v>0</v>
      </c>
      <c r="AT42" s="122">
        <f t="shared" si="112"/>
        <v>0</v>
      </c>
      <c r="AU42" s="12">
        <f t="shared" si="130"/>
        <v>0</v>
      </c>
      <c r="AV42" s="12">
        <f t="shared" si="130"/>
        <v>0</v>
      </c>
      <c r="AW42" s="125"/>
      <c r="AX42" s="12">
        <f t="shared" si="131"/>
        <v>0</v>
      </c>
      <c r="AY42" s="12">
        <f t="shared" si="131"/>
        <v>0</v>
      </c>
      <c r="AZ42" s="123">
        <f t="shared" si="131"/>
        <v>0</v>
      </c>
      <c r="BA42" s="124">
        <f t="shared" si="131"/>
        <v>0</v>
      </c>
      <c r="BB42" s="105">
        <f t="shared" si="113"/>
        <v>0</v>
      </c>
      <c r="BC42" s="122">
        <f t="shared" si="114"/>
        <v>0</v>
      </c>
      <c r="BD42" s="12">
        <f t="shared" si="132"/>
        <v>0</v>
      </c>
      <c r="BE42" s="12">
        <f t="shared" si="132"/>
        <v>0</v>
      </c>
      <c r="BF42" s="125"/>
      <c r="BG42" s="12">
        <f t="shared" si="133"/>
        <v>0</v>
      </c>
      <c r="BH42" s="12">
        <f t="shared" si="133"/>
        <v>0</v>
      </c>
      <c r="BI42" s="123">
        <f t="shared" si="133"/>
        <v>0</v>
      </c>
      <c r="BJ42" s="124">
        <f t="shared" si="133"/>
        <v>0</v>
      </c>
      <c r="BK42" s="105">
        <f t="shared" si="115"/>
        <v>0</v>
      </c>
      <c r="BL42" s="122">
        <f t="shared" si="116"/>
        <v>0</v>
      </c>
      <c r="BM42" s="12">
        <f t="shared" si="134"/>
        <v>0</v>
      </c>
      <c r="BN42" s="12">
        <f t="shared" si="134"/>
        <v>0</v>
      </c>
      <c r="BO42" s="125"/>
      <c r="BP42" s="12">
        <f t="shared" si="135"/>
        <v>0</v>
      </c>
      <c r="BQ42" s="123">
        <f t="shared" si="135"/>
        <v>0</v>
      </c>
      <c r="BR42" s="124">
        <f t="shared" si="135"/>
        <v>0</v>
      </c>
      <c r="BS42" s="105">
        <f t="shared" si="117"/>
        <v>0</v>
      </c>
      <c r="BT42" s="122">
        <f t="shared" si="118"/>
        <v>0</v>
      </c>
      <c r="BU42" s="12">
        <f t="shared" si="136"/>
        <v>0</v>
      </c>
      <c r="BV42" s="12">
        <f t="shared" si="136"/>
        <v>0</v>
      </c>
      <c r="BW42" s="125"/>
      <c r="BX42" s="12">
        <f t="shared" si="137"/>
        <v>0</v>
      </c>
      <c r="BY42" s="123">
        <f t="shared" si="137"/>
        <v>0</v>
      </c>
      <c r="BZ42" s="124">
        <f t="shared" si="137"/>
        <v>0</v>
      </c>
      <c r="CA42" s="105">
        <f t="shared" si="119"/>
        <v>0</v>
      </c>
      <c r="CB42" s="122">
        <f t="shared" si="120"/>
        <v>0</v>
      </c>
      <c r="CC42" s="12">
        <f t="shared" si="138"/>
        <v>0</v>
      </c>
      <c r="CD42" s="12">
        <f t="shared" si="138"/>
        <v>0</v>
      </c>
      <c r="CE42" s="125"/>
      <c r="CF42" s="12">
        <f t="shared" si="139"/>
        <v>0</v>
      </c>
      <c r="CG42" s="123">
        <f t="shared" si="139"/>
        <v>0</v>
      </c>
    </row>
    <row r="43" spans="1:85" s="34" customFormat="1" ht="19.5" customHeight="1" x14ac:dyDescent="0.25">
      <c r="A43" s="1326"/>
      <c r="B43" s="1327"/>
      <c r="C43" s="1328"/>
      <c r="D43" s="242" t="s">
        <v>334</v>
      </c>
      <c r="E43" s="303">
        <f>E23+E39</f>
        <v>0</v>
      </c>
      <c r="F43" s="104">
        <f t="shared" si="104"/>
        <v>0</v>
      </c>
      <c r="G43" s="249">
        <f t="shared" si="105"/>
        <v>0</v>
      </c>
      <c r="H43" s="104">
        <f t="shared" si="124"/>
        <v>0</v>
      </c>
      <c r="I43" s="279">
        <f t="shared" si="124"/>
        <v>0</v>
      </c>
      <c r="J43" s="280"/>
      <c r="K43" s="261">
        <f t="shared" ref="K43:Z43" si="141">K23+K39</f>
        <v>0</v>
      </c>
      <c r="L43" s="261">
        <f t="shared" si="141"/>
        <v>0</v>
      </c>
      <c r="M43" s="261">
        <f t="shared" si="141"/>
        <v>0</v>
      </c>
      <c r="N43" s="261">
        <f t="shared" si="141"/>
        <v>0</v>
      </c>
      <c r="O43" s="261">
        <f t="shared" si="141"/>
        <v>0</v>
      </c>
      <c r="P43" s="261">
        <f t="shared" si="141"/>
        <v>0</v>
      </c>
      <c r="Q43" s="261">
        <f t="shared" si="141"/>
        <v>0</v>
      </c>
      <c r="R43" s="261">
        <f t="shared" si="141"/>
        <v>0</v>
      </c>
      <c r="S43" s="261">
        <f t="shared" si="141"/>
        <v>0</v>
      </c>
      <c r="T43" s="261">
        <f t="shared" si="141"/>
        <v>0</v>
      </c>
      <c r="U43" s="261">
        <f t="shared" si="141"/>
        <v>0</v>
      </c>
      <c r="V43" s="261">
        <f t="shared" si="141"/>
        <v>0</v>
      </c>
      <c r="W43" s="261">
        <f t="shared" si="141"/>
        <v>0</v>
      </c>
      <c r="X43" s="261">
        <f t="shared" si="141"/>
        <v>0</v>
      </c>
      <c r="Y43" s="281">
        <f t="shared" si="141"/>
        <v>0</v>
      </c>
      <c r="Z43" s="124">
        <f t="shared" si="141"/>
        <v>0</v>
      </c>
      <c r="AA43" s="105">
        <f t="shared" si="107"/>
        <v>0</v>
      </c>
      <c r="AB43" s="122">
        <f t="shared" si="108"/>
        <v>0</v>
      </c>
      <c r="AC43" s="12">
        <f t="shared" si="126"/>
        <v>0</v>
      </c>
      <c r="AD43" s="12">
        <f t="shared" si="126"/>
        <v>0</v>
      </c>
      <c r="AE43" s="125"/>
      <c r="AF43" s="12">
        <f t="shared" si="127"/>
        <v>0</v>
      </c>
      <c r="AG43" s="12">
        <f t="shared" si="127"/>
        <v>0</v>
      </c>
      <c r="AH43" s="123">
        <f t="shared" si="127"/>
        <v>0</v>
      </c>
      <c r="AI43" s="124">
        <f t="shared" si="127"/>
        <v>0</v>
      </c>
      <c r="AJ43" s="105">
        <f t="shared" si="109"/>
        <v>0</v>
      </c>
      <c r="AK43" s="122">
        <f t="shared" si="110"/>
        <v>0</v>
      </c>
      <c r="AL43" s="12">
        <f t="shared" si="128"/>
        <v>0</v>
      </c>
      <c r="AM43" s="12">
        <f t="shared" si="128"/>
        <v>0</v>
      </c>
      <c r="AN43" s="125"/>
      <c r="AO43" s="12">
        <f t="shared" si="129"/>
        <v>0</v>
      </c>
      <c r="AP43" s="12">
        <f t="shared" si="129"/>
        <v>0</v>
      </c>
      <c r="AQ43" s="123">
        <f t="shared" si="129"/>
        <v>0</v>
      </c>
      <c r="AR43" s="124">
        <f t="shared" si="129"/>
        <v>0</v>
      </c>
      <c r="AS43" s="105">
        <f t="shared" si="111"/>
        <v>0</v>
      </c>
      <c r="AT43" s="122">
        <f t="shared" si="112"/>
        <v>0</v>
      </c>
      <c r="AU43" s="12">
        <f t="shared" si="130"/>
        <v>0</v>
      </c>
      <c r="AV43" s="12">
        <f t="shared" si="130"/>
        <v>0</v>
      </c>
      <c r="AW43" s="125"/>
      <c r="AX43" s="12">
        <f t="shared" si="131"/>
        <v>0</v>
      </c>
      <c r="AY43" s="12">
        <f t="shared" si="131"/>
        <v>0</v>
      </c>
      <c r="AZ43" s="123">
        <f t="shared" si="131"/>
        <v>0</v>
      </c>
      <c r="BA43" s="124">
        <f t="shared" si="131"/>
        <v>0</v>
      </c>
      <c r="BB43" s="105">
        <f t="shared" si="113"/>
        <v>0</v>
      </c>
      <c r="BC43" s="122">
        <f t="shared" si="114"/>
        <v>0</v>
      </c>
      <c r="BD43" s="12">
        <f t="shared" si="132"/>
        <v>0</v>
      </c>
      <c r="BE43" s="12">
        <f t="shared" si="132"/>
        <v>0</v>
      </c>
      <c r="BF43" s="125"/>
      <c r="BG43" s="12">
        <f t="shared" si="133"/>
        <v>0</v>
      </c>
      <c r="BH43" s="12">
        <f t="shared" si="133"/>
        <v>0</v>
      </c>
      <c r="BI43" s="123">
        <f t="shared" si="133"/>
        <v>0</v>
      </c>
      <c r="BJ43" s="124">
        <f t="shared" si="133"/>
        <v>0</v>
      </c>
      <c r="BK43" s="105">
        <f t="shared" si="115"/>
        <v>0</v>
      </c>
      <c r="BL43" s="122">
        <f t="shared" si="116"/>
        <v>0</v>
      </c>
      <c r="BM43" s="12">
        <f t="shared" si="134"/>
        <v>0</v>
      </c>
      <c r="BN43" s="12">
        <f t="shared" si="134"/>
        <v>0</v>
      </c>
      <c r="BO43" s="125"/>
      <c r="BP43" s="12">
        <f t="shared" si="135"/>
        <v>0</v>
      </c>
      <c r="BQ43" s="123">
        <f t="shared" si="135"/>
        <v>0</v>
      </c>
      <c r="BR43" s="124">
        <f t="shared" si="135"/>
        <v>0</v>
      </c>
      <c r="BS43" s="105">
        <f t="shared" si="117"/>
        <v>0</v>
      </c>
      <c r="BT43" s="122">
        <f t="shared" si="118"/>
        <v>0</v>
      </c>
      <c r="BU43" s="12">
        <f t="shared" si="136"/>
        <v>0</v>
      </c>
      <c r="BV43" s="12">
        <f t="shared" si="136"/>
        <v>0</v>
      </c>
      <c r="BW43" s="125"/>
      <c r="BX43" s="12">
        <f t="shared" si="137"/>
        <v>0</v>
      </c>
      <c r="BY43" s="123">
        <f t="shared" si="137"/>
        <v>0</v>
      </c>
      <c r="BZ43" s="124">
        <f t="shared" si="137"/>
        <v>0</v>
      </c>
      <c r="CA43" s="105">
        <f t="shared" si="119"/>
        <v>0</v>
      </c>
      <c r="CB43" s="122">
        <f t="shared" si="120"/>
        <v>0</v>
      </c>
      <c r="CC43" s="12">
        <f t="shared" si="138"/>
        <v>0</v>
      </c>
      <c r="CD43" s="12">
        <f t="shared" si="138"/>
        <v>0</v>
      </c>
      <c r="CE43" s="125"/>
      <c r="CF43" s="12">
        <f t="shared" si="139"/>
        <v>0</v>
      </c>
      <c r="CG43" s="123">
        <f t="shared" si="139"/>
        <v>0</v>
      </c>
    </row>
    <row r="44" spans="1:85" s="34" customFormat="1" ht="19.5" customHeight="1" thickBot="1" x14ac:dyDescent="0.3">
      <c r="A44" s="1329"/>
      <c r="B44" s="1330"/>
      <c r="C44" s="1331"/>
      <c r="D44" s="254" t="s">
        <v>333</v>
      </c>
      <c r="E44" s="304">
        <f>E24+E40</f>
        <v>0</v>
      </c>
      <c r="F44" s="254">
        <f t="shared" si="104"/>
        <v>0</v>
      </c>
      <c r="G44" s="306">
        <f t="shared" si="105"/>
        <v>0</v>
      </c>
      <c r="H44" s="254">
        <f t="shared" si="124"/>
        <v>0</v>
      </c>
      <c r="I44" s="288">
        <f t="shared" si="124"/>
        <v>0</v>
      </c>
      <c r="J44" s="289"/>
      <c r="K44" s="255">
        <f t="shared" ref="K44:Z44" si="142">K24+K40</f>
        <v>0</v>
      </c>
      <c r="L44" s="255">
        <f t="shared" si="142"/>
        <v>0</v>
      </c>
      <c r="M44" s="255">
        <f t="shared" si="142"/>
        <v>0</v>
      </c>
      <c r="N44" s="255">
        <f t="shared" si="142"/>
        <v>0</v>
      </c>
      <c r="O44" s="255">
        <f t="shared" si="142"/>
        <v>0</v>
      </c>
      <c r="P44" s="255">
        <f t="shared" si="142"/>
        <v>0</v>
      </c>
      <c r="Q44" s="255">
        <f t="shared" si="142"/>
        <v>0</v>
      </c>
      <c r="R44" s="255">
        <f t="shared" si="142"/>
        <v>0</v>
      </c>
      <c r="S44" s="255">
        <f t="shared" si="142"/>
        <v>0</v>
      </c>
      <c r="T44" s="255">
        <f t="shared" si="142"/>
        <v>0</v>
      </c>
      <c r="U44" s="255">
        <f t="shared" si="142"/>
        <v>0</v>
      </c>
      <c r="V44" s="255">
        <f t="shared" si="142"/>
        <v>0</v>
      </c>
      <c r="W44" s="255">
        <f t="shared" si="142"/>
        <v>0</v>
      </c>
      <c r="X44" s="255">
        <f t="shared" si="142"/>
        <v>0</v>
      </c>
      <c r="Y44" s="290">
        <f t="shared" si="142"/>
        <v>0</v>
      </c>
      <c r="Z44" s="124">
        <f t="shared" si="142"/>
        <v>0</v>
      </c>
      <c r="AA44" s="105">
        <f t="shared" si="107"/>
        <v>0</v>
      </c>
      <c r="AB44" s="122">
        <f t="shared" si="108"/>
        <v>0</v>
      </c>
      <c r="AC44" s="12">
        <f t="shared" si="126"/>
        <v>0</v>
      </c>
      <c r="AD44" s="12">
        <f t="shared" si="126"/>
        <v>0</v>
      </c>
      <c r="AE44" s="125"/>
      <c r="AF44" s="12">
        <f t="shared" si="127"/>
        <v>0</v>
      </c>
      <c r="AG44" s="12">
        <f t="shared" si="127"/>
        <v>0</v>
      </c>
      <c r="AH44" s="123">
        <f t="shared" si="127"/>
        <v>0</v>
      </c>
      <c r="AI44" s="124">
        <f t="shared" si="127"/>
        <v>0</v>
      </c>
      <c r="AJ44" s="105">
        <f t="shared" si="109"/>
        <v>0</v>
      </c>
      <c r="AK44" s="122">
        <f t="shared" si="110"/>
        <v>0</v>
      </c>
      <c r="AL44" s="12">
        <f t="shared" si="128"/>
        <v>0</v>
      </c>
      <c r="AM44" s="12">
        <f t="shared" si="128"/>
        <v>0</v>
      </c>
      <c r="AN44" s="125"/>
      <c r="AO44" s="12">
        <f t="shared" si="129"/>
        <v>0</v>
      </c>
      <c r="AP44" s="12">
        <f t="shared" si="129"/>
        <v>0</v>
      </c>
      <c r="AQ44" s="123">
        <f t="shared" si="129"/>
        <v>0</v>
      </c>
      <c r="AR44" s="124">
        <f t="shared" si="129"/>
        <v>0</v>
      </c>
      <c r="AS44" s="105">
        <f t="shared" si="111"/>
        <v>0</v>
      </c>
      <c r="AT44" s="122">
        <f t="shared" si="112"/>
        <v>0</v>
      </c>
      <c r="AU44" s="12">
        <f t="shared" si="130"/>
        <v>0</v>
      </c>
      <c r="AV44" s="12">
        <f t="shared" si="130"/>
        <v>0</v>
      </c>
      <c r="AW44" s="125"/>
      <c r="AX44" s="12">
        <f t="shared" si="131"/>
        <v>0</v>
      </c>
      <c r="AY44" s="12">
        <f t="shared" si="131"/>
        <v>0</v>
      </c>
      <c r="AZ44" s="123">
        <f t="shared" si="131"/>
        <v>0</v>
      </c>
      <c r="BA44" s="124">
        <f t="shared" si="131"/>
        <v>0</v>
      </c>
      <c r="BB44" s="105">
        <f t="shared" si="113"/>
        <v>0</v>
      </c>
      <c r="BC44" s="122">
        <f t="shared" si="114"/>
        <v>0</v>
      </c>
      <c r="BD44" s="12">
        <f t="shared" si="132"/>
        <v>0</v>
      </c>
      <c r="BE44" s="12">
        <f t="shared" si="132"/>
        <v>0</v>
      </c>
      <c r="BF44" s="125"/>
      <c r="BG44" s="12">
        <f t="shared" si="133"/>
        <v>0</v>
      </c>
      <c r="BH44" s="12">
        <f t="shared" si="133"/>
        <v>0</v>
      </c>
      <c r="BI44" s="123">
        <f t="shared" si="133"/>
        <v>0</v>
      </c>
      <c r="BJ44" s="124">
        <f t="shared" si="133"/>
        <v>0</v>
      </c>
      <c r="BK44" s="105">
        <f t="shared" si="115"/>
        <v>0</v>
      </c>
      <c r="BL44" s="122">
        <f t="shared" si="116"/>
        <v>0</v>
      </c>
      <c r="BM44" s="12">
        <f t="shared" si="134"/>
        <v>0</v>
      </c>
      <c r="BN44" s="12">
        <f t="shared" si="134"/>
        <v>0</v>
      </c>
      <c r="BO44" s="125"/>
      <c r="BP44" s="12">
        <f t="shared" si="135"/>
        <v>0</v>
      </c>
      <c r="BQ44" s="123">
        <f t="shared" si="135"/>
        <v>0</v>
      </c>
      <c r="BR44" s="124">
        <f t="shared" si="135"/>
        <v>0</v>
      </c>
      <c r="BS44" s="105">
        <f t="shared" si="117"/>
        <v>0</v>
      </c>
      <c r="BT44" s="122">
        <f t="shared" si="118"/>
        <v>0</v>
      </c>
      <c r="BU44" s="12">
        <f t="shared" si="136"/>
        <v>0</v>
      </c>
      <c r="BV44" s="12">
        <f t="shared" si="136"/>
        <v>0</v>
      </c>
      <c r="BW44" s="125"/>
      <c r="BX44" s="12">
        <f t="shared" si="137"/>
        <v>0</v>
      </c>
      <c r="BY44" s="123">
        <f t="shared" si="137"/>
        <v>0</v>
      </c>
      <c r="BZ44" s="124">
        <f t="shared" si="137"/>
        <v>0</v>
      </c>
      <c r="CA44" s="105">
        <f t="shared" si="119"/>
        <v>0</v>
      </c>
      <c r="CB44" s="122">
        <f t="shared" si="120"/>
        <v>0</v>
      </c>
      <c r="CC44" s="12">
        <f t="shared" si="138"/>
        <v>0</v>
      </c>
      <c r="CD44" s="12">
        <f t="shared" si="138"/>
        <v>0</v>
      </c>
      <c r="CE44" s="125"/>
      <c r="CF44" s="12">
        <f t="shared" si="139"/>
        <v>0</v>
      </c>
      <c r="CG44" s="123">
        <f t="shared" si="139"/>
        <v>0</v>
      </c>
    </row>
    <row r="45" spans="1:85" x14ac:dyDescent="0.2">
      <c r="J45" s="253"/>
    </row>
    <row r="46" spans="1:85" x14ac:dyDescent="0.2">
      <c r="J46" s="253"/>
    </row>
  </sheetData>
  <customSheetViews>
    <customSheetView guid="{3F312A0E-DF4A-4A92-9F0F-6B2059264CC1}" showRuler="0">
      <pane xSplit="4" ySplit="9" topLeftCell="E61" activePane="bottomRight" state="frozen"/>
      <selection pane="bottomRight" activeCell="F69" sqref="F69"/>
      <pageMargins left="0.75" right="0.75" top="1" bottom="1" header="0.5" footer="0.5"/>
      <pageSetup paperSize="9" orientation="portrait" r:id="rId1"/>
      <headerFooter alignWithMargins="0"/>
    </customSheetView>
  </customSheetViews>
  <mergeCells count="106">
    <mergeCell ref="BM6:BN6"/>
    <mergeCell ref="BJ5:BN5"/>
    <mergeCell ref="CA6:CB6"/>
    <mergeCell ref="CC6:CD6"/>
    <mergeCell ref="BY6:BY7"/>
    <mergeCell ref="BO5:BO7"/>
    <mergeCell ref="BP5:BQ5"/>
    <mergeCell ref="BP6:BP7"/>
    <mergeCell ref="BQ6:BQ7"/>
    <mergeCell ref="BJ6:BJ7"/>
    <mergeCell ref="BK6:BL6"/>
    <mergeCell ref="BX6:BX7"/>
    <mergeCell ref="BZ4:CG4"/>
    <mergeCell ref="BZ5:CD5"/>
    <mergeCell ref="CE5:CE7"/>
    <mergeCell ref="CF5:CG5"/>
    <mergeCell ref="BZ6:BZ7"/>
    <mergeCell ref="CF6:CF7"/>
    <mergeCell ref="CG6:CG7"/>
    <mergeCell ref="BJ4:BQ4"/>
    <mergeCell ref="AR6:AR7"/>
    <mergeCell ref="AS6:AT6"/>
    <mergeCell ref="AU6:AV6"/>
    <mergeCell ref="BR4:BY4"/>
    <mergeCell ref="BR5:BV5"/>
    <mergeCell ref="BS6:BT6"/>
    <mergeCell ref="BW5:BW7"/>
    <mergeCell ref="BX5:BY5"/>
    <mergeCell ref="BR6:BR7"/>
    <mergeCell ref="BU6:BV6"/>
    <mergeCell ref="BA4:BI4"/>
    <mergeCell ref="BA5:BE5"/>
    <mergeCell ref="BF5:BF7"/>
    <mergeCell ref="BG5:BI5"/>
    <mergeCell ref="BA6:BA7"/>
    <mergeCell ref="BB6:BC6"/>
    <mergeCell ref="BD6:BE6"/>
    <mergeCell ref="BG6:BG7"/>
    <mergeCell ref="BH6:BH7"/>
    <mergeCell ref="Z4:AH4"/>
    <mergeCell ref="AE5:AE7"/>
    <mergeCell ref="BI6:BI7"/>
    <mergeCell ref="AX6:AX7"/>
    <mergeCell ref="AY6:AY7"/>
    <mergeCell ref="AZ6:AZ7"/>
    <mergeCell ref="AR4:AZ4"/>
    <mergeCell ref="AR5:AV5"/>
    <mergeCell ref="AW5:AW7"/>
    <mergeCell ref="AX5:AZ5"/>
    <mergeCell ref="AI4:AQ4"/>
    <mergeCell ref="AI5:AM5"/>
    <mergeCell ref="AN5:AN7"/>
    <mergeCell ref="AO5:AQ5"/>
    <mergeCell ref="AI6:AI7"/>
    <mergeCell ref="AJ6:AK6"/>
    <mergeCell ref="AL6:AM6"/>
    <mergeCell ref="AP6:AP7"/>
    <mergeCell ref="Z5:AD5"/>
    <mergeCell ref="AF5:AH5"/>
    <mergeCell ref="Z6:Z7"/>
    <mergeCell ref="AA6:AB6"/>
    <mergeCell ref="AQ6:AQ7"/>
    <mergeCell ref="E5:E7"/>
    <mergeCell ref="F5:F7"/>
    <mergeCell ref="P5:P7"/>
    <mergeCell ref="K5:K7"/>
    <mergeCell ref="J4:J7"/>
    <mergeCell ref="AF6:AF7"/>
    <mergeCell ref="AC6:AD6"/>
    <mergeCell ref="U6:U7"/>
    <mergeCell ref="AO6:AO7"/>
    <mergeCell ref="AH6:AH7"/>
    <mergeCell ref="AG6:AG7"/>
    <mergeCell ref="C1:Y1"/>
    <mergeCell ref="C4:E4"/>
    <mergeCell ref="F4:G4"/>
    <mergeCell ref="H4:I4"/>
    <mergeCell ref="K4:Y4"/>
    <mergeCell ref="C5:C7"/>
    <mergeCell ref="I5:I7"/>
    <mergeCell ref="D5:D7"/>
    <mergeCell ref="G5:G7"/>
    <mergeCell ref="H5:H7"/>
    <mergeCell ref="L5:O6"/>
    <mergeCell ref="W6:W7"/>
    <mergeCell ref="X6:X7"/>
    <mergeCell ref="Y6:Y7"/>
    <mergeCell ref="T5:T7"/>
    <mergeCell ref="R5:S6"/>
    <mergeCell ref="Q5:Q7"/>
    <mergeCell ref="U5:W5"/>
    <mergeCell ref="V6:V7"/>
    <mergeCell ref="X5:Y5"/>
    <mergeCell ref="A41:C44"/>
    <mergeCell ref="A37:C40"/>
    <mergeCell ref="B14:B15"/>
    <mergeCell ref="B30:B31"/>
    <mergeCell ref="B33:B34"/>
    <mergeCell ref="B17:B18"/>
    <mergeCell ref="A4:A7"/>
    <mergeCell ref="B4:B7"/>
    <mergeCell ref="A9:A20"/>
    <mergeCell ref="A25:A36"/>
    <mergeCell ref="A21:C24"/>
    <mergeCell ref="B9:B11"/>
    <mergeCell ref="B25:B27"/>
  </mergeCells>
  <phoneticPr fontId="2" type="noConversion"/>
  <pageMargins left="0.75" right="0.75" top="1" bottom="1" header="0.5" footer="0.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5" tint="-0.249977111117893"/>
  </sheetPr>
  <dimension ref="A1:BS90"/>
  <sheetViews>
    <sheetView workbookViewId="0">
      <pane xSplit="3" ySplit="6" topLeftCell="D7" activePane="bottomRight" state="frozen"/>
      <selection pane="topRight" activeCell="D1" sqref="D1"/>
      <selection pane="bottomLeft" activeCell="A13" sqref="A13"/>
      <selection pane="bottomRight" sqref="A1:A5"/>
    </sheetView>
  </sheetViews>
  <sheetFormatPr defaultRowHeight="12.75" x14ac:dyDescent="0.2"/>
  <cols>
    <col min="1" max="1" width="4.5703125" style="1" customWidth="1"/>
    <col min="2" max="2" width="11.140625" style="1" customWidth="1"/>
    <col min="3" max="3" width="7.7109375" style="1" customWidth="1"/>
    <col min="4" max="4" width="5.42578125" style="1" customWidth="1"/>
    <col min="5" max="5" width="5.5703125" style="1" customWidth="1"/>
    <col min="6" max="6" width="5.85546875" style="1" customWidth="1"/>
    <col min="7" max="7" width="7.140625" style="1" customWidth="1"/>
    <col min="8" max="8" width="5.42578125" style="1" customWidth="1"/>
    <col min="9" max="11" width="4.28515625" style="1" customWidth="1"/>
    <col min="12" max="12" width="4.85546875" style="1" customWidth="1"/>
    <col min="13" max="13" width="6.5703125" style="1" customWidth="1"/>
    <col min="14" max="14" width="5" style="1" customWidth="1"/>
    <col min="15" max="15" width="4.42578125" style="1" customWidth="1"/>
    <col min="16" max="16" width="4.85546875" style="1" customWidth="1"/>
    <col min="17" max="18" width="6.7109375" style="1" customWidth="1"/>
    <col min="19" max="19" width="5.5703125" style="1" customWidth="1"/>
    <col min="20" max="20" width="8.140625" style="1" customWidth="1"/>
    <col min="21" max="21" width="5.7109375" style="1" customWidth="1"/>
    <col min="22" max="22" width="9.140625" style="1"/>
    <col min="23" max="23" width="6.42578125" style="1" customWidth="1"/>
    <col min="24" max="24" width="7.7109375" style="1" customWidth="1"/>
    <col min="25" max="25" width="4.7109375" style="1" customWidth="1"/>
    <col min="26" max="26" width="6.140625" style="1" customWidth="1"/>
    <col min="27" max="27" width="5.7109375" style="1" customWidth="1"/>
    <col min="28" max="28" width="5" style="1" customWidth="1"/>
    <col min="29" max="29" width="7" style="1" customWidth="1"/>
    <col min="30" max="31" width="5.42578125" style="1" customWidth="1"/>
    <col min="32" max="32" width="5.7109375" style="1" customWidth="1"/>
    <col min="33" max="33" width="7.140625" style="1" customWidth="1"/>
    <col min="34" max="34" width="5.28515625" style="1" customWidth="1"/>
    <col min="35" max="35" width="6.140625" style="1" customWidth="1"/>
    <col min="36" max="36" width="4.28515625" style="1" customWidth="1"/>
    <col min="37" max="37" width="4" style="1" customWidth="1"/>
    <col min="38" max="38" width="5" style="1" customWidth="1"/>
    <col min="39" max="39" width="5" style="27" customWidth="1"/>
    <col min="40" max="41" width="5.28515625" style="1" customWidth="1"/>
    <col min="42" max="43" width="6.42578125" style="1" customWidth="1"/>
    <col min="44" max="44" width="5.5703125" style="1" customWidth="1"/>
    <col min="45" max="45" width="5.28515625" style="1" customWidth="1"/>
    <col min="46" max="46" width="6.28515625" style="1" customWidth="1"/>
    <col min="47" max="47" width="5.28515625" style="1" customWidth="1"/>
    <col min="48" max="48" width="7.28515625" style="1" customWidth="1"/>
    <col min="49" max="49" width="7.140625" style="1" customWidth="1"/>
    <col min="50" max="50" width="7.42578125" style="1" customWidth="1"/>
    <col min="51" max="51" width="5" style="1" customWidth="1"/>
    <col min="52" max="16384" width="9.140625" style="1"/>
  </cols>
  <sheetData>
    <row r="1" spans="1:71" ht="13.5" customHeight="1" thickBot="1" x14ac:dyDescent="0.25">
      <c r="A1" s="1449" t="s">
        <v>1</v>
      </c>
      <c r="B1" s="1443" t="s">
        <v>17</v>
      </c>
      <c r="C1" s="1454" t="s">
        <v>18</v>
      </c>
      <c r="D1" s="1457" t="s">
        <v>44</v>
      </c>
      <c r="E1" s="1457"/>
      <c r="F1" s="1457"/>
      <c r="G1" s="1457"/>
      <c r="H1" s="1459"/>
      <c r="I1" s="1470" t="s">
        <v>392</v>
      </c>
      <c r="J1" s="1471"/>
      <c r="K1" s="1471"/>
      <c r="L1" s="841" t="s">
        <v>130</v>
      </c>
      <c r="M1" s="1472" t="s">
        <v>365</v>
      </c>
      <c r="N1" s="1467" t="s">
        <v>369</v>
      </c>
      <c r="O1" s="1467" t="s">
        <v>366</v>
      </c>
      <c r="P1" s="1464" t="s">
        <v>367</v>
      </c>
      <c r="Q1" s="1478" t="s">
        <v>20</v>
      </c>
      <c r="R1" s="1415" t="s">
        <v>398</v>
      </c>
      <c r="S1" s="1310"/>
      <c r="T1" s="1310"/>
      <c r="U1" s="1310"/>
      <c r="V1" s="1310"/>
      <c r="W1" s="1412" t="s">
        <v>27</v>
      </c>
      <c r="X1" s="1415" t="s">
        <v>28</v>
      </c>
      <c r="Y1" s="1416"/>
      <c r="Z1" s="1309"/>
      <c r="AA1" s="1310"/>
      <c r="AB1" s="1310"/>
      <c r="AC1" s="1310"/>
      <c r="AD1" s="1310"/>
      <c r="AE1" s="1310"/>
      <c r="AF1" s="1310"/>
      <c r="AG1" s="1310"/>
      <c r="AH1" s="1310"/>
      <c r="AI1" s="1310"/>
      <c r="AJ1" s="1310"/>
      <c r="AK1" s="1310"/>
      <c r="AL1" s="1310"/>
      <c r="AM1" s="1310"/>
      <c r="AN1" s="1310"/>
      <c r="AO1" s="1310"/>
      <c r="AP1" s="1310"/>
      <c r="AQ1" s="1310"/>
      <c r="AR1" s="1310"/>
      <c r="AS1" s="1310"/>
      <c r="AT1" s="1310"/>
      <c r="AU1" s="1310"/>
      <c r="AV1" s="1310"/>
      <c r="AW1" s="1320" t="s">
        <v>249</v>
      </c>
      <c r="AX1" s="1428" t="s">
        <v>383</v>
      </c>
      <c r="AY1" s="1425" t="s">
        <v>379</v>
      </c>
    </row>
    <row r="2" spans="1:71" ht="12.75" customHeight="1" thickBot="1" x14ac:dyDescent="0.25">
      <c r="A2" s="1317"/>
      <c r="B2" s="1303"/>
      <c r="C2" s="1455"/>
      <c r="D2" s="1456" t="s">
        <v>387</v>
      </c>
      <c r="E2" s="1457"/>
      <c r="F2" s="1458"/>
      <c r="G2" s="1462" t="s">
        <v>19</v>
      </c>
      <c r="H2" s="1460" t="s">
        <v>388</v>
      </c>
      <c r="I2" s="1481" t="s">
        <v>387</v>
      </c>
      <c r="J2" s="1475" t="s">
        <v>389</v>
      </c>
      <c r="K2" s="1446" t="s">
        <v>390</v>
      </c>
      <c r="L2" s="1484" t="s">
        <v>393</v>
      </c>
      <c r="M2" s="1473"/>
      <c r="N2" s="1468"/>
      <c r="O2" s="1468"/>
      <c r="P2" s="1465"/>
      <c r="Q2" s="1479"/>
      <c r="R2" s="1486" t="s">
        <v>239</v>
      </c>
      <c r="S2" s="1431" t="s">
        <v>6</v>
      </c>
      <c r="T2" s="1431" t="s">
        <v>399</v>
      </c>
      <c r="U2" s="1431" t="s">
        <v>240</v>
      </c>
      <c r="V2" s="1297" t="s">
        <v>259</v>
      </c>
      <c r="W2" s="1413"/>
      <c r="X2" s="1421" t="s">
        <v>77</v>
      </c>
      <c r="Y2" s="1318"/>
      <c r="Z2" s="1318"/>
      <c r="AA2" s="1299"/>
      <c r="AB2" s="1299"/>
      <c r="AC2" s="1297" t="s">
        <v>248</v>
      </c>
      <c r="AD2" s="1299" t="s">
        <v>78</v>
      </c>
      <c r="AE2" s="1299"/>
      <c r="AF2" s="1299"/>
      <c r="AG2" s="1299"/>
      <c r="AH2" s="1299"/>
      <c r="AI2" s="1299"/>
      <c r="AJ2" s="1299"/>
      <c r="AK2" s="1299"/>
      <c r="AL2" s="1299"/>
      <c r="AM2" s="1299"/>
      <c r="AN2" s="1299"/>
      <c r="AO2" s="1299"/>
      <c r="AP2" s="1299"/>
      <c r="AQ2" s="1299"/>
      <c r="AR2" s="1299"/>
      <c r="AS2" s="1299"/>
      <c r="AT2" s="1299"/>
      <c r="AU2" s="1299"/>
      <c r="AV2" s="1298" t="s">
        <v>247</v>
      </c>
      <c r="AW2" s="1321"/>
      <c r="AX2" s="1429"/>
      <c r="AY2" s="1426"/>
    </row>
    <row r="3" spans="1:71" ht="18.75" customHeight="1" x14ac:dyDescent="0.2">
      <c r="A3" s="1317"/>
      <c r="B3" s="1303"/>
      <c r="C3" s="1455"/>
      <c r="D3" s="1452" t="s">
        <v>384</v>
      </c>
      <c r="E3" s="1452" t="s">
        <v>145</v>
      </c>
      <c r="F3" s="1284" t="s">
        <v>146</v>
      </c>
      <c r="G3" s="1463"/>
      <c r="H3" s="1461"/>
      <c r="I3" s="1482"/>
      <c r="J3" s="1476"/>
      <c r="K3" s="1447"/>
      <c r="L3" s="1485"/>
      <c r="M3" s="1473"/>
      <c r="N3" s="1468"/>
      <c r="O3" s="1468"/>
      <c r="P3" s="1465"/>
      <c r="Q3" s="1479"/>
      <c r="R3" s="1486"/>
      <c r="S3" s="1431"/>
      <c r="T3" s="1431"/>
      <c r="U3" s="1431"/>
      <c r="V3" s="1297"/>
      <c r="W3" s="1413"/>
      <c r="X3" s="1422" t="s">
        <v>250</v>
      </c>
      <c r="Y3" s="1292" t="s">
        <v>270</v>
      </c>
      <c r="Z3" s="1292" t="s">
        <v>260</v>
      </c>
      <c r="AA3" s="1299" t="s">
        <v>81</v>
      </c>
      <c r="AB3" s="1299" t="s">
        <v>74</v>
      </c>
      <c r="AC3" s="1297"/>
      <c r="AD3" s="1299" t="s">
        <v>397</v>
      </c>
      <c r="AE3" s="1299"/>
      <c r="AF3" s="1299"/>
      <c r="AG3" s="1299"/>
      <c r="AH3" s="1299"/>
      <c r="AI3" s="1299"/>
      <c r="AJ3" s="1299"/>
      <c r="AK3" s="1299"/>
      <c r="AL3" s="1297" t="s">
        <v>242</v>
      </c>
      <c r="AM3" s="1418" t="s">
        <v>80</v>
      </c>
      <c r="AN3" s="1419"/>
      <c r="AO3" s="1419"/>
      <c r="AP3" s="1420"/>
      <c r="AQ3" s="1298" t="s">
        <v>262</v>
      </c>
      <c r="AR3" s="1299" t="s">
        <v>243</v>
      </c>
      <c r="AS3" s="1299"/>
      <c r="AT3" s="1298" t="s">
        <v>246</v>
      </c>
      <c r="AU3" s="1292" t="s">
        <v>22</v>
      </c>
      <c r="AV3" s="1417"/>
      <c r="AW3" s="1321"/>
      <c r="AX3" s="1429"/>
      <c r="AY3" s="1426"/>
    </row>
    <row r="4" spans="1:71" ht="17.25" customHeight="1" x14ac:dyDescent="0.2">
      <c r="A4" s="1317"/>
      <c r="B4" s="1303"/>
      <c r="C4" s="1455"/>
      <c r="D4" s="1453"/>
      <c r="E4" s="1453"/>
      <c r="F4" s="1285"/>
      <c r="G4" s="1463"/>
      <c r="H4" s="1461"/>
      <c r="I4" s="1482"/>
      <c r="J4" s="1476"/>
      <c r="K4" s="1447"/>
      <c r="L4" s="1485"/>
      <c r="M4" s="1473"/>
      <c r="N4" s="1468"/>
      <c r="O4" s="1468"/>
      <c r="P4" s="1465"/>
      <c r="Q4" s="1479"/>
      <c r="R4" s="1486"/>
      <c r="S4" s="1431"/>
      <c r="T4" s="1431"/>
      <c r="U4" s="1431"/>
      <c r="V4" s="1297"/>
      <c r="W4" s="1413"/>
      <c r="X4" s="1422"/>
      <c r="Y4" s="1293"/>
      <c r="Z4" s="1293"/>
      <c r="AA4" s="1299"/>
      <c r="AB4" s="1299"/>
      <c r="AC4" s="1297"/>
      <c r="AD4" s="1322" t="s">
        <v>82</v>
      </c>
      <c r="AE4" s="1322" t="s">
        <v>83</v>
      </c>
      <c r="AF4" s="1322" t="s">
        <v>84</v>
      </c>
      <c r="AG4" s="1322" t="s">
        <v>241</v>
      </c>
      <c r="AH4" s="1322" t="s">
        <v>85</v>
      </c>
      <c r="AI4" s="1322" t="s">
        <v>86</v>
      </c>
      <c r="AJ4" s="1322" t="s">
        <v>87</v>
      </c>
      <c r="AK4" s="1322" t="s">
        <v>22</v>
      </c>
      <c r="AL4" s="1297"/>
      <c r="AM4" s="1302" t="s">
        <v>265</v>
      </c>
      <c r="AN4" s="1302" t="s">
        <v>43</v>
      </c>
      <c r="AO4" s="1302" t="s">
        <v>403</v>
      </c>
      <c r="AP4" s="1431" t="s">
        <v>35</v>
      </c>
      <c r="AQ4" s="1417"/>
      <c r="AR4" s="1292" t="s">
        <v>244</v>
      </c>
      <c r="AS4" s="1292" t="s">
        <v>245</v>
      </c>
      <c r="AT4" s="1417"/>
      <c r="AU4" s="1293"/>
      <c r="AV4" s="1417"/>
      <c r="AW4" s="1321"/>
      <c r="AX4" s="1429"/>
      <c r="AY4" s="1426"/>
    </row>
    <row r="5" spans="1:71" ht="57.75" customHeight="1" thickBot="1" x14ac:dyDescent="0.25">
      <c r="A5" s="1317"/>
      <c r="B5" s="1303"/>
      <c r="C5" s="1455"/>
      <c r="D5" s="1453"/>
      <c r="E5" s="1453"/>
      <c r="F5" s="1285"/>
      <c r="G5" s="1463"/>
      <c r="H5" s="1461"/>
      <c r="I5" s="1483"/>
      <c r="J5" s="1477"/>
      <c r="K5" s="1448"/>
      <c r="L5" s="1485"/>
      <c r="M5" s="1474"/>
      <c r="N5" s="1469"/>
      <c r="O5" s="1469"/>
      <c r="P5" s="1466"/>
      <c r="Q5" s="1480"/>
      <c r="R5" s="1316"/>
      <c r="S5" s="1302"/>
      <c r="T5" s="1302"/>
      <c r="U5" s="1302"/>
      <c r="V5" s="1298"/>
      <c r="W5" s="1414"/>
      <c r="X5" s="1423"/>
      <c r="Y5" s="1293"/>
      <c r="Z5" s="1293"/>
      <c r="AA5" s="1286"/>
      <c r="AB5" s="1286"/>
      <c r="AC5" s="1298"/>
      <c r="AD5" s="1292"/>
      <c r="AE5" s="1292"/>
      <c r="AF5" s="1292"/>
      <c r="AG5" s="1292"/>
      <c r="AH5" s="1292"/>
      <c r="AI5" s="1292"/>
      <c r="AJ5" s="1292"/>
      <c r="AK5" s="1292"/>
      <c r="AL5" s="1298"/>
      <c r="AM5" s="1303"/>
      <c r="AN5" s="1303"/>
      <c r="AO5" s="1424"/>
      <c r="AP5" s="1302"/>
      <c r="AQ5" s="1417"/>
      <c r="AR5" s="1293"/>
      <c r="AS5" s="1293"/>
      <c r="AT5" s="1417"/>
      <c r="AU5" s="1293"/>
      <c r="AV5" s="1417"/>
      <c r="AW5" s="1321"/>
      <c r="AX5" s="1430"/>
      <c r="AY5" s="1427"/>
      <c r="BR5" s="1" t="s">
        <v>182</v>
      </c>
      <c r="BS5" s="1" t="s">
        <v>447</v>
      </c>
    </row>
    <row r="6" spans="1:71" ht="13.5" thickBot="1" x14ac:dyDescent="0.25">
      <c r="A6" s="164">
        <v>1</v>
      </c>
      <c r="B6" s="165">
        <v>2</v>
      </c>
      <c r="C6" s="165">
        <v>3</v>
      </c>
      <c r="D6" s="165">
        <v>4</v>
      </c>
      <c r="E6" s="165">
        <v>5</v>
      </c>
      <c r="F6" s="165">
        <v>6</v>
      </c>
      <c r="G6" s="165">
        <v>7</v>
      </c>
      <c r="H6" s="165">
        <v>8</v>
      </c>
      <c r="I6" s="165">
        <v>9</v>
      </c>
      <c r="J6" s="165">
        <v>10</v>
      </c>
      <c r="K6" s="165">
        <v>11</v>
      </c>
      <c r="L6" s="165">
        <v>12</v>
      </c>
      <c r="M6" s="165">
        <v>13</v>
      </c>
      <c r="N6" s="165">
        <v>14</v>
      </c>
      <c r="O6" s="165">
        <v>15</v>
      </c>
      <c r="P6" s="165">
        <v>16</v>
      </c>
      <c r="Q6" s="165">
        <v>17</v>
      </c>
      <c r="R6" s="165">
        <v>18</v>
      </c>
      <c r="S6" s="165">
        <v>19</v>
      </c>
      <c r="T6" s="165">
        <v>20</v>
      </c>
      <c r="U6" s="165">
        <v>21</v>
      </c>
      <c r="V6" s="165">
        <v>22</v>
      </c>
      <c r="W6" s="165">
        <v>23</v>
      </c>
      <c r="X6" s="165">
        <v>24</v>
      </c>
      <c r="Y6" s="165">
        <v>25</v>
      </c>
      <c r="Z6" s="165">
        <v>26</v>
      </c>
      <c r="AA6" s="165">
        <v>27</v>
      </c>
      <c r="AB6" s="165">
        <v>28</v>
      </c>
      <c r="AC6" s="165">
        <v>29</v>
      </c>
      <c r="AD6" s="165">
        <v>30</v>
      </c>
      <c r="AE6" s="165">
        <v>31</v>
      </c>
      <c r="AF6" s="165">
        <v>32</v>
      </c>
      <c r="AG6" s="165">
        <v>33</v>
      </c>
      <c r="AH6" s="165">
        <v>34</v>
      </c>
      <c r="AI6" s="165">
        <v>35</v>
      </c>
      <c r="AJ6" s="165">
        <v>36</v>
      </c>
      <c r="AK6" s="165">
        <v>37</v>
      </c>
      <c r="AL6" s="165">
        <v>38</v>
      </c>
      <c r="AM6" s="165">
        <v>39</v>
      </c>
      <c r="AN6" s="165">
        <v>40</v>
      </c>
      <c r="AO6" s="165">
        <v>41</v>
      </c>
      <c r="AP6" s="165">
        <v>42</v>
      </c>
      <c r="AQ6" s="165">
        <v>43</v>
      </c>
      <c r="AR6" s="165">
        <v>44</v>
      </c>
      <c r="AS6" s="165">
        <v>45</v>
      </c>
      <c r="AT6" s="165">
        <v>46</v>
      </c>
      <c r="AU6" s="165">
        <v>47</v>
      </c>
      <c r="AV6" s="165">
        <v>48</v>
      </c>
      <c r="AW6" s="165">
        <v>49</v>
      </c>
      <c r="AX6" s="165">
        <v>50</v>
      </c>
      <c r="AY6" s="824"/>
      <c r="BR6"/>
      <c r="BS6"/>
    </row>
    <row r="7" spans="1:71" x14ac:dyDescent="0.2">
      <c r="A7" s="1441">
        <v>1</v>
      </c>
      <c r="B7" s="1444" t="s">
        <v>386</v>
      </c>
      <c r="C7" s="163">
        <v>30</v>
      </c>
      <c r="D7" s="802"/>
      <c r="E7" s="802"/>
      <c r="F7" s="170"/>
      <c r="G7" s="825"/>
      <c r="H7" s="708">
        <f>SUM(D7:G7)</f>
        <v>0</v>
      </c>
      <c r="I7" s="172"/>
      <c r="J7" s="826"/>
      <c r="K7" s="708">
        <f>SUM(I7:J7)</f>
        <v>0</v>
      </c>
      <c r="L7" s="840"/>
      <c r="M7" s="806"/>
      <c r="N7" s="813"/>
      <c r="O7" s="813"/>
      <c r="P7" s="737" t="str">
        <f>IF(M7&lt;W7,"!","ок")</f>
        <v>ок</v>
      </c>
      <c r="Q7" s="416">
        <f>IF(X7="",0,12-(V7+AW7))</f>
        <v>0</v>
      </c>
      <c r="R7" s="412"/>
      <c r="S7" s="413"/>
      <c r="T7" s="413"/>
      <c r="U7" s="413"/>
      <c r="V7" s="514">
        <f>SUM(R7:U7)</f>
        <v>0</v>
      </c>
      <c r="W7" s="515">
        <f>V7+Q7</f>
        <v>0</v>
      </c>
      <c r="X7" s="414"/>
      <c r="Y7" s="721"/>
      <c r="Z7" s="415"/>
      <c r="AA7" s="413"/>
      <c r="AB7" s="413"/>
      <c r="AC7" s="514">
        <f>SUM(X7:AB7)</f>
        <v>0</v>
      </c>
      <c r="AD7" s="416"/>
      <c r="AE7" s="416"/>
      <c r="AF7" s="416"/>
      <c r="AG7" s="413"/>
      <c r="AH7" s="413"/>
      <c r="AI7" s="413"/>
      <c r="AJ7" s="417"/>
      <c r="AK7" s="417"/>
      <c r="AL7" s="482">
        <f>SUM(AD7:AK7)</f>
        <v>0</v>
      </c>
      <c r="AM7" s="418"/>
      <c r="AN7" s="417"/>
      <c r="AO7" s="417"/>
      <c r="AP7" s="417"/>
      <c r="AQ7" s="482">
        <f>SUM(AM7:AP7)</f>
        <v>0</v>
      </c>
      <c r="AR7" s="417"/>
      <c r="AS7" s="417"/>
      <c r="AT7" s="482">
        <f>SUM(AR7:AS7)</f>
        <v>0</v>
      </c>
      <c r="AU7" s="417"/>
      <c r="AV7" s="482">
        <f>AU7+AT7+AQ7+AL7</f>
        <v>0</v>
      </c>
      <c r="AW7" s="497">
        <f>AV7+AC7</f>
        <v>0</v>
      </c>
      <c r="AX7" s="516">
        <f>AW7+W7</f>
        <v>0</v>
      </c>
      <c r="AY7" s="770"/>
      <c r="BR7" s="1080"/>
      <c r="BS7" s="1080"/>
    </row>
    <row r="8" spans="1:71" x14ac:dyDescent="0.2">
      <c r="A8" s="1441"/>
      <c r="B8" s="1444"/>
      <c r="C8" s="163">
        <v>32</v>
      </c>
      <c r="D8" s="802"/>
      <c r="E8" s="849"/>
      <c r="F8" s="170"/>
      <c r="G8" s="825"/>
      <c r="H8" s="517">
        <f>SUM(D8:G8)</f>
        <v>0</v>
      </c>
      <c r="I8" s="172"/>
      <c r="J8" s="826"/>
      <c r="K8" s="517">
        <f>SUM(I8:J8)</f>
        <v>0</v>
      </c>
      <c r="L8" s="840"/>
      <c r="M8" s="806"/>
      <c r="N8" s="847"/>
      <c r="O8" s="847"/>
      <c r="P8" s="737" t="str">
        <f>IF(M8&lt;W8,"!","ок")</f>
        <v>ок</v>
      </c>
      <c r="Q8" s="416">
        <f t="shared" ref="Q8:Q15" si="0">IF(X8="",0,12-(V8+AW8))</f>
        <v>0</v>
      </c>
      <c r="R8" s="412"/>
      <c r="S8" s="413"/>
      <c r="T8" s="413"/>
      <c r="U8" s="413"/>
      <c r="V8" s="466">
        <f>SUM(R8:U8)</f>
        <v>0</v>
      </c>
      <c r="W8" s="467">
        <f>V8+Q8</f>
        <v>0</v>
      </c>
      <c r="X8" s="414"/>
      <c r="Y8" s="721"/>
      <c r="Z8" s="415"/>
      <c r="AA8" s="413"/>
      <c r="AB8" s="413"/>
      <c r="AC8" s="466">
        <f>SUM(X8:AB8)</f>
        <v>0</v>
      </c>
      <c r="AD8" s="416"/>
      <c r="AE8" s="416"/>
      <c r="AF8" s="416"/>
      <c r="AG8" s="413"/>
      <c r="AH8" s="413"/>
      <c r="AI8" s="413"/>
      <c r="AJ8" s="417"/>
      <c r="AK8" s="417"/>
      <c r="AL8" s="481">
        <f>SUM(AD8:AK8)</f>
        <v>0</v>
      </c>
      <c r="AM8" s="418"/>
      <c r="AN8" s="417"/>
      <c r="AO8" s="417"/>
      <c r="AP8" s="417"/>
      <c r="AQ8" s="482">
        <f>SUM(AM8:AP8)</f>
        <v>0</v>
      </c>
      <c r="AR8" s="417"/>
      <c r="AS8" s="417"/>
      <c r="AT8" s="481">
        <f>SUM(AR8:AS8)</f>
        <v>0</v>
      </c>
      <c r="AU8" s="417"/>
      <c r="AV8" s="481">
        <f>AU8+AT8+AQ8+AL8</f>
        <v>0</v>
      </c>
      <c r="AW8" s="497">
        <f>AV8+AC8</f>
        <v>0</v>
      </c>
      <c r="AX8" s="496">
        <f>AW8+W8</f>
        <v>0</v>
      </c>
      <c r="AY8" s="770"/>
      <c r="BR8" s="1080"/>
      <c r="BS8" s="1080"/>
    </row>
    <row r="9" spans="1:71" x14ac:dyDescent="0.2">
      <c r="A9" s="1442"/>
      <c r="B9" s="1444"/>
      <c r="C9" s="141">
        <v>35</v>
      </c>
      <c r="D9" s="190"/>
      <c r="E9" s="805"/>
      <c r="F9" s="3"/>
      <c r="G9" s="822"/>
      <c r="H9" s="517">
        <f>SUM(D9:G9)</f>
        <v>0</v>
      </c>
      <c r="I9" s="171"/>
      <c r="J9" s="808"/>
      <c r="K9" s="517">
        <f>SUM(I9:J9)</f>
        <v>0</v>
      </c>
      <c r="L9" s="837"/>
      <c r="M9" s="803"/>
      <c r="N9" s="801"/>
      <c r="O9" s="801"/>
      <c r="P9" s="737" t="str">
        <f>IF(M9&lt;W9,"!","ок")</f>
        <v>ок</v>
      </c>
      <c r="Q9" s="416">
        <f t="shared" si="0"/>
        <v>0</v>
      </c>
      <c r="R9" s="419"/>
      <c r="S9" s="420"/>
      <c r="T9" s="420"/>
      <c r="U9" s="420"/>
      <c r="V9" s="466">
        <f>SUM(R9:U9)</f>
        <v>0</v>
      </c>
      <c r="W9" s="467">
        <f>V9+Q9</f>
        <v>0</v>
      </c>
      <c r="X9" s="421"/>
      <c r="Y9" s="449"/>
      <c r="Z9" s="422"/>
      <c r="AA9" s="420"/>
      <c r="AB9" s="420"/>
      <c r="AC9" s="466">
        <f>SUM(X9:AB9)</f>
        <v>0</v>
      </c>
      <c r="AD9" s="423"/>
      <c r="AE9" s="423"/>
      <c r="AF9" s="423"/>
      <c r="AG9" s="420"/>
      <c r="AH9" s="420"/>
      <c r="AI9" s="420"/>
      <c r="AJ9" s="424"/>
      <c r="AK9" s="424"/>
      <c r="AL9" s="481">
        <f>SUM(AD9:AK9)</f>
        <v>0</v>
      </c>
      <c r="AM9" s="26"/>
      <c r="AN9" s="424"/>
      <c r="AO9" s="424"/>
      <c r="AP9" s="424"/>
      <c r="AQ9" s="482">
        <f>SUM(AM9:AP9)</f>
        <v>0</v>
      </c>
      <c r="AR9" s="424"/>
      <c r="AS9" s="424"/>
      <c r="AT9" s="481">
        <f>SUM(AR9:AS9)</f>
        <v>0</v>
      </c>
      <c r="AU9" s="424"/>
      <c r="AV9" s="481">
        <f>AU9+AT9+AQ9+AL9</f>
        <v>0</v>
      </c>
      <c r="AW9" s="497">
        <f>AV9+AC9</f>
        <v>0</v>
      </c>
      <c r="AX9" s="496">
        <f>AW9+W9</f>
        <v>0</v>
      </c>
      <c r="AY9" s="770"/>
      <c r="BR9" s="190"/>
      <c r="BS9" s="190"/>
    </row>
    <row r="10" spans="1:71" ht="13.5" thickBot="1" x14ac:dyDescent="0.25">
      <c r="A10" s="1442"/>
      <c r="B10" s="1445"/>
      <c r="C10" s="812" t="s">
        <v>391</v>
      </c>
      <c r="D10" s="811">
        <f t="shared" ref="D10:J10" si="1">SUM(D7:D9)</f>
        <v>0</v>
      </c>
      <c r="E10" s="810">
        <f t="shared" si="1"/>
        <v>0</v>
      </c>
      <c r="F10" s="804">
        <f t="shared" si="1"/>
        <v>0</v>
      </c>
      <c r="G10" s="810">
        <f t="shared" si="1"/>
        <v>0</v>
      </c>
      <c r="H10" s="517">
        <f t="shared" si="1"/>
        <v>0</v>
      </c>
      <c r="I10" s="464">
        <f t="shared" si="1"/>
        <v>0</v>
      </c>
      <c r="J10" s="807">
        <f t="shared" si="1"/>
        <v>0</v>
      </c>
      <c r="K10" s="517">
        <f>SUM(K7:K9)</f>
        <v>0</v>
      </c>
      <c r="L10" s="809"/>
      <c r="M10" s="810">
        <f>SUM(M7:M9)</f>
        <v>0</v>
      </c>
      <c r="N10" s="804">
        <f>SUM(N7:N9)</f>
        <v>0</v>
      </c>
      <c r="O10" s="811">
        <f>SUM(O7:O9)</f>
        <v>0</v>
      </c>
      <c r="P10" s="465"/>
      <c r="Q10" s="470">
        <f t="shared" ref="Q10:AW10" si="2">SUM(Q7:Q9)</f>
        <v>0</v>
      </c>
      <c r="R10" s="468">
        <f t="shared" si="2"/>
        <v>0</v>
      </c>
      <c r="S10" s="466">
        <f t="shared" si="2"/>
        <v>0</v>
      </c>
      <c r="T10" s="466">
        <f t="shared" si="2"/>
        <v>0</v>
      </c>
      <c r="U10" s="466">
        <f t="shared" si="2"/>
        <v>0</v>
      </c>
      <c r="V10" s="466">
        <f t="shared" si="2"/>
        <v>0</v>
      </c>
      <c r="W10" s="467">
        <f t="shared" si="2"/>
        <v>0</v>
      </c>
      <c r="X10" s="480">
        <f t="shared" si="2"/>
        <v>0</v>
      </c>
      <c r="Y10" s="466">
        <f t="shared" si="2"/>
        <v>0</v>
      </c>
      <c r="Z10" s="466">
        <f t="shared" si="2"/>
        <v>0</v>
      </c>
      <c r="AA10" s="466">
        <f t="shared" si="2"/>
        <v>0</v>
      </c>
      <c r="AB10" s="466">
        <f t="shared" si="2"/>
        <v>0</v>
      </c>
      <c r="AC10" s="466">
        <f t="shared" si="2"/>
        <v>0</v>
      </c>
      <c r="AD10" s="466">
        <f t="shared" si="2"/>
        <v>0</v>
      </c>
      <c r="AE10" s="466">
        <f t="shared" si="2"/>
        <v>0</v>
      </c>
      <c r="AF10" s="466">
        <f t="shared" si="2"/>
        <v>0</v>
      </c>
      <c r="AG10" s="466">
        <f t="shared" si="2"/>
        <v>0</v>
      </c>
      <c r="AH10" s="466">
        <f t="shared" si="2"/>
        <v>0</v>
      </c>
      <c r="AI10" s="466">
        <f t="shared" si="2"/>
        <v>0</v>
      </c>
      <c r="AJ10" s="466">
        <f t="shared" si="2"/>
        <v>0</v>
      </c>
      <c r="AK10" s="466">
        <f t="shared" si="2"/>
        <v>0</v>
      </c>
      <c r="AL10" s="466">
        <f t="shared" si="2"/>
        <v>0</v>
      </c>
      <c r="AM10" s="466">
        <f t="shared" si="2"/>
        <v>0</v>
      </c>
      <c r="AN10" s="466">
        <f t="shared" si="2"/>
        <v>0</v>
      </c>
      <c r="AO10" s="466">
        <f t="shared" si="2"/>
        <v>0</v>
      </c>
      <c r="AP10" s="466">
        <f t="shared" si="2"/>
        <v>0</v>
      </c>
      <c r="AQ10" s="466">
        <f t="shared" si="2"/>
        <v>0</v>
      </c>
      <c r="AR10" s="466">
        <f t="shared" si="2"/>
        <v>0</v>
      </c>
      <c r="AS10" s="466">
        <f t="shared" si="2"/>
        <v>0</v>
      </c>
      <c r="AT10" s="466">
        <f t="shared" si="2"/>
        <v>0</v>
      </c>
      <c r="AU10" s="466">
        <f t="shared" si="2"/>
        <v>0</v>
      </c>
      <c r="AV10" s="466">
        <f t="shared" si="2"/>
        <v>0</v>
      </c>
      <c r="AW10" s="467">
        <f t="shared" si="2"/>
        <v>0</v>
      </c>
      <c r="AX10" s="496">
        <f>AW10+W10</f>
        <v>0</v>
      </c>
      <c r="AY10" s="770"/>
      <c r="BR10" s="811">
        <f t="shared" ref="BR10:BS10" si="3">SUM(BR7:BR9)</f>
        <v>0</v>
      </c>
      <c r="BS10" s="811">
        <f t="shared" si="3"/>
        <v>0</v>
      </c>
    </row>
    <row r="11" spans="1:71" hidden="1" x14ac:dyDescent="0.2">
      <c r="A11" s="1442"/>
      <c r="B11" s="1450"/>
      <c r="C11" s="141">
        <v>48</v>
      </c>
      <c r="D11" s="153"/>
      <c r="E11" s="153"/>
      <c r="F11" s="5"/>
      <c r="G11" s="822"/>
      <c r="H11" s="517">
        <f t="shared" ref="H11:H15" si="4">SUM(D11:G11)</f>
        <v>0</v>
      </c>
      <c r="I11" s="142"/>
      <c r="J11" s="808"/>
      <c r="K11" s="517">
        <f t="shared" ref="K11:K15" si="5">SUM(I11:J11)</f>
        <v>0</v>
      </c>
      <c r="L11" s="837"/>
      <c r="M11" s="803"/>
      <c r="N11" s="801"/>
      <c r="O11" s="801"/>
      <c r="P11" s="737" t="str">
        <f t="shared" ref="P11:P15" si="6">IF(M11&lt;W11,"!","ок")</f>
        <v>ок</v>
      </c>
      <c r="Q11" s="416">
        <f t="shared" si="0"/>
        <v>0</v>
      </c>
      <c r="R11" s="421"/>
      <c r="S11" s="422"/>
      <c r="T11" s="422"/>
      <c r="U11" s="422"/>
      <c r="V11" s="466">
        <f t="shared" ref="V11:V13" si="7">SUM(R11:U11)</f>
        <v>0</v>
      </c>
      <c r="W11" s="467">
        <f t="shared" ref="W11:W13" si="8">V11+Q11</f>
        <v>0</v>
      </c>
      <c r="X11" s="421"/>
      <c r="Y11" s="449"/>
      <c r="Z11" s="422"/>
      <c r="AA11" s="422"/>
      <c r="AB11" s="422"/>
      <c r="AC11" s="466">
        <f t="shared" ref="AC11:AC13" si="9">SUM(X11:AB11)</f>
        <v>0</v>
      </c>
      <c r="AD11" s="423"/>
      <c r="AE11" s="423"/>
      <c r="AF11" s="423"/>
      <c r="AG11" s="420"/>
      <c r="AH11" s="420"/>
      <c r="AI11" s="420"/>
      <c r="AJ11" s="424"/>
      <c r="AK11" s="424"/>
      <c r="AL11" s="481">
        <f t="shared" ref="AL11:AL15" si="10">SUM(AD11:AK11)</f>
        <v>0</v>
      </c>
      <c r="AM11" s="26"/>
      <c r="AN11" s="424"/>
      <c r="AO11" s="424"/>
      <c r="AP11" s="424"/>
      <c r="AQ11" s="481">
        <f t="shared" ref="AQ11:AQ13" si="11">SUM(AM11:AP11)</f>
        <v>0</v>
      </c>
      <c r="AR11" s="424"/>
      <c r="AS11" s="424"/>
      <c r="AT11" s="481">
        <f t="shared" ref="AT11:AT13" si="12">SUM(AR11:AS11)</f>
        <v>0</v>
      </c>
      <c r="AU11" s="424"/>
      <c r="AV11" s="481">
        <f t="shared" ref="AV11:AV13" si="13">AU11+AT11+AQ11+AL11</f>
        <v>0</v>
      </c>
      <c r="AW11" s="497">
        <f t="shared" ref="AW11:AW15" si="14">AV11+AC11</f>
        <v>0</v>
      </c>
      <c r="AX11" s="496">
        <f t="shared" ref="AX11:AX16" si="15">AW11+W11</f>
        <v>0</v>
      </c>
      <c r="AY11" s="770"/>
      <c r="BR11" s="1079"/>
      <c r="BS11" s="1079"/>
    </row>
    <row r="12" spans="1:71" hidden="1" x14ac:dyDescent="0.2">
      <c r="A12" s="1442"/>
      <c r="B12" s="1450"/>
      <c r="C12" s="141">
        <v>49</v>
      </c>
      <c r="D12" s="153"/>
      <c r="E12" s="153"/>
      <c r="F12" s="5"/>
      <c r="G12" s="822"/>
      <c r="H12" s="517">
        <f t="shared" si="4"/>
        <v>0</v>
      </c>
      <c r="I12" s="142"/>
      <c r="J12" s="808"/>
      <c r="K12" s="517">
        <f t="shared" si="5"/>
        <v>0</v>
      </c>
      <c r="L12" s="837"/>
      <c r="M12" s="803"/>
      <c r="N12" s="801"/>
      <c r="O12" s="801"/>
      <c r="P12" s="737" t="str">
        <f t="shared" si="6"/>
        <v>ок</v>
      </c>
      <c r="Q12" s="416">
        <f t="shared" si="0"/>
        <v>0</v>
      </c>
      <c r="R12" s="421"/>
      <c r="S12" s="422"/>
      <c r="T12" s="422"/>
      <c r="U12" s="422"/>
      <c r="V12" s="466">
        <f t="shared" si="7"/>
        <v>0</v>
      </c>
      <c r="W12" s="467">
        <f t="shared" si="8"/>
        <v>0</v>
      </c>
      <c r="X12" s="421"/>
      <c r="Y12" s="449"/>
      <c r="Z12" s="422"/>
      <c r="AA12" s="422"/>
      <c r="AB12" s="422"/>
      <c r="AC12" s="466">
        <f t="shared" si="9"/>
        <v>0</v>
      </c>
      <c r="AD12" s="423"/>
      <c r="AE12" s="423"/>
      <c r="AF12" s="423"/>
      <c r="AG12" s="420"/>
      <c r="AH12" s="420"/>
      <c r="AI12" s="420"/>
      <c r="AJ12" s="424"/>
      <c r="AK12" s="424"/>
      <c r="AL12" s="481">
        <f t="shared" si="10"/>
        <v>0</v>
      </c>
      <c r="AM12" s="26"/>
      <c r="AN12" s="424"/>
      <c r="AO12" s="424"/>
      <c r="AP12" s="424"/>
      <c r="AQ12" s="481">
        <f t="shared" si="11"/>
        <v>0</v>
      </c>
      <c r="AR12" s="424"/>
      <c r="AS12" s="424"/>
      <c r="AT12" s="481">
        <f t="shared" si="12"/>
        <v>0</v>
      </c>
      <c r="AU12" s="424"/>
      <c r="AV12" s="481">
        <f t="shared" si="13"/>
        <v>0</v>
      </c>
      <c r="AW12" s="497">
        <f t="shared" si="14"/>
        <v>0</v>
      </c>
      <c r="AX12" s="496">
        <f t="shared" si="15"/>
        <v>0</v>
      </c>
      <c r="AY12" s="770"/>
      <c r="BR12" s="1079"/>
      <c r="BS12" s="1079"/>
    </row>
    <row r="13" spans="1:71" hidden="1" x14ac:dyDescent="0.2">
      <c r="A13" s="1442"/>
      <c r="B13" s="1450"/>
      <c r="C13" s="141">
        <v>50</v>
      </c>
      <c r="D13" s="153"/>
      <c r="E13" s="153"/>
      <c r="F13" s="5"/>
      <c r="G13" s="822"/>
      <c r="H13" s="517">
        <f t="shared" si="4"/>
        <v>0</v>
      </c>
      <c r="I13" s="142"/>
      <c r="J13" s="808"/>
      <c r="K13" s="517">
        <f t="shared" si="5"/>
        <v>0</v>
      </c>
      <c r="L13" s="837"/>
      <c r="M13" s="803"/>
      <c r="N13" s="801"/>
      <c r="O13" s="801"/>
      <c r="P13" s="737" t="str">
        <f t="shared" si="6"/>
        <v>ок</v>
      </c>
      <c r="Q13" s="416">
        <f t="shared" si="0"/>
        <v>0</v>
      </c>
      <c r="R13" s="421"/>
      <c r="S13" s="422"/>
      <c r="T13" s="422"/>
      <c r="U13" s="422"/>
      <c r="V13" s="466">
        <f t="shared" si="7"/>
        <v>0</v>
      </c>
      <c r="W13" s="467">
        <f t="shared" si="8"/>
        <v>0</v>
      </c>
      <c r="X13" s="421"/>
      <c r="Y13" s="449"/>
      <c r="Z13" s="422"/>
      <c r="AA13" s="422"/>
      <c r="AB13" s="422"/>
      <c r="AC13" s="466">
        <f t="shared" si="9"/>
        <v>0</v>
      </c>
      <c r="AD13" s="423"/>
      <c r="AE13" s="423"/>
      <c r="AF13" s="423"/>
      <c r="AG13" s="420"/>
      <c r="AH13" s="420"/>
      <c r="AI13" s="420"/>
      <c r="AJ13" s="424"/>
      <c r="AK13" s="424"/>
      <c r="AL13" s="481">
        <f t="shared" si="10"/>
        <v>0</v>
      </c>
      <c r="AM13" s="26"/>
      <c r="AN13" s="424"/>
      <c r="AO13" s="424"/>
      <c r="AP13" s="424"/>
      <c r="AQ13" s="481">
        <f t="shared" si="11"/>
        <v>0</v>
      </c>
      <c r="AR13" s="424"/>
      <c r="AS13" s="424"/>
      <c r="AT13" s="481">
        <f t="shared" si="12"/>
        <v>0</v>
      </c>
      <c r="AU13" s="424"/>
      <c r="AV13" s="481">
        <f t="shared" si="13"/>
        <v>0</v>
      </c>
      <c r="AW13" s="497">
        <f t="shared" si="14"/>
        <v>0</v>
      </c>
      <c r="AX13" s="496">
        <f t="shared" si="15"/>
        <v>0</v>
      </c>
      <c r="AY13" s="770"/>
      <c r="BR13" s="1079"/>
      <c r="BS13" s="1079"/>
    </row>
    <row r="14" spans="1:71" hidden="1" x14ac:dyDescent="0.2">
      <c r="A14" s="1442"/>
      <c r="B14" s="1450"/>
      <c r="C14" s="141">
        <v>51</v>
      </c>
      <c r="D14" s="153"/>
      <c r="E14" s="153"/>
      <c r="F14" s="5"/>
      <c r="G14" s="822"/>
      <c r="H14" s="517">
        <f t="shared" si="4"/>
        <v>0</v>
      </c>
      <c r="I14" s="142"/>
      <c r="J14" s="808"/>
      <c r="K14" s="517">
        <f t="shared" si="5"/>
        <v>0</v>
      </c>
      <c r="L14" s="837"/>
      <c r="M14" s="803"/>
      <c r="N14" s="801"/>
      <c r="O14" s="801"/>
      <c r="P14" s="737" t="str">
        <f t="shared" si="6"/>
        <v>ок</v>
      </c>
      <c r="Q14" s="416">
        <f t="shared" si="0"/>
        <v>0</v>
      </c>
      <c r="R14" s="421"/>
      <c r="S14" s="422"/>
      <c r="T14" s="422"/>
      <c r="U14" s="422"/>
      <c r="V14" s="466">
        <f>SUM(R14:U14)</f>
        <v>0</v>
      </c>
      <c r="W14" s="467">
        <f>V14+Q14</f>
        <v>0</v>
      </c>
      <c r="X14" s="421"/>
      <c r="Y14" s="449"/>
      <c r="Z14" s="422"/>
      <c r="AA14" s="422"/>
      <c r="AB14" s="422"/>
      <c r="AC14" s="466">
        <f>SUM(X14:AB14)</f>
        <v>0</v>
      </c>
      <c r="AD14" s="423"/>
      <c r="AE14" s="423"/>
      <c r="AF14" s="423"/>
      <c r="AG14" s="420"/>
      <c r="AH14" s="420"/>
      <c r="AI14" s="420"/>
      <c r="AJ14" s="424"/>
      <c r="AK14" s="424"/>
      <c r="AL14" s="481">
        <f t="shared" si="10"/>
        <v>0</v>
      </c>
      <c r="AM14" s="26"/>
      <c r="AN14" s="424"/>
      <c r="AO14" s="424"/>
      <c r="AP14" s="424"/>
      <c r="AQ14" s="481">
        <f>SUM(AM14:AP14)</f>
        <v>0</v>
      </c>
      <c r="AR14" s="424"/>
      <c r="AS14" s="424"/>
      <c r="AT14" s="481">
        <f>SUM(AR14:AS14)</f>
        <v>0</v>
      </c>
      <c r="AU14" s="424"/>
      <c r="AV14" s="481">
        <f>AU14+AT14+AQ14+AL14</f>
        <v>0</v>
      </c>
      <c r="AW14" s="497">
        <f t="shared" si="14"/>
        <v>0</v>
      </c>
      <c r="AX14" s="496">
        <f t="shared" si="15"/>
        <v>0</v>
      </c>
      <c r="AY14" s="770"/>
      <c r="BR14" s="1079"/>
      <c r="BS14" s="1079"/>
    </row>
    <row r="15" spans="1:71" hidden="1" x14ac:dyDescent="0.2">
      <c r="A15" s="1442"/>
      <c r="B15" s="1450"/>
      <c r="C15" s="141">
        <v>52</v>
      </c>
      <c r="D15" s="153"/>
      <c r="E15" s="153"/>
      <c r="F15" s="5"/>
      <c r="G15" s="822"/>
      <c r="H15" s="517">
        <f t="shared" si="4"/>
        <v>0</v>
      </c>
      <c r="I15" s="142"/>
      <c r="J15" s="808"/>
      <c r="K15" s="517">
        <f t="shared" si="5"/>
        <v>0</v>
      </c>
      <c r="L15" s="837"/>
      <c r="M15" s="803"/>
      <c r="N15" s="801"/>
      <c r="O15" s="801"/>
      <c r="P15" s="737" t="str">
        <f t="shared" si="6"/>
        <v>ок</v>
      </c>
      <c r="Q15" s="416">
        <f t="shared" si="0"/>
        <v>0</v>
      </c>
      <c r="R15" s="421"/>
      <c r="S15" s="422"/>
      <c r="T15" s="422"/>
      <c r="U15" s="422"/>
      <c r="V15" s="466">
        <f>SUM(R15:U15)</f>
        <v>0</v>
      </c>
      <c r="W15" s="467">
        <f>V15+Q15</f>
        <v>0</v>
      </c>
      <c r="X15" s="421"/>
      <c r="Y15" s="449"/>
      <c r="Z15" s="422"/>
      <c r="AA15" s="422"/>
      <c r="AB15" s="422"/>
      <c r="AC15" s="466">
        <f>SUM(X15:AB15)</f>
        <v>0</v>
      </c>
      <c r="AD15" s="423"/>
      <c r="AE15" s="423"/>
      <c r="AF15" s="423"/>
      <c r="AG15" s="420"/>
      <c r="AH15" s="420"/>
      <c r="AI15" s="420"/>
      <c r="AJ15" s="424"/>
      <c r="AK15" s="424"/>
      <c r="AL15" s="481">
        <f t="shared" si="10"/>
        <v>0</v>
      </c>
      <c r="AM15" s="26"/>
      <c r="AN15" s="424"/>
      <c r="AO15" s="424"/>
      <c r="AP15" s="424"/>
      <c r="AQ15" s="481">
        <f>SUM(AM15:AP15)</f>
        <v>0</v>
      </c>
      <c r="AR15" s="424"/>
      <c r="AS15" s="424"/>
      <c r="AT15" s="481">
        <f>SUM(AR15:AS15)</f>
        <v>0</v>
      </c>
      <c r="AU15" s="424"/>
      <c r="AV15" s="481">
        <f>AU15+AT15+AQ15+AL15</f>
        <v>0</v>
      </c>
      <c r="AW15" s="497">
        <f t="shared" si="14"/>
        <v>0</v>
      </c>
      <c r="AX15" s="496">
        <f t="shared" si="15"/>
        <v>0</v>
      </c>
      <c r="AY15" s="770"/>
      <c r="BR15" s="1079"/>
      <c r="BS15" s="1079"/>
    </row>
    <row r="16" spans="1:71" hidden="1" x14ac:dyDescent="0.2">
      <c r="A16" s="1442"/>
      <c r="B16" s="1445"/>
      <c r="C16" s="812" t="s">
        <v>391</v>
      </c>
      <c r="D16" s="506">
        <f t="shared" ref="D16:K16" si="16">SUM(D11:D15)</f>
        <v>0</v>
      </c>
      <c r="E16" s="506">
        <f t="shared" si="16"/>
        <v>0</v>
      </c>
      <c r="F16" s="511">
        <f t="shared" si="16"/>
        <v>0</v>
      </c>
      <c r="G16" s="505">
        <f t="shared" si="16"/>
        <v>0</v>
      </c>
      <c r="H16" s="519">
        <f t="shared" si="16"/>
        <v>0</v>
      </c>
      <c r="I16" s="518">
        <f t="shared" si="16"/>
        <v>0</v>
      </c>
      <c r="J16" s="509">
        <f t="shared" si="16"/>
        <v>0</v>
      </c>
      <c r="K16" s="517">
        <f t="shared" si="16"/>
        <v>0</v>
      </c>
      <c r="L16" s="809"/>
      <c r="M16" s="506">
        <f>SUM(M11:M15)</f>
        <v>0</v>
      </c>
      <c r="N16" s="511">
        <f>SUM(N11:N15)</f>
        <v>0</v>
      </c>
      <c r="O16" s="511">
        <f>SUM(O11:O15)</f>
        <v>0</v>
      </c>
      <c r="P16" s="462"/>
      <c r="Q16" s="470">
        <f t="shared" ref="Q16:AW16" si="17">SUM(Q11:Q15)</f>
        <v>0</v>
      </c>
      <c r="R16" s="468">
        <f t="shared" si="17"/>
        <v>0</v>
      </c>
      <c r="S16" s="466">
        <f t="shared" si="17"/>
        <v>0</v>
      </c>
      <c r="T16" s="466">
        <f t="shared" si="17"/>
        <v>0</v>
      </c>
      <c r="U16" s="466">
        <f t="shared" si="17"/>
        <v>0</v>
      </c>
      <c r="V16" s="466">
        <f t="shared" si="17"/>
        <v>0</v>
      </c>
      <c r="W16" s="467">
        <f t="shared" si="17"/>
        <v>0</v>
      </c>
      <c r="X16" s="468">
        <f t="shared" si="17"/>
        <v>0</v>
      </c>
      <c r="Y16" s="525">
        <f t="shared" si="17"/>
        <v>0</v>
      </c>
      <c r="Z16" s="466">
        <f t="shared" si="17"/>
        <v>0</v>
      </c>
      <c r="AA16" s="466">
        <f t="shared" si="17"/>
        <v>0</v>
      </c>
      <c r="AB16" s="466">
        <f t="shared" si="17"/>
        <v>0</v>
      </c>
      <c r="AC16" s="466">
        <f t="shared" si="17"/>
        <v>0</v>
      </c>
      <c r="AD16" s="466">
        <f t="shared" si="17"/>
        <v>0</v>
      </c>
      <c r="AE16" s="466">
        <f t="shared" si="17"/>
        <v>0</v>
      </c>
      <c r="AF16" s="466">
        <f t="shared" si="17"/>
        <v>0</v>
      </c>
      <c r="AG16" s="466">
        <f t="shared" si="17"/>
        <v>0</v>
      </c>
      <c r="AH16" s="466">
        <f t="shared" si="17"/>
        <v>0</v>
      </c>
      <c r="AI16" s="466">
        <f t="shared" si="17"/>
        <v>0</v>
      </c>
      <c r="AJ16" s="466">
        <f t="shared" si="17"/>
        <v>0</v>
      </c>
      <c r="AK16" s="466">
        <f t="shared" si="17"/>
        <v>0</v>
      </c>
      <c r="AL16" s="466">
        <f t="shared" si="17"/>
        <v>0</v>
      </c>
      <c r="AM16" s="466">
        <f t="shared" si="17"/>
        <v>0</v>
      </c>
      <c r="AN16" s="466">
        <f t="shared" si="17"/>
        <v>0</v>
      </c>
      <c r="AO16" s="466">
        <f t="shared" si="17"/>
        <v>0</v>
      </c>
      <c r="AP16" s="466">
        <f t="shared" si="17"/>
        <v>0</v>
      </c>
      <c r="AQ16" s="466">
        <f t="shared" si="17"/>
        <v>0</v>
      </c>
      <c r="AR16" s="466">
        <f t="shared" si="17"/>
        <v>0</v>
      </c>
      <c r="AS16" s="466">
        <f t="shared" si="17"/>
        <v>0</v>
      </c>
      <c r="AT16" s="466">
        <f t="shared" si="17"/>
        <v>0</v>
      </c>
      <c r="AU16" s="466">
        <f t="shared" si="17"/>
        <v>0</v>
      </c>
      <c r="AV16" s="466">
        <f t="shared" si="17"/>
        <v>0</v>
      </c>
      <c r="AW16" s="467">
        <f t="shared" si="17"/>
        <v>0</v>
      </c>
      <c r="AX16" s="496">
        <f t="shared" si="15"/>
        <v>0</v>
      </c>
      <c r="AY16" s="770"/>
      <c r="BR16" s="506">
        <f>SUM(BR11:BR15)</f>
        <v>0</v>
      </c>
      <c r="BS16" s="506">
        <f>SUM(BS11:BS15)</f>
        <v>0</v>
      </c>
    </row>
    <row r="17" spans="1:71" ht="13.5" hidden="1" thickBot="1" x14ac:dyDescent="0.25">
      <c r="A17" s="1451"/>
      <c r="B17" s="815" t="s">
        <v>13</v>
      </c>
      <c r="C17" s="816" t="s">
        <v>391</v>
      </c>
      <c r="D17" s="508">
        <f>D10+D16</f>
        <v>0</v>
      </c>
      <c r="E17" s="508">
        <f>E10+E16</f>
        <v>0</v>
      </c>
      <c r="F17" s="512">
        <f>F10+F16</f>
        <v>0</v>
      </c>
      <c r="G17" s="823">
        <f>G10+G16</f>
        <v>0</v>
      </c>
      <c r="H17" s="709">
        <f>SUM(D17:G17)</f>
        <v>0</v>
      </c>
      <c r="I17" s="520">
        <f>I10+I16</f>
        <v>0</v>
      </c>
      <c r="J17" s="510">
        <f>J10+J16</f>
        <v>0</v>
      </c>
      <c r="K17" s="709">
        <f>SUM(I17:J17)</f>
        <v>0</v>
      </c>
      <c r="L17" s="835"/>
      <c r="M17" s="508">
        <f>M10+M16</f>
        <v>0</v>
      </c>
      <c r="N17" s="512">
        <f>N10+N16</f>
        <v>0</v>
      </c>
      <c r="O17" s="512">
        <f>O10+O16</f>
        <v>0</v>
      </c>
      <c r="P17" s="507"/>
      <c r="Q17" s="817">
        <f t="shared" ref="Q17:AW17" si="18">Q10+Q16</f>
        <v>0</v>
      </c>
      <c r="R17" s="818">
        <f t="shared" si="18"/>
        <v>0</v>
      </c>
      <c r="S17" s="819">
        <f t="shared" si="18"/>
        <v>0</v>
      </c>
      <c r="T17" s="819">
        <f t="shared" si="18"/>
        <v>0</v>
      </c>
      <c r="U17" s="819">
        <f t="shared" si="18"/>
        <v>0</v>
      </c>
      <c r="V17" s="819">
        <f t="shared" si="18"/>
        <v>0</v>
      </c>
      <c r="W17" s="820">
        <f t="shared" si="18"/>
        <v>0</v>
      </c>
      <c r="X17" s="818">
        <f t="shared" si="18"/>
        <v>0</v>
      </c>
      <c r="Y17" s="821">
        <f t="shared" si="18"/>
        <v>0</v>
      </c>
      <c r="Z17" s="819">
        <f t="shared" si="18"/>
        <v>0</v>
      </c>
      <c r="AA17" s="819">
        <f t="shared" si="18"/>
        <v>0</v>
      </c>
      <c r="AB17" s="819">
        <f t="shared" si="18"/>
        <v>0</v>
      </c>
      <c r="AC17" s="819">
        <f t="shared" si="18"/>
        <v>0</v>
      </c>
      <c r="AD17" s="819">
        <f t="shared" si="18"/>
        <v>0</v>
      </c>
      <c r="AE17" s="819">
        <f t="shared" si="18"/>
        <v>0</v>
      </c>
      <c r="AF17" s="819">
        <f t="shared" si="18"/>
        <v>0</v>
      </c>
      <c r="AG17" s="819">
        <f t="shared" si="18"/>
        <v>0</v>
      </c>
      <c r="AH17" s="819">
        <f t="shared" si="18"/>
        <v>0</v>
      </c>
      <c r="AI17" s="819">
        <f t="shared" si="18"/>
        <v>0</v>
      </c>
      <c r="AJ17" s="819">
        <f t="shared" si="18"/>
        <v>0</v>
      </c>
      <c r="AK17" s="819">
        <f t="shared" si="18"/>
        <v>0</v>
      </c>
      <c r="AL17" s="819">
        <f t="shared" si="18"/>
        <v>0</v>
      </c>
      <c r="AM17" s="819">
        <f t="shared" si="18"/>
        <v>0</v>
      </c>
      <c r="AN17" s="819">
        <f t="shared" si="18"/>
        <v>0</v>
      </c>
      <c r="AO17" s="819">
        <f t="shared" si="18"/>
        <v>0</v>
      </c>
      <c r="AP17" s="819">
        <f t="shared" si="18"/>
        <v>0</v>
      </c>
      <c r="AQ17" s="819">
        <f t="shared" si="18"/>
        <v>0</v>
      </c>
      <c r="AR17" s="819">
        <f t="shared" si="18"/>
        <v>0</v>
      </c>
      <c r="AS17" s="819">
        <f t="shared" si="18"/>
        <v>0</v>
      </c>
      <c r="AT17" s="819">
        <f t="shared" si="18"/>
        <v>0</v>
      </c>
      <c r="AU17" s="819">
        <f t="shared" si="18"/>
        <v>0</v>
      </c>
      <c r="AV17" s="819">
        <f t="shared" si="18"/>
        <v>0</v>
      </c>
      <c r="AW17" s="820">
        <f t="shared" si="18"/>
        <v>0</v>
      </c>
      <c r="AX17" s="527">
        <f>AW17+W17</f>
        <v>0</v>
      </c>
      <c r="AY17" s="770"/>
      <c r="BR17" s="508">
        <f>BR10+BR16</f>
        <v>0</v>
      </c>
      <c r="BS17" s="508">
        <f>BS10+BS16</f>
        <v>0</v>
      </c>
    </row>
    <row r="18" spans="1:71" x14ac:dyDescent="0.2">
      <c r="A18" s="1441">
        <v>2</v>
      </c>
      <c r="B18" s="1444" t="s">
        <v>386</v>
      </c>
      <c r="C18" s="163">
        <v>30</v>
      </c>
      <c r="D18" s="802"/>
      <c r="E18" s="802"/>
      <c r="F18" s="170"/>
      <c r="G18" s="825"/>
      <c r="H18" s="708">
        <f>SUM(D18:G18)</f>
        <v>0</v>
      </c>
      <c r="I18" s="172"/>
      <c r="J18" s="826"/>
      <c r="K18" s="814">
        <f>SUM(I18:J18)</f>
        <v>0</v>
      </c>
      <c r="L18" s="840"/>
      <c r="M18" s="806"/>
      <c r="N18" s="704"/>
      <c r="O18" s="704"/>
      <c r="P18" s="737" t="str">
        <f>IF(M18&lt;W18,"!","ок")</f>
        <v>ок</v>
      </c>
      <c r="Q18" s="416">
        <f>IF(X18="",0,12-(V18+AW18))</f>
        <v>0</v>
      </c>
      <c r="R18" s="412"/>
      <c r="S18" s="413"/>
      <c r="T18" s="413"/>
      <c r="U18" s="413"/>
      <c r="V18" s="514">
        <f>SUM(R18:U18)</f>
        <v>0</v>
      </c>
      <c r="W18" s="515">
        <f>V18+Q18</f>
        <v>0</v>
      </c>
      <c r="X18" s="414"/>
      <c r="Y18" s="721"/>
      <c r="Z18" s="415"/>
      <c r="AA18" s="413"/>
      <c r="AB18" s="413"/>
      <c r="AC18" s="514">
        <f>SUM(X18:AB18)</f>
        <v>0</v>
      </c>
      <c r="AD18" s="416"/>
      <c r="AE18" s="416"/>
      <c r="AF18" s="416"/>
      <c r="AG18" s="413"/>
      <c r="AH18" s="413"/>
      <c r="AI18" s="413"/>
      <c r="AJ18" s="417"/>
      <c r="AK18" s="417"/>
      <c r="AL18" s="482">
        <f>SUM(AD18:AK18)</f>
        <v>0</v>
      </c>
      <c r="AM18" s="418"/>
      <c r="AN18" s="417"/>
      <c r="AO18" s="417"/>
      <c r="AP18" s="417"/>
      <c r="AQ18" s="482">
        <f>SUM(AM18:AP18)</f>
        <v>0</v>
      </c>
      <c r="AR18" s="417"/>
      <c r="AS18" s="417"/>
      <c r="AT18" s="482">
        <f>SUM(AR18:AS18)</f>
        <v>0</v>
      </c>
      <c r="AU18" s="417"/>
      <c r="AV18" s="482">
        <f>AU18+AT18+AQ18+AL18</f>
        <v>0</v>
      </c>
      <c r="AW18" s="497">
        <f>AV18+AC18</f>
        <v>0</v>
      </c>
      <c r="AX18" s="768">
        <f>AW18+W18</f>
        <v>0</v>
      </c>
      <c r="AY18" s="770"/>
      <c r="BR18" s="1080"/>
      <c r="BS18" s="1080"/>
    </row>
    <row r="19" spans="1:71" x14ac:dyDescent="0.2">
      <c r="A19" s="1441"/>
      <c r="B19" s="1444"/>
      <c r="C19" s="163">
        <v>32</v>
      </c>
      <c r="D19" s="802"/>
      <c r="E19" s="849"/>
      <c r="F19" s="170"/>
      <c r="G19" s="825"/>
      <c r="H19" s="517">
        <f>SUM(D19:G19)</f>
        <v>0</v>
      </c>
      <c r="I19" s="171"/>
      <c r="J19" s="808"/>
      <c r="K19" s="517">
        <f>SUM(I19:J19)</f>
        <v>0</v>
      </c>
      <c r="L19" s="845"/>
      <c r="M19" s="846"/>
      <c r="N19" s="846"/>
      <c r="O19" s="846"/>
      <c r="P19" s="737" t="str">
        <f>IF(M19&lt;W19,"!","ок")</f>
        <v>ок</v>
      </c>
      <c r="Q19" s="416">
        <f>IF(X19="",0,12-(V19+AW19))</f>
        <v>0</v>
      </c>
      <c r="R19" s="412"/>
      <c r="S19" s="413"/>
      <c r="T19" s="413"/>
      <c r="U19" s="413"/>
      <c r="V19" s="466">
        <f>SUM(R19:U19)</f>
        <v>0</v>
      </c>
      <c r="W19" s="467">
        <f>V19+Q19</f>
        <v>0</v>
      </c>
      <c r="X19" s="421"/>
      <c r="Y19" s="449"/>
      <c r="Z19" s="422"/>
      <c r="AA19" s="420"/>
      <c r="AB19" s="420"/>
      <c r="AC19" s="466">
        <f>SUM(X19:AB19)</f>
        <v>0</v>
      </c>
      <c r="AD19" s="423"/>
      <c r="AE19" s="423"/>
      <c r="AF19" s="423"/>
      <c r="AG19" s="420"/>
      <c r="AH19" s="420"/>
      <c r="AI19" s="420"/>
      <c r="AJ19" s="424"/>
      <c r="AK19" s="424"/>
      <c r="AL19" s="481">
        <f>SUM(AD19:AK19)</f>
        <v>0</v>
      </c>
      <c r="AM19" s="26"/>
      <c r="AN19" s="424"/>
      <c r="AO19" s="424"/>
      <c r="AP19" s="424"/>
      <c r="AQ19" s="482">
        <f>SUM(AM19:AP19)</f>
        <v>0</v>
      </c>
      <c r="AR19" s="424"/>
      <c r="AS19" s="424"/>
      <c r="AT19" s="481">
        <f>SUM(AR19:AS19)</f>
        <v>0</v>
      </c>
      <c r="AU19" s="424"/>
      <c r="AV19" s="481">
        <f>AU19+AT19+AQ19+AL19</f>
        <v>0</v>
      </c>
      <c r="AW19" s="497">
        <f>AV19+AC19</f>
        <v>0</v>
      </c>
      <c r="AX19" s="769">
        <f>AW19+W19</f>
        <v>0</v>
      </c>
      <c r="AY19" s="770"/>
      <c r="BR19" s="1080"/>
      <c r="BS19" s="1080"/>
    </row>
    <row r="20" spans="1:71" x14ac:dyDescent="0.2">
      <c r="A20" s="1442"/>
      <c r="B20" s="1444"/>
      <c r="C20" s="141">
        <v>35</v>
      </c>
      <c r="D20" s="190"/>
      <c r="E20" s="805"/>
      <c r="F20" s="3"/>
      <c r="G20" s="822"/>
      <c r="H20" s="517">
        <f>SUM(D20:G20)</f>
        <v>0</v>
      </c>
      <c r="I20" s="171"/>
      <c r="J20" s="808"/>
      <c r="K20" s="517">
        <f>SUM(I20:J20)</f>
        <v>0</v>
      </c>
      <c r="L20" s="837"/>
      <c r="M20" s="838"/>
      <c r="N20" s="727"/>
      <c r="O20" s="727"/>
      <c r="P20" s="737" t="str">
        <f>IF(M20&lt;W20,"!","ок")</f>
        <v>ок</v>
      </c>
      <c r="Q20" s="416">
        <f>IF(X20="",0,12-(V20+AW20))</f>
        <v>0</v>
      </c>
      <c r="R20" s="419"/>
      <c r="S20" s="420"/>
      <c r="T20" s="420"/>
      <c r="U20" s="420"/>
      <c r="V20" s="466">
        <f>SUM(R20:U20)</f>
        <v>0</v>
      </c>
      <c r="W20" s="467">
        <f>V20+Q20</f>
        <v>0</v>
      </c>
      <c r="X20" s="421"/>
      <c r="Y20" s="449"/>
      <c r="Z20" s="422"/>
      <c r="AA20" s="420"/>
      <c r="AB20" s="420"/>
      <c r="AC20" s="466">
        <f>SUM(X20:AB20)</f>
        <v>0</v>
      </c>
      <c r="AD20" s="423"/>
      <c r="AE20" s="423"/>
      <c r="AF20" s="423"/>
      <c r="AG20" s="420"/>
      <c r="AH20" s="420"/>
      <c r="AI20" s="420"/>
      <c r="AJ20" s="424"/>
      <c r="AK20" s="424"/>
      <c r="AL20" s="481">
        <f>SUM(AD20:AK20)</f>
        <v>0</v>
      </c>
      <c r="AM20" s="26"/>
      <c r="AN20" s="424"/>
      <c r="AO20" s="424"/>
      <c r="AP20" s="424"/>
      <c r="AQ20" s="482">
        <f>SUM(AM20:AP20)</f>
        <v>0</v>
      </c>
      <c r="AR20" s="424"/>
      <c r="AS20" s="424"/>
      <c r="AT20" s="481">
        <f>SUM(AR20:AS20)</f>
        <v>0</v>
      </c>
      <c r="AU20" s="424"/>
      <c r="AV20" s="481">
        <f>AU20+AT20+AQ20+AL20</f>
        <v>0</v>
      </c>
      <c r="AW20" s="497">
        <f>AV20+AC20</f>
        <v>0</v>
      </c>
      <c r="AX20" s="769">
        <f>AW20+W20</f>
        <v>0</v>
      </c>
      <c r="AY20" s="770"/>
      <c r="BR20" s="190"/>
      <c r="BS20" s="190"/>
    </row>
    <row r="21" spans="1:71" x14ac:dyDescent="0.2">
      <c r="A21" s="1442"/>
      <c r="B21" s="1445"/>
      <c r="C21" s="812" t="s">
        <v>391</v>
      </c>
      <c r="D21" s="811">
        <f t="shared" ref="D21:K21" si="19">SUM(D18:D20)</f>
        <v>0</v>
      </c>
      <c r="E21" s="810">
        <f t="shared" si="19"/>
        <v>0</v>
      </c>
      <c r="F21" s="804">
        <f t="shared" si="19"/>
        <v>0</v>
      </c>
      <c r="G21" s="810">
        <f t="shared" si="19"/>
        <v>0</v>
      </c>
      <c r="H21" s="517">
        <f t="shared" si="19"/>
        <v>0</v>
      </c>
      <c r="I21" s="464">
        <f t="shared" si="19"/>
        <v>0</v>
      </c>
      <c r="J21" s="807">
        <f t="shared" si="19"/>
        <v>0</v>
      </c>
      <c r="K21" s="517">
        <f t="shared" si="19"/>
        <v>0</v>
      </c>
      <c r="L21" s="809"/>
      <c r="M21" s="839">
        <f>SUM(M18:M20)</f>
        <v>0</v>
      </c>
      <c r="N21" s="765">
        <f>SUM(N18:N20)</f>
        <v>0</v>
      </c>
      <c r="O21" s="766">
        <f>SUM(O18:O20)</f>
        <v>0</v>
      </c>
      <c r="P21" s="465"/>
      <c r="Q21" s="470">
        <f t="shared" ref="Q21:AW21" si="20">SUM(Q18:Q20)</f>
        <v>0</v>
      </c>
      <c r="R21" s="468">
        <f t="shared" si="20"/>
        <v>0</v>
      </c>
      <c r="S21" s="466">
        <f t="shared" si="20"/>
        <v>0</v>
      </c>
      <c r="T21" s="466">
        <f t="shared" si="20"/>
        <v>0</v>
      </c>
      <c r="U21" s="466">
        <f t="shared" si="20"/>
        <v>0</v>
      </c>
      <c r="V21" s="466">
        <f t="shared" si="20"/>
        <v>0</v>
      </c>
      <c r="W21" s="467">
        <f t="shared" si="20"/>
        <v>0</v>
      </c>
      <c r="X21" s="468">
        <f t="shared" si="20"/>
        <v>0</v>
      </c>
      <c r="Y21" s="525">
        <f>SUM(Y18:Y20)</f>
        <v>0</v>
      </c>
      <c r="Z21" s="466">
        <f t="shared" si="20"/>
        <v>0</v>
      </c>
      <c r="AA21" s="466">
        <f t="shared" si="20"/>
        <v>0</v>
      </c>
      <c r="AB21" s="466">
        <f t="shared" si="20"/>
        <v>0</v>
      </c>
      <c r="AC21" s="466">
        <f t="shared" si="20"/>
        <v>0</v>
      </c>
      <c r="AD21" s="466">
        <f t="shared" si="20"/>
        <v>0</v>
      </c>
      <c r="AE21" s="466">
        <f t="shared" si="20"/>
        <v>0</v>
      </c>
      <c r="AF21" s="466">
        <f t="shared" si="20"/>
        <v>0</v>
      </c>
      <c r="AG21" s="466">
        <f t="shared" si="20"/>
        <v>0</v>
      </c>
      <c r="AH21" s="466">
        <f t="shared" si="20"/>
        <v>0</v>
      </c>
      <c r="AI21" s="466">
        <f t="shared" si="20"/>
        <v>0</v>
      </c>
      <c r="AJ21" s="466">
        <f t="shared" si="20"/>
        <v>0</v>
      </c>
      <c r="AK21" s="466">
        <f t="shared" si="20"/>
        <v>0</v>
      </c>
      <c r="AL21" s="466">
        <f t="shared" si="20"/>
        <v>0</v>
      </c>
      <c r="AM21" s="466">
        <f t="shared" si="20"/>
        <v>0</v>
      </c>
      <c r="AN21" s="466">
        <f t="shared" si="20"/>
        <v>0</v>
      </c>
      <c r="AO21" s="466">
        <f t="shared" si="20"/>
        <v>0</v>
      </c>
      <c r="AP21" s="466">
        <f t="shared" si="20"/>
        <v>0</v>
      </c>
      <c r="AQ21" s="466">
        <f t="shared" si="20"/>
        <v>0</v>
      </c>
      <c r="AR21" s="466">
        <f t="shared" si="20"/>
        <v>0</v>
      </c>
      <c r="AS21" s="466">
        <f t="shared" si="20"/>
        <v>0</v>
      </c>
      <c r="AT21" s="466">
        <f t="shared" si="20"/>
        <v>0</v>
      </c>
      <c r="AU21" s="466">
        <f t="shared" si="20"/>
        <v>0</v>
      </c>
      <c r="AV21" s="466">
        <f t="shared" si="20"/>
        <v>0</v>
      </c>
      <c r="AW21" s="469">
        <f t="shared" si="20"/>
        <v>0</v>
      </c>
      <c r="AX21" s="769">
        <f>AW21+W21</f>
        <v>0</v>
      </c>
      <c r="AY21" s="770"/>
      <c r="BR21" s="811">
        <f t="shared" ref="BR21:BS21" si="21">SUM(BR18:BR20)</f>
        <v>0</v>
      </c>
      <c r="BS21" s="811">
        <f t="shared" si="21"/>
        <v>0</v>
      </c>
    </row>
    <row r="22" spans="1:71" hidden="1" x14ac:dyDescent="0.2">
      <c r="A22" s="1442"/>
      <c r="B22" s="1450"/>
      <c r="C22" s="141">
        <v>48</v>
      </c>
      <c r="D22" s="153"/>
      <c r="E22" s="153"/>
      <c r="F22" s="5"/>
      <c r="G22" s="822"/>
      <c r="H22" s="517">
        <f t="shared" ref="H22:H26" si="22">SUM(D22:G22)</f>
        <v>0</v>
      </c>
      <c r="I22" s="142"/>
      <c r="J22" s="808"/>
      <c r="K22" s="517">
        <f t="shared" ref="K22:K26" si="23">SUM(I22:J22)</f>
        <v>0</v>
      </c>
      <c r="L22" s="837"/>
      <c r="M22" s="838"/>
      <c r="N22" s="727"/>
      <c r="O22" s="727"/>
      <c r="P22" s="737" t="str">
        <f t="shared" ref="P22:P26" si="24">IF(M22&lt;W22,"!","ок")</f>
        <v>ок</v>
      </c>
      <c r="Q22" s="416">
        <f t="shared" ref="Q22:Q25" si="25">IF(X22="",0,12-(V22+AW22))</f>
        <v>0</v>
      </c>
      <c r="R22" s="421"/>
      <c r="S22" s="422"/>
      <c r="T22" s="422"/>
      <c r="U22" s="422"/>
      <c r="V22" s="466">
        <f t="shared" ref="V22:V24" si="26">SUM(R22:U22)</f>
        <v>0</v>
      </c>
      <c r="W22" s="467">
        <f t="shared" ref="W22:W24" si="27">V22+Q22</f>
        <v>0</v>
      </c>
      <c r="X22" s="421"/>
      <c r="Y22" s="449"/>
      <c r="Z22" s="422"/>
      <c r="AA22" s="422"/>
      <c r="AB22" s="422"/>
      <c r="AC22" s="466">
        <f t="shared" ref="AC22:AC24" si="28">SUM(X22:AB22)</f>
        <v>0</v>
      </c>
      <c r="AD22" s="423"/>
      <c r="AE22" s="423"/>
      <c r="AF22" s="423"/>
      <c r="AG22" s="420"/>
      <c r="AH22" s="420"/>
      <c r="AI22" s="420"/>
      <c r="AJ22" s="424"/>
      <c r="AK22" s="424"/>
      <c r="AL22" s="481">
        <f t="shared" ref="AL22:AL26" si="29">SUM(AD22:AK22)</f>
        <v>0</v>
      </c>
      <c r="AM22" s="26"/>
      <c r="AN22" s="424"/>
      <c r="AO22" s="424"/>
      <c r="AP22" s="424"/>
      <c r="AQ22" s="481">
        <f t="shared" ref="AQ22:AQ24" si="30">SUM(AM22:AP22)</f>
        <v>0</v>
      </c>
      <c r="AR22" s="424"/>
      <c r="AS22" s="424"/>
      <c r="AT22" s="481">
        <f t="shared" ref="AT22:AT24" si="31">SUM(AR22:AS22)</f>
        <v>0</v>
      </c>
      <c r="AU22" s="424"/>
      <c r="AV22" s="481">
        <f t="shared" ref="AV22:AV24" si="32">AU22+AT22+AQ22+AL22</f>
        <v>0</v>
      </c>
      <c r="AW22" s="497">
        <f t="shared" ref="AW22:AW26" si="33">AV22+AC22</f>
        <v>0</v>
      </c>
      <c r="AX22" s="769">
        <f t="shared" ref="AX22:AX27" si="34">AW22+W22</f>
        <v>0</v>
      </c>
      <c r="AY22" s="770"/>
      <c r="BR22" s="1079"/>
      <c r="BS22" s="1079"/>
    </row>
    <row r="23" spans="1:71" hidden="1" x14ac:dyDescent="0.2">
      <c r="A23" s="1442"/>
      <c r="B23" s="1450"/>
      <c r="C23" s="141">
        <v>49</v>
      </c>
      <c r="D23" s="153"/>
      <c r="E23" s="153"/>
      <c r="F23" s="5"/>
      <c r="G23" s="822"/>
      <c r="H23" s="517">
        <f t="shared" si="22"/>
        <v>0</v>
      </c>
      <c r="I23" s="142"/>
      <c r="J23" s="808"/>
      <c r="K23" s="517">
        <f t="shared" si="23"/>
        <v>0</v>
      </c>
      <c r="L23" s="837"/>
      <c r="M23" s="838"/>
      <c r="N23" s="727"/>
      <c r="O23" s="727"/>
      <c r="P23" s="737" t="str">
        <f t="shared" si="24"/>
        <v>ок</v>
      </c>
      <c r="Q23" s="416">
        <f t="shared" si="25"/>
        <v>0</v>
      </c>
      <c r="R23" s="421"/>
      <c r="S23" s="422"/>
      <c r="T23" s="422"/>
      <c r="U23" s="422"/>
      <c r="V23" s="466">
        <f t="shared" si="26"/>
        <v>0</v>
      </c>
      <c r="W23" s="467">
        <f t="shared" si="27"/>
        <v>0</v>
      </c>
      <c r="X23" s="421"/>
      <c r="Y23" s="449"/>
      <c r="Z23" s="422"/>
      <c r="AA23" s="422"/>
      <c r="AB23" s="422"/>
      <c r="AC23" s="466">
        <f t="shared" si="28"/>
        <v>0</v>
      </c>
      <c r="AD23" s="423"/>
      <c r="AE23" s="423"/>
      <c r="AF23" s="423"/>
      <c r="AG23" s="420"/>
      <c r="AH23" s="420"/>
      <c r="AI23" s="420"/>
      <c r="AJ23" s="424"/>
      <c r="AK23" s="424"/>
      <c r="AL23" s="481">
        <f t="shared" si="29"/>
        <v>0</v>
      </c>
      <c r="AM23" s="26"/>
      <c r="AN23" s="424"/>
      <c r="AO23" s="424"/>
      <c r="AP23" s="424"/>
      <c r="AQ23" s="481">
        <f t="shared" si="30"/>
        <v>0</v>
      </c>
      <c r="AR23" s="424"/>
      <c r="AS23" s="424"/>
      <c r="AT23" s="481">
        <f t="shared" si="31"/>
        <v>0</v>
      </c>
      <c r="AU23" s="424"/>
      <c r="AV23" s="481">
        <f t="shared" si="32"/>
        <v>0</v>
      </c>
      <c r="AW23" s="497">
        <f t="shared" si="33"/>
        <v>0</v>
      </c>
      <c r="AX23" s="769">
        <f t="shared" si="34"/>
        <v>0</v>
      </c>
      <c r="AY23" s="770"/>
      <c r="BR23" s="1079"/>
      <c r="BS23" s="1079"/>
    </row>
    <row r="24" spans="1:71" hidden="1" x14ac:dyDescent="0.2">
      <c r="A24" s="1442"/>
      <c r="B24" s="1450"/>
      <c r="C24" s="141">
        <v>50</v>
      </c>
      <c r="D24" s="153"/>
      <c r="E24" s="153"/>
      <c r="F24" s="5"/>
      <c r="G24" s="822"/>
      <c r="H24" s="517">
        <f t="shared" si="22"/>
        <v>0</v>
      </c>
      <c r="I24" s="142"/>
      <c r="J24" s="808"/>
      <c r="K24" s="517">
        <f t="shared" si="23"/>
        <v>0</v>
      </c>
      <c r="L24" s="837"/>
      <c r="M24" s="838"/>
      <c r="N24" s="727"/>
      <c r="O24" s="727"/>
      <c r="P24" s="737" t="str">
        <f t="shared" si="24"/>
        <v>ок</v>
      </c>
      <c r="Q24" s="416">
        <f t="shared" si="25"/>
        <v>0</v>
      </c>
      <c r="R24" s="421"/>
      <c r="S24" s="422"/>
      <c r="T24" s="422"/>
      <c r="U24" s="422"/>
      <c r="V24" s="466">
        <f t="shared" si="26"/>
        <v>0</v>
      </c>
      <c r="W24" s="467">
        <f t="shared" si="27"/>
        <v>0</v>
      </c>
      <c r="X24" s="421"/>
      <c r="Y24" s="449"/>
      <c r="Z24" s="422"/>
      <c r="AA24" s="422"/>
      <c r="AB24" s="422"/>
      <c r="AC24" s="466">
        <f t="shared" si="28"/>
        <v>0</v>
      </c>
      <c r="AD24" s="423"/>
      <c r="AE24" s="423"/>
      <c r="AF24" s="423"/>
      <c r="AG24" s="420"/>
      <c r="AH24" s="420"/>
      <c r="AI24" s="420"/>
      <c r="AJ24" s="424"/>
      <c r="AK24" s="424"/>
      <c r="AL24" s="481">
        <f t="shared" si="29"/>
        <v>0</v>
      </c>
      <c r="AM24" s="26"/>
      <c r="AN24" s="424"/>
      <c r="AO24" s="424"/>
      <c r="AP24" s="424"/>
      <c r="AQ24" s="481">
        <f t="shared" si="30"/>
        <v>0</v>
      </c>
      <c r="AR24" s="424"/>
      <c r="AS24" s="424"/>
      <c r="AT24" s="481">
        <f t="shared" si="31"/>
        <v>0</v>
      </c>
      <c r="AU24" s="424"/>
      <c r="AV24" s="481">
        <f t="shared" si="32"/>
        <v>0</v>
      </c>
      <c r="AW24" s="497">
        <f t="shared" si="33"/>
        <v>0</v>
      </c>
      <c r="AX24" s="769">
        <f t="shared" si="34"/>
        <v>0</v>
      </c>
      <c r="AY24" s="770"/>
      <c r="BR24" s="1079"/>
      <c r="BS24" s="1079"/>
    </row>
    <row r="25" spans="1:71" hidden="1" x14ac:dyDescent="0.2">
      <c r="A25" s="1442"/>
      <c r="B25" s="1450"/>
      <c r="C25" s="141">
        <v>51</v>
      </c>
      <c r="D25" s="153"/>
      <c r="E25" s="153"/>
      <c r="F25" s="5"/>
      <c r="G25" s="822"/>
      <c r="H25" s="517">
        <f t="shared" si="22"/>
        <v>0</v>
      </c>
      <c r="I25" s="142"/>
      <c r="J25" s="808"/>
      <c r="K25" s="517">
        <f t="shared" si="23"/>
        <v>0</v>
      </c>
      <c r="L25" s="837"/>
      <c r="M25" s="838"/>
      <c r="N25" s="727"/>
      <c r="O25" s="727"/>
      <c r="P25" s="737" t="str">
        <f t="shared" si="24"/>
        <v>ок</v>
      </c>
      <c r="Q25" s="416">
        <f t="shared" si="25"/>
        <v>0</v>
      </c>
      <c r="R25" s="421"/>
      <c r="S25" s="422"/>
      <c r="T25" s="422"/>
      <c r="U25" s="422"/>
      <c r="V25" s="466">
        <f>SUM(R25:U25)</f>
        <v>0</v>
      </c>
      <c r="W25" s="467">
        <f>V25+Q25</f>
        <v>0</v>
      </c>
      <c r="X25" s="421"/>
      <c r="Y25" s="449"/>
      <c r="Z25" s="422"/>
      <c r="AA25" s="422"/>
      <c r="AB25" s="422"/>
      <c r="AC25" s="466">
        <f>SUM(X25:AB25)</f>
        <v>0</v>
      </c>
      <c r="AD25" s="423"/>
      <c r="AE25" s="423"/>
      <c r="AF25" s="423"/>
      <c r="AG25" s="420"/>
      <c r="AH25" s="420"/>
      <c r="AI25" s="420"/>
      <c r="AJ25" s="424"/>
      <c r="AK25" s="424"/>
      <c r="AL25" s="481">
        <f t="shared" si="29"/>
        <v>0</v>
      </c>
      <c r="AM25" s="26"/>
      <c r="AN25" s="424"/>
      <c r="AO25" s="424"/>
      <c r="AP25" s="424"/>
      <c r="AQ25" s="481">
        <f>SUM(AM25:AP25)</f>
        <v>0</v>
      </c>
      <c r="AR25" s="424"/>
      <c r="AS25" s="424"/>
      <c r="AT25" s="481">
        <f>SUM(AR25:AS25)</f>
        <v>0</v>
      </c>
      <c r="AU25" s="424"/>
      <c r="AV25" s="481">
        <f>AU25+AT25+AQ25+AL25</f>
        <v>0</v>
      </c>
      <c r="AW25" s="497">
        <f t="shared" si="33"/>
        <v>0</v>
      </c>
      <c r="AX25" s="769">
        <f t="shared" si="34"/>
        <v>0</v>
      </c>
      <c r="AY25" s="770"/>
      <c r="BR25" s="1079"/>
      <c r="BS25" s="1079"/>
    </row>
    <row r="26" spans="1:71" hidden="1" x14ac:dyDescent="0.2">
      <c r="A26" s="1442"/>
      <c r="B26" s="1450"/>
      <c r="C26" s="141">
        <v>52</v>
      </c>
      <c r="D26" s="153"/>
      <c r="E26" s="153"/>
      <c r="F26" s="5"/>
      <c r="G26" s="822"/>
      <c r="H26" s="517">
        <f t="shared" si="22"/>
        <v>0</v>
      </c>
      <c r="I26" s="142"/>
      <c r="J26" s="808"/>
      <c r="K26" s="517">
        <f t="shared" si="23"/>
        <v>0</v>
      </c>
      <c r="L26" s="837"/>
      <c r="M26" s="838"/>
      <c r="N26" s="727"/>
      <c r="O26" s="727"/>
      <c r="P26" s="737" t="str">
        <f t="shared" si="24"/>
        <v>ок</v>
      </c>
      <c r="Q26" s="416">
        <f>IF(X26="",0,12-(V26+AW26))</f>
        <v>0</v>
      </c>
      <c r="R26" s="421"/>
      <c r="S26" s="422"/>
      <c r="T26" s="422"/>
      <c r="U26" s="422"/>
      <c r="V26" s="466">
        <f>SUM(R26:U26)</f>
        <v>0</v>
      </c>
      <c r="W26" s="467">
        <f>V26+Q26</f>
        <v>0</v>
      </c>
      <c r="X26" s="421"/>
      <c r="Y26" s="449"/>
      <c r="Z26" s="422"/>
      <c r="AA26" s="422"/>
      <c r="AB26" s="422"/>
      <c r="AC26" s="466">
        <f>SUM(X26:AB26)</f>
        <v>0</v>
      </c>
      <c r="AD26" s="423"/>
      <c r="AE26" s="423"/>
      <c r="AF26" s="423"/>
      <c r="AG26" s="420"/>
      <c r="AH26" s="420"/>
      <c r="AI26" s="420"/>
      <c r="AJ26" s="424"/>
      <c r="AK26" s="424"/>
      <c r="AL26" s="481">
        <f t="shared" si="29"/>
        <v>0</v>
      </c>
      <c r="AM26" s="26"/>
      <c r="AN26" s="424"/>
      <c r="AO26" s="424"/>
      <c r="AP26" s="424"/>
      <c r="AQ26" s="481">
        <f>SUM(AM26:AP26)</f>
        <v>0</v>
      </c>
      <c r="AR26" s="424"/>
      <c r="AS26" s="424"/>
      <c r="AT26" s="481">
        <f>SUM(AR26:AS26)</f>
        <v>0</v>
      </c>
      <c r="AU26" s="424"/>
      <c r="AV26" s="481">
        <f>AU26+AT26+AQ26+AL26</f>
        <v>0</v>
      </c>
      <c r="AW26" s="497">
        <f t="shared" si="33"/>
        <v>0</v>
      </c>
      <c r="AX26" s="769">
        <f t="shared" si="34"/>
        <v>0</v>
      </c>
      <c r="AY26" s="770"/>
      <c r="BR26" s="1079"/>
      <c r="BS26" s="1079"/>
    </row>
    <row r="27" spans="1:71" hidden="1" x14ac:dyDescent="0.2">
      <c r="A27" s="1442"/>
      <c r="B27" s="1445"/>
      <c r="C27" s="812" t="s">
        <v>391</v>
      </c>
      <c r="D27" s="506">
        <f t="shared" ref="D27:K27" si="35">SUM(D22:D26)</f>
        <v>0</v>
      </c>
      <c r="E27" s="506">
        <f t="shared" si="35"/>
        <v>0</v>
      </c>
      <c r="F27" s="511">
        <f t="shared" si="35"/>
        <v>0</v>
      </c>
      <c r="G27" s="505">
        <f t="shared" si="35"/>
        <v>0</v>
      </c>
      <c r="H27" s="519">
        <f t="shared" si="35"/>
        <v>0</v>
      </c>
      <c r="I27" s="518">
        <f t="shared" si="35"/>
        <v>0</v>
      </c>
      <c r="J27" s="509">
        <f t="shared" si="35"/>
        <v>0</v>
      </c>
      <c r="K27" s="517">
        <f t="shared" si="35"/>
        <v>0</v>
      </c>
      <c r="L27" s="809"/>
      <c r="M27" s="506">
        <f>SUM(M22:M26)</f>
        <v>0</v>
      </c>
      <c r="N27" s="506">
        <f>SUM(N22:N26)</f>
        <v>0</v>
      </c>
      <c r="O27" s="506">
        <f>SUM(O22:O26)</f>
        <v>0</v>
      </c>
      <c r="P27" s="462"/>
      <c r="Q27" s="470">
        <f t="shared" ref="Q27:AW27" si="36">SUM(Q22:Q26)</f>
        <v>0</v>
      </c>
      <c r="R27" s="468">
        <f t="shared" si="36"/>
        <v>0</v>
      </c>
      <c r="S27" s="466">
        <f t="shared" si="36"/>
        <v>0</v>
      </c>
      <c r="T27" s="466">
        <f t="shared" si="36"/>
        <v>0</v>
      </c>
      <c r="U27" s="466">
        <f t="shared" si="36"/>
        <v>0</v>
      </c>
      <c r="V27" s="466">
        <f t="shared" si="36"/>
        <v>0</v>
      </c>
      <c r="W27" s="467">
        <f t="shared" si="36"/>
        <v>0</v>
      </c>
      <c r="X27" s="468">
        <f t="shared" si="36"/>
        <v>0</v>
      </c>
      <c r="Y27" s="525">
        <f t="shared" si="36"/>
        <v>0</v>
      </c>
      <c r="Z27" s="466">
        <f t="shared" si="36"/>
        <v>0</v>
      </c>
      <c r="AA27" s="466">
        <f t="shared" si="36"/>
        <v>0</v>
      </c>
      <c r="AB27" s="466">
        <f t="shared" si="36"/>
        <v>0</v>
      </c>
      <c r="AC27" s="466">
        <f t="shared" si="36"/>
        <v>0</v>
      </c>
      <c r="AD27" s="466">
        <f t="shared" si="36"/>
        <v>0</v>
      </c>
      <c r="AE27" s="466">
        <f t="shared" si="36"/>
        <v>0</v>
      </c>
      <c r="AF27" s="466">
        <f t="shared" si="36"/>
        <v>0</v>
      </c>
      <c r="AG27" s="466">
        <f t="shared" si="36"/>
        <v>0</v>
      </c>
      <c r="AH27" s="466">
        <f t="shared" si="36"/>
        <v>0</v>
      </c>
      <c r="AI27" s="466">
        <f t="shared" si="36"/>
        <v>0</v>
      </c>
      <c r="AJ27" s="466">
        <f t="shared" si="36"/>
        <v>0</v>
      </c>
      <c r="AK27" s="466">
        <f t="shared" si="36"/>
        <v>0</v>
      </c>
      <c r="AL27" s="466">
        <f t="shared" si="36"/>
        <v>0</v>
      </c>
      <c r="AM27" s="466">
        <f t="shared" si="36"/>
        <v>0</v>
      </c>
      <c r="AN27" s="466">
        <f t="shared" si="36"/>
        <v>0</v>
      </c>
      <c r="AO27" s="466">
        <f t="shared" si="36"/>
        <v>0</v>
      </c>
      <c r="AP27" s="466">
        <f t="shared" si="36"/>
        <v>0</v>
      </c>
      <c r="AQ27" s="466">
        <f t="shared" si="36"/>
        <v>0</v>
      </c>
      <c r="AR27" s="466">
        <f t="shared" si="36"/>
        <v>0</v>
      </c>
      <c r="AS27" s="466">
        <f t="shared" si="36"/>
        <v>0</v>
      </c>
      <c r="AT27" s="466">
        <f t="shared" si="36"/>
        <v>0</v>
      </c>
      <c r="AU27" s="466">
        <f t="shared" si="36"/>
        <v>0</v>
      </c>
      <c r="AV27" s="466">
        <f t="shared" si="36"/>
        <v>0</v>
      </c>
      <c r="AW27" s="469">
        <f t="shared" si="36"/>
        <v>0</v>
      </c>
      <c r="AX27" s="769">
        <f t="shared" si="34"/>
        <v>0</v>
      </c>
      <c r="AY27" s="770"/>
      <c r="BR27" s="506">
        <f>SUM(BR22:BR26)</f>
        <v>0</v>
      </c>
      <c r="BS27" s="506">
        <f>SUM(BS22:BS26)</f>
        <v>0</v>
      </c>
    </row>
    <row r="28" spans="1:71" ht="13.5" hidden="1" thickBot="1" x14ac:dyDescent="0.25">
      <c r="A28" s="1442"/>
      <c r="B28" s="836" t="s">
        <v>14</v>
      </c>
      <c r="C28" s="812" t="s">
        <v>391</v>
      </c>
      <c r="D28" s="508">
        <f>D21+D27</f>
        <v>0</v>
      </c>
      <c r="E28" s="508">
        <f>E21+E27</f>
        <v>0</v>
      </c>
      <c r="F28" s="512">
        <f>F21+F27</f>
        <v>0</v>
      </c>
      <c r="G28" s="823">
        <f>G21+G27</f>
        <v>0</v>
      </c>
      <c r="H28" s="709">
        <f>SUM(D28:G28)</f>
        <v>0</v>
      </c>
      <c r="I28" s="548">
        <f>I21+I27</f>
        <v>0</v>
      </c>
      <c r="J28" s="829">
        <f>J21+J27</f>
        <v>0</v>
      </c>
      <c r="K28" s="709">
        <f>SUM(I28:J28)</f>
        <v>0</v>
      </c>
      <c r="L28" s="842"/>
      <c r="M28" s="506">
        <f>M21+M27</f>
        <v>0</v>
      </c>
      <c r="N28" s="506">
        <f>N21+N27</f>
        <v>0</v>
      </c>
      <c r="O28" s="506">
        <f>O21+O27</f>
        <v>0</v>
      </c>
      <c r="P28" s="462"/>
      <c r="Q28" s="470">
        <f t="shared" ref="Q28:AW28" si="37">Q21+Q27</f>
        <v>0</v>
      </c>
      <c r="R28" s="468">
        <f t="shared" si="37"/>
        <v>0</v>
      </c>
      <c r="S28" s="466">
        <f t="shared" si="37"/>
        <v>0</v>
      </c>
      <c r="T28" s="466">
        <f t="shared" si="37"/>
        <v>0</v>
      </c>
      <c r="U28" s="466">
        <f t="shared" si="37"/>
        <v>0</v>
      </c>
      <c r="V28" s="466">
        <f t="shared" si="37"/>
        <v>0</v>
      </c>
      <c r="W28" s="467">
        <f t="shared" si="37"/>
        <v>0</v>
      </c>
      <c r="X28" s="468">
        <f t="shared" si="37"/>
        <v>0</v>
      </c>
      <c r="Y28" s="525">
        <f t="shared" si="37"/>
        <v>0</v>
      </c>
      <c r="Z28" s="466">
        <f t="shared" si="37"/>
        <v>0</v>
      </c>
      <c r="AA28" s="466">
        <f t="shared" si="37"/>
        <v>0</v>
      </c>
      <c r="AB28" s="466">
        <f t="shared" si="37"/>
        <v>0</v>
      </c>
      <c r="AC28" s="466">
        <f t="shared" si="37"/>
        <v>0</v>
      </c>
      <c r="AD28" s="466">
        <f t="shared" si="37"/>
        <v>0</v>
      </c>
      <c r="AE28" s="466">
        <f t="shared" si="37"/>
        <v>0</v>
      </c>
      <c r="AF28" s="466">
        <f t="shared" si="37"/>
        <v>0</v>
      </c>
      <c r="AG28" s="466">
        <f t="shared" si="37"/>
        <v>0</v>
      </c>
      <c r="AH28" s="466">
        <f t="shared" si="37"/>
        <v>0</v>
      </c>
      <c r="AI28" s="466">
        <f t="shared" si="37"/>
        <v>0</v>
      </c>
      <c r="AJ28" s="466">
        <f t="shared" si="37"/>
        <v>0</v>
      </c>
      <c r="AK28" s="466">
        <f t="shared" si="37"/>
        <v>0</v>
      </c>
      <c r="AL28" s="466">
        <f t="shared" si="37"/>
        <v>0</v>
      </c>
      <c r="AM28" s="466">
        <f t="shared" si="37"/>
        <v>0</v>
      </c>
      <c r="AN28" s="466">
        <f t="shared" si="37"/>
        <v>0</v>
      </c>
      <c r="AO28" s="466">
        <f t="shared" si="37"/>
        <v>0</v>
      </c>
      <c r="AP28" s="466">
        <f t="shared" si="37"/>
        <v>0</v>
      </c>
      <c r="AQ28" s="466">
        <f t="shared" si="37"/>
        <v>0</v>
      </c>
      <c r="AR28" s="466">
        <f t="shared" si="37"/>
        <v>0</v>
      </c>
      <c r="AS28" s="466">
        <f t="shared" si="37"/>
        <v>0</v>
      </c>
      <c r="AT28" s="466">
        <f t="shared" si="37"/>
        <v>0</v>
      </c>
      <c r="AU28" s="466">
        <f t="shared" si="37"/>
        <v>0</v>
      </c>
      <c r="AV28" s="466">
        <f t="shared" si="37"/>
        <v>0</v>
      </c>
      <c r="AW28" s="469">
        <f t="shared" si="37"/>
        <v>0</v>
      </c>
      <c r="AX28" s="769">
        <f>AW28+W28</f>
        <v>0</v>
      </c>
      <c r="AY28" s="770"/>
      <c r="BR28" s="508">
        <f>BR21+BR27</f>
        <v>0</v>
      </c>
      <c r="BS28" s="508">
        <f>BS21+BS27</f>
        <v>0</v>
      </c>
    </row>
    <row r="29" spans="1:71" ht="12.75" hidden="1" customHeight="1" x14ac:dyDescent="0.2">
      <c r="A29" s="1432"/>
      <c r="B29" s="1439" t="s">
        <v>15</v>
      </c>
      <c r="C29" s="1440"/>
      <c r="D29" s="522">
        <f t="shared" ref="D29:K29" si="38">D17+D28</f>
        <v>0</v>
      </c>
      <c r="E29" s="522">
        <f t="shared" si="38"/>
        <v>0</v>
      </c>
      <c r="F29" s="513">
        <f t="shared" si="38"/>
        <v>0</v>
      </c>
      <c r="G29" s="522">
        <f t="shared" si="38"/>
        <v>0</v>
      </c>
      <c r="H29" s="710">
        <f t="shared" si="38"/>
        <v>0</v>
      </c>
      <c r="I29" s="521">
        <f t="shared" si="38"/>
        <v>0</v>
      </c>
      <c r="J29" s="461">
        <f t="shared" si="38"/>
        <v>0</v>
      </c>
      <c r="K29" s="710">
        <f t="shared" si="38"/>
        <v>0</v>
      </c>
      <c r="L29" s="843"/>
      <c r="M29" s="522">
        <f>M30+M31</f>
        <v>0</v>
      </c>
      <c r="N29" s="522">
        <f>N30+N31</f>
        <v>0</v>
      </c>
      <c r="O29" s="522">
        <f>O30+O31</f>
        <v>0</v>
      </c>
      <c r="P29" s="461"/>
      <c r="Q29" s="524">
        <f t="shared" ref="Q29:AX29" si="39">Q17+Q28</f>
        <v>0</v>
      </c>
      <c r="R29" s="523">
        <f t="shared" si="39"/>
        <v>0</v>
      </c>
      <c r="S29" s="471">
        <f t="shared" si="39"/>
        <v>0</v>
      </c>
      <c r="T29" s="471">
        <f t="shared" si="39"/>
        <v>0</v>
      </c>
      <c r="U29" s="471">
        <f t="shared" si="39"/>
        <v>0</v>
      </c>
      <c r="V29" s="471">
        <f t="shared" si="39"/>
        <v>0</v>
      </c>
      <c r="W29" s="477">
        <f t="shared" si="39"/>
        <v>0</v>
      </c>
      <c r="X29" s="479">
        <f t="shared" si="39"/>
        <v>0</v>
      </c>
      <c r="Y29" s="523">
        <f t="shared" si="39"/>
        <v>0</v>
      </c>
      <c r="Z29" s="471">
        <f t="shared" si="39"/>
        <v>0</v>
      </c>
      <c r="AA29" s="471">
        <f t="shared" si="39"/>
        <v>0</v>
      </c>
      <c r="AB29" s="471">
        <f t="shared" si="39"/>
        <v>0</v>
      </c>
      <c r="AC29" s="471">
        <f t="shared" si="39"/>
        <v>0</v>
      </c>
      <c r="AD29" s="471">
        <f t="shared" si="39"/>
        <v>0</v>
      </c>
      <c r="AE29" s="471">
        <f t="shared" si="39"/>
        <v>0</v>
      </c>
      <c r="AF29" s="471">
        <f t="shared" si="39"/>
        <v>0</v>
      </c>
      <c r="AG29" s="471">
        <f t="shared" si="39"/>
        <v>0</v>
      </c>
      <c r="AH29" s="471">
        <f t="shared" si="39"/>
        <v>0</v>
      </c>
      <c r="AI29" s="471">
        <f t="shared" si="39"/>
        <v>0</v>
      </c>
      <c r="AJ29" s="471">
        <f t="shared" si="39"/>
        <v>0</v>
      </c>
      <c r="AK29" s="471">
        <f t="shared" si="39"/>
        <v>0</v>
      </c>
      <c r="AL29" s="471">
        <f t="shared" si="39"/>
        <v>0</v>
      </c>
      <c r="AM29" s="471">
        <f t="shared" si="39"/>
        <v>0</v>
      </c>
      <c r="AN29" s="471">
        <f t="shared" si="39"/>
        <v>0</v>
      </c>
      <c r="AO29" s="471">
        <f t="shared" si="39"/>
        <v>0</v>
      </c>
      <c r="AP29" s="471">
        <f t="shared" si="39"/>
        <v>0</v>
      </c>
      <c r="AQ29" s="471">
        <f t="shared" si="39"/>
        <v>0</v>
      </c>
      <c r="AR29" s="471">
        <f t="shared" si="39"/>
        <v>0</v>
      </c>
      <c r="AS29" s="471">
        <f t="shared" si="39"/>
        <v>0</v>
      </c>
      <c r="AT29" s="471">
        <f t="shared" si="39"/>
        <v>0</v>
      </c>
      <c r="AU29" s="471">
        <f t="shared" si="39"/>
        <v>0</v>
      </c>
      <c r="AV29" s="471">
        <f t="shared" si="39"/>
        <v>0</v>
      </c>
      <c r="AW29" s="473">
        <f t="shared" si="39"/>
        <v>0</v>
      </c>
      <c r="AX29" s="524">
        <f t="shared" si="39"/>
        <v>0</v>
      </c>
      <c r="AY29" s="770"/>
      <c r="BR29" s="522">
        <f>BR17+BR28</f>
        <v>0</v>
      </c>
      <c r="BS29" s="522">
        <f>BS17+BS28</f>
        <v>0</v>
      </c>
    </row>
    <row r="30" spans="1:71" x14ac:dyDescent="0.2">
      <c r="A30" s="1433"/>
      <c r="B30" s="1437" t="s">
        <v>386</v>
      </c>
      <c r="C30" s="1438"/>
      <c r="D30" s="506">
        <f t="shared" ref="D30:K30" si="40">D10+D21</f>
        <v>0</v>
      </c>
      <c r="E30" s="506">
        <f t="shared" si="40"/>
        <v>0</v>
      </c>
      <c r="F30" s="511">
        <f t="shared" si="40"/>
        <v>0</v>
      </c>
      <c r="G30" s="506">
        <f t="shared" si="40"/>
        <v>0</v>
      </c>
      <c r="H30" s="519">
        <f t="shared" si="40"/>
        <v>0</v>
      </c>
      <c r="I30" s="518">
        <f t="shared" si="40"/>
        <v>0</v>
      </c>
      <c r="J30" s="462">
        <f t="shared" si="40"/>
        <v>0</v>
      </c>
      <c r="K30" s="519">
        <f t="shared" si="40"/>
        <v>0</v>
      </c>
      <c r="L30" s="844"/>
      <c r="M30" s="506">
        <f>M21+M10</f>
        <v>0</v>
      </c>
      <c r="N30" s="506">
        <f>N21+N10</f>
        <v>0</v>
      </c>
      <c r="O30" s="506">
        <f>O21+O10</f>
        <v>0</v>
      </c>
      <c r="P30" s="462"/>
      <c r="Q30" s="526">
        <f t="shared" ref="Q30:AX30" si="41">Q10+Q21</f>
        <v>0</v>
      </c>
      <c r="R30" s="525">
        <f t="shared" si="41"/>
        <v>0</v>
      </c>
      <c r="S30" s="466">
        <f t="shared" si="41"/>
        <v>0</v>
      </c>
      <c r="T30" s="466">
        <f t="shared" si="41"/>
        <v>0</v>
      </c>
      <c r="U30" s="466">
        <f t="shared" si="41"/>
        <v>0</v>
      </c>
      <c r="V30" s="466">
        <f t="shared" si="41"/>
        <v>0</v>
      </c>
      <c r="W30" s="467">
        <f t="shared" si="41"/>
        <v>0</v>
      </c>
      <c r="X30" s="468">
        <f t="shared" si="41"/>
        <v>0</v>
      </c>
      <c r="Y30" s="525">
        <f t="shared" si="41"/>
        <v>0</v>
      </c>
      <c r="Z30" s="466">
        <f t="shared" si="41"/>
        <v>0</v>
      </c>
      <c r="AA30" s="466">
        <f t="shared" si="41"/>
        <v>0</v>
      </c>
      <c r="AB30" s="466">
        <f t="shared" si="41"/>
        <v>0</v>
      </c>
      <c r="AC30" s="466">
        <f t="shared" si="41"/>
        <v>0</v>
      </c>
      <c r="AD30" s="466">
        <f t="shared" si="41"/>
        <v>0</v>
      </c>
      <c r="AE30" s="466">
        <f t="shared" si="41"/>
        <v>0</v>
      </c>
      <c r="AF30" s="466">
        <f t="shared" si="41"/>
        <v>0</v>
      </c>
      <c r="AG30" s="466">
        <f t="shared" si="41"/>
        <v>0</v>
      </c>
      <c r="AH30" s="466">
        <f t="shared" si="41"/>
        <v>0</v>
      </c>
      <c r="AI30" s="466">
        <f t="shared" si="41"/>
        <v>0</v>
      </c>
      <c r="AJ30" s="466">
        <f t="shared" si="41"/>
        <v>0</v>
      </c>
      <c r="AK30" s="466">
        <f t="shared" si="41"/>
        <v>0</v>
      </c>
      <c r="AL30" s="466">
        <f t="shared" si="41"/>
        <v>0</v>
      </c>
      <c r="AM30" s="466">
        <f t="shared" si="41"/>
        <v>0</v>
      </c>
      <c r="AN30" s="466">
        <f t="shared" si="41"/>
        <v>0</v>
      </c>
      <c r="AO30" s="466">
        <f t="shared" si="41"/>
        <v>0</v>
      </c>
      <c r="AP30" s="466">
        <f t="shared" si="41"/>
        <v>0</v>
      </c>
      <c r="AQ30" s="466">
        <f t="shared" si="41"/>
        <v>0</v>
      </c>
      <c r="AR30" s="466">
        <f t="shared" si="41"/>
        <v>0</v>
      </c>
      <c r="AS30" s="466">
        <f t="shared" si="41"/>
        <v>0</v>
      </c>
      <c r="AT30" s="466">
        <f t="shared" si="41"/>
        <v>0</v>
      </c>
      <c r="AU30" s="466">
        <f t="shared" si="41"/>
        <v>0</v>
      </c>
      <c r="AV30" s="466">
        <f t="shared" si="41"/>
        <v>0</v>
      </c>
      <c r="AW30" s="469">
        <f t="shared" si="41"/>
        <v>0</v>
      </c>
      <c r="AX30" s="526">
        <f t="shared" si="41"/>
        <v>0</v>
      </c>
      <c r="AY30" s="770"/>
      <c r="BR30" s="506">
        <f>BR10+BR21</f>
        <v>0</v>
      </c>
      <c r="BS30" s="506">
        <f>BS10+BS21</f>
        <v>0</v>
      </c>
    </row>
    <row r="31" spans="1:71" ht="13.5" hidden="1" thickBot="1" x14ac:dyDescent="0.25">
      <c r="A31" s="1434"/>
      <c r="B31" s="1435" t="s">
        <v>385</v>
      </c>
      <c r="C31" s="1436"/>
      <c r="D31" s="508">
        <f t="shared" ref="D31:K31" si="42">D16+D27</f>
        <v>0</v>
      </c>
      <c r="E31" s="508">
        <f t="shared" si="42"/>
        <v>0</v>
      </c>
      <c r="F31" s="512">
        <f t="shared" si="42"/>
        <v>0</v>
      </c>
      <c r="G31" s="508">
        <f t="shared" si="42"/>
        <v>0</v>
      </c>
      <c r="H31" s="709">
        <f t="shared" si="42"/>
        <v>0</v>
      </c>
      <c r="I31" s="520">
        <f t="shared" si="42"/>
        <v>0</v>
      </c>
      <c r="J31" s="507">
        <f t="shared" si="42"/>
        <v>0</v>
      </c>
      <c r="K31" s="709">
        <f t="shared" si="42"/>
        <v>0</v>
      </c>
      <c r="L31" s="835"/>
      <c r="M31" s="508">
        <f>M27+M16</f>
        <v>0</v>
      </c>
      <c r="N31" s="508">
        <f>N27+N16</f>
        <v>0</v>
      </c>
      <c r="O31" s="508">
        <f>O27+O16</f>
        <v>0</v>
      </c>
      <c r="P31" s="507"/>
      <c r="Q31" s="827">
        <f t="shared" ref="Q31:AX31" si="43">Q16+Q27</f>
        <v>0</v>
      </c>
      <c r="R31" s="821">
        <f t="shared" si="43"/>
        <v>0</v>
      </c>
      <c r="S31" s="819">
        <f t="shared" si="43"/>
        <v>0</v>
      </c>
      <c r="T31" s="819">
        <f t="shared" si="43"/>
        <v>0</v>
      </c>
      <c r="U31" s="819">
        <f t="shared" si="43"/>
        <v>0</v>
      </c>
      <c r="V31" s="819">
        <f t="shared" si="43"/>
        <v>0</v>
      </c>
      <c r="W31" s="820">
        <f t="shared" si="43"/>
        <v>0</v>
      </c>
      <c r="X31" s="818">
        <f t="shared" si="43"/>
        <v>0</v>
      </c>
      <c r="Y31" s="821">
        <f t="shared" si="43"/>
        <v>0</v>
      </c>
      <c r="Z31" s="819">
        <f t="shared" si="43"/>
        <v>0</v>
      </c>
      <c r="AA31" s="819">
        <f t="shared" si="43"/>
        <v>0</v>
      </c>
      <c r="AB31" s="819">
        <f t="shared" si="43"/>
        <v>0</v>
      </c>
      <c r="AC31" s="819">
        <f t="shared" si="43"/>
        <v>0</v>
      </c>
      <c r="AD31" s="819">
        <f t="shared" si="43"/>
        <v>0</v>
      </c>
      <c r="AE31" s="819">
        <f t="shared" si="43"/>
        <v>0</v>
      </c>
      <c r="AF31" s="819">
        <f t="shared" si="43"/>
        <v>0</v>
      </c>
      <c r="AG31" s="819">
        <f t="shared" si="43"/>
        <v>0</v>
      </c>
      <c r="AH31" s="819">
        <f t="shared" si="43"/>
        <v>0</v>
      </c>
      <c r="AI31" s="819">
        <f t="shared" si="43"/>
        <v>0</v>
      </c>
      <c r="AJ31" s="819">
        <f t="shared" si="43"/>
        <v>0</v>
      </c>
      <c r="AK31" s="819">
        <f t="shared" si="43"/>
        <v>0</v>
      </c>
      <c r="AL31" s="819">
        <f t="shared" si="43"/>
        <v>0</v>
      </c>
      <c r="AM31" s="819">
        <f t="shared" si="43"/>
        <v>0</v>
      </c>
      <c r="AN31" s="819">
        <f t="shared" si="43"/>
        <v>0</v>
      </c>
      <c r="AO31" s="819">
        <f t="shared" si="43"/>
        <v>0</v>
      </c>
      <c r="AP31" s="819">
        <f t="shared" si="43"/>
        <v>0</v>
      </c>
      <c r="AQ31" s="819">
        <f t="shared" si="43"/>
        <v>0</v>
      </c>
      <c r="AR31" s="819">
        <f t="shared" si="43"/>
        <v>0</v>
      </c>
      <c r="AS31" s="819">
        <f t="shared" si="43"/>
        <v>0</v>
      </c>
      <c r="AT31" s="819">
        <f t="shared" si="43"/>
        <v>0</v>
      </c>
      <c r="AU31" s="819">
        <f t="shared" si="43"/>
        <v>0</v>
      </c>
      <c r="AV31" s="819">
        <f t="shared" si="43"/>
        <v>0</v>
      </c>
      <c r="AW31" s="828">
        <f t="shared" si="43"/>
        <v>0</v>
      </c>
      <c r="AX31" s="827">
        <f t="shared" si="43"/>
        <v>0</v>
      </c>
      <c r="AY31" s="770"/>
      <c r="BR31" s="508">
        <f>BR16+BR27</f>
        <v>0</v>
      </c>
      <c r="BS31" s="508">
        <f>BS16+BS27</f>
        <v>0</v>
      </c>
    </row>
    <row r="32" spans="1:71" x14ac:dyDescent="0.2">
      <c r="F32" s="2"/>
      <c r="G32" s="55"/>
      <c r="BR32"/>
      <c r="BS32"/>
    </row>
    <row r="33" spans="4:71" x14ac:dyDescent="0.2">
      <c r="F33" s="2"/>
      <c r="G33" s="29"/>
      <c r="BR33"/>
      <c r="BS33"/>
    </row>
    <row r="34" spans="4:71" x14ac:dyDescent="0.2">
      <c r="F34" s="2"/>
      <c r="G34" s="29"/>
      <c r="BR34"/>
      <c r="BS34"/>
    </row>
    <row r="35" spans="4:71" x14ac:dyDescent="0.2">
      <c r="D35" s="56"/>
      <c r="E35" s="56"/>
      <c r="F35" s="56"/>
      <c r="G35" s="57"/>
      <c r="BR35"/>
      <c r="BS35"/>
    </row>
    <row r="36" spans="4:71" ht="12.75" customHeight="1" x14ac:dyDescent="0.2">
      <c r="BR36"/>
      <c r="BS36"/>
    </row>
    <row r="37" spans="4:71" x14ac:dyDescent="0.2">
      <c r="BR37"/>
      <c r="BS37"/>
    </row>
    <row r="38" spans="4:71" x14ac:dyDescent="0.2">
      <c r="BR38"/>
      <c r="BS38"/>
    </row>
    <row r="39" spans="4:71" x14ac:dyDescent="0.2">
      <c r="BR39"/>
      <c r="BS39"/>
    </row>
    <row r="40" spans="4:71" x14ac:dyDescent="0.2">
      <c r="BR40"/>
      <c r="BS40"/>
    </row>
    <row r="41" spans="4:71" x14ac:dyDescent="0.2">
      <c r="BR41"/>
      <c r="BS41"/>
    </row>
    <row r="42" spans="4:71" x14ac:dyDescent="0.2">
      <c r="BR42"/>
      <c r="BS42"/>
    </row>
    <row r="43" spans="4:71" x14ac:dyDescent="0.2">
      <c r="BR43"/>
      <c r="BS43"/>
    </row>
    <row r="44" spans="4:71" x14ac:dyDescent="0.2">
      <c r="BR44"/>
      <c r="BS44"/>
    </row>
    <row r="45" spans="4:71" x14ac:dyDescent="0.2">
      <c r="BR45"/>
      <c r="BS45"/>
    </row>
    <row r="46" spans="4:71" x14ac:dyDescent="0.2">
      <c r="BR46"/>
      <c r="BS46"/>
    </row>
    <row r="47" spans="4:71" x14ac:dyDescent="0.2">
      <c r="BR47"/>
      <c r="BS47"/>
    </row>
    <row r="48" spans="4:71" x14ac:dyDescent="0.2">
      <c r="BR48"/>
      <c r="BS48"/>
    </row>
    <row r="49" spans="70:71" x14ac:dyDescent="0.2">
      <c r="BR49"/>
      <c r="BS49"/>
    </row>
    <row r="50" spans="70:71" x14ac:dyDescent="0.2">
      <c r="BR50"/>
      <c r="BS50"/>
    </row>
    <row r="51" spans="70:71" x14ac:dyDescent="0.2">
      <c r="BR51"/>
      <c r="BS51"/>
    </row>
    <row r="52" spans="70:71" x14ac:dyDescent="0.2">
      <c r="BR52"/>
      <c r="BS52"/>
    </row>
    <row r="53" spans="70:71" x14ac:dyDescent="0.2">
      <c r="BR53"/>
      <c r="BS53"/>
    </row>
    <row r="54" spans="70:71" x14ac:dyDescent="0.2">
      <c r="BR54"/>
      <c r="BS54"/>
    </row>
    <row r="55" spans="70:71" x14ac:dyDescent="0.2">
      <c r="BR55"/>
      <c r="BS55"/>
    </row>
    <row r="56" spans="70:71" x14ac:dyDescent="0.2">
      <c r="BR56"/>
      <c r="BS56"/>
    </row>
    <row r="57" spans="70:71" x14ac:dyDescent="0.2">
      <c r="BR57"/>
      <c r="BS57"/>
    </row>
    <row r="58" spans="70:71" ht="18" customHeight="1" x14ac:dyDescent="0.2">
      <c r="BR58"/>
      <c r="BS58"/>
    </row>
    <row r="59" spans="70:71" x14ac:dyDescent="0.2">
      <c r="BR59"/>
      <c r="BS59"/>
    </row>
    <row r="74" ht="18" customHeight="1" x14ac:dyDescent="0.2"/>
    <row r="90" ht="17.25" customHeight="1" x14ac:dyDescent="0.2"/>
  </sheetData>
  <customSheetViews>
    <customSheetView guid="{3F312A0E-DF4A-4A92-9F0F-6B2059264CC1}" hiddenRows="1" hiddenColumns="1" showRuler="0" topLeftCell="A5">
      <pane xSplit="4" ySplit="24" topLeftCell="E30" activePane="bottomRight" state="frozen"/>
      <selection pane="bottomRight" activeCell="F32" sqref="F32"/>
      <pageMargins left="0.75" right="0.75" top="1" bottom="1" header="0.5" footer="0.5"/>
      <pageSetup paperSize="9" orientation="portrait" horizontalDpi="300" verticalDpi="300" r:id="rId1"/>
      <headerFooter alignWithMargins="0"/>
    </customSheetView>
  </customSheetViews>
  <mergeCells count="71">
    <mergeCell ref="P1:P5"/>
    <mergeCell ref="S2:S5"/>
    <mergeCell ref="N1:N5"/>
    <mergeCell ref="I1:K1"/>
    <mergeCell ref="R1:V1"/>
    <mergeCell ref="O1:O5"/>
    <mergeCell ref="M1:M5"/>
    <mergeCell ref="J2:J5"/>
    <mergeCell ref="Q1:Q5"/>
    <mergeCell ref="I2:I5"/>
    <mergeCell ref="L2:L5"/>
    <mergeCell ref="R2:R5"/>
    <mergeCell ref="B11:B16"/>
    <mergeCell ref="B22:B27"/>
    <mergeCell ref="A7:A17"/>
    <mergeCell ref="E3:E5"/>
    <mergeCell ref="D3:D5"/>
    <mergeCell ref="C1:C5"/>
    <mergeCell ref="D2:F2"/>
    <mergeCell ref="D1:H1"/>
    <mergeCell ref="F3:F5"/>
    <mergeCell ref="H2:H5"/>
    <mergeCell ref="G2:G5"/>
    <mergeCell ref="AC2:AC5"/>
    <mergeCell ref="T2:T5"/>
    <mergeCell ref="U2:U5"/>
    <mergeCell ref="A29:A31"/>
    <mergeCell ref="B31:C31"/>
    <mergeCell ref="B30:C30"/>
    <mergeCell ref="B29:C29"/>
    <mergeCell ref="A18:A28"/>
    <mergeCell ref="B1:B5"/>
    <mergeCell ref="B18:B21"/>
    <mergeCell ref="K2:K5"/>
    <mergeCell ref="Y3:Y5"/>
    <mergeCell ref="AB3:AB5"/>
    <mergeCell ref="A1:A5"/>
    <mergeCell ref="B7:B10"/>
    <mergeCell ref="V2:V5"/>
    <mergeCell ref="AY1:AY5"/>
    <mergeCell ref="AX1:AX5"/>
    <mergeCell ref="AW1:AW5"/>
    <mergeCell ref="AU3:AU5"/>
    <mergeCell ref="AF4:AF5"/>
    <mergeCell ref="AL3:AL5"/>
    <mergeCell ref="AP4:AP5"/>
    <mergeCell ref="AQ3:AQ5"/>
    <mergeCell ref="AR4:AR5"/>
    <mergeCell ref="AJ4:AJ5"/>
    <mergeCell ref="AN4:AN5"/>
    <mergeCell ref="AR3:AS3"/>
    <mergeCell ref="AD3:AK3"/>
    <mergeCell ref="AS4:AS5"/>
    <mergeCell ref="AK4:AK5"/>
    <mergeCell ref="AH4:AH5"/>
    <mergeCell ref="Z3:Z5"/>
    <mergeCell ref="W1:W5"/>
    <mergeCell ref="X1:AV1"/>
    <mergeCell ref="AT3:AT5"/>
    <mergeCell ref="AM3:AP3"/>
    <mergeCell ref="AA3:AA5"/>
    <mergeCell ref="AV2:AV5"/>
    <mergeCell ref="AD4:AD5"/>
    <mergeCell ref="X2:AB2"/>
    <mergeCell ref="X3:X5"/>
    <mergeCell ref="AE4:AE5"/>
    <mergeCell ref="AD2:AU2"/>
    <mergeCell ref="AM4:AM5"/>
    <mergeCell ref="AI4:AI5"/>
    <mergeCell ref="AO4:AO5"/>
    <mergeCell ref="AG4:AG5"/>
  </mergeCells>
  <phoneticPr fontId="2" type="noConversion"/>
  <conditionalFormatting sqref="AY7:AY31">
    <cfRule type="containsText" dxfId="25" priority="3" stopIfTrue="1" operator="containsText" text="нет">
      <formula>NOT(ISERROR(SEARCH("нет",AY7)))</formula>
    </cfRule>
    <cfRule type="containsText" dxfId="24" priority="4" stopIfTrue="1" operator="containsText" text="ок">
      <formula>NOT(ISERROR(SEARCH("ок",AY7)))</formula>
    </cfRule>
  </conditionalFormatting>
  <conditionalFormatting sqref="AX7:AX9 AX11:AX15 AX22:AX26">
    <cfRule type="cellIs" dxfId="23" priority="2" stopIfTrue="1" operator="notEqual">
      <formula>12</formula>
    </cfRule>
  </conditionalFormatting>
  <conditionalFormatting sqref="AX18:AX20">
    <cfRule type="cellIs" dxfId="22" priority="1" stopIfTrue="1" operator="notEqual">
      <formula>12</formula>
    </cfRule>
  </conditionalFormatting>
  <pageMargins left="0.75" right="0.75" top="1" bottom="1" header="0.5" footer="0.5"/>
  <pageSetup paperSize="9" orientation="portrait" horizontalDpi="300" verticalDpi="300" r:id="rId2"/>
  <headerFooter alignWithMargins="0"/>
  <ignoredErrors>
    <ignoredError sqref="D10 Q10:W10 Q28:V28 D17 E11:F12 U22:V24 Q17:W17 U11:W13 E13:F13 E17:F17 G10 G13 G17 Q29:V29 Q30:V30 Q31:V31" formulaRange="1"/>
    <ignoredError sqref="E10:F10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>
    <tabColor theme="5" tint="-0.249977111117893"/>
  </sheetPr>
  <dimension ref="A1:AU2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5"/>
    </sheetView>
  </sheetViews>
  <sheetFormatPr defaultRowHeight="12.75" x14ac:dyDescent="0.2"/>
  <cols>
    <col min="1" max="1" width="5.7109375" style="1" customWidth="1"/>
    <col min="2" max="2" width="8.85546875" style="1" customWidth="1"/>
    <col min="3" max="3" width="21.5703125" style="1" bestFit="1" customWidth="1"/>
    <col min="4" max="4" width="5.7109375" style="1" customWidth="1"/>
    <col min="5" max="5" width="4.28515625" style="1" customWidth="1"/>
    <col min="6" max="6" width="4.42578125" style="1" customWidth="1"/>
    <col min="7" max="7" width="4.140625" style="1" customWidth="1"/>
    <col min="8" max="8" width="7" style="1" customWidth="1"/>
    <col min="9" max="9" width="6.28515625" style="1" customWidth="1"/>
    <col min="10" max="10" width="5.85546875" style="1" customWidth="1"/>
    <col min="11" max="11" width="7.28515625" style="1" customWidth="1"/>
    <col min="12" max="12" width="5.28515625" style="1" customWidth="1"/>
    <col min="13" max="13" width="9.28515625" style="1" customWidth="1"/>
    <col min="14" max="14" width="8" style="1" customWidth="1"/>
    <col min="15" max="15" width="10.42578125" style="1" customWidth="1"/>
    <col min="16" max="16" width="4.7109375" style="1" customWidth="1"/>
    <col min="17" max="17" width="7.42578125" style="1" customWidth="1"/>
    <col min="18" max="18" width="5.85546875" style="1" customWidth="1"/>
    <col min="19" max="19" width="4.7109375" style="1" customWidth="1"/>
    <col min="20" max="20" width="5.42578125" style="1" customWidth="1"/>
    <col min="21" max="21" width="6.42578125" style="1" customWidth="1"/>
    <col min="22" max="39" width="7.28515625" style="1" customWidth="1"/>
    <col min="40" max="42" width="9.140625" style="1"/>
    <col min="43" max="44" width="10.140625" style="1" customWidth="1"/>
    <col min="45" max="45" width="29.28515625" style="1" customWidth="1"/>
    <col min="46" max="46" width="3.5703125" style="1" bestFit="1" customWidth="1"/>
    <col min="47" max="47" width="6.140625" style="1" customWidth="1"/>
    <col min="48" max="16384" width="9.140625" style="1"/>
  </cols>
  <sheetData>
    <row r="1" spans="1:47" ht="12.75" customHeight="1" x14ac:dyDescent="0.2">
      <c r="A1" s="1295" t="s">
        <v>1</v>
      </c>
      <c r="B1" s="1498" t="s">
        <v>10</v>
      </c>
      <c r="C1" s="1496" t="s">
        <v>4</v>
      </c>
      <c r="D1" s="1500" t="s">
        <v>365</v>
      </c>
      <c r="E1" s="1467" t="s">
        <v>369</v>
      </c>
      <c r="F1" s="1467" t="s">
        <v>366</v>
      </c>
      <c r="G1" s="1464" t="s">
        <v>367</v>
      </c>
      <c r="H1" s="1494" t="s">
        <v>5</v>
      </c>
      <c r="I1" s="1505" t="s">
        <v>9</v>
      </c>
      <c r="J1" s="1506"/>
      <c r="K1" s="1506"/>
      <c r="L1" s="1506"/>
      <c r="M1" s="1506"/>
      <c r="N1" s="1412" t="s">
        <v>261</v>
      </c>
      <c r="O1" s="1503" t="s">
        <v>8</v>
      </c>
      <c r="P1" s="1504"/>
      <c r="Q1" s="1504"/>
      <c r="R1" s="1504"/>
      <c r="S1" s="1504"/>
      <c r="T1" s="1504"/>
      <c r="U1" s="1504"/>
      <c r="V1" s="1504"/>
      <c r="W1" s="1504"/>
      <c r="X1" s="1504"/>
      <c r="Y1" s="1504"/>
      <c r="Z1" s="1504"/>
      <c r="AA1" s="1504"/>
      <c r="AB1" s="1504"/>
      <c r="AC1" s="1504"/>
      <c r="AD1" s="1504"/>
      <c r="AE1" s="1504"/>
      <c r="AF1" s="1504"/>
      <c r="AG1" s="1504"/>
      <c r="AH1" s="1504"/>
      <c r="AI1" s="1504"/>
      <c r="AJ1" s="1504"/>
      <c r="AK1" s="1504"/>
      <c r="AL1" s="1504"/>
      <c r="AM1" s="1523" t="s">
        <v>3</v>
      </c>
      <c r="AN1" s="1512" t="s">
        <v>383</v>
      </c>
      <c r="AO1" s="1518" t="s">
        <v>189</v>
      </c>
      <c r="AP1" s="1518"/>
      <c r="AQ1" s="1519" t="s">
        <v>437</v>
      </c>
      <c r="AR1" s="1520"/>
      <c r="AS1" s="1509" t="s">
        <v>29</v>
      </c>
      <c r="AU1" s="1425" t="s">
        <v>379</v>
      </c>
    </row>
    <row r="2" spans="1:47" x14ac:dyDescent="0.2">
      <c r="A2" s="1296"/>
      <c r="B2" s="1499"/>
      <c r="C2" s="1497"/>
      <c r="D2" s="1501"/>
      <c r="E2" s="1468"/>
      <c r="F2" s="1468"/>
      <c r="G2" s="1465"/>
      <c r="H2" s="1495"/>
      <c r="I2" s="1492" t="s">
        <v>239</v>
      </c>
      <c r="J2" s="1292" t="s">
        <v>6</v>
      </c>
      <c r="K2" s="1292" t="s">
        <v>7</v>
      </c>
      <c r="L2" s="1292" t="s">
        <v>240</v>
      </c>
      <c r="M2" s="1298" t="s">
        <v>259</v>
      </c>
      <c r="N2" s="1413"/>
      <c r="O2" s="1421" t="s">
        <v>77</v>
      </c>
      <c r="P2" s="1318"/>
      <c r="Q2" s="1318"/>
      <c r="R2" s="1299"/>
      <c r="S2" s="1299"/>
      <c r="T2" s="1507" t="s">
        <v>248</v>
      </c>
      <c r="U2" s="1299" t="s">
        <v>78</v>
      </c>
      <c r="V2" s="1299"/>
      <c r="W2" s="1299"/>
      <c r="X2" s="1299"/>
      <c r="Y2" s="1299"/>
      <c r="Z2" s="1299"/>
      <c r="AA2" s="1299"/>
      <c r="AB2" s="1299"/>
      <c r="AC2" s="1299"/>
      <c r="AD2" s="1299"/>
      <c r="AE2" s="1299"/>
      <c r="AF2" s="1299"/>
      <c r="AG2" s="1299"/>
      <c r="AH2" s="1299"/>
      <c r="AI2" s="1299"/>
      <c r="AJ2" s="1299"/>
      <c r="AK2" s="1299"/>
      <c r="AL2" s="1526" t="s">
        <v>247</v>
      </c>
      <c r="AM2" s="1524"/>
      <c r="AN2" s="1513"/>
      <c r="AO2" s="1516" t="s">
        <v>438</v>
      </c>
      <c r="AP2" s="1514" t="s">
        <v>439</v>
      </c>
      <c r="AQ2" s="1521"/>
      <c r="AR2" s="1522"/>
      <c r="AS2" s="1510"/>
      <c r="AU2" s="1426"/>
    </row>
    <row r="3" spans="1:47" x14ac:dyDescent="0.2">
      <c r="A3" s="1296"/>
      <c r="B3" s="1499"/>
      <c r="C3" s="1497"/>
      <c r="D3" s="1501"/>
      <c r="E3" s="1468"/>
      <c r="F3" s="1468"/>
      <c r="G3" s="1465"/>
      <c r="H3" s="1495"/>
      <c r="I3" s="1493"/>
      <c r="J3" s="1293"/>
      <c r="K3" s="1293"/>
      <c r="L3" s="1293"/>
      <c r="M3" s="1417"/>
      <c r="N3" s="1413"/>
      <c r="O3" s="1492" t="s">
        <v>250</v>
      </c>
      <c r="P3" s="1292" t="s">
        <v>270</v>
      </c>
      <c r="Q3" s="1292" t="s">
        <v>260</v>
      </c>
      <c r="R3" s="1286" t="s">
        <v>81</v>
      </c>
      <c r="S3" s="1286" t="s">
        <v>74</v>
      </c>
      <c r="T3" s="1508"/>
      <c r="U3" s="1299" t="s">
        <v>79</v>
      </c>
      <c r="V3" s="1299"/>
      <c r="W3" s="1299"/>
      <c r="X3" s="1299"/>
      <c r="Y3" s="1299"/>
      <c r="Z3" s="1299"/>
      <c r="AA3" s="1299"/>
      <c r="AB3" s="1298" t="s">
        <v>242</v>
      </c>
      <c r="AC3" s="1418" t="s">
        <v>80</v>
      </c>
      <c r="AD3" s="1419"/>
      <c r="AE3" s="1419"/>
      <c r="AF3" s="1420"/>
      <c r="AG3" s="1298" t="s">
        <v>262</v>
      </c>
      <c r="AH3" s="1299" t="s">
        <v>243</v>
      </c>
      <c r="AI3" s="1299"/>
      <c r="AJ3" s="1298" t="s">
        <v>246</v>
      </c>
      <c r="AK3" s="1292" t="s">
        <v>22</v>
      </c>
      <c r="AL3" s="1321"/>
      <c r="AM3" s="1524"/>
      <c r="AN3" s="1513"/>
      <c r="AO3" s="1517"/>
      <c r="AP3" s="1515"/>
      <c r="AQ3" s="1521"/>
      <c r="AR3" s="1522"/>
      <c r="AS3" s="1510"/>
      <c r="AU3" s="1426"/>
    </row>
    <row r="4" spans="1:47" ht="39.75" customHeight="1" x14ac:dyDescent="0.2">
      <c r="A4" s="1296"/>
      <c r="B4" s="1499"/>
      <c r="C4" s="1497"/>
      <c r="D4" s="1501"/>
      <c r="E4" s="1468"/>
      <c r="F4" s="1468"/>
      <c r="G4" s="1465"/>
      <c r="H4" s="1495"/>
      <c r="I4" s="1493"/>
      <c r="J4" s="1293"/>
      <c r="K4" s="1293"/>
      <c r="L4" s="1293"/>
      <c r="M4" s="1417"/>
      <c r="N4" s="1413"/>
      <c r="O4" s="1493"/>
      <c r="P4" s="1293"/>
      <c r="Q4" s="1293"/>
      <c r="R4" s="1287"/>
      <c r="S4" s="1287"/>
      <c r="T4" s="1508"/>
      <c r="U4" s="1292" t="s">
        <v>82</v>
      </c>
      <c r="V4" s="1292" t="s">
        <v>83</v>
      </c>
      <c r="W4" s="1292" t="s">
        <v>84</v>
      </c>
      <c r="X4" s="1292" t="s">
        <v>241</v>
      </c>
      <c r="Y4" s="1292" t="s">
        <v>85</v>
      </c>
      <c r="Z4" s="1292" t="s">
        <v>86</v>
      </c>
      <c r="AA4" s="1292" t="s">
        <v>22</v>
      </c>
      <c r="AB4" s="1417"/>
      <c r="AC4" s="1302" t="s">
        <v>265</v>
      </c>
      <c r="AD4" s="1302" t="s">
        <v>43</v>
      </c>
      <c r="AE4" s="1302" t="s">
        <v>403</v>
      </c>
      <c r="AF4" s="1302" t="s">
        <v>35</v>
      </c>
      <c r="AG4" s="1417"/>
      <c r="AH4" s="1292" t="s">
        <v>244</v>
      </c>
      <c r="AI4" s="1292" t="s">
        <v>245</v>
      </c>
      <c r="AJ4" s="1417"/>
      <c r="AK4" s="1293"/>
      <c r="AL4" s="1321"/>
      <c r="AM4" s="1524"/>
      <c r="AN4" s="1513"/>
      <c r="AO4" s="1517"/>
      <c r="AP4" s="1515"/>
      <c r="AQ4" s="1521"/>
      <c r="AR4" s="1522"/>
      <c r="AS4" s="1510"/>
      <c r="AU4" s="1426"/>
    </row>
    <row r="5" spans="1:47" ht="30" customHeight="1" thickBot="1" x14ac:dyDescent="0.25">
      <c r="A5" s="1296"/>
      <c r="B5" s="1499"/>
      <c r="C5" s="1497"/>
      <c r="D5" s="1502"/>
      <c r="E5" s="1469"/>
      <c r="F5" s="1469"/>
      <c r="G5" s="1466"/>
      <c r="H5" s="1495"/>
      <c r="I5" s="1493"/>
      <c r="J5" s="1293"/>
      <c r="K5" s="1293"/>
      <c r="L5" s="1293"/>
      <c r="M5" s="1417"/>
      <c r="N5" s="1414"/>
      <c r="O5" s="1493"/>
      <c r="P5" s="1311"/>
      <c r="Q5" s="1293"/>
      <c r="R5" s="1287"/>
      <c r="S5" s="1287"/>
      <c r="T5" s="1508"/>
      <c r="U5" s="1293"/>
      <c r="V5" s="1293"/>
      <c r="W5" s="1293"/>
      <c r="X5" s="1293"/>
      <c r="Y5" s="1293"/>
      <c r="Z5" s="1293"/>
      <c r="AA5" s="1293"/>
      <c r="AB5" s="1417"/>
      <c r="AC5" s="1303"/>
      <c r="AD5" s="1303"/>
      <c r="AE5" s="1424"/>
      <c r="AF5" s="1303"/>
      <c r="AG5" s="1417"/>
      <c r="AH5" s="1293"/>
      <c r="AI5" s="1293"/>
      <c r="AJ5" s="1417"/>
      <c r="AK5" s="1293"/>
      <c r="AL5" s="1321"/>
      <c r="AM5" s="1525"/>
      <c r="AN5" s="1513"/>
      <c r="AO5" s="1517"/>
      <c r="AP5" s="1515"/>
      <c r="AQ5" s="463" t="s">
        <v>44</v>
      </c>
      <c r="AR5" s="1014" t="s">
        <v>411</v>
      </c>
      <c r="AS5" s="1511"/>
      <c r="AU5" s="1426"/>
    </row>
    <row r="6" spans="1:47" ht="14.25" customHeight="1" thickBot="1" x14ac:dyDescent="0.3">
      <c r="A6" s="735">
        <v>1</v>
      </c>
      <c r="B6" s="736">
        <v>2</v>
      </c>
      <c r="C6" s="736">
        <v>3</v>
      </c>
      <c r="D6" s="736">
        <v>4</v>
      </c>
      <c r="E6" s="736">
        <v>5</v>
      </c>
      <c r="F6" s="736">
        <v>6</v>
      </c>
      <c r="G6" s="736">
        <v>7</v>
      </c>
      <c r="H6" s="736">
        <v>8</v>
      </c>
      <c r="I6" s="736">
        <v>9</v>
      </c>
      <c r="J6" s="736">
        <v>10</v>
      </c>
      <c r="K6" s="736">
        <v>11</v>
      </c>
      <c r="L6" s="736">
        <v>12</v>
      </c>
      <c r="M6" s="736">
        <v>13</v>
      </c>
      <c r="N6" s="736">
        <v>14</v>
      </c>
      <c r="O6" s="736">
        <v>15</v>
      </c>
      <c r="P6" s="736">
        <v>16</v>
      </c>
      <c r="Q6" s="736">
        <v>17</v>
      </c>
      <c r="R6" s="736">
        <v>18</v>
      </c>
      <c r="S6" s="736">
        <v>19</v>
      </c>
      <c r="T6" s="736">
        <v>20</v>
      </c>
      <c r="U6" s="736">
        <v>21</v>
      </c>
      <c r="V6" s="736">
        <v>22</v>
      </c>
      <c r="W6" s="736">
        <v>23</v>
      </c>
      <c r="X6" s="736">
        <v>24</v>
      </c>
      <c r="Y6" s="736">
        <v>25</v>
      </c>
      <c r="Z6" s="736">
        <v>26</v>
      </c>
      <c r="AA6" s="736">
        <v>27</v>
      </c>
      <c r="AB6" s="736">
        <v>28</v>
      </c>
      <c r="AC6" s="736">
        <v>29</v>
      </c>
      <c r="AD6" s="736">
        <v>30</v>
      </c>
      <c r="AE6" s="736">
        <v>31</v>
      </c>
      <c r="AF6" s="736">
        <v>32</v>
      </c>
      <c r="AG6" s="736">
        <v>33</v>
      </c>
      <c r="AH6" s="736">
        <v>34</v>
      </c>
      <c r="AI6" s="736">
        <v>35</v>
      </c>
      <c r="AJ6" s="736">
        <v>36</v>
      </c>
      <c r="AK6" s="736">
        <v>37</v>
      </c>
      <c r="AL6" s="736">
        <v>38</v>
      </c>
      <c r="AM6" s="736">
        <v>39</v>
      </c>
      <c r="AN6" s="736">
        <v>40</v>
      </c>
      <c r="AO6" s="736">
        <v>41</v>
      </c>
      <c r="AP6" s="736">
        <v>42</v>
      </c>
      <c r="AQ6" s="1013">
        <v>43</v>
      </c>
      <c r="AR6" s="1013">
        <v>44</v>
      </c>
      <c r="AS6" s="734" t="s">
        <v>88</v>
      </c>
      <c r="AU6" s="772"/>
    </row>
    <row r="7" spans="1:47" ht="12.75" customHeight="1" x14ac:dyDescent="0.2">
      <c r="A7" s="1491">
        <v>1</v>
      </c>
      <c r="B7" s="170" t="s">
        <v>222</v>
      </c>
      <c r="C7" s="729" t="s">
        <v>368</v>
      </c>
      <c r="D7" s="740"/>
      <c r="E7" s="741"/>
      <c r="F7" s="741"/>
      <c r="G7" s="728" t="str">
        <f>IF(D7&lt;N7,"!","ок")</f>
        <v>ок</v>
      </c>
      <c r="H7" s="416">
        <f t="shared" ref="H7:H14" si="0">IF(O7="",0,12-(M7+AM7+K7))</f>
        <v>0</v>
      </c>
      <c r="I7" s="575"/>
      <c r="J7" s="418"/>
      <c r="K7" s="418"/>
      <c r="L7" s="418"/>
      <c r="M7" s="482">
        <f>SUM(I7:J7)+L7</f>
        <v>0</v>
      </c>
      <c r="N7" s="730">
        <f t="shared" ref="N7:N14" si="1">M7+H7+K7</f>
        <v>0</v>
      </c>
      <c r="O7" s="414"/>
      <c r="P7" s="721"/>
      <c r="Q7" s="418"/>
      <c r="R7" s="418"/>
      <c r="S7" s="418"/>
      <c r="T7" s="483">
        <f>SUM(O7:S7)</f>
        <v>0</v>
      </c>
      <c r="U7" s="418"/>
      <c r="V7" s="418"/>
      <c r="W7" s="418"/>
      <c r="X7" s="418"/>
      <c r="Y7" s="418"/>
      <c r="Z7" s="418"/>
      <c r="AA7" s="418"/>
      <c r="AB7" s="483">
        <f t="shared" ref="AB7:AB14" si="2">SUM(U7:AA7)</f>
        <v>0</v>
      </c>
      <c r="AC7" s="418"/>
      <c r="AD7" s="418"/>
      <c r="AE7" s="418"/>
      <c r="AF7" s="418"/>
      <c r="AG7" s="483">
        <f>SUM(AC7:AF7)</f>
        <v>0</v>
      </c>
      <c r="AH7" s="443"/>
      <c r="AI7" s="443"/>
      <c r="AJ7" s="483">
        <f>SUM(AH7:AI7)</f>
        <v>0</v>
      </c>
      <c r="AK7" s="443"/>
      <c r="AL7" s="483">
        <f t="shared" ref="AL7:AL14" si="3">AK7+AJ7+AG7+AB7</f>
        <v>0</v>
      </c>
      <c r="AM7" s="744">
        <f t="shared" ref="AM7:AM14" si="4">AL7+T7</f>
        <v>0</v>
      </c>
      <c r="AN7" s="498">
        <f t="shared" ref="AN7:AN14" si="5">AM7+N7</f>
        <v>0</v>
      </c>
      <c r="AO7" s="731"/>
      <c r="AP7" s="191">
        <f t="shared" ref="AP7:AP14" si="6">F7*0.4</f>
        <v>0</v>
      </c>
      <c r="AQ7" s="732">
        <f>ROUND(IF($AO7=0,0,(AO7/SUM($AO$7:$AO$8))*(Экскаваторы!$F$20+Экскаваторы!$J$20)),0)*'Сводка внутр.'!$P$1</f>
        <v>0</v>
      </c>
      <c r="AR7" s="733"/>
      <c r="AT7" s="771">
        <v>186</v>
      </c>
      <c r="AU7" s="770"/>
    </row>
    <row r="8" spans="1:47" x14ac:dyDescent="0.2">
      <c r="A8" s="1488"/>
      <c r="B8" s="3" t="s">
        <v>440</v>
      </c>
      <c r="C8" s="168" t="s">
        <v>400</v>
      </c>
      <c r="D8" s="743"/>
      <c r="E8" s="739"/>
      <c r="F8" s="739"/>
      <c r="G8" s="737" t="str">
        <f t="shared" ref="G8:G14" si="7">IF(D8&lt;N8,"!","ок")</f>
        <v>ок</v>
      </c>
      <c r="H8" s="416">
        <f t="shared" si="0"/>
        <v>0</v>
      </c>
      <c r="I8" s="440"/>
      <c r="J8" s="26"/>
      <c r="K8" s="26"/>
      <c r="L8" s="26"/>
      <c r="M8" s="481">
        <f t="shared" ref="M8:M10" si="8">SUM(I8:J8)+L8</f>
        <v>0</v>
      </c>
      <c r="N8" s="485">
        <f t="shared" si="1"/>
        <v>0</v>
      </c>
      <c r="O8" s="421"/>
      <c r="P8" s="449"/>
      <c r="Q8" s="26"/>
      <c r="R8" s="26"/>
      <c r="S8" s="26"/>
      <c r="T8" s="481">
        <f t="shared" ref="T8:T10" si="9">SUM(O8:S8)</f>
        <v>0</v>
      </c>
      <c r="U8" s="26"/>
      <c r="V8" s="26"/>
      <c r="W8" s="26"/>
      <c r="X8" s="26"/>
      <c r="Y8" s="26"/>
      <c r="Z8" s="26"/>
      <c r="AA8" s="26"/>
      <c r="AB8" s="481">
        <f t="shared" si="2"/>
        <v>0</v>
      </c>
      <c r="AC8" s="26"/>
      <c r="AD8" s="26"/>
      <c r="AE8" s="26"/>
      <c r="AF8" s="26"/>
      <c r="AG8" s="481">
        <f t="shared" ref="AG8:AG10" si="10">SUM(AC8:AF8)</f>
        <v>0</v>
      </c>
      <c r="AH8" s="26"/>
      <c r="AI8" s="26"/>
      <c r="AJ8" s="481">
        <f t="shared" ref="AJ8:AJ10" si="11">SUM(AH8:AI8)</f>
        <v>0</v>
      </c>
      <c r="AK8" s="26"/>
      <c r="AL8" s="481">
        <f t="shared" si="3"/>
        <v>0</v>
      </c>
      <c r="AM8" s="485">
        <f t="shared" si="4"/>
        <v>0</v>
      </c>
      <c r="AN8" s="496">
        <f t="shared" si="5"/>
        <v>0</v>
      </c>
      <c r="AO8" s="731"/>
      <c r="AP8" s="191">
        <f t="shared" si="6"/>
        <v>0</v>
      </c>
      <c r="AQ8" s="501"/>
      <c r="AR8" s="502">
        <f>ROUND(AP8*1000*3.2,0)</f>
        <v>0</v>
      </c>
      <c r="AT8" s="771">
        <v>9</v>
      </c>
      <c r="AU8" s="770"/>
    </row>
    <row r="9" spans="1:47" x14ac:dyDescent="0.2">
      <c r="A9" s="1488"/>
      <c r="B9" s="1230" t="s">
        <v>223</v>
      </c>
      <c r="C9" s="168" t="s">
        <v>195</v>
      </c>
      <c r="D9" s="743"/>
      <c r="E9" s="739"/>
      <c r="F9" s="739"/>
      <c r="G9" s="737" t="str">
        <f t="shared" ref="G9" si="12">IF(D9&lt;N9,"!","ок")</f>
        <v>ок</v>
      </c>
      <c r="H9" s="416">
        <f t="shared" ref="H9" si="13">IF(O9="",0,12-(M9+AM9+K9))</f>
        <v>0</v>
      </c>
      <c r="I9" s="440"/>
      <c r="J9" s="26"/>
      <c r="K9" s="26"/>
      <c r="L9" s="26"/>
      <c r="M9" s="481">
        <f t="shared" ref="M9" si="14">SUM(I9:J9)+L9</f>
        <v>0</v>
      </c>
      <c r="N9" s="485">
        <f t="shared" ref="N9" si="15">M9+H9+K9</f>
        <v>0</v>
      </c>
      <c r="O9" s="421"/>
      <c r="P9" s="449"/>
      <c r="Q9" s="26"/>
      <c r="R9" s="26"/>
      <c r="S9" s="26"/>
      <c r="T9" s="481">
        <f t="shared" ref="T9" si="16">SUM(O9:S9)</f>
        <v>0</v>
      </c>
      <c r="U9" s="26"/>
      <c r="V9" s="26"/>
      <c r="W9" s="26"/>
      <c r="X9" s="26"/>
      <c r="Y9" s="26"/>
      <c r="Z9" s="26"/>
      <c r="AA9" s="26"/>
      <c r="AB9" s="481">
        <f t="shared" ref="AB9" si="17">SUM(U9:AA9)</f>
        <v>0</v>
      </c>
      <c r="AC9" s="26"/>
      <c r="AD9" s="26"/>
      <c r="AE9" s="26"/>
      <c r="AF9" s="26"/>
      <c r="AG9" s="481">
        <f t="shared" ref="AG9" si="18">SUM(AC9:AF9)</f>
        <v>0</v>
      </c>
      <c r="AH9" s="26"/>
      <c r="AI9" s="26"/>
      <c r="AJ9" s="481">
        <f t="shared" ref="AJ9" si="19">SUM(AH9:AI9)</f>
        <v>0</v>
      </c>
      <c r="AK9" s="26"/>
      <c r="AL9" s="481">
        <f t="shared" ref="AL9" si="20">AK9+AJ9+AG9+AB9</f>
        <v>0</v>
      </c>
      <c r="AM9" s="485">
        <f t="shared" ref="AM9" si="21">AL9+T9</f>
        <v>0</v>
      </c>
      <c r="AN9" s="496">
        <f t="shared" ref="AN9" si="22">AM9+N9</f>
        <v>0</v>
      </c>
      <c r="AO9" s="237"/>
      <c r="AP9" s="191">
        <f t="shared" si="6"/>
        <v>0</v>
      </c>
      <c r="AQ9" s="501"/>
      <c r="AR9" s="502">
        <f>ROUND(AP9*1000*3.2,0)</f>
        <v>0</v>
      </c>
      <c r="AT9" s="771">
        <v>4</v>
      </c>
      <c r="AU9" s="770"/>
    </row>
    <row r="10" spans="1:47" ht="13.5" customHeight="1" thickBot="1" x14ac:dyDescent="0.25">
      <c r="A10" s="1488"/>
      <c r="B10" s="3" t="s">
        <v>223</v>
      </c>
      <c r="C10" s="167" t="s">
        <v>508</v>
      </c>
      <c r="D10" s="742"/>
      <c r="E10" s="738"/>
      <c r="F10" s="738"/>
      <c r="G10" s="737" t="str">
        <f t="shared" si="7"/>
        <v>ок</v>
      </c>
      <c r="H10" s="416">
        <f t="shared" si="0"/>
        <v>0</v>
      </c>
      <c r="I10" s="440"/>
      <c r="J10" s="26"/>
      <c r="K10" s="26"/>
      <c r="L10" s="26"/>
      <c r="M10" s="481">
        <f t="shared" si="8"/>
        <v>0</v>
      </c>
      <c r="N10" s="485">
        <f t="shared" si="1"/>
        <v>0</v>
      </c>
      <c r="O10" s="421"/>
      <c r="P10" s="449"/>
      <c r="Q10" s="26"/>
      <c r="R10" s="26"/>
      <c r="S10" s="26"/>
      <c r="T10" s="481">
        <f t="shared" si="9"/>
        <v>0</v>
      </c>
      <c r="U10" s="26"/>
      <c r="V10" s="26"/>
      <c r="W10" s="26"/>
      <c r="X10" s="26"/>
      <c r="Y10" s="26"/>
      <c r="Z10" s="26"/>
      <c r="AA10" s="26"/>
      <c r="AB10" s="481">
        <f t="shared" si="2"/>
        <v>0</v>
      </c>
      <c r="AC10" s="26"/>
      <c r="AD10" s="26"/>
      <c r="AE10" s="26"/>
      <c r="AF10" s="26"/>
      <c r="AG10" s="481">
        <f t="shared" si="10"/>
        <v>0</v>
      </c>
      <c r="AH10" s="26"/>
      <c r="AI10" s="26"/>
      <c r="AJ10" s="481">
        <f t="shared" si="11"/>
        <v>0</v>
      </c>
      <c r="AK10" s="26"/>
      <c r="AL10" s="481">
        <f t="shared" si="3"/>
        <v>0</v>
      </c>
      <c r="AM10" s="485">
        <f t="shared" si="4"/>
        <v>0</v>
      </c>
      <c r="AN10" s="496">
        <f t="shared" si="5"/>
        <v>0</v>
      </c>
      <c r="AO10" s="237"/>
      <c r="AP10" s="191">
        <f t="shared" si="6"/>
        <v>0</v>
      </c>
      <c r="AQ10" s="501"/>
      <c r="AR10" s="502">
        <f>ROUND(AP10*1000*3.7,0)</f>
        <v>0</v>
      </c>
      <c r="AT10" s="771">
        <v>15</v>
      </c>
      <c r="AU10" s="770"/>
    </row>
    <row r="11" spans="1:47" ht="12.75" customHeight="1" thickBot="1" x14ac:dyDescent="0.25">
      <c r="A11" s="1487">
        <v>2</v>
      </c>
      <c r="B11" s="14" t="s">
        <v>222</v>
      </c>
      <c r="C11" s="166" t="s">
        <v>368</v>
      </c>
      <c r="D11" s="740"/>
      <c r="E11" s="741"/>
      <c r="F11" s="741"/>
      <c r="G11" s="728" t="str">
        <f>IF(D11&lt;N11,"!","ок")</f>
        <v>ок</v>
      </c>
      <c r="H11" s="908">
        <f t="shared" si="0"/>
        <v>0</v>
      </c>
      <c r="I11" s="782"/>
      <c r="J11" s="783"/>
      <c r="K11" s="783"/>
      <c r="L11" s="783"/>
      <c r="M11" s="784">
        <f>SUM(I11:J11)+L11</f>
        <v>0</v>
      </c>
      <c r="N11" s="486">
        <f t="shared" si="1"/>
        <v>0</v>
      </c>
      <c r="O11" s="785"/>
      <c r="P11" s="446"/>
      <c r="Q11" s="783"/>
      <c r="R11" s="783"/>
      <c r="S11" s="783"/>
      <c r="T11" s="784">
        <f>SUM(O11:S11)</f>
        <v>0</v>
      </c>
      <c r="U11" s="783"/>
      <c r="V11" s="783"/>
      <c r="W11" s="783"/>
      <c r="X11" s="783"/>
      <c r="Y11" s="783"/>
      <c r="Z11" s="783"/>
      <c r="AA11" s="783"/>
      <c r="AB11" s="784">
        <f t="shared" si="2"/>
        <v>0</v>
      </c>
      <c r="AC11" s="783"/>
      <c r="AD11" s="783"/>
      <c r="AE11" s="783"/>
      <c r="AF11" s="783"/>
      <c r="AG11" s="784">
        <f>SUM(AC11:AF11)</f>
        <v>0</v>
      </c>
      <c r="AH11" s="786"/>
      <c r="AI11" s="786"/>
      <c r="AJ11" s="784">
        <f>SUM(AH11:AI11)</f>
        <v>0</v>
      </c>
      <c r="AK11" s="786"/>
      <c r="AL11" s="784">
        <f t="shared" si="3"/>
        <v>0</v>
      </c>
      <c r="AM11" s="787">
        <f t="shared" si="4"/>
        <v>0</v>
      </c>
      <c r="AN11" s="494">
        <f t="shared" si="5"/>
        <v>0</v>
      </c>
      <c r="AO11" s="187"/>
      <c r="AP11" s="191">
        <f t="shared" si="6"/>
        <v>0</v>
      </c>
      <c r="AQ11" s="499">
        <f>ROUND(IF($AO11=0,0,(AO11/SUM($AO$11:$AO$12))*(Экскаваторы!$F$35+Экскаваторы!$J$35)),0)*'Сводка внутр.'!$P$1</f>
        <v>0</v>
      </c>
      <c r="AR11" s="500"/>
      <c r="AT11" s="771">
        <v>186</v>
      </c>
      <c r="AU11" s="770"/>
    </row>
    <row r="12" spans="1:47" ht="13.5" customHeight="1" x14ac:dyDescent="0.2">
      <c r="A12" s="1488"/>
      <c r="B12" s="3" t="s">
        <v>440</v>
      </c>
      <c r="C12" s="168" t="s">
        <v>400</v>
      </c>
      <c r="D12" s="743"/>
      <c r="E12" s="739"/>
      <c r="F12" s="739"/>
      <c r="G12" s="737" t="str">
        <f t="shared" si="7"/>
        <v>ок</v>
      </c>
      <c r="H12" s="909">
        <f t="shared" si="0"/>
        <v>0</v>
      </c>
      <c r="I12" s="440"/>
      <c r="J12" s="26"/>
      <c r="K12" s="26"/>
      <c r="L12" s="26"/>
      <c r="M12" s="481">
        <f t="shared" ref="M12:M14" si="23">SUM(I12:J12)+L12</f>
        <v>0</v>
      </c>
      <c r="N12" s="485">
        <f t="shared" si="1"/>
        <v>0</v>
      </c>
      <c r="O12" s="421"/>
      <c r="P12" s="449"/>
      <c r="Q12" s="26"/>
      <c r="R12" s="26"/>
      <c r="S12" s="26"/>
      <c r="T12" s="481">
        <f t="shared" ref="T12:T14" si="24">SUM(O12:S12)</f>
        <v>0</v>
      </c>
      <c r="U12" s="26"/>
      <c r="V12" s="26"/>
      <c r="W12" s="26"/>
      <c r="X12" s="26"/>
      <c r="Y12" s="26"/>
      <c r="Z12" s="26"/>
      <c r="AA12" s="26"/>
      <c r="AB12" s="481">
        <f t="shared" si="2"/>
        <v>0</v>
      </c>
      <c r="AC12" s="26"/>
      <c r="AD12" s="26"/>
      <c r="AE12" s="26"/>
      <c r="AF12" s="26"/>
      <c r="AG12" s="481">
        <f t="shared" ref="AG12" si="25">SUM(AC12:AF12)</f>
        <v>0</v>
      </c>
      <c r="AH12" s="26"/>
      <c r="AI12" s="26"/>
      <c r="AJ12" s="481">
        <f t="shared" ref="AJ12:AJ14" si="26">SUM(AH12:AI12)</f>
        <v>0</v>
      </c>
      <c r="AK12" s="26"/>
      <c r="AL12" s="481">
        <f t="shared" si="3"/>
        <v>0</v>
      </c>
      <c r="AM12" s="495">
        <f t="shared" si="4"/>
        <v>0</v>
      </c>
      <c r="AN12" s="496">
        <f t="shared" si="5"/>
        <v>0</v>
      </c>
      <c r="AO12" s="187"/>
      <c r="AP12" s="191">
        <f t="shared" si="6"/>
        <v>0</v>
      </c>
      <c r="AQ12" s="501"/>
      <c r="AR12" s="502">
        <f>ROUND(AP12*1000*3.2,0)</f>
        <v>0</v>
      </c>
      <c r="AT12" s="771">
        <v>9</v>
      </c>
      <c r="AU12" s="770"/>
    </row>
    <row r="13" spans="1:47" ht="13.5" customHeight="1" x14ac:dyDescent="0.2">
      <c r="A13" s="1489"/>
      <c r="B13" s="54" t="s">
        <v>223</v>
      </c>
      <c r="C13" s="168" t="str">
        <f>C9</f>
        <v>Caterpillar 140М №4</v>
      </c>
      <c r="D13" s="743"/>
      <c r="E13" s="739"/>
      <c r="F13" s="739"/>
      <c r="G13" s="737" t="str">
        <f t="shared" ref="G13" si="27">IF(D13&lt;N13,"!","ок")</f>
        <v>ок</v>
      </c>
      <c r="H13" s="909">
        <f t="shared" ref="H13" si="28">IF(O13="",0,12-(M13+AM13+K13))</f>
        <v>0</v>
      </c>
      <c r="I13" s="440"/>
      <c r="J13" s="26"/>
      <c r="K13" s="26"/>
      <c r="L13" s="26"/>
      <c r="M13" s="481">
        <f t="shared" ref="M13" si="29">SUM(I13:J13)+L13</f>
        <v>0</v>
      </c>
      <c r="N13" s="485">
        <f t="shared" ref="N13" si="30">M13+H13+K13</f>
        <v>0</v>
      </c>
      <c r="O13" s="421"/>
      <c r="P13" s="449"/>
      <c r="Q13" s="26"/>
      <c r="R13" s="26"/>
      <c r="S13" s="26"/>
      <c r="T13" s="481">
        <f t="shared" ref="T13" si="31">SUM(O13:S13)</f>
        <v>0</v>
      </c>
      <c r="U13" s="26"/>
      <c r="V13" s="26"/>
      <c r="W13" s="26"/>
      <c r="X13" s="26"/>
      <c r="Y13" s="26"/>
      <c r="Z13" s="26"/>
      <c r="AA13" s="26"/>
      <c r="AB13" s="481">
        <f t="shared" ref="AB13" si="32">SUM(U13:AA13)</f>
        <v>0</v>
      </c>
      <c r="AC13" s="26"/>
      <c r="AD13" s="26"/>
      <c r="AE13" s="26"/>
      <c r="AF13" s="26"/>
      <c r="AG13" s="481">
        <f t="shared" ref="AG13" si="33">SUM(AC13:AF13)</f>
        <v>0</v>
      </c>
      <c r="AH13" s="26"/>
      <c r="AI13" s="26"/>
      <c r="AJ13" s="481">
        <f t="shared" ref="AJ13" si="34">SUM(AH13:AI13)</f>
        <v>0</v>
      </c>
      <c r="AK13" s="26"/>
      <c r="AL13" s="481">
        <f t="shared" ref="AL13" si="35">AK13+AJ13+AG13+AB13</f>
        <v>0</v>
      </c>
      <c r="AM13" s="495">
        <f t="shared" ref="AM13" si="36">AL13+T13</f>
        <v>0</v>
      </c>
      <c r="AN13" s="496">
        <f t="shared" ref="AN13" si="37">AM13+N13</f>
        <v>0</v>
      </c>
      <c r="AO13" s="237"/>
      <c r="AP13" s="191">
        <f t="shared" si="6"/>
        <v>0</v>
      </c>
      <c r="AQ13" s="501"/>
      <c r="AR13" s="502">
        <f>ROUND(AP13*1000*3.2,0)</f>
        <v>0</v>
      </c>
      <c r="AT13" s="771">
        <v>4</v>
      </c>
      <c r="AU13" s="770"/>
    </row>
    <row r="14" spans="1:47" ht="13.5" thickBot="1" x14ac:dyDescent="0.25">
      <c r="A14" s="1489"/>
      <c r="B14" s="54" t="s">
        <v>223</v>
      </c>
      <c r="C14" s="405" t="str">
        <f>C10</f>
        <v>Komatsu-825 №5</v>
      </c>
      <c r="D14" s="1162"/>
      <c r="E14" s="1163"/>
      <c r="F14" s="1163"/>
      <c r="G14" s="1164" t="str">
        <f t="shared" si="7"/>
        <v>ок</v>
      </c>
      <c r="H14" s="1165">
        <f t="shared" si="0"/>
        <v>0</v>
      </c>
      <c r="I14" s="442"/>
      <c r="J14" s="441"/>
      <c r="K14" s="441"/>
      <c r="L14" s="441"/>
      <c r="M14" s="746">
        <f t="shared" si="23"/>
        <v>0</v>
      </c>
      <c r="N14" s="747">
        <f t="shared" si="1"/>
        <v>0</v>
      </c>
      <c r="O14" s="777"/>
      <c r="P14" s="796"/>
      <c r="Q14" s="441"/>
      <c r="R14" s="441"/>
      <c r="S14" s="441"/>
      <c r="T14" s="746">
        <f t="shared" si="24"/>
        <v>0</v>
      </c>
      <c r="U14" s="441"/>
      <c r="V14" s="441"/>
      <c r="W14" s="441"/>
      <c r="X14" s="441"/>
      <c r="Y14" s="441"/>
      <c r="Z14" s="441"/>
      <c r="AA14" s="441"/>
      <c r="AB14" s="746">
        <f t="shared" si="2"/>
        <v>0</v>
      </c>
      <c r="AC14" s="441"/>
      <c r="AD14" s="441"/>
      <c r="AE14" s="441"/>
      <c r="AF14" s="441"/>
      <c r="AG14" s="746">
        <f>SUM(AC14:AF14)</f>
        <v>0</v>
      </c>
      <c r="AH14" s="441"/>
      <c r="AI14" s="441"/>
      <c r="AJ14" s="746">
        <f t="shared" si="26"/>
        <v>0</v>
      </c>
      <c r="AK14" s="441"/>
      <c r="AL14" s="746">
        <f t="shared" si="3"/>
        <v>0</v>
      </c>
      <c r="AM14" s="1166">
        <f t="shared" si="4"/>
        <v>0</v>
      </c>
      <c r="AN14" s="778">
        <f t="shared" si="5"/>
        <v>0</v>
      </c>
      <c r="AO14" s="1012"/>
      <c r="AP14" s="191">
        <f t="shared" si="6"/>
        <v>0</v>
      </c>
      <c r="AQ14" s="779"/>
      <c r="AR14" s="780">
        <f>ROUND(AP14*1000*3.7,0)</f>
        <v>0</v>
      </c>
      <c r="AT14" s="771">
        <v>15</v>
      </c>
      <c r="AU14" s="770"/>
    </row>
    <row r="15" spans="1:47" x14ac:dyDescent="0.2">
      <c r="A15" s="1487" t="s">
        <v>11</v>
      </c>
      <c r="B15" s="14"/>
      <c r="C15" s="1167" t="str">
        <f>C7</f>
        <v>Caterpillar D-9R №36</v>
      </c>
      <c r="D15" s="1168">
        <f t="shared" ref="D15:F17" si="38">D7+D11</f>
        <v>0</v>
      </c>
      <c r="E15" s="1169">
        <f t="shared" si="38"/>
        <v>0</v>
      </c>
      <c r="F15" s="1169">
        <f t="shared" si="38"/>
        <v>0</v>
      </c>
      <c r="G15" s="486"/>
      <c r="H15" s="1170">
        <f t="shared" ref="H15:AN15" si="39">H7+H11</f>
        <v>0</v>
      </c>
      <c r="I15" s="1168">
        <f t="shared" si="39"/>
        <v>0</v>
      </c>
      <c r="J15" s="1169">
        <f t="shared" si="39"/>
        <v>0</v>
      </c>
      <c r="K15" s="1169">
        <f t="shared" si="39"/>
        <v>0</v>
      </c>
      <c r="L15" s="1169">
        <f t="shared" si="39"/>
        <v>0</v>
      </c>
      <c r="M15" s="1169">
        <f t="shared" si="39"/>
        <v>0</v>
      </c>
      <c r="N15" s="486">
        <f t="shared" si="39"/>
        <v>0</v>
      </c>
      <c r="O15" s="1171">
        <f t="shared" si="39"/>
        <v>0</v>
      </c>
      <c r="P15" s="1171">
        <f t="shared" si="39"/>
        <v>0</v>
      </c>
      <c r="Q15" s="1169">
        <f t="shared" si="39"/>
        <v>0</v>
      </c>
      <c r="R15" s="1169">
        <f t="shared" si="39"/>
        <v>0</v>
      </c>
      <c r="S15" s="1169">
        <f t="shared" si="39"/>
        <v>0</v>
      </c>
      <c r="T15" s="1169">
        <f t="shared" si="39"/>
        <v>0</v>
      </c>
      <c r="U15" s="1169">
        <f t="shared" si="39"/>
        <v>0</v>
      </c>
      <c r="V15" s="1169">
        <f t="shared" si="39"/>
        <v>0</v>
      </c>
      <c r="W15" s="1169">
        <f t="shared" si="39"/>
        <v>0</v>
      </c>
      <c r="X15" s="1169">
        <f t="shared" si="39"/>
        <v>0</v>
      </c>
      <c r="Y15" s="1169">
        <f t="shared" si="39"/>
        <v>0</v>
      </c>
      <c r="Z15" s="1169">
        <f t="shared" si="39"/>
        <v>0</v>
      </c>
      <c r="AA15" s="1169">
        <f t="shared" si="39"/>
        <v>0</v>
      </c>
      <c r="AB15" s="1169">
        <f t="shared" si="39"/>
        <v>0</v>
      </c>
      <c r="AC15" s="1169">
        <f t="shared" si="39"/>
        <v>0</v>
      </c>
      <c r="AD15" s="1169">
        <f t="shared" si="39"/>
        <v>0</v>
      </c>
      <c r="AE15" s="1169">
        <f t="shared" si="39"/>
        <v>0</v>
      </c>
      <c r="AF15" s="1169">
        <f t="shared" si="39"/>
        <v>0</v>
      </c>
      <c r="AG15" s="1169">
        <f t="shared" si="39"/>
        <v>0</v>
      </c>
      <c r="AH15" s="1169">
        <f t="shared" si="39"/>
        <v>0</v>
      </c>
      <c r="AI15" s="1169">
        <f t="shared" si="39"/>
        <v>0</v>
      </c>
      <c r="AJ15" s="1169">
        <f t="shared" si="39"/>
        <v>0</v>
      </c>
      <c r="AK15" s="1169">
        <f t="shared" si="39"/>
        <v>0</v>
      </c>
      <c r="AL15" s="1169">
        <f t="shared" si="39"/>
        <v>0</v>
      </c>
      <c r="AM15" s="486">
        <f t="shared" si="39"/>
        <v>0</v>
      </c>
      <c r="AN15" s="1170">
        <f t="shared" si="39"/>
        <v>0</v>
      </c>
      <c r="AO15" s="1172"/>
      <c r="AP15" s="1173"/>
      <c r="AQ15" s="499">
        <f t="shared" ref="AQ15:AR17" si="40">AQ7+AQ11</f>
        <v>0</v>
      </c>
      <c r="AR15" s="500">
        <f t="shared" si="40"/>
        <v>0</v>
      </c>
    </row>
    <row r="16" spans="1:47" x14ac:dyDescent="0.2">
      <c r="A16" s="1488"/>
      <c r="B16" s="1160"/>
      <c r="C16" s="781" t="str">
        <f>C8</f>
        <v>Caterpillar D-6R №28</v>
      </c>
      <c r="D16" s="488">
        <f t="shared" si="38"/>
        <v>0</v>
      </c>
      <c r="E16" s="481">
        <f t="shared" si="38"/>
        <v>0</v>
      </c>
      <c r="F16" s="481">
        <f t="shared" si="38"/>
        <v>0</v>
      </c>
      <c r="G16" s="485"/>
      <c r="H16" s="490">
        <f t="shared" ref="H16:AN17" si="41">H8+H12</f>
        <v>0</v>
      </c>
      <c r="I16" s="488">
        <f t="shared" si="41"/>
        <v>0</v>
      </c>
      <c r="J16" s="481">
        <f t="shared" si="41"/>
        <v>0</v>
      </c>
      <c r="K16" s="481">
        <f t="shared" si="41"/>
        <v>0</v>
      </c>
      <c r="L16" s="481">
        <f t="shared" si="41"/>
        <v>0</v>
      </c>
      <c r="M16" s="481">
        <f t="shared" si="41"/>
        <v>0</v>
      </c>
      <c r="N16" s="485">
        <f t="shared" si="41"/>
        <v>0</v>
      </c>
      <c r="O16" s="489">
        <f t="shared" si="41"/>
        <v>0</v>
      </c>
      <c r="P16" s="489">
        <f t="shared" si="41"/>
        <v>0</v>
      </c>
      <c r="Q16" s="481">
        <f t="shared" si="41"/>
        <v>0</v>
      </c>
      <c r="R16" s="481">
        <f t="shared" si="41"/>
        <v>0</v>
      </c>
      <c r="S16" s="481">
        <f t="shared" si="41"/>
        <v>0</v>
      </c>
      <c r="T16" s="481">
        <f t="shared" si="41"/>
        <v>0</v>
      </c>
      <c r="U16" s="481">
        <f t="shared" si="41"/>
        <v>0</v>
      </c>
      <c r="V16" s="481">
        <f t="shared" si="41"/>
        <v>0</v>
      </c>
      <c r="W16" s="481">
        <f t="shared" si="41"/>
        <v>0</v>
      </c>
      <c r="X16" s="481">
        <f t="shared" si="41"/>
        <v>0</v>
      </c>
      <c r="Y16" s="481">
        <f t="shared" si="41"/>
        <v>0</v>
      </c>
      <c r="Z16" s="481">
        <f t="shared" si="41"/>
        <v>0</v>
      </c>
      <c r="AA16" s="481">
        <f t="shared" si="41"/>
        <v>0</v>
      </c>
      <c r="AB16" s="481">
        <f t="shared" si="41"/>
        <v>0</v>
      </c>
      <c r="AC16" s="481">
        <f t="shared" si="41"/>
        <v>0</v>
      </c>
      <c r="AD16" s="481">
        <f t="shared" si="41"/>
        <v>0</v>
      </c>
      <c r="AE16" s="481">
        <f t="shared" si="41"/>
        <v>0</v>
      </c>
      <c r="AF16" s="481">
        <f t="shared" si="41"/>
        <v>0</v>
      </c>
      <c r="AG16" s="481">
        <f t="shared" si="41"/>
        <v>0</v>
      </c>
      <c r="AH16" s="481">
        <f t="shared" si="41"/>
        <v>0</v>
      </c>
      <c r="AI16" s="481">
        <f t="shared" si="41"/>
        <v>0</v>
      </c>
      <c r="AJ16" s="481">
        <f t="shared" si="41"/>
        <v>0</v>
      </c>
      <c r="AK16" s="481">
        <f t="shared" si="41"/>
        <v>0</v>
      </c>
      <c r="AL16" s="481">
        <f t="shared" si="41"/>
        <v>0</v>
      </c>
      <c r="AM16" s="485">
        <f t="shared" si="41"/>
        <v>0</v>
      </c>
      <c r="AN16" s="490">
        <f t="shared" si="41"/>
        <v>0</v>
      </c>
      <c r="AO16" s="188"/>
      <c r="AP16" s="185"/>
      <c r="AQ16" s="501">
        <f t="shared" si="40"/>
        <v>0</v>
      </c>
      <c r="AR16" s="502">
        <f t="shared" si="40"/>
        <v>0</v>
      </c>
    </row>
    <row r="17" spans="1:44" x14ac:dyDescent="0.2">
      <c r="A17" s="1489"/>
      <c r="B17" s="1230"/>
      <c r="C17" s="781" t="str">
        <f>C9</f>
        <v>Caterpillar 140М №4</v>
      </c>
      <c r="D17" s="488">
        <f t="shared" si="38"/>
        <v>0</v>
      </c>
      <c r="E17" s="481">
        <f t="shared" si="38"/>
        <v>0</v>
      </c>
      <c r="F17" s="481">
        <f t="shared" si="38"/>
        <v>0</v>
      </c>
      <c r="G17" s="485"/>
      <c r="H17" s="490">
        <f t="shared" si="41"/>
        <v>0</v>
      </c>
      <c r="I17" s="488">
        <f t="shared" si="41"/>
        <v>0</v>
      </c>
      <c r="J17" s="481">
        <f t="shared" si="41"/>
        <v>0</v>
      </c>
      <c r="K17" s="481">
        <f t="shared" si="41"/>
        <v>0</v>
      </c>
      <c r="L17" s="481">
        <f t="shared" si="41"/>
        <v>0</v>
      </c>
      <c r="M17" s="481">
        <f t="shared" si="41"/>
        <v>0</v>
      </c>
      <c r="N17" s="485">
        <f t="shared" si="41"/>
        <v>0</v>
      </c>
      <c r="O17" s="489">
        <f t="shared" si="41"/>
        <v>0</v>
      </c>
      <c r="P17" s="489">
        <f t="shared" si="41"/>
        <v>0</v>
      </c>
      <c r="Q17" s="481">
        <f t="shared" si="41"/>
        <v>0</v>
      </c>
      <c r="R17" s="481">
        <f t="shared" si="41"/>
        <v>0</v>
      </c>
      <c r="S17" s="481">
        <f t="shared" si="41"/>
        <v>0</v>
      </c>
      <c r="T17" s="481">
        <f t="shared" si="41"/>
        <v>0</v>
      </c>
      <c r="U17" s="481">
        <f t="shared" si="41"/>
        <v>0</v>
      </c>
      <c r="V17" s="481">
        <f t="shared" si="41"/>
        <v>0</v>
      </c>
      <c r="W17" s="481">
        <f t="shared" si="41"/>
        <v>0</v>
      </c>
      <c r="X17" s="481">
        <f t="shared" si="41"/>
        <v>0</v>
      </c>
      <c r="Y17" s="481">
        <f t="shared" si="41"/>
        <v>0</v>
      </c>
      <c r="Z17" s="481">
        <f t="shared" si="41"/>
        <v>0</v>
      </c>
      <c r="AA17" s="481">
        <f t="shared" si="41"/>
        <v>0</v>
      </c>
      <c r="AB17" s="481">
        <f t="shared" si="41"/>
        <v>0</v>
      </c>
      <c r="AC17" s="481">
        <f t="shared" si="41"/>
        <v>0</v>
      </c>
      <c r="AD17" s="481">
        <f t="shared" si="41"/>
        <v>0</v>
      </c>
      <c r="AE17" s="481">
        <f t="shared" si="41"/>
        <v>0</v>
      </c>
      <c r="AF17" s="481">
        <f t="shared" si="41"/>
        <v>0</v>
      </c>
      <c r="AG17" s="481">
        <f t="shared" si="41"/>
        <v>0</v>
      </c>
      <c r="AH17" s="481">
        <f t="shared" si="41"/>
        <v>0</v>
      </c>
      <c r="AI17" s="481">
        <f t="shared" si="41"/>
        <v>0</v>
      </c>
      <c r="AJ17" s="481">
        <f t="shared" si="41"/>
        <v>0</v>
      </c>
      <c r="AK17" s="481">
        <f t="shared" si="41"/>
        <v>0</v>
      </c>
      <c r="AL17" s="481">
        <f t="shared" si="41"/>
        <v>0</v>
      </c>
      <c r="AM17" s="485">
        <f t="shared" si="41"/>
        <v>0</v>
      </c>
      <c r="AN17" s="490">
        <f t="shared" si="41"/>
        <v>0</v>
      </c>
      <c r="AO17" s="188"/>
      <c r="AP17" s="185"/>
      <c r="AQ17" s="501">
        <f t="shared" si="40"/>
        <v>0</v>
      </c>
      <c r="AR17" s="502">
        <f t="shared" si="40"/>
        <v>0</v>
      </c>
    </row>
    <row r="18" spans="1:44" ht="13.5" thickBot="1" x14ac:dyDescent="0.25">
      <c r="A18" s="1490"/>
      <c r="B18" s="1161"/>
      <c r="C18" s="1174" t="str">
        <f>C10</f>
        <v>Komatsu-825 №5</v>
      </c>
      <c r="D18" s="491">
        <f t="shared" ref="D18:F18" si="42">D10+D14</f>
        <v>0</v>
      </c>
      <c r="E18" s="484">
        <f t="shared" si="42"/>
        <v>0</v>
      </c>
      <c r="F18" s="484">
        <f t="shared" si="42"/>
        <v>0</v>
      </c>
      <c r="G18" s="487"/>
      <c r="H18" s="493">
        <f t="shared" ref="H18:AN18" si="43">H10+H14</f>
        <v>0</v>
      </c>
      <c r="I18" s="491">
        <f t="shared" si="43"/>
        <v>0</v>
      </c>
      <c r="J18" s="484">
        <f t="shared" si="43"/>
        <v>0</v>
      </c>
      <c r="K18" s="484">
        <f t="shared" si="43"/>
        <v>0</v>
      </c>
      <c r="L18" s="484">
        <f t="shared" si="43"/>
        <v>0</v>
      </c>
      <c r="M18" s="484">
        <f t="shared" si="43"/>
        <v>0</v>
      </c>
      <c r="N18" s="487">
        <f t="shared" si="43"/>
        <v>0</v>
      </c>
      <c r="O18" s="492">
        <f t="shared" si="43"/>
        <v>0</v>
      </c>
      <c r="P18" s="492">
        <f t="shared" si="43"/>
        <v>0</v>
      </c>
      <c r="Q18" s="484">
        <f t="shared" si="43"/>
        <v>0</v>
      </c>
      <c r="R18" s="484">
        <f t="shared" si="43"/>
        <v>0</v>
      </c>
      <c r="S18" s="484">
        <f t="shared" si="43"/>
        <v>0</v>
      </c>
      <c r="T18" s="484">
        <f t="shared" si="43"/>
        <v>0</v>
      </c>
      <c r="U18" s="484">
        <f t="shared" si="43"/>
        <v>0</v>
      </c>
      <c r="V18" s="484">
        <f t="shared" si="43"/>
        <v>0</v>
      </c>
      <c r="W18" s="484">
        <f t="shared" si="43"/>
        <v>0</v>
      </c>
      <c r="X18" s="484">
        <f t="shared" si="43"/>
        <v>0</v>
      </c>
      <c r="Y18" s="484">
        <f t="shared" si="43"/>
        <v>0</v>
      </c>
      <c r="Z18" s="484">
        <f t="shared" si="43"/>
        <v>0</v>
      </c>
      <c r="AA18" s="484">
        <f t="shared" si="43"/>
        <v>0</v>
      </c>
      <c r="AB18" s="484">
        <f t="shared" si="43"/>
        <v>0</v>
      </c>
      <c r="AC18" s="484">
        <f t="shared" si="43"/>
        <v>0</v>
      </c>
      <c r="AD18" s="484">
        <f t="shared" si="43"/>
        <v>0</v>
      </c>
      <c r="AE18" s="484">
        <f t="shared" si="43"/>
        <v>0</v>
      </c>
      <c r="AF18" s="484">
        <f t="shared" si="43"/>
        <v>0</v>
      </c>
      <c r="AG18" s="484">
        <f t="shared" si="43"/>
        <v>0</v>
      </c>
      <c r="AH18" s="484">
        <f t="shared" si="43"/>
        <v>0</v>
      </c>
      <c r="AI18" s="484">
        <f t="shared" si="43"/>
        <v>0</v>
      </c>
      <c r="AJ18" s="484">
        <f t="shared" si="43"/>
        <v>0</v>
      </c>
      <c r="AK18" s="484">
        <f t="shared" si="43"/>
        <v>0</v>
      </c>
      <c r="AL18" s="484">
        <f t="shared" si="43"/>
        <v>0</v>
      </c>
      <c r="AM18" s="487">
        <f t="shared" si="43"/>
        <v>0</v>
      </c>
      <c r="AN18" s="493">
        <f t="shared" si="43"/>
        <v>0</v>
      </c>
      <c r="AO18" s="189"/>
      <c r="AP18" s="186"/>
      <c r="AQ18" s="503">
        <f t="shared" ref="AQ18:AR18" si="44">AQ10+AQ14</f>
        <v>0</v>
      </c>
      <c r="AR18" s="504">
        <f t="shared" si="44"/>
        <v>0</v>
      </c>
    </row>
    <row r="20" spans="1:44" x14ac:dyDescent="0.2">
      <c r="C20" s="1182" t="s">
        <v>494</v>
      </c>
      <c r="D20" s="1181">
        <v>238</v>
      </c>
    </row>
    <row r="21" spans="1:44" x14ac:dyDescent="0.2">
      <c r="C21" s="1182" t="s">
        <v>495</v>
      </c>
      <c r="D21" s="1181">
        <f>D20-D8</f>
        <v>238</v>
      </c>
    </row>
  </sheetData>
  <customSheetViews>
    <customSheetView guid="{3F312A0E-DF4A-4A92-9F0F-6B2059264CC1}" hiddenRows="1" hiddenColumns="1" showRuler="0" topLeftCell="B1">
      <pane xSplit="4" ySplit="16" topLeftCell="F18" activePane="bottomRight" state="frozen"/>
      <selection pane="bottomRight" activeCell="L24" sqref="L24:M28"/>
      <pageMargins left="0.75" right="0.75" top="1" bottom="1" header="0.5" footer="0.5"/>
      <pageSetup paperSize="9" orientation="portrait" r:id="rId1"/>
      <headerFooter alignWithMargins="0"/>
    </customSheetView>
  </customSheetViews>
  <mergeCells count="56">
    <mergeCell ref="AH4:AH5"/>
    <mergeCell ref="AG3:AG5"/>
    <mergeCell ref="AE4:AE5"/>
    <mergeCell ref="AM1:AM5"/>
    <mergeCell ref="AI4:AI5"/>
    <mergeCell ref="AL2:AL5"/>
    <mergeCell ref="U2:AK2"/>
    <mergeCell ref="AJ3:AJ5"/>
    <mergeCell ref="Z4:Z5"/>
    <mergeCell ref="AF4:AF5"/>
    <mergeCell ref="AC3:AF3"/>
    <mergeCell ref="AK3:AK5"/>
    <mergeCell ref="AH3:AI3"/>
    <mergeCell ref="Y4:Y5"/>
    <mergeCell ref="U3:AA3"/>
    <mergeCell ref="AC4:AC5"/>
    <mergeCell ref="AS1:AS5"/>
    <mergeCell ref="AN1:AN5"/>
    <mergeCell ref="AP2:AP5"/>
    <mergeCell ref="AO2:AO5"/>
    <mergeCell ref="AO1:AP1"/>
    <mergeCell ref="AQ1:AR4"/>
    <mergeCell ref="X4:X5"/>
    <mergeCell ref="AA4:AA5"/>
    <mergeCell ref="AB3:AB5"/>
    <mergeCell ref="V4:V5"/>
    <mergeCell ref="W4:W5"/>
    <mergeCell ref="U4:U5"/>
    <mergeCell ref="AD4:AD5"/>
    <mergeCell ref="AU1:AU5"/>
    <mergeCell ref="D1:D5"/>
    <mergeCell ref="E1:E5"/>
    <mergeCell ref="F1:F5"/>
    <mergeCell ref="G1:G5"/>
    <mergeCell ref="O1:AL1"/>
    <mergeCell ref="L2:L5"/>
    <mergeCell ref="M2:M5"/>
    <mergeCell ref="J2:J5"/>
    <mergeCell ref="I1:M1"/>
    <mergeCell ref="N1:N5"/>
    <mergeCell ref="P3:P5"/>
    <mergeCell ref="O3:O5"/>
    <mergeCell ref="T2:T5"/>
    <mergeCell ref="Q3:Q5"/>
    <mergeCell ref="O2:S2"/>
    <mergeCell ref="A15:A18"/>
    <mergeCell ref="A7:A10"/>
    <mergeCell ref="K2:K5"/>
    <mergeCell ref="I2:I5"/>
    <mergeCell ref="H1:H5"/>
    <mergeCell ref="C1:C5"/>
    <mergeCell ref="B1:B5"/>
    <mergeCell ref="A1:A5"/>
    <mergeCell ref="A11:A14"/>
    <mergeCell ref="R3:R5"/>
    <mergeCell ref="S3:S5"/>
  </mergeCells>
  <phoneticPr fontId="2" type="noConversion"/>
  <conditionalFormatting sqref="AU7:AU8 AU10:AU12 AU14">
    <cfRule type="containsText" dxfId="21" priority="8" stopIfTrue="1" operator="containsText" text="нет">
      <formula>NOT(ISERROR(SEARCH("нет",AU7)))</formula>
    </cfRule>
    <cfRule type="containsText" dxfId="20" priority="9" stopIfTrue="1" operator="containsText" text="ок">
      <formula>NOT(ISERROR(SEARCH("ок",AU7)))</formula>
    </cfRule>
  </conditionalFormatting>
  <conditionalFormatting sqref="AN7:AN8 AN10:AN12 AN14">
    <cfRule type="cellIs" dxfId="19" priority="7" stopIfTrue="1" operator="notEqual">
      <formula>12</formula>
    </cfRule>
  </conditionalFormatting>
  <conditionalFormatting sqref="AU9">
    <cfRule type="containsText" dxfId="18" priority="5" stopIfTrue="1" operator="containsText" text="нет">
      <formula>NOT(ISERROR(SEARCH("нет",AU9)))</formula>
    </cfRule>
    <cfRule type="containsText" dxfId="17" priority="6" stopIfTrue="1" operator="containsText" text="ок">
      <formula>NOT(ISERROR(SEARCH("ок",AU9)))</formula>
    </cfRule>
  </conditionalFormatting>
  <conditionalFormatting sqref="AN9">
    <cfRule type="cellIs" dxfId="16" priority="4" stopIfTrue="1" operator="notEqual">
      <formula>12</formula>
    </cfRule>
  </conditionalFormatting>
  <conditionalFormatting sqref="AU13">
    <cfRule type="containsText" dxfId="15" priority="2" stopIfTrue="1" operator="containsText" text="нет">
      <formula>NOT(ISERROR(SEARCH("нет",AU13)))</formula>
    </cfRule>
    <cfRule type="containsText" dxfId="14" priority="3" stopIfTrue="1" operator="containsText" text="ок">
      <formula>NOT(ISERROR(SEARCH("ок",AU13)))</formula>
    </cfRule>
  </conditionalFormatting>
  <conditionalFormatting sqref="AN13">
    <cfRule type="cellIs" dxfId="13" priority="1" stopIfTrue="1" operator="notEqual">
      <formula>12</formula>
    </cfRule>
  </conditionalFormatting>
  <pageMargins left="0.75" right="0.75" top="1" bottom="1" header="0.5" footer="0.5"/>
  <pageSetup paperSize="9" orientation="portrait" r:id="rId2"/>
  <headerFooter alignWithMargins="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5" tint="-0.249977111117893"/>
  </sheetPr>
  <dimension ref="A1:BJ50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A4"/>
    </sheetView>
  </sheetViews>
  <sheetFormatPr defaultRowHeight="12.75" x14ac:dyDescent="0.2"/>
  <cols>
    <col min="1" max="1" width="5" style="143" customWidth="1"/>
    <col min="2" max="2" width="6.28515625" style="143" customWidth="1"/>
    <col min="3" max="3" width="23.85546875" style="905" customWidth="1"/>
    <col min="4" max="5" width="8.28515625" style="143" customWidth="1"/>
    <col min="6" max="6" width="8.42578125" style="143" customWidth="1"/>
    <col min="7" max="8" width="9.140625" style="143"/>
    <col min="9" max="9" width="7.140625" style="143" customWidth="1"/>
    <col min="10" max="10" width="10" style="143" bestFit="1" customWidth="1"/>
    <col min="11" max="15" width="7.140625" style="143" customWidth="1"/>
    <col min="16" max="16" width="6.28515625" style="143" customWidth="1"/>
    <col min="17" max="17" width="7.5703125" style="143" customWidth="1"/>
    <col min="18" max="18" width="9" style="143" customWidth="1"/>
    <col min="19" max="19" width="7.85546875" style="143" customWidth="1"/>
    <col min="20" max="20" width="7.42578125" style="143" customWidth="1"/>
    <col min="21" max="21" width="9.140625" style="143"/>
    <col min="22" max="22" width="7" style="143" customWidth="1"/>
    <col min="23" max="23" width="5.42578125" style="143" customWidth="1"/>
    <col min="24" max="24" width="5" style="143" customWidth="1"/>
    <col min="25" max="27" width="6.5703125" style="143" customWidth="1"/>
    <col min="28" max="28" width="9.140625" style="143"/>
    <col min="29" max="29" width="10.140625" style="27" customWidth="1"/>
    <col min="30" max="30" width="4.5703125" style="27" customWidth="1"/>
    <col min="31" max="31" width="4.85546875" style="27" customWidth="1"/>
    <col min="32" max="33" width="5.28515625" style="27" customWidth="1"/>
    <col min="34" max="34" width="9.140625" style="27"/>
    <col min="35" max="37" width="5.7109375" style="27" customWidth="1"/>
    <col min="38" max="38" width="5.7109375" style="27" bestFit="1" customWidth="1"/>
    <col min="39" max="42" width="5.7109375" style="27" customWidth="1"/>
    <col min="43" max="43" width="9.140625" style="27"/>
    <col min="44" max="46" width="6.5703125" style="143" customWidth="1"/>
    <col min="47" max="47" width="8.140625" style="143" bestFit="1" customWidth="1"/>
    <col min="48" max="53" width="7" style="143" customWidth="1"/>
    <col min="54" max="55" width="7.42578125" style="143" customWidth="1"/>
    <col min="56" max="56" width="9.140625" style="143"/>
    <col min="57" max="57" width="34.85546875" style="143" customWidth="1"/>
    <col min="58" max="58" width="3.42578125" style="143" customWidth="1"/>
    <col min="59" max="59" width="4.5703125" style="143" customWidth="1"/>
    <col min="60" max="60" width="4.5703125" style="767" customWidth="1"/>
    <col min="61" max="61" width="4" style="143" customWidth="1"/>
    <col min="62" max="62" width="4.7109375" style="143" customWidth="1"/>
    <col min="63" max="16384" width="9.140625" style="143"/>
  </cols>
  <sheetData>
    <row r="1" spans="1:62" ht="12.75" customHeight="1" x14ac:dyDescent="0.2">
      <c r="A1" s="1302" t="s">
        <v>1</v>
      </c>
      <c r="B1" s="1302" t="s">
        <v>26</v>
      </c>
      <c r="C1" s="1529" t="s">
        <v>4</v>
      </c>
      <c r="D1" s="1418" t="s">
        <v>253</v>
      </c>
      <c r="E1" s="1419"/>
      <c r="F1" s="1419"/>
      <c r="G1" s="1419"/>
      <c r="H1" s="1419"/>
      <c r="I1" s="1419"/>
      <c r="J1" s="1419"/>
      <c r="K1" s="1549" t="s">
        <v>237</v>
      </c>
      <c r="L1" s="1439"/>
      <c r="M1" s="1439"/>
      <c r="N1" s="1439"/>
      <c r="O1" s="1439"/>
      <c r="P1" s="1439"/>
      <c r="Q1" s="1439"/>
      <c r="R1" s="1439"/>
      <c r="S1" s="1439"/>
      <c r="T1" s="1439"/>
      <c r="U1" s="1556" t="s">
        <v>33</v>
      </c>
      <c r="V1" s="1304" t="s">
        <v>398</v>
      </c>
      <c r="W1" s="1305"/>
      <c r="X1" s="1305"/>
      <c r="Y1" s="1305"/>
      <c r="Z1" s="1305"/>
      <c r="AA1" s="1306"/>
      <c r="AB1" s="1307" t="s">
        <v>27</v>
      </c>
      <c r="AC1" s="1415" t="s">
        <v>28</v>
      </c>
      <c r="AD1" s="1416"/>
      <c r="AE1" s="1309"/>
      <c r="AF1" s="1310"/>
      <c r="AG1" s="1310"/>
      <c r="AH1" s="1310"/>
      <c r="AI1" s="1310"/>
      <c r="AJ1" s="1310"/>
      <c r="AK1" s="1310"/>
      <c r="AL1" s="1310"/>
      <c r="AM1" s="1310"/>
      <c r="AN1" s="1310"/>
      <c r="AO1" s="1310"/>
      <c r="AP1" s="1310"/>
      <c r="AQ1" s="1310"/>
      <c r="AR1" s="1310"/>
      <c r="AS1" s="1310"/>
      <c r="AT1" s="1310"/>
      <c r="AU1" s="1310"/>
      <c r="AV1" s="1310"/>
      <c r="AW1" s="1310"/>
      <c r="AX1" s="1310"/>
      <c r="AY1" s="1310"/>
      <c r="AZ1" s="1310"/>
      <c r="BA1" s="1310"/>
      <c r="BB1" s="1310"/>
      <c r="BC1" s="1320" t="s">
        <v>249</v>
      </c>
      <c r="BD1" s="1313" t="s">
        <v>383</v>
      </c>
      <c r="BE1" s="1531" t="s">
        <v>29</v>
      </c>
      <c r="BF1" s="147"/>
      <c r="BI1" s="1527" t="s">
        <v>379</v>
      </c>
    </row>
    <row r="2" spans="1:62" ht="38.25" customHeight="1" x14ac:dyDescent="0.2">
      <c r="A2" s="1303"/>
      <c r="B2" s="1303"/>
      <c r="C2" s="1444"/>
      <c r="D2" s="1418" t="s">
        <v>252</v>
      </c>
      <c r="E2" s="1420"/>
      <c r="F2" s="1298" t="s">
        <v>255</v>
      </c>
      <c r="G2" s="1319" t="s">
        <v>251</v>
      </c>
      <c r="H2" s="1319"/>
      <c r="I2" s="1547" t="s">
        <v>30</v>
      </c>
      <c r="J2" s="1526" t="s">
        <v>254</v>
      </c>
      <c r="K2" s="1550" t="s">
        <v>238</v>
      </c>
      <c r="L2" s="1302" t="s">
        <v>352</v>
      </c>
      <c r="M2" s="1302" t="s">
        <v>364</v>
      </c>
      <c r="N2" s="1302" t="s">
        <v>365</v>
      </c>
      <c r="O2" s="1302" t="s">
        <v>369</v>
      </c>
      <c r="P2" s="1302" t="s">
        <v>367</v>
      </c>
      <c r="Q2" s="1302" t="s">
        <v>257</v>
      </c>
      <c r="R2" s="1552" t="s">
        <v>31</v>
      </c>
      <c r="S2" s="1553"/>
      <c r="T2" s="1529" t="s">
        <v>32</v>
      </c>
      <c r="U2" s="1557"/>
      <c r="V2" s="1316" t="s">
        <v>239</v>
      </c>
      <c r="W2" s="1302" t="s">
        <v>6</v>
      </c>
      <c r="X2" s="1302" t="s">
        <v>7</v>
      </c>
      <c r="Y2" s="1302" t="s">
        <v>258</v>
      </c>
      <c r="Z2" s="1302" t="s">
        <v>240</v>
      </c>
      <c r="AA2" s="1297" t="s">
        <v>259</v>
      </c>
      <c r="AB2" s="1308"/>
      <c r="AC2" s="1421" t="s">
        <v>77</v>
      </c>
      <c r="AD2" s="1318"/>
      <c r="AE2" s="1318"/>
      <c r="AF2" s="1299"/>
      <c r="AG2" s="1299"/>
      <c r="AH2" s="1297" t="s">
        <v>248</v>
      </c>
      <c r="AI2" s="1299" t="s">
        <v>78</v>
      </c>
      <c r="AJ2" s="1299"/>
      <c r="AK2" s="1299"/>
      <c r="AL2" s="1299"/>
      <c r="AM2" s="1299"/>
      <c r="AN2" s="1299"/>
      <c r="AO2" s="1299"/>
      <c r="AP2" s="1299"/>
      <c r="AQ2" s="1299"/>
      <c r="AR2" s="1299"/>
      <c r="AS2" s="1299"/>
      <c r="AT2" s="1299"/>
      <c r="AU2" s="1299"/>
      <c r="AV2" s="1299"/>
      <c r="AW2" s="1299"/>
      <c r="AX2" s="1299"/>
      <c r="AY2" s="1299"/>
      <c r="AZ2" s="1299"/>
      <c r="BA2" s="1299"/>
      <c r="BB2" s="1297" t="s">
        <v>247</v>
      </c>
      <c r="BC2" s="1321"/>
      <c r="BD2" s="1314"/>
      <c r="BE2" s="1532"/>
      <c r="BF2" s="144"/>
      <c r="BG2" s="1528" t="s">
        <v>89</v>
      </c>
      <c r="BI2" s="1527"/>
    </row>
    <row r="3" spans="1:62" ht="12.75" customHeight="1" x14ac:dyDescent="0.2">
      <c r="A3" s="1303"/>
      <c r="B3" s="1303"/>
      <c r="C3" s="1444"/>
      <c r="D3" s="1529" t="s">
        <v>16</v>
      </c>
      <c r="E3" s="1529" t="s">
        <v>144</v>
      </c>
      <c r="F3" s="1417"/>
      <c r="G3" s="1319" t="s">
        <v>16</v>
      </c>
      <c r="H3" s="1319" t="s">
        <v>144</v>
      </c>
      <c r="I3" s="1548"/>
      <c r="J3" s="1321"/>
      <c r="K3" s="1551"/>
      <c r="L3" s="1303"/>
      <c r="M3" s="1303"/>
      <c r="N3" s="1303"/>
      <c r="O3" s="1303"/>
      <c r="P3" s="1303"/>
      <c r="Q3" s="1303"/>
      <c r="R3" s="1554"/>
      <c r="S3" s="1555"/>
      <c r="T3" s="1444"/>
      <c r="U3" s="1557"/>
      <c r="V3" s="1317"/>
      <c r="W3" s="1303"/>
      <c r="X3" s="1303"/>
      <c r="Y3" s="1303"/>
      <c r="Z3" s="1303"/>
      <c r="AA3" s="1297"/>
      <c r="AB3" s="1308"/>
      <c r="AC3" s="1530" t="s">
        <v>250</v>
      </c>
      <c r="AD3" s="1292" t="s">
        <v>270</v>
      </c>
      <c r="AE3" s="1292" t="s">
        <v>260</v>
      </c>
      <c r="AF3" s="1299" t="s">
        <v>81</v>
      </c>
      <c r="AG3" s="1299" t="s">
        <v>74</v>
      </c>
      <c r="AH3" s="1297"/>
      <c r="AI3" s="1299" t="s">
        <v>79</v>
      </c>
      <c r="AJ3" s="1299"/>
      <c r="AK3" s="1299"/>
      <c r="AL3" s="1299"/>
      <c r="AM3" s="1299"/>
      <c r="AN3" s="1299"/>
      <c r="AO3" s="1299"/>
      <c r="AP3" s="1299"/>
      <c r="AQ3" s="1297" t="s">
        <v>242</v>
      </c>
      <c r="AR3" s="1319" t="s">
        <v>80</v>
      </c>
      <c r="AS3" s="1319"/>
      <c r="AT3" s="1319"/>
      <c r="AU3" s="1529"/>
      <c r="AV3" s="1319"/>
      <c r="AW3" s="1297" t="s">
        <v>262</v>
      </c>
      <c r="AX3" s="1299" t="s">
        <v>243</v>
      </c>
      <c r="AY3" s="1299"/>
      <c r="AZ3" s="1297" t="s">
        <v>246</v>
      </c>
      <c r="BA3" s="1322" t="s">
        <v>22</v>
      </c>
      <c r="BB3" s="1297"/>
      <c r="BC3" s="1321"/>
      <c r="BD3" s="1314"/>
      <c r="BE3" s="1532"/>
      <c r="BF3" s="1420" t="s">
        <v>16</v>
      </c>
      <c r="BG3" s="1528"/>
      <c r="BI3" s="1527"/>
    </row>
    <row r="4" spans="1:62" ht="66.75" customHeight="1" thickBot="1" x14ac:dyDescent="0.25">
      <c r="A4" s="1303"/>
      <c r="B4" s="1303"/>
      <c r="C4" s="1444"/>
      <c r="D4" s="1444"/>
      <c r="E4" s="1444"/>
      <c r="F4" s="1417"/>
      <c r="G4" s="1529"/>
      <c r="H4" s="1529"/>
      <c r="I4" s="1548"/>
      <c r="J4" s="1321"/>
      <c r="K4" s="1551"/>
      <c r="L4" s="1303"/>
      <c r="M4" s="1303"/>
      <c r="N4" s="1303"/>
      <c r="O4" s="1303"/>
      <c r="P4" s="1303"/>
      <c r="Q4" s="1303"/>
      <c r="R4" s="145" t="s">
        <v>36</v>
      </c>
      <c r="S4" s="145" t="s">
        <v>236</v>
      </c>
      <c r="T4" s="1444"/>
      <c r="U4" s="1557"/>
      <c r="V4" s="1317"/>
      <c r="W4" s="1303"/>
      <c r="X4" s="1303"/>
      <c r="Y4" s="1303"/>
      <c r="Z4" s="1303"/>
      <c r="AA4" s="1298"/>
      <c r="AB4" s="1308"/>
      <c r="AC4" s="1492"/>
      <c r="AD4" s="1293"/>
      <c r="AE4" s="1293"/>
      <c r="AF4" s="1286"/>
      <c r="AG4" s="1286"/>
      <c r="AH4" s="1298"/>
      <c r="AI4" s="677" t="s">
        <v>82</v>
      </c>
      <c r="AJ4" s="677" t="s">
        <v>83</v>
      </c>
      <c r="AK4" s="677" t="s">
        <v>84</v>
      </c>
      <c r="AL4" s="677" t="s">
        <v>241</v>
      </c>
      <c r="AM4" s="677" t="s">
        <v>85</v>
      </c>
      <c r="AN4" s="677" t="s">
        <v>86</v>
      </c>
      <c r="AO4" s="677" t="s">
        <v>87</v>
      </c>
      <c r="AP4" s="677" t="s">
        <v>22</v>
      </c>
      <c r="AQ4" s="1298"/>
      <c r="AR4" s="676" t="s">
        <v>34</v>
      </c>
      <c r="AS4" s="676" t="s">
        <v>265</v>
      </c>
      <c r="AT4" s="882" t="s">
        <v>43</v>
      </c>
      <c r="AU4" s="881" t="s">
        <v>403</v>
      </c>
      <c r="AV4" s="883" t="s">
        <v>35</v>
      </c>
      <c r="AW4" s="1298"/>
      <c r="AX4" s="677" t="s">
        <v>244</v>
      </c>
      <c r="AY4" s="677" t="s">
        <v>245</v>
      </c>
      <c r="AZ4" s="1298"/>
      <c r="BA4" s="1292"/>
      <c r="BB4" s="1298"/>
      <c r="BC4" s="1321"/>
      <c r="BD4" s="1315"/>
      <c r="BE4" s="1532"/>
      <c r="BF4" s="1420"/>
      <c r="BG4" s="1528"/>
      <c r="BI4" s="1527"/>
    </row>
    <row r="5" spans="1:62" ht="13.5" customHeight="1" thickBot="1" x14ac:dyDescent="0.25">
      <c r="A5" s="725">
        <v>1</v>
      </c>
      <c r="B5" s="726">
        <v>2</v>
      </c>
      <c r="C5" s="726">
        <v>3</v>
      </c>
      <c r="D5" s="726">
        <v>4</v>
      </c>
      <c r="E5" s="726">
        <v>5</v>
      </c>
      <c r="F5" s="726">
        <v>6</v>
      </c>
      <c r="G5" s="726">
        <v>7</v>
      </c>
      <c r="H5" s="726">
        <v>8</v>
      </c>
      <c r="I5" s="726">
        <v>9</v>
      </c>
      <c r="J5" s="726">
        <v>10</v>
      </c>
      <c r="K5" s="726">
        <v>11</v>
      </c>
      <c r="L5" s="726">
        <v>12</v>
      </c>
      <c r="M5" s="726">
        <v>13</v>
      </c>
      <c r="N5" s="726">
        <v>14</v>
      </c>
      <c r="O5" s="726">
        <v>15</v>
      </c>
      <c r="P5" s="726">
        <v>16</v>
      </c>
      <c r="Q5" s="726">
        <v>17</v>
      </c>
      <c r="R5" s="726">
        <v>18</v>
      </c>
      <c r="S5" s="726">
        <v>19</v>
      </c>
      <c r="T5" s="726">
        <v>20</v>
      </c>
      <c r="U5" s="726">
        <v>21</v>
      </c>
      <c r="V5" s="726">
        <v>22</v>
      </c>
      <c r="W5" s="726">
        <v>23</v>
      </c>
      <c r="X5" s="726">
        <v>24</v>
      </c>
      <c r="Y5" s="726">
        <v>25</v>
      </c>
      <c r="Z5" s="726">
        <v>26</v>
      </c>
      <c r="AA5" s="726">
        <v>27</v>
      </c>
      <c r="AB5" s="726">
        <v>28</v>
      </c>
      <c r="AC5" s="726">
        <v>29</v>
      </c>
      <c r="AD5" s="726">
        <v>30</v>
      </c>
      <c r="AE5" s="726">
        <v>31</v>
      </c>
      <c r="AF5" s="726">
        <v>32</v>
      </c>
      <c r="AG5" s="726">
        <v>33</v>
      </c>
      <c r="AH5" s="726">
        <v>34</v>
      </c>
      <c r="AI5" s="726">
        <v>35</v>
      </c>
      <c r="AJ5" s="726">
        <v>36</v>
      </c>
      <c r="AK5" s="726">
        <v>37</v>
      </c>
      <c r="AL5" s="726">
        <v>38</v>
      </c>
      <c r="AM5" s="726">
        <v>39</v>
      </c>
      <c r="AN5" s="726">
        <v>40</v>
      </c>
      <c r="AO5" s="726">
        <v>41</v>
      </c>
      <c r="AP5" s="726">
        <v>42</v>
      </c>
      <c r="AQ5" s="726">
        <v>43</v>
      </c>
      <c r="AR5" s="726">
        <v>44</v>
      </c>
      <c r="AS5" s="726">
        <v>45</v>
      </c>
      <c r="AT5" s="726">
        <v>46</v>
      </c>
      <c r="AU5" s="726">
        <v>47</v>
      </c>
      <c r="AV5" s="726">
        <v>48</v>
      </c>
      <c r="AW5" s="726">
        <v>49</v>
      </c>
      <c r="AX5" s="726">
        <v>50</v>
      </c>
      <c r="AY5" s="726">
        <v>51</v>
      </c>
      <c r="AZ5" s="726">
        <v>52</v>
      </c>
      <c r="BA5" s="726">
        <v>53</v>
      </c>
      <c r="BB5" s="726">
        <v>54</v>
      </c>
      <c r="BC5" s="726">
        <v>55</v>
      </c>
      <c r="BD5" s="884">
        <v>56</v>
      </c>
      <c r="BE5" s="711" t="s">
        <v>136</v>
      </c>
      <c r="BI5" s="1527"/>
    </row>
    <row r="6" spans="1:62" ht="15" hidden="1" customHeight="1" x14ac:dyDescent="0.2">
      <c r="A6" s="1533">
        <v>1</v>
      </c>
      <c r="B6" s="1443" t="s">
        <v>23</v>
      </c>
      <c r="C6" s="900" t="s">
        <v>279</v>
      </c>
      <c r="D6" s="989"/>
      <c r="E6" s="990"/>
      <c r="F6" s="712"/>
      <c r="G6" s="991"/>
      <c r="H6" s="991"/>
      <c r="I6" s="992"/>
      <c r="J6" s="713"/>
      <c r="K6" s="714"/>
      <c r="L6" s="715"/>
      <c r="M6" s="715"/>
      <c r="N6" s="715"/>
      <c r="O6" s="715"/>
      <c r="P6" s="716" t="str">
        <f>IF(N6&lt;AB6,"!","ок")</f>
        <v>ок</v>
      </c>
      <c r="Q6" s="416">
        <f>IF(AC6="",0,12-(R6+S6+T6+AA6+BC6))</f>
        <v>0</v>
      </c>
      <c r="R6" s="416"/>
      <c r="S6" s="416"/>
      <c r="T6" s="416"/>
      <c r="U6" s="515">
        <f>SUM(Q6:T6)</f>
        <v>0</v>
      </c>
      <c r="V6" s="717"/>
      <c r="W6" s="416"/>
      <c r="X6" s="416"/>
      <c r="Y6" s="416"/>
      <c r="Z6" s="718"/>
      <c r="AA6" s="719">
        <f>SUM(V6:Z6)</f>
        <v>0</v>
      </c>
      <c r="AB6" s="720">
        <f>AA6+U6</f>
        <v>0</v>
      </c>
      <c r="AC6" s="414"/>
      <c r="AD6" s="721"/>
      <c r="AE6" s="721"/>
      <c r="AF6" s="415"/>
      <c r="AG6" s="415"/>
      <c r="AH6" s="514">
        <f>SUM(AC6:AG6)</f>
        <v>0</v>
      </c>
      <c r="AI6" s="415"/>
      <c r="AJ6" s="415"/>
      <c r="AK6" s="415"/>
      <c r="AL6" s="415"/>
      <c r="AM6" s="415"/>
      <c r="AN6" s="415"/>
      <c r="AO6" s="415"/>
      <c r="AP6" s="415"/>
      <c r="AQ6" s="514">
        <f t="shared" ref="AQ6:AQ15" si="0">SUM(AI6:AP6)</f>
        <v>0</v>
      </c>
      <c r="AR6" s="416"/>
      <c r="AS6" s="416"/>
      <c r="AT6" s="416"/>
      <c r="AU6" s="416"/>
      <c r="AV6" s="416"/>
      <c r="AW6" s="514">
        <f t="shared" ref="AW6:AW15" si="1">SUM(AR6:AV6)</f>
        <v>0</v>
      </c>
      <c r="AX6" s="416"/>
      <c r="AY6" s="416"/>
      <c r="AZ6" s="514">
        <f>SUM(AX6:AY6)</f>
        <v>0</v>
      </c>
      <c r="BA6" s="416"/>
      <c r="BB6" s="722">
        <f t="shared" ref="BB6:BB15" si="2">AQ6+AW6+AZ6+BA6</f>
        <v>0</v>
      </c>
      <c r="BC6" s="723">
        <f>BB6+AH6</f>
        <v>0</v>
      </c>
      <c r="BD6" s="724">
        <f>BC6+AB6</f>
        <v>0</v>
      </c>
      <c r="BE6" s="158"/>
      <c r="BF6" s="146"/>
      <c r="BG6" s="148">
        <f>BF6*14.7*0.95</f>
        <v>0</v>
      </c>
      <c r="BH6" s="767">
        <v>51</v>
      </c>
      <c r="BI6" s="10"/>
    </row>
    <row r="7" spans="1:62" ht="15" hidden="1" customHeight="1" x14ac:dyDescent="0.2">
      <c r="A7" s="1534"/>
      <c r="B7" s="1303"/>
      <c r="C7" s="900" t="s">
        <v>325</v>
      </c>
      <c r="D7" s="993"/>
      <c r="E7" s="994"/>
      <c r="F7" s="511"/>
      <c r="G7" s="995"/>
      <c r="H7" s="995"/>
      <c r="I7" s="996"/>
      <c r="J7" s="462"/>
      <c r="K7" s="155"/>
      <c r="L7" s="423"/>
      <c r="M7" s="423"/>
      <c r="N7" s="423"/>
      <c r="O7" s="423"/>
      <c r="P7" s="707" t="str">
        <f t="shared" ref="P7:P14" si="3">IF(N7&lt;AB7,"!","ок")</f>
        <v>ок</v>
      </c>
      <c r="Q7" s="416">
        <f>IF(AC7="",0,12-(R7+S7+T7+AA7+BC7))</f>
        <v>0</v>
      </c>
      <c r="R7" s="423"/>
      <c r="S7" s="423"/>
      <c r="T7" s="423"/>
      <c r="U7" s="467">
        <f>SUM(Q7:T7)</f>
        <v>0</v>
      </c>
      <c r="V7" s="447"/>
      <c r="W7" s="423"/>
      <c r="X7" s="423"/>
      <c r="Y7" s="423"/>
      <c r="Z7" s="448"/>
      <c r="AA7" s="466">
        <f t="shared" ref="AA7:AA14" si="4">SUM(V7:Z7)</f>
        <v>0</v>
      </c>
      <c r="AB7" s="469">
        <f>AA7+U7</f>
        <v>0</v>
      </c>
      <c r="AC7" s="421"/>
      <c r="AD7" s="449"/>
      <c r="AE7" s="449"/>
      <c r="AF7" s="422"/>
      <c r="AG7" s="422"/>
      <c r="AH7" s="466">
        <f t="shared" ref="AH7:AH15" si="5">SUM(AC7:AG7)</f>
        <v>0</v>
      </c>
      <c r="AI7" s="422"/>
      <c r="AJ7" s="422"/>
      <c r="AK7" s="422"/>
      <c r="AL7" s="422"/>
      <c r="AM7" s="422"/>
      <c r="AN7" s="422"/>
      <c r="AO7" s="422"/>
      <c r="AP7" s="422"/>
      <c r="AQ7" s="466">
        <f t="shared" si="0"/>
        <v>0</v>
      </c>
      <c r="AR7" s="423"/>
      <c r="AS7" s="423"/>
      <c r="AT7" s="423"/>
      <c r="AU7" s="423"/>
      <c r="AV7" s="423"/>
      <c r="AW7" s="466">
        <f t="shared" si="1"/>
        <v>0</v>
      </c>
      <c r="AX7" s="423"/>
      <c r="AY7" s="423"/>
      <c r="AZ7" s="466">
        <f t="shared" ref="AZ7:AZ15" si="6">SUM(AX7:AY7)</f>
        <v>0</v>
      </c>
      <c r="BA7" s="423"/>
      <c r="BB7" s="466">
        <f t="shared" si="2"/>
        <v>0</v>
      </c>
      <c r="BC7" s="469">
        <f t="shared" ref="BC7:BC15" si="7">BB7+AH7</f>
        <v>0</v>
      </c>
      <c r="BD7" s="470">
        <f t="shared" ref="BD7:BD15" si="8">BC7+AB7</f>
        <v>0</v>
      </c>
      <c r="BE7" s="159"/>
      <c r="BF7" s="146"/>
      <c r="BG7" s="148">
        <f>BF7*14.7*0.95</f>
        <v>0</v>
      </c>
      <c r="BH7" s="767">
        <v>89</v>
      </c>
      <c r="BI7" s="10"/>
    </row>
    <row r="8" spans="1:62" ht="15" hidden="1" customHeight="1" x14ac:dyDescent="0.2">
      <c r="A8" s="1534"/>
      <c r="B8" s="1303"/>
      <c r="C8" s="900" t="s">
        <v>406</v>
      </c>
      <c r="D8" s="993"/>
      <c r="E8" s="994"/>
      <c r="F8" s="511"/>
      <c r="G8" s="995"/>
      <c r="H8" s="995"/>
      <c r="I8" s="996"/>
      <c r="J8" s="462"/>
      <c r="K8" s="155"/>
      <c r="L8" s="423"/>
      <c r="M8" s="423"/>
      <c r="N8" s="423"/>
      <c r="O8" s="423"/>
      <c r="P8" s="707" t="str">
        <f>IF(N8&lt;AB8,"!","ок")</f>
        <v>ок</v>
      </c>
      <c r="Q8" s="416">
        <f>IF(AC8="",0,12-(R8+S8+T8+AA8+BC8))</f>
        <v>0</v>
      </c>
      <c r="R8" s="423"/>
      <c r="S8" s="423"/>
      <c r="T8" s="423"/>
      <c r="U8" s="467">
        <f>SUM(Q8:T8)</f>
        <v>0</v>
      </c>
      <c r="V8" s="447"/>
      <c r="W8" s="423"/>
      <c r="X8" s="423"/>
      <c r="Y8" s="423"/>
      <c r="Z8" s="448"/>
      <c r="AA8" s="466">
        <f>SUM(V8:Z8)</f>
        <v>0</v>
      </c>
      <c r="AB8" s="469">
        <f>AA8+U8</f>
        <v>0</v>
      </c>
      <c r="AC8" s="421"/>
      <c r="AD8" s="449"/>
      <c r="AE8" s="449"/>
      <c r="AF8" s="422"/>
      <c r="AG8" s="422"/>
      <c r="AH8" s="466">
        <f>SUM(AC8:AG8)</f>
        <v>0</v>
      </c>
      <c r="AI8" s="422"/>
      <c r="AJ8" s="422"/>
      <c r="AK8" s="422"/>
      <c r="AL8" s="422"/>
      <c r="AM8" s="422"/>
      <c r="AN8" s="422"/>
      <c r="AO8" s="422"/>
      <c r="AP8" s="422"/>
      <c r="AQ8" s="466">
        <f>SUM(AI8:AP8)</f>
        <v>0</v>
      </c>
      <c r="AR8" s="423"/>
      <c r="AS8" s="423"/>
      <c r="AT8" s="423"/>
      <c r="AU8" s="423"/>
      <c r="AV8" s="423"/>
      <c r="AW8" s="466">
        <f>SUM(AR8:AV8)</f>
        <v>0</v>
      </c>
      <c r="AX8" s="423"/>
      <c r="AY8" s="423"/>
      <c r="AZ8" s="466">
        <f>SUM(AX8:AY8)</f>
        <v>0</v>
      </c>
      <c r="BA8" s="423"/>
      <c r="BB8" s="466">
        <f>AQ8+AW8+AZ8+BA8</f>
        <v>0</v>
      </c>
      <c r="BC8" s="469">
        <f>BB8+AH8</f>
        <v>0</v>
      </c>
      <c r="BD8" s="470">
        <f>BC8+AB8</f>
        <v>0</v>
      </c>
      <c r="BE8" s="159"/>
      <c r="BF8" s="146"/>
      <c r="BG8" s="148"/>
      <c r="BH8" s="767">
        <v>191</v>
      </c>
      <c r="BI8" s="148"/>
    </row>
    <row r="9" spans="1:62" ht="16.5" hidden="1" customHeight="1" x14ac:dyDescent="0.2">
      <c r="A9" s="1534"/>
      <c r="B9" s="1303"/>
      <c r="C9" s="900" t="s">
        <v>327</v>
      </c>
      <c r="D9" s="993"/>
      <c r="E9" s="994"/>
      <c r="F9" s="511"/>
      <c r="G9" s="995"/>
      <c r="H9" s="995"/>
      <c r="I9" s="996"/>
      <c r="J9" s="462"/>
      <c r="K9" s="155"/>
      <c r="L9" s="423"/>
      <c r="M9" s="423"/>
      <c r="N9" s="423"/>
      <c r="O9" s="423"/>
      <c r="P9" s="707" t="str">
        <f t="shared" si="3"/>
        <v>ок</v>
      </c>
      <c r="Q9" s="416">
        <f t="shared" ref="Q9:Q14" si="9">IF(AC9="",0,12-(R9+S9+T9+AA9+BC9))</f>
        <v>0</v>
      </c>
      <c r="R9" s="423"/>
      <c r="S9" s="423"/>
      <c r="T9" s="423"/>
      <c r="U9" s="467">
        <f t="shared" ref="U9:U15" si="10">SUM(Q9:T9)</f>
        <v>0</v>
      </c>
      <c r="V9" s="447"/>
      <c r="W9" s="423"/>
      <c r="X9" s="423"/>
      <c r="Y9" s="423"/>
      <c r="Z9" s="448"/>
      <c r="AA9" s="466">
        <f>SUM(V9:Z9)</f>
        <v>0</v>
      </c>
      <c r="AB9" s="469">
        <f>AA9+U9</f>
        <v>0</v>
      </c>
      <c r="AC9" s="421"/>
      <c r="AD9" s="449"/>
      <c r="AE9" s="449"/>
      <c r="AF9" s="422"/>
      <c r="AG9" s="422"/>
      <c r="AH9" s="466">
        <f>SUM(AC9:AG9)</f>
        <v>0</v>
      </c>
      <c r="AI9" s="422"/>
      <c r="AJ9" s="422"/>
      <c r="AK9" s="422"/>
      <c r="AL9" s="422"/>
      <c r="AM9" s="422"/>
      <c r="AN9" s="422"/>
      <c r="AO9" s="422"/>
      <c r="AP9" s="422"/>
      <c r="AQ9" s="466">
        <f>SUM(AI9:AP9)</f>
        <v>0</v>
      </c>
      <c r="AR9" s="423"/>
      <c r="AS9" s="423"/>
      <c r="AT9" s="423"/>
      <c r="AU9" s="423"/>
      <c r="AV9" s="423"/>
      <c r="AW9" s="466">
        <f>SUM(AR9:AV9)</f>
        <v>0</v>
      </c>
      <c r="AX9" s="423"/>
      <c r="AY9" s="423"/>
      <c r="AZ9" s="466">
        <f>SUM(AX9:AY9)</f>
        <v>0</v>
      </c>
      <c r="BA9" s="423"/>
      <c r="BB9" s="466">
        <f>AQ9+AW9+AZ9+BA9</f>
        <v>0</v>
      </c>
      <c r="BC9" s="469">
        <f>BB9+AH9</f>
        <v>0</v>
      </c>
      <c r="BD9" s="470">
        <f>BC9+AB9</f>
        <v>0</v>
      </c>
      <c r="BE9" s="159"/>
      <c r="BF9" s="146"/>
      <c r="BG9" s="148"/>
      <c r="BH9" s="767">
        <v>150</v>
      </c>
      <c r="BI9" s="148"/>
    </row>
    <row r="10" spans="1:62" x14ac:dyDescent="0.2">
      <c r="A10" s="1534"/>
      <c r="B10" s="1541"/>
      <c r="C10" s="900" t="s">
        <v>133</v>
      </c>
      <c r="D10" s="997"/>
      <c r="E10" s="674"/>
      <c r="F10" s="674"/>
      <c r="G10" s="675"/>
      <c r="H10" s="675"/>
      <c r="I10" s="675"/>
      <c r="J10" s="986"/>
      <c r="K10" s="155"/>
      <c r="L10" s="426"/>
      <c r="M10" s="426"/>
      <c r="N10" s="426"/>
      <c r="O10" s="426"/>
      <c r="P10" s="426"/>
      <c r="Q10" s="416">
        <v>0</v>
      </c>
      <c r="R10" s="423"/>
      <c r="S10" s="423">
        <f>IF($AC10="",0,12-($R10+$T10+$AA10+$BC10))</f>
        <v>0</v>
      </c>
      <c r="T10" s="423"/>
      <c r="U10" s="467">
        <f t="shared" si="10"/>
        <v>0</v>
      </c>
      <c r="V10" s="447"/>
      <c r="W10" s="423"/>
      <c r="X10" s="423"/>
      <c r="Y10" s="423"/>
      <c r="Z10" s="448"/>
      <c r="AA10" s="466">
        <f t="shared" si="4"/>
        <v>0</v>
      </c>
      <c r="AB10" s="469">
        <f t="shared" ref="AB10:AB14" si="11">AA10+U10</f>
        <v>0</v>
      </c>
      <c r="AC10" s="421"/>
      <c r="AD10" s="449"/>
      <c r="AE10" s="449"/>
      <c r="AF10" s="422"/>
      <c r="AG10" s="422"/>
      <c r="AH10" s="466">
        <f t="shared" si="5"/>
        <v>0</v>
      </c>
      <c r="AI10" s="422"/>
      <c r="AJ10" s="422"/>
      <c r="AK10" s="422"/>
      <c r="AL10" s="422"/>
      <c r="AM10" s="422"/>
      <c r="AN10" s="422"/>
      <c r="AO10" s="422"/>
      <c r="AP10" s="422"/>
      <c r="AQ10" s="466">
        <f t="shared" si="0"/>
        <v>0</v>
      </c>
      <c r="AR10" s="423"/>
      <c r="AS10" s="423"/>
      <c r="AT10" s="423"/>
      <c r="AU10" s="423"/>
      <c r="AV10" s="423"/>
      <c r="AW10" s="466">
        <f t="shared" si="1"/>
        <v>0</v>
      </c>
      <c r="AX10" s="423"/>
      <c r="AY10" s="423"/>
      <c r="AZ10" s="466">
        <f t="shared" si="6"/>
        <v>0</v>
      </c>
      <c r="BA10" s="423"/>
      <c r="BB10" s="466">
        <f t="shared" si="2"/>
        <v>0</v>
      </c>
      <c r="BC10" s="469">
        <f t="shared" si="7"/>
        <v>0</v>
      </c>
      <c r="BD10" s="470">
        <f t="shared" si="8"/>
        <v>0</v>
      </c>
      <c r="BE10" s="159"/>
      <c r="BF10" s="146"/>
      <c r="BG10" s="148">
        <f>J10</f>
        <v>0</v>
      </c>
      <c r="BH10" s="767">
        <v>45</v>
      </c>
      <c r="BI10" s="148"/>
    </row>
    <row r="11" spans="1:62" ht="15.75" x14ac:dyDescent="0.25">
      <c r="A11" s="1534"/>
      <c r="B11" s="1302" t="s">
        <v>24</v>
      </c>
      <c r="C11" s="901" t="s">
        <v>135</v>
      </c>
      <c r="D11" s="998"/>
      <c r="E11" s="995"/>
      <c r="F11" s="511"/>
      <c r="G11" s="995"/>
      <c r="H11" s="995"/>
      <c r="I11" s="996"/>
      <c r="J11" s="462"/>
      <c r="K11" s="155"/>
      <c r="L11" s="423"/>
      <c r="M11" s="423"/>
      <c r="N11" s="422"/>
      <c r="O11" s="422"/>
      <c r="P11" s="707" t="str">
        <f t="shared" si="3"/>
        <v>ок</v>
      </c>
      <c r="Q11" s="416">
        <f t="shared" si="9"/>
        <v>0</v>
      </c>
      <c r="R11" s="423"/>
      <c r="S11" s="423"/>
      <c r="T11" s="423"/>
      <c r="U11" s="467">
        <f t="shared" si="10"/>
        <v>0</v>
      </c>
      <c r="V11" s="447"/>
      <c r="W11" s="423"/>
      <c r="X11" s="423"/>
      <c r="Y11" s="423"/>
      <c r="Z11" s="448"/>
      <c r="AA11" s="466">
        <f t="shared" si="4"/>
        <v>0</v>
      </c>
      <c r="AB11" s="469">
        <f t="shared" si="11"/>
        <v>0</v>
      </c>
      <c r="AC11" s="421"/>
      <c r="AD11" s="449"/>
      <c r="AE11" s="449"/>
      <c r="AF11" s="422"/>
      <c r="AG11" s="422"/>
      <c r="AH11" s="466">
        <f t="shared" si="5"/>
        <v>0</v>
      </c>
      <c r="AI11" s="422"/>
      <c r="AJ11" s="422"/>
      <c r="AK11" s="422"/>
      <c r="AL11" s="422"/>
      <c r="AM11" s="422"/>
      <c r="AN11" s="422"/>
      <c r="AO11" s="422"/>
      <c r="AP11" s="422"/>
      <c r="AQ11" s="466">
        <f t="shared" si="0"/>
        <v>0</v>
      </c>
      <c r="AR11" s="423"/>
      <c r="AS11" s="423"/>
      <c r="AT11" s="423"/>
      <c r="AU11" s="423"/>
      <c r="AV11" s="423"/>
      <c r="AW11" s="466">
        <f t="shared" si="1"/>
        <v>0</v>
      </c>
      <c r="AX11" s="423"/>
      <c r="AY11" s="423"/>
      <c r="AZ11" s="466">
        <f t="shared" si="6"/>
        <v>0</v>
      </c>
      <c r="BA11" s="423"/>
      <c r="BB11" s="466">
        <f t="shared" si="2"/>
        <v>0</v>
      </c>
      <c r="BC11" s="469">
        <f t="shared" si="7"/>
        <v>0</v>
      </c>
      <c r="BD11" s="470">
        <f t="shared" si="8"/>
        <v>0</v>
      </c>
      <c r="BE11" s="159"/>
      <c r="BF11" s="157"/>
      <c r="BG11" s="148">
        <f t="shared" ref="BG11:BG18" si="12">BF11*14.7*0.95</f>
        <v>0</v>
      </c>
      <c r="BH11" s="767">
        <v>58</v>
      </c>
      <c r="BI11" s="148"/>
      <c r="BJ11" s="150"/>
    </row>
    <row r="12" spans="1:62" ht="15.75" x14ac:dyDescent="0.25">
      <c r="A12" s="1534"/>
      <c r="B12" s="1303"/>
      <c r="C12" s="901" t="s">
        <v>507</v>
      </c>
      <c r="D12" s="998"/>
      <c r="E12" s="995"/>
      <c r="F12" s="511"/>
      <c r="G12" s="995"/>
      <c r="H12" s="995"/>
      <c r="I12" s="996"/>
      <c r="J12" s="462"/>
      <c r="K12" s="155"/>
      <c r="L12" s="423"/>
      <c r="M12" s="423"/>
      <c r="N12" s="423"/>
      <c r="O12" s="423"/>
      <c r="P12" s="707" t="str">
        <f t="shared" si="3"/>
        <v>ок</v>
      </c>
      <c r="Q12" s="416">
        <f t="shared" si="9"/>
        <v>0</v>
      </c>
      <c r="R12" s="423"/>
      <c r="S12" s="423"/>
      <c r="T12" s="423"/>
      <c r="U12" s="467">
        <f t="shared" si="10"/>
        <v>0</v>
      </c>
      <c r="V12" s="447"/>
      <c r="W12" s="423"/>
      <c r="X12" s="423"/>
      <c r="Y12" s="423"/>
      <c r="Z12" s="448"/>
      <c r="AA12" s="466">
        <f>SUM(V12:Z12)</f>
        <v>0</v>
      </c>
      <c r="AB12" s="469">
        <f>AA12+U12</f>
        <v>0</v>
      </c>
      <c r="AC12" s="421"/>
      <c r="AD12" s="449"/>
      <c r="AE12" s="449"/>
      <c r="AF12" s="422"/>
      <c r="AG12" s="422"/>
      <c r="AH12" s="466">
        <f>SUM(AC12:AG12)</f>
        <v>0</v>
      </c>
      <c r="AI12" s="422"/>
      <c r="AJ12" s="422"/>
      <c r="AK12" s="422"/>
      <c r="AL12" s="422"/>
      <c r="AM12" s="422"/>
      <c r="AN12" s="422"/>
      <c r="AO12" s="422"/>
      <c r="AP12" s="422"/>
      <c r="AQ12" s="466">
        <f>SUM(AI12:AP12)</f>
        <v>0</v>
      </c>
      <c r="AR12" s="423"/>
      <c r="AS12" s="423"/>
      <c r="AT12" s="423"/>
      <c r="AU12" s="423"/>
      <c r="AV12" s="423"/>
      <c r="AW12" s="466">
        <f>SUM(AR12:AV12)</f>
        <v>0</v>
      </c>
      <c r="AX12" s="423"/>
      <c r="AY12" s="423"/>
      <c r="AZ12" s="466">
        <f>SUM(AX12:AY12)</f>
        <v>0</v>
      </c>
      <c r="BA12" s="423"/>
      <c r="BB12" s="466">
        <f>AQ12+AW12+AZ12+BA12</f>
        <v>0</v>
      </c>
      <c r="BC12" s="469">
        <f>BB12+AH12</f>
        <v>0</v>
      </c>
      <c r="BD12" s="470">
        <f>BC12+AB12</f>
        <v>0</v>
      </c>
      <c r="BE12" s="159"/>
      <c r="BF12" s="157"/>
      <c r="BG12" s="148">
        <f t="shared" si="12"/>
        <v>0</v>
      </c>
      <c r="BH12" s="767">
        <v>283</v>
      </c>
      <c r="BI12" s="148"/>
      <c r="BJ12" s="150"/>
    </row>
    <row r="13" spans="1:62" ht="15" customHeight="1" x14ac:dyDescent="0.25">
      <c r="A13" s="1534"/>
      <c r="B13" s="1303"/>
      <c r="C13" s="901" t="s">
        <v>347</v>
      </c>
      <c r="D13" s="998"/>
      <c r="E13" s="995"/>
      <c r="F13" s="511"/>
      <c r="G13" s="995"/>
      <c r="H13" s="995"/>
      <c r="I13" s="996"/>
      <c r="J13" s="462"/>
      <c r="K13" s="155"/>
      <c r="L13" s="423"/>
      <c r="M13" s="423"/>
      <c r="N13" s="423"/>
      <c r="O13" s="423"/>
      <c r="P13" s="707" t="str">
        <f t="shared" si="3"/>
        <v>ок</v>
      </c>
      <c r="Q13" s="416">
        <f t="shared" si="9"/>
        <v>0</v>
      </c>
      <c r="R13" s="423"/>
      <c r="S13" s="423"/>
      <c r="T13" s="423"/>
      <c r="U13" s="467">
        <f t="shared" si="10"/>
        <v>0</v>
      </c>
      <c r="V13" s="447"/>
      <c r="W13" s="423"/>
      <c r="X13" s="423"/>
      <c r="Y13" s="423"/>
      <c r="Z13" s="448"/>
      <c r="AA13" s="466">
        <f t="shared" si="4"/>
        <v>0</v>
      </c>
      <c r="AB13" s="469">
        <f t="shared" si="11"/>
        <v>0</v>
      </c>
      <c r="AC13" s="421"/>
      <c r="AD13" s="449"/>
      <c r="AE13" s="449"/>
      <c r="AF13" s="422"/>
      <c r="AG13" s="422"/>
      <c r="AH13" s="466">
        <f t="shared" si="5"/>
        <v>0</v>
      </c>
      <c r="AI13" s="422"/>
      <c r="AJ13" s="422"/>
      <c r="AK13" s="422"/>
      <c r="AL13" s="422"/>
      <c r="AM13" s="422"/>
      <c r="AN13" s="422"/>
      <c r="AO13" s="422"/>
      <c r="AP13" s="422"/>
      <c r="AQ13" s="466">
        <f t="shared" si="0"/>
        <v>0</v>
      </c>
      <c r="AR13" s="423"/>
      <c r="AS13" s="423"/>
      <c r="AT13" s="423"/>
      <c r="AU13" s="423"/>
      <c r="AV13" s="423"/>
      <c r="AW13" s="466">
        <f t="shared" si="1"/>
        <v>0</v>
      </c>
      <c r="AX13" s="423"/>
      <c r="AY13" s="423"/>
      <c r="AZ13" s="466">
        <f t="shared" si="6"/>
        <v>0</v>
      </c>
      <c r="BA13" s="423"/>
      <c r="BB13" s="466">
        <f t="shared" si="2"/>
        <v>0</v>
      </c>
      <c r="BC13" s="469">
        <f t="shared" si="7"/>
        <v>0</v>
      </c>
      <c r="BD13" s="470">
        <f t="shared" si="8"/>
        <v>0</v>
      </c>
      <c r="BE13" s="159"/>
      <c r="BF13" s="146"/>
      <c r="BG13" s="148">
        <f t="shared" si="12"/>
        <v>0</v>
      </c>
      <c r="BH13" s="767">
        <v>183</v>
      </c>
      <c r="BI13" s="148"/>
      <c r="BJ13" s="150"/>
    </row>
    <row r="14" spans="1:62" ht="15" customHeight="1" x14ac:dyDescent="0.2">
      <c r="A14" s="1534"/>
      <c r="B14" s="1303"/>
      <c r="C14" s="901" t="s">
        <v>196</v>
      </c>
      <c r="D14" s="998"/>
      <c r="E14" s="995"/>
      <c r="F14" s="511"/>
      <c r="G14" s="995"/>
      <c r="H14" s="995"/>
      <c r="I14" s="996"/>
      <c r="J14" s="462"/>
      <c r="K14" s="155"/>
      <c r="L14" s="423"/>
      <c r="M14" s="423"/>
      <c r="N14" s="423"/>
      <c r="O14" s="423"/>
      <c r="P14" s="707" t="str">
        <f t="shared" si="3"/>
        <v>ок</v>
      </c>
      <c r="Q14" s="416">
        <f t="shared" si="9"/>
        <v>0</v>
      </c>
      <c r="R14" s="423"/>
      <c r="S14" s="423"/>
      <c r="T14" s="423"/>
      <c r="U14" s="467">
        <f t="shared" si="10"/>
        <v>0</v>
      </c>
      <c r="V14" s="447"/>
      <c r="W14" s="423"/>
      <c r="X14" s="423"/>
      <c r="Y14" s="423"/>
      <c r="Z14" s="448"/>
      <c r="AA14" s="466">
        <f t="shared" si="4"/>
        <v>0</v>
      </c>
      <c r="AB14" s="469">
        <f t="shared" si="11"/>
        <v>0</v>
      </c>
      <c r="AC14" s="421"/>
      <c r="AD14" s="449"/>
      <c r="AE14" s="449"/>
      <c r="AF14" s="422"/>
      <c r="AG14" s="422"/>
      <c r="AH14" s="466">
        <f t="shared" si="5"/>
        <v>0</v>
      </c>
      <c r="AI14" s="422"/>
      <c r="AJ14" s="422"/>
      <c r="AK14" s="422"/>
      <c r="AL14" s="422"/>
      <c r="AM14" s="422"/>
      <c r="AN14" s="422"/>
      <c r="AO14" s="422"/>
      <c r="AP14" s="422"/>
      <c r="AQ14" s="466">
        <f t="shared" si="0"/>
        <v>0</v>
      </c>
      <c r="AR14" s="423"/>
      <c r="AS14" s="423"/>
      <c r="AT14" s="423"/>
      <c r="AU14" s="423"/>
      <c r="AV14" s="423"/>
      <c r="AW14" s="466">
        <f t="shared" si="1"/>
        <v>0</v>
      </c>
      <c r="AX14" s="423"/>
      <c r="AY14" s="423"/>
      <c r="AZ14" s="466">
        <f t="shared" si="6"/>
        <v>0</v>
      </c>
      <c r="BA14" s="423"/>
      <c r="BB14" s="466">
        <f t="shared" si="2"/>
        <v>0</v>
      </c>
      <c r="BC14" s="469">
        <f t="shared" si="7"/>
        <v>0</v>
      </c>
      <c r="BD14" s="470">
        <f t="shared" si="8"/>
        <v>0</v>
      </c>
      <c r="BE14" s="159"/>
      <c r="BF14" s="146"/>
      <c r="BG14" s="148">
        <f t="shared" si="12"/>
        <v>0</v>
      </c>
      <c r="BH14" s="767">
        <v>43</v>
      </c>
      <c r="BI14" s="148"/>
    </row>
    <row r="15" spans="1:62" ht="15" customHeight="1" x14ac:dyDescent="0.2">
      <c r="A15" s="1534"/>
      <c r="B15" s="1303"/>
      <c r="C15" s="901" t="s">
        <v>523</v>
      </c>
      <c r="D15" s="998"/>
      <c r="E15" s="995"/>
      <c r="F15" s="511"/>
      <c r="G15" s="995"/>
      <c r="H15" s="995"/>
      <c r="I15" s="996"/>
      <c r="J15" s="462"/>
      <c r="K15" s="155"/>
      <c r="L15" s="423"/>
      <c r="M15" s="423"/>
      <c r="N15" s="423"/>
      <c r="O15" s="423"/>
      <c r="P15" s="707" t="str">
        <f t="shared" ref="P15" si="13">IF(N15&lt;AB15,"!","ок")</f>
        <v>ок</v>
      </c>
      <c r="Q15" s="416">
        <f t="shared" ref="Q15" si="14">IF(AC15="",0,12-(R15+S15+T15+AA15+BC15))</f>
        <v>0</v>
      </c>
      <c r="R15" s="423"/>
      <c r="S15" s="423"/>
      <c r="T15" s="423"/>
      <c r="U15" s="467">
        <f t="shared" si="10"/>
        <v>0</v>
      </c>
      <c r="V15" s="447"/>
      <c r="W15" s="423"/>
      <c r="X15" s="423"/>
      <c r="Y15" s="423"/>
      <c r="Z15" s="448"/>
      <c r="AA15" s="466">
        <f t="shared" ref="AA15" si="15">SUM(V15:Z15)</f>
        <v>0</v>
      </c>
      <c r="AB15" s="469">
        <f t="shared" ref="AB15" si="16">AA15+U15</f>
        <v>0</v>
      </c>
      <c r="AC15" s="421"/>
      <c r="AD15" s="449"/>
      <c r="AE15" s="449"/>
      <c r="AF15" s="422"/>
      <c r="AG15" s="422"/>
      <c r="AH15" s="466">
        <f t="shared" si="5"/>
        <v>0</v>
      </c>
      <c r="AI15" s="422"/>
      <c r="AJ15" s="422"/>
      <c r="AK15" s="422"/>
      <c r="AL15" s="422"/>
      <c r="AM15" s="422"/>
      <c r="AN15" s="422"/>
      <c r="AO15" s="422"/>
      <c r="AP15" s="422"/>
      <c r="AQ15" s="466">
        <f t="shared" si="0"/>
        <v>0</v>
      </c>
      <c r="AR15" s="423"/>
      <c r="AS15" s="423"/>
      <c r="AT15" s="423"/>
      <c r="AU15" s="423"/>
      <c r="AV15" s="423"/>
      <c r="AW15" s="466">
        <f t="shared" si="1"/>
        <v>0</v>
      </c>
      <c r="AX15" s="423"/>
      <c r="AY15" s="423"/>
      <c r="AZ15" s="466">
        <f t="shared" si="6"/>
        <v>0</v>
      </c>
      <c r="BA15" s="423"/>
      <c r="BB15" s="466">
        <f t="shared" si="2"/>
        <v>0</v>
      </c>
      <c r="BC15" s="469">
        <f t="shared" si="7"/>
        <v>0</v>
      </c>
      <c r="BD15" s="470">
        <f t="shared" si="8"/>
        <v>0</v>
      </c>
      <c r="BE15" s="159"/>
      <c r="BF15" s="146"/>
      <c r="BG15" s="148">
        <f t="shared" si="12"/>
        <v>0</v>
      </c>
      <c r="BH15" s="767">
        <v>284</v>
      </c>
      <c r="BI15" s="148"/>
    </row>
    <row r="16" spans="1:62" ht="15" customHeight="1" x14ac:dyDescent="0.2">
      <c r="A16" s="1534"/>
      <c r="B16" s="1303"/>
      <c r="C16" s="901" t="s">
        <v>533</v>
      </c>
      <c r="D16" s="998"/>
      <c r="E16" s="995"/>
      <c r="F16" s="511"/>
      <c r="G16" s="995"/>
      <c r="H16" s="995"/>
      <c r="I16" s="996"/>
      <c r="J16" s="462"/>
      <c r="K16" s="155"/>
      <c r="L16" s="423"/>
      <c r="M16" s="423"/>
      <c r="N16" s="423"/>
      <c r="O16" s="423"/>
      <c r="P16" s="707" t="str">
        <f t="shared" ref="P16" si="17">IF(N16&lt;AB16,"!","ок")</f>
        <v>ок</v>
      </c>
      <c r="Q16" s="416">
        <f t="shared" ref="Q16" si="18">IF(AC16="",0,12-(R16+S16+T16+AA16+BC16))</f>
        <v>0</v>
      </c>
      <c r="R16" s="423"/>
      <c r="S16" s="423"/>
      <c r="T16" s="423"/>
      <c r="U16" s="467">
        <f t="shared" ref="U16" si="19">SUM(Q16:T16)</f>
        <v>0</v>
      </c>
      <c r="V16" s="447"/>
      <c r="W16" s="423"/>
      <c r="X16" s="423"/>
      <c r="Y16" s="423"/>
      <c r="Z16" s="448"/>
      <c r="AA16" s="466">
        <f t="shared" ref="AA16" si="20">SUM(V16:Z16)</f>
        <v>0</v>
      </c>
      <c r="AB16" s="469">
        <f t="shared" ref="AB16" si="21">AA16+U16</f>
        <v>0</v>
      </c>
      <c r="AC16" s="421"/>
      <c r="AD16" s="449"/>
      <c r="AE16" s="449"/>
      <c r="AF16" s="422"/>
      <c r="AG16" s="422"/>
      <c r="AH16" s="466">
        <f t="shared" ref="AH16" si="22">SUM(AC16:AG16)</f>
        <v>0</v>
      </c>
      <c r="AI16" s="422"/>
      <c r="AJ16" s="422"/>
      <c r="AK16" s="422"/>
      <c r="AL16" s="422"/>
      <c r="AM16" s="422"/>
      <c r="AN16" s="422"/>
      <c r="AO16" s="422"/>
      <c r="AP16" s="422"/>
      <c r="AQ16" s="466">
        <f t="shared" ref="AQ16" si="23">SUM(AI16:AP16)</f>
        <v>0</v>
      </c>
      <c r="AR16" s="423"/>
      <c r="AS16" s="423"/>
      <c r="AT16" s="423"/>
      <c r="AU16" s="423"/>
      <c r="AV16" s="423"/>
      <c r="AW16" s="466">
        <f t="shared" ref="AW16" si="24">SUM(AR16:AV16)</f>
        <v>0</v>
      </c>
      <c r="AX16" s="423"/>
      <c r="AY16" s="423"/>
      <c r="AZ16" s="466">
        <f t="shared" ref="AZ16" si="25">SUM(AX16:AY16)</f>
        <v>0</v>
      </c>
      <c r="BA16" s="423"/>
      <c r="BB16" s="466">
        <f t="shared" ref="BB16" si="26">AQ16+AW16+AZ16+BA16</f>
        <v>0</v>
      </c>
      <c r="BC16" s="469">
        <f t="shared" ref="BC16" si="27">BB16+AH16</f>
        <v>0</v>
      </c>
      <c r="BD16" s="470">
        <f t="shared" ref="BD16" si="28">BC16+AB16</f>
        <v>0</v>
      </c>
      <c r="BE16" s="159"/>
      <c r="BF16" s="146"/>
      <c r="BG16" s="148">
        <f t="shared" ref="BG16" si="29">BF16*14.7*0.95</f>
        <v>0</v>
      </c>
      <c r="BH16" s="767">
        <v>284</v>
      </c>
      <c r="BI16" s="148"/>
    </row>
    <row r="17" spans="1:61" ht="15" customHeight="1" x14ac:dyDescent="0.2">
      <c r="A17" s="1534"/>
      <c r="B17" s="1303"/>
      <c r="C17" s="901" t="s">
        <v>525</v>
      </c>
      <c r="D17" s="998"/>
      <c r="E17" s="995"/>
      <c r="F17" s="511"/>
      <c r="G17" s="995"/>
      <c r="H17" s="995"/>
      <c r="I17" s="996"/>
      <c r="J17" s="462"/>
      <c r="K17" s="155"/>
      <c r="L17" s="423"/>
      <c r="M17" s="423"/>
      <c r="N17" s="423"/>
      <c r="O17" s="423"/>
      <c r="P17" s="707" t="str">
        <f t="shared" ref="P17" si="30">IF(N17&lt;AB17,"!","ок")</f>
        <v>ок</v>
      </c>
      <c r="Q17" s="416">
        <f>IF(AC17="",0,12-(R17+S17+T17+AA17+BC17))</f>
        <v>0</v>
      </c>
      <c r="R17" s="423"/>
      <c r="S17" s="423"/>
      <c r="T17" s="423"/>
      <c r="U17" s="467">
        <f t="shared" ref="U17" si="31">SUM(Q17:T17)</f>
        <v>0</v>
      </c>
      <c r="V17" s="447"/>
      <c r="W17" s="423"/>
      <c r="X17" s="423"/>
      <c r="Y17" s="423"/>
      <c r="Z17" s="448"/>
      <c r="AA17" s="466">
        <f t="shared" ref="AA17" si="32">SUM(V17:Z17)</f>
        <v>0</v>
      </c>
      <c r="AB17" s="469">
        <f t="shared" ref="AB17" si="33">AA17+U17</f>
        <v>0</v>
      </c>
      <c r="AC17" s="421"/>
      <c r="AD17" s="449"/>
      <c r="AE17" s="449"/>
      <c r="AF17" s="422"/>
      <c r="AG17" s="422"/>
      <c r="AH17" s="466">
        <f t="shared" ref="AH17" si="34">SUM(AC17:AG17)</f>
        <v>0</v>
      </c>
      <c r="AI17" s="422"/>
      <c r="AJ17" s="422"/>
      <c r="AK17" s="422"/>
      <c r="AL17" s="422"/>
      <c r="AM17" s="422"/>
      <c r="AN17" s="422"/>
      <c r="AO17" s="422"/>
      <c r="AP17" s="422"/>
      <c r="AQ17" s="466">
        <f t="shared" ref="AQ17" si="35">SUM(AI17:AP17)</f>
        <v>0</v>
      </c>
      <c r="AR17" s="423"/>
      <c r="AS17" s="423"/>
      <c r="AT17" s="423"/>
      <c r="AU17" s="423"/>
      <c r="AV17" s="423"/>
      <c r="AW17" s="466">
        <f t="shared" ref="AW17" si="36">SUM(AR17:AV17)</f>
        <v>0</v>
      </c>
      <c r="AX17" s="423"/>
      <c r="AY17" s="423"/>
      <c r="AZ17" s="466">
        <f t="shared" ref="AZ17" si="37">SUM(AX17:AY17)</f>
        <v>0</v>
      </c>
      <c r="BA17" s="423"/>
      <c r="BB17" s="466">
        <f t="shared" ref="BB17" si="38">AQ17+AW17+AZ17+BA17</f>
        <v>0</v>
      </c>
      <c r="BC17" s="469">
        <f t="shared" ref="BC17" si="39">BB17+AH17</f>
        <v>0</v>
      </c>
      <c r="BD17" s="470">
        <f t="shared" ref="BD17" si="40">BC17+AB17</f>
        <v>0</v>
      </c>
      <c r="BE17" s="159"/>
      <c r="BF17" s="146"/>
      <c r="BG17" s="148">
        <f t="shared" si="12"/>
        <v>0</v>
      </c>
      <c r="BH17" s="767">
        <v>286</v>
      </c>
      <c r="BI17" s="148"/>
    </row>
    <row r="18" spans="1:61" ht="25.5" x14ac:dyDescent="0.2">
      <c r="A18" s="1534"/>
      <c r="B18" s="1303"/>
      <c r="C18" s="901" t="s">
        <v>256</v>
      </c>
      <c r="D18" s="999"/>
      <c r="E18" s="675"/>
      <c r="F18" s="675"/>
      <c r="G18" s="675"/>
      <c r="H18" s="675"/>
      <c r="I18" s="996"/>
      <c r="J18" s="985"/>
      <c r="K18" s="155"/>
      <c r="L18" s="426"/>
      <c r="M18" s="426"/>
      <c r="N18" s="426"/>
      <c r="O18" s="426"/>
      <c r="P18" s="426"/>
      <c r="Q18" s="426"/>
      <c r="R18" s="426"/>
      <c r="S18" s="426"/>
      <c r="T18" s="426"/>
      <c r="U18" s="427"/>
      <c r="V18" s="425"/>
      <c r="W18" s="426"/>
      <c r="X18" s="426"/>
      <c r="Y18" s="426"/>
      <c r="Z18" s="427"/>
      <c r="AA18" s="427"/>
      <c r="AB18" s="437"/>
      <c r="AC18" s="425"/>
      <c r="AD18" s="436"/>
      <c r="AE18" s="436"/>
      <c r="AF18" s="426"/>
      <c r="AG18" s="426"/>
      <c r="AH18" s="426"/>
      <c r="AI18" s="426"/>
      <c r="AJ18" s="426"/>
      <c r="AK18" s="426"/>
      <c r="AL18" s="426"/>
      <c r="AM18" s="426"/>
      <c r="AN18" s="426"/>
      <c r="AO18" s="426"/>
      <c r="AP18" s="426"/>
      <c r="AQ18" s="426"/>
      <c r="AR18" s="426"/>
      <c r="AS18" s="426"/>
      <c r="AT18" s="426"/>
      <c r="AU18" s="426"/>
      <c r="AV18" s="426"/>
      <c r="AW18" s="426"/>
      <c r="AX18" s="426"/>
      <c r="AY18" s="426"/>
      <c r="AZ18" s="426"/>
      <c r="BA18" s="426"/>
      <c r="BB18" s="426"/>
      <c r="BC18" s="437"/>
      <c r="BD18" s="450"/>
      <c r="BE18" s="159"/>
      <c r="BF18" s="146"/>
      <c r="BG18" s="148">
        <f t="shared" si="12"/>
        <v>0</v>
      </c>
      <c r="BI18" s="148"/>
    </row>
    <row r="19" spans="1:61" x14ac:dyDescent="0.2">
      <c r="A19" s="1534"/>
      <c r="B19" s="1535" t="s">
        <v>13</v>
      </c>
      <c r="C19" s="902" t="s">
        <v>353</v>
      </c>
      <c r="D19" s="506">
        <f>SUM(D6:D18)</f>
        <v>0</v>
      </c>
      <c r="E19" s="511">
        <f>SUM(E6:E18)</f>
        <v>0</v>
      </c>
      <c r="F19" s="511">
        <f>SUM(F6:F18)</f>
        <v>0</v>
      </c>
      <c r="G19" s="511">
        <f>SUM(G6:G18)</f>
        <v>0</v>
      </c>
      <c r="H19" s="511">
        <f>SUM(H6:H18)</f>
        <v>0</v>
      </c>
      <c r="I19" s="675"/>
      <c r="J19" s="462">
        <f>SUM(G19:H19)</f>
        <v>0</v>
      </c>
      <c r="K19" s="155"/>
      <c r="L19" s="466">
        <f>SUM(L8:L17)</f>
        <v>0</v>
      </c>
      <c r="M19" s="466">
        <f>SUM(M8:M17)</f>
        <v>0</v>
      </c>
      <c r="N19" s="466">
        <f>SUM(N8:N17)</f>
        <v>0</v>
      </c>
      <c r="O19" s="466">
        <f>SUM(O8:O17)</f>
        <v>0</v>
      </c>
      <c r="P19" s="466"/>
      <c r="Q19" s="466">
        <f>SUM(Q8:Q17)</f>
        <v>0</v>
      </c>
      <c r="R19" s="466">
        <f>SUM(R8:R17)</f>
        <v>0</v>
      </c>
      <c r="S19" s="466">
        <f>SUM(S8:S17)</f>
        <v>0</v>
      </c>
      <c r="T19" s="466">
        <f>SUM(T8:T17)</f>
        <v>0</v>
      </c>
      <c r="U19" s="466">
        <f>SUM(U8:U17)</f>
        <v>0</v>
      </c>
      <c r="V19" s="468">
        <f t="shared" ref="V19:AB19" si="41">SUM(V6:V18)</f>
        <v>0</v>
      </c>
      <c r="W19" s="466">
        <f t="shared" si="41"/>
        <v>0</v>
      </c>
      <c r="X19" s="466">
        <f t="shared" si="41"/>
        <v>0</v>
      </c>
      <c r="Y19" s="466">
        <f t="shared" si="41"/>
        <v>0</v>
      </c>
      <c r="Z19" s="466">
        <f t="shared" si="41"/>
        <v>0</v>
      </c>
      <c r="AA19" s="466">
        <f t="shared" si="41"/>
        <v>0</v>
      </c>
      <c r="AB19" s="469">
        <f t="shared" si="41"/>
        <v>0</v>
      </c>
      <c r="AC19" s="466">
        <f t="shared" ref="AC19:BD19" si="42">SUM(AC8:AC17)</f>
        <v>0</v>
      </c>
      <c r="AD19" s="466">
        <f t="shared" si="42"/>
        <v>0</v>
      </c>
      <c r="AE19" s="466">
        <f t="shared" si="42"/>
        <v>0</v>
      </c>
      <c r="AF19" s="466">
        <f t="shared" si="42"/>
        <v>0</v>
      </c>
      <c r="AG19" s="466">
        <f t="shared" si="42"/>
        <v>0</v>
      </c>
      <c r="AH19" s="466">
        <f t="shared" si="42"/>
        <v>0</v>
      </c>
      <c r="AI19" s="466">
        <f t="shared" si="42"/>
        <v>0</v>
      </c>
      <c r="AJ19" s="466">
        <f t="shared" si="42"/>
        <v>0</v>
      </c>
      <c r="AK19" s="466">
        <f t="shared" si="42"/>
        <v>0</v>
      </c>
      <c r="AL19" s="466">
        <f t="shared" si="42"/>
        <v>0</v>
      </c>
      <c r="AM19" s="466">
        <f t="shared" si="42"/>
        <v>0</v>
      </c>
      <c r="AN19" s="466">
        <f t="shared" si="42"/>
        <v>0</v>
      </c>
      <c r="AO19" s="466">
        <f t="shared" si="42"/>
        <v>0</v>
      </c>
      <c r="AP19" s="466">
        <f t="shared" si="42"/>
        <v>0</v>
      </c>
      <c r="AQ19" s="466">
        <f t="shared" si="42"/>
        <v>0</v>
      </c>
      <c r="AR19" s="466">
        <f t="shared" si="42"/>
        <v>0</v>
      </c>
      <c r="AS19" s="466">
        <f t="shared" si="42"/>
        <v>0</v>
      </c>
      <c r="AT19" s="466">
        <f t="shared" si="42"/>
        <v>0</v>
      </c>
      <c r="AU19" s="466">
        <f t="shared" si="42"/>
        <v>0</v>
      </c>
      <c r="AV19" s="466">
        <f t="shared" si="42"/>
        <v>0</v>
      </c>
      <c r="AW19" s="466">
        <f t="shared" si="42"/>
        <v>0</v>
      </c>
      <c r="AX19" s="466">
        <f t="shared" si="42"/>
        <v>0</v>
      </c>
      <c r="AY19" s="466">
        <f t="shared" si="42"/>
        <v>0</v>
      </c>
      <c r="AZ19" s="466">
        <f t="shared" si="42"/>
        <v>0</v>
      </c>
      <c r="BA19" s="466">
        <f t="shared" si="42"/>
        <v>0</v>
      </c>
      <c r="BB19" s="466">
        <f t="shared" si="42"/>
        <v>0</v>
      </c>
      <c r="BC19" s="466">
        <f t="shared" si="42"/>
        <v>0</v>
      </c>
      <c r="BD19" s="466">
        <f t="shared" si="42"/>
        <v>0</v>
      </c>
      <c r="BE19" s="159"/>
      <c r="BF19" s="151">
        <f>SUM(BF10:BF18)</f>
        <v>0</v>
      </c>
      <c r="BG19" s="148">
        <f>BF19*15*0.9</f>
        <v>0</v>
      </c>
      <c r="BI19" s="148"/>
    </row>
    <row r="20" spans="1:61" ht="16.5" customHeight="1" thickBot="1" x14ac:dyDescent="0.25">
      <c r="A20" s="1540"/>
      <c r="B20" s="1542"/>
      <c r="C20" s="903" t="s">
        <v>12</v>
      </c>
      <c r="D20" s="1000"/>
      <c r="E20" s="1001"/>
      <c r="F20" s="512">
        <f>SUM(F8:F17)</f>
        <v>0</v>
      </c>
      <c r="G20" s="1001"/>
      <c r="H20" s="1001"/>
      <c r="I20" s="512">
        <f>SUM(I8:I17)</f>
        <v>0</v>
      </c>
      <c r="J20" s="507">
        <f>SUM(J6:J9,J10:J17)</f>
        <v>0</v>
      </c>
      <c r="K20" s="463">
        <f>SUM(K6:K18)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30"/>
      <c r="V20" s="428"/>
      <c r="W20" s="429"/>
      <c r="X20" s="429"/>
      <c r="Y20" s="429"/>
      <c r="Z20" s="430"/>
      <c r="AA20" s="430"/>
      <c r="AB20" s="451"/>
      <c r="AC20" s="428"/>
      <c r="AD20" s="438"/>
      <c r="AE20" s="438"/>
      <c r="AF20" s="429"/>
      <c r="AG20" s="429"/>
      <c r="AH20" s="429"/>
      <c r="AI20" s="429"/>
      <c r="AJ20" s="429"/>
      <c r="AK20" s="429"/>
      <c r="AL20" s="429"/>
      <c r="AM20" s="429"/>
      <c r="AN20" s="429"/>
      <c r="AO20" s="429"/>
      <c r="AP20" s="429"/>
      <c r="AQ20" s="429"/>
      <c r="AR20" s="429"/>
      <c r="AS20" s="429"/>
      <c r="AT20" s="429"/>
      <c r="AU20" s="429"/>
      <c r="AV20" s="429"/>
      <c r="AW20" s="429"/>
      <c r="AX20" s="429"/>
      <c r="AY20" s="429"/>
      <c r="AZ20" s="429"/>
      <c r="BA20" s="429"/>
      <c r="BB20" s="429"/>
      <c r="BC20" s="451"/>
      <c r="BD20" s="452"/>
      <c r="BE20" s="160"/>
      <c r="BF20" s="146"/>
      <c r="BG20" s="148"/>
      <c r="BI20" s="148"/>
    </row>
    <row r="21" spans="1:61" ht="16.5" hidden="1" customHeight="1" x14ac:dyDescent="0.2">
      <c r="A21" s="1533">
        <v>2</v>
      </c>
      <c r="B21" s="1544" t="s">
        <v>23</v>
      </c>
      <c r="C21" s="900" t="s">
        <v>279</v>
      </c>
      <c r="D21" s="1002"/>
      <c r="E21" s="1003"/>
      <c r="F21" s="673"/>
      <c r="G21" s="1004"/>
      <c r="H21" s="1004"/>
      <c r="I21" s="1005"/>
      <c r="J21" s="461"/>
      <c r="K21" s="154"/>
      <c r="L21" s="432"/>
      <c r="M21" s="416"/>
      <c r="N21" s="416"/>
      <c r="O21" s="416"/>
      <c r="P21" s="716" t="str">
        <f>IF(N21&lt;AB21,"!","ок")</f>
        <v>ок</v>
      </c>
      <c r="Q21" s="416">
        <f>IF(AC21="",0,12-(R21+S21+T21+AA21+BC21))</f>
        <v>0</v>
      </c>
      <c r="R21" s="432"/>
      <c r="S21" s="432"/>
      <c r="T21" s="432"/>
      <c r="U21" s="477">
        <f t="shared" ref="U21:U30" si="43">SUM(Q21:T21)</f>
        <v>0</v>
      </c>
      <c r="V21" s="444"/>
      <c r="W21" s="432"/>
      <c r="X21" s="432"/>
      <c r="Y21" s="432"/>
      <c r="Z21" s="445"/>
      <c r="AA21" s="475">
        <f>SUM(V21:Z21)</f>
        <v>0</v>
      </c>
      <c r="AB21" s="476">
        <f>AA21+U21</f>
        <v>0</v>
      </c>
      <c r="AC21" s="421"/>
      <c r="AD21" s="721"/>
      <c r="AE21" s="446"/>
      <c r="AF21" s="431"/>
      <c r="AG21" s="431"/>
      <c r="AH21" s="471">
        <f>SUM(AC21:AG21)</f>
        <v>0</v>
      </c>
      <c r="AI21" s="431"/>
      <c r="AJ21" s="431"/>
      <c r="AK21" s="431"/>
      <c r="AL21" s="431"/>
      <c r="AM21" s="431"/>
      <c r="AN21" s="431"/>
      <c r="AO21" s="431"/>
      <c r="AP21" s="431"/>
      <c r="AQ21" s="471">
        <f t="shared" ref="AQ21:AQ30" si="44">SUM(AI21:AP21)</f>
        <v>0</v>
      </c>
      <c r="AR21" s="432"/>
      <c r="AS21" s="432"/>
      <c r="AT21" s="432"/>
      <c r="AU21" s="432"/>
      <c r="AV21" s="432"/>
      <c r="AW21" s="471">
        <f t="shared" ref="AW21:AW30" si="45">SUM(AR21:AV21)</f>
        <v>0</v>
      </c>
      <c r="AX21" s="432"/>
      <c r="AY21" s="432"/>
      <c r="AZ21" s="471">
        <f>SUM(AX21:AY21)</f>
        <v>0</v>
      </c>
      <c r="BA21" s="432"/>
      <c r="BB21" s="472">
        <f t="shared" ref="BB21:BB29" si="46">AQ21+AW21+AZ21+BA21</f>
        <v>0</v>
      </c>
      <c r="BC21" s="473">
        <f t="shared" ref="BC21:BC29" si="47">BB21+AH21</f>
        <v>0</v>
      </c>
      <c r="BD21" s="474">
        <f t="shared" ref="BD21:BD29" si="48">BC21+AB21</f>
        <v>0</v>
      </c>
      <c r="BE21" s="158"/>
      <c r="BF21" s="146"/>
      <c r="BG21" s="148">
        <f>BF21*14.7*0.95</f>
        <v>0</v>
      </c>
      <c r="BH21" s="767">
        <v>51</v>
      </c>
      <c r="BI21" s="148"/>
    </row>
    <row r="22" spans="1:61" ht="16.5" hidden="1" customHeight="1" x14ac:dyDescent="0.2">
      <c r="A22" s="1534"/>
      <c r="B22" s="1545"/>
      <c r="C22" s="900" t="s">
        <v>325</v>
      </c>
      <c r="D22" s="993"/>
      <c r="E22" s="994"/>
      <c r="F22" s="511"/>
      <c r="G22" s="995"/>
      <c r="H22" s="995"/>
      <c r="I22" s="996"/>
      <c r="J22" s="462"/>
      <c r="K22" s="155"/>
      <c r="L22" s="423"/>
      <c r="M22" s="423"/>
      <c r="N22" s="423"/>
      <c r="O22" s="423"/>
      <c r="P22" s="707" t="str">
        <f t="shared" ref="P22:P30" si="49">IF(N22&lt;AB22,"!","ок")</f>
        <v>ок</v>
      </c>
      <c r="Q22" s="416">
        <f t="shared" ref="Q22:Q30" si="50">IF(AC22="",0,12-(R22+S22+T22+AA22+BC22))</f>
        <v>0</v>
      </c>
      <c r="R22" s="423"/>
      <c r="S22" s="423"/>
      <c r="T22" s="423"/>
      <c r="U22" s="467">
        <f t="shared" si="43"/>
        <v>0</v>
      </c>
      <c r="V22" s="447"/>
      <c r="W22" s="423"/>
      <c r="X22" s="423"/>
      <c r="Y22" s="423"/>
      <c r="Z22" s="448"/>
      <c r="AA22" s="466">
        <f t="shared" ref="AA22:AA29" si="51">SUM(V22:Z22)</f>
        <v>0</v>
      </c>
      <c r="AB22" s="469">
        <f t="shared" ref="AB22:AB29" si="52">AA22+U22</f>
        <v>0</v>
      </c>
      <c r="AC22" s="421"/>
      <c r="AD22" s="449"/>
      <c r="AE22" s="449"/>
      <c r="AF22" s="422"/>
      <c r="AG22" s="422"/>
      <c r="AH22" s="466">
        <f t="shared" ref="AH22:AH30" si="53">SUM(AC22:AG22)</f>
        <v>0</v>
      </c>
      <c r="AI22" s="422"/>
      <c r="AJ22" s="422"/>
      <c r="AK22" s="422"/>
      <c r="AL22" s="422"/>
      <c r="AM22" s="422"/>
      <c r="AN22" s="422"/>
      <c r="AO22" s="422"/>
      <c r="AP22" s="422"/>
      <c r="AQ22" s="466">
        <f t="shared" si="44"/>
        <v>0</v>
      </c>
      <c r="AR22" s="423"/>
      <c r="AS22" s="423"/>
      <c r="AT22" s="423"/>
      <c r="AU22" s="423"/>
      <c r="AV22" s="423"/>
      <c r="AW22" s="466">
        <f t="shared" si="45"/>
        <v>0</v>
      </c>
      <c r="AX22" s="423"/>
      <c r="AY22" s="423"/>
      <c r="AZ22" s="466">
        <f t="shared" ref="AZ22:AZ30" si="54">SUM(AX22:AY22)</f>
        <v>0</v>
      </c>
      <c r="BA22" s="423"/>
      <c r="BB22" s="466">
        <f t="shared" si="46"/>
        <v>0</v>
      </c>
      <c r="BC22" s="469">
        <f t="shared" si="47"/>
        <v>0</v>
      </c>
      <c r="BD22" s="470">
        <f t="shared" si="48"/>
        <v>0</v>
      </c>
      <c r="BE22" s="159"/>
      <c r="BF22" s="146"/>
      <c r="BG22" s="148">
        <f>BF22*14.7*0.95</f>
        <v>0</v>
      </c>
      <c r="BH22" s="767">
        <v>89</v>
      </c>
      <c r="BI22" s="148"/>
    </row>
    <row r="23" spans="1:61" ht="16.5" hidden="1" customHeight="1" x14ac:dyDescent="0.2">
      <c r="A23" s="1534"/>
      <c r="B23" s="1545"/>
      <c r="C23" s="900" t="s">
        <v>406</v>
      </c>
      <c r="D23" s="993"/>
      <c r="E23" s="994"/>
      <c r="F23" s="511"/>
      <c r="G23" s="995"/>
      <c r="H23" s="995"/>
      <c r="I23" s="996"/>
      <c r="J23" s="509"/>
      <c r="K23" s="155"/>
      <c r="L23" s="423"/>
      <c r="M23" s="423"/>
      <c r="N23" s="423"/>
      <c r="O23" s="423"/>
      <c r="P23" s="707" t="str">
        <f>IF(N23&lt;AB23,"!","ок")</f>
        <v>ок</v>
      </c>
      <c r="Q23" s="416">
        <f>IF(AC23="",0,12-(R23+S23+T23+AA23+BC23))</f>
        <v>0</v>
      </c>
      <c r="R23" s="423"/>
      <c r="S23" s="423"/>
      <c r="T23" s="423"/>
      <c r="U23" s="467">
        <f>SUM(Q23:T23)</f>
        <v>0</v>
      </c>
      <c r="V23" s="447"/>
      <c r="W23" s="423"/>
      <c r="X23" s="423"/>
      <c r="Y23" s="423"/>
      <c r="Z23" s="448"/>
      <c r="AA23" s="466">
        <f>SUM(V23:Z23)</f>
        <v>0</v>
      </c>
      <c r="AB23" s="469">
        <f>AA23+U23</f>
        <v>0</v>
      </c>
      <c r="AC23" s="421"/>
      <c r="AD23" s="449"/>
      <c r="AE23" s="449"/>
      <c r="AF23" s="422"/>
      <c r="AG23" s="422"/>
      <c r="AH23" s="466">
        <f>SUM(AC23:AG23)</f>
        <v>0</v>
      </c>
      <c r="AI23" s="422"/>
      <c r="AJ23" s="422"/>
      <c r="AK23" s="422"/>
      <c r="AL23" s="422"/>
      <c r="AM23" s="422"/>
      <c r="AN23" s="422"/>
      <c r="AO23" s="422"/>
      <c r="AP23" s="422"/>
      <c r="AQ23" s="466">
        <f>SUM(AI23:AP23)</f>
        <v>0</v>
      </c>
      <c r="AR23" s="423"/>
      <c r="AS23" s="423"/>
      <c r="AT23" s="423"/>
      <c r="AU23" s="423"/>
      <c r="AV23" s="423"/>
      <c r="AW23" s="466">
        <f>SUM(AR23:AV23)</f>
        <v>0</v>
      </c>
      <c r="AX23" s="423"/>
      <c r="AY23" s="423"/>
      <c r="AZ23" s="466">
        <f>SUM(AX23:AY23)</f>
        <v>0</v>
      </c>
      <c r="BA23" s="423"/>
      <c r="BB23" s="466">
        <f>AQ23+AW23+AZ23+BA23</f>
        <v>0</v>
      </c>
      <c r="BC23" s="469">
        <f>BB23+AH23</f>
        <v>0</v>
      </c>
      <c r="BD23" s="470">
        <f>BC23+AB23</f>
        <v>0</v>
      </c>
      <c r="BE23" s="159"/>
      <c r="BF23" s="146"/>
      <c r="BG23" s="148"/>
      <c r="BH23" s="767">
        <v>191</v>
      </c>
      <c r="BI23" s="148"/>
    </row>
    <row r="24" spans="1:61" ht="18" hidden="1" customHeight="1" x14ac:dyDescent="0.2">
      <c r="A24" s="1534"/>
      <c r="B24" s="1545"/>
      <c r="C24" s="900" t="s">
        <v>327</v>
      </c>
      <c r="D24" s="993"/>
      <c r="E24" s="994"/>
      <c r="F24" s="511"/>
      <c r="G24" s="995"/>
      <c r="H24" s="995"/>
      <c r="I24" s="996"/>
      <c r="J24" s="509"/>
      <c r="K24" s="155"/>
      <c r="L24" s="423"/>
      <c r="M24" s="423"/>
      <c r="N24" s="423"/>
      <c r="O24" s="423"/>
      <c r="P24" s="707" t="str">
        <f t="shared" si="49"/>
        <v>ок</v>
      </c>
      <c r="Q24" s="416">
        <f t="shared" si="50"/>
        <v>0</v>
      </c>
      <c r="R24" s="423"/>
      <c r="S24" s="423"/>
      <c r="T24" s="423"/>
      <c r="U24" s="467">
        <f t="shared" si="43"/>
        <v>0</v>
      </c>
      <c r="V24" s="447"/>
      <c r="W24" s="423"/>
      <c r="X24" s="423"/>
      <c r="Y24" s="423"/>
      <c r="Z24" s="448"/>
      <c r="AA24" s="466">
        <f>SUM(V24:Z24)</f>
        <v>0</v>
      </c>
      <c r="AB24" s="469">
        <f>AA24+U24</f>
        <v>0</v>
      </c>
      <c r="AC24" s="421"/>
      <c r="AD24" s="449"/>
      <c r="AE24" s="449"/>
      <c r="AF24" s="422"/>
      <c r="AG24" s="422"/>
      <c r="AH24" s="466">
        <f>SUM(AC24:AG24)</f>
        <v>0</v>
      </c>
      <c r="AI24" s="422"/>
      <c r="AJ24" s="422"/>
      <c r="AK24" s="422"/>
      <c r="AL24" s="422"/>
      <c r="AM24" s="422"/>
      <c r="AN24" s="422"/>
      <c r="AO24" s="422"/>
      <c r="AP24" s="422"/>
      <c r="AQ24" s="466">
        <f>SUM(AI24:AP24)</f>
        <v>0</v>
      </c>
      <c r="AR24" s="423"/>
      <c r="AS24" s="423"/>
      <c r="AT24" s="423"/>
      <c r="AU24" s="423"/>
      <c r="AV24" s="423"/>
      <c r="AW24" s="466">
        <f>SUM(AR24:AV24)</f>
        <v>0</v>
      </c>
      <c r="AX24" s="423"/>
      <c r="AY24" s="423"/>
      <c r="AZ24" s="466">
        <f>SUM(AX24:AY24)</f>
        <v>0</v>
      </c>
      <c r="BA24" s="423"/>
      <c r="BB24" s="466">
        <f>AQ24+AW24+AZ24+BA24</f>
        <v>0</v>
      </c>
      <c r="BC24" s="469">
        <f>BB24+AH24</f>
        <v>0</v>
      </c>
      <c r="BD24" s="470">
        <f>BC24+AB24</f>
        <v>0</v>
      </c>
      <c r="BE24" s="159"/>
      <c r="BF24" s="146"/>
      <c r="BG24" s="148"/>
      <c r="BH24" s="767">
        <v>150</v>
      </c>
      <c r="BI24" s="148"/>
    </row>
    <row r="25" spans="1:61" ht="16.5" customHeight="1" x14ac:dyDescent="0.2">
      <c r="A25" s="1534"/>
      <c r="B25" s="1546"/>
      <c r="C25" s="900" t="s">
        <v>133</v>
      </c>
      <c r="D25" s="997"/>
      <c r="E25" s="674"/>
      <c r="F25" s="674"/>
      <c r="G25" s="675"/>
      <c r="H25" s="675"/>
      <c r="I25" s="675"/>
      <c r="J25" s="986"/>
      <c r="K25" s="155"/>
      <c r="L25" s="426"/>
      <c r="M25" s="426"/>
      <c r="N25" s="426"/>
      <c r="O25" s="426"/>
      <c r="P25" s="426"/>
      <c r="Q25" s="416">
        <v>0</v>
      </c>
      <c r="R25" s="423"/>
      <c r="S25" s="423">
        <f>IF($AC25="",0,12-($R25+$T25+$AA25+$BC25))</f>
        <v>0</v>
      </c>
      <c r="T25" s="423"/>
      <c r="U25" s="467">
        <f t="shared" si="43"/>
        <v>0</v>
      </c>
      <c r="V25" s="447"/>
      <c r="W25" s="423"/>
      <c r="X25" s="423"/>
      <c r="Y25" s="423"/>
      <c r="Z25" s="448"/>
      <c r="AA25" s="466">
        <f t="shared" si="51"/>
        <v>0</v>
      </c>
      <c r="AB25" s="469">
        <f t="shared" si="52"/>
        <v>0</v>
      </c>
      <c r="AC25" s="421"/>
      <c r="AD25" s="449"/>
      <c r="AE25" s="449"/>
      <c r="AF25" s="422"/>
      <c r="AG25" s="422"/>
      <c r="AH25" s="466">
        <f t="shared" si="53"/>
        <v>0</v>
      </c>
      <c r="AI25" s="422"/>
      <c r="AJ25" s="422"/>
      <c r="AK25" s="422"/>
      <c r="AL25" s="422"/>
      <c r="AM25" s="422"/>
      <c r="AN25" s="422"/>
      <c r="AO25" s="422"/>
      <c r="AP25" s="422"/>
      <c r="AQ25" s="466">
        <f t="shared" si="44"/>
        <v>0</v>
      </c>
      <c r="AR25" s="423"/>
      <c r="AS25" s="423"/>
      <c r="AT25" s="423"/>
      <c r="AU25" s="423"/>
      <c r="AV25" s="423"/>
      <c r="AW25" s="466">
        <f t="shared" si="45"/>
        <v>0</v>
      </c>
      <c r="AX25" s="423"/>
      <c r="AY25" s="423"/>
      <c r="AZ25" s="466">
        <f t="shared" si="54"/>
        <v>0</v>
      </c>
      <c r="BA25" s="423"/>
      <c r="BB25" s="466">
        <f t="shared" si="46"/>
        <v>0</v>
      </c>
      <c r="BC25" s="469">
        <f t="shared" si="47"/>
        <v>0</v>
      </c>
      <c r="BD25" s="470">
        <f t="shared" si="48"/>
        <v>0</v>
      </c>
      <c r="BE25" s="159"/>
      <c r="BF25" s="146"/>
      <c r="BG25" s="148">
        <f>J25</f>
        <v>0</v>
      </c>
      <c r="BH25" s="767">
        <v>45</v>
      </c>
      <c r="BI25" s="148"/>
    </row>
    <row r="26" spans="1:61" ht="16.5" customHeight="1" x14ac:dyDescent="0.25">
      <c r="A26" s="1534"/>
      <c r="B26" s="1302" t="s">
        <v>24</v>
      </c>
      <c r="C26" s="901" t="s">
        <v>135</v>
      </c>
      <c r="D26" s="998"/>
      <c r="E26" s="995"/>
      <c r="F26" s="511"/>
      <c r="G26" s="995"/>
      <c r="H26" s="995"/>
      <c r="I26" s="996"/>
      <c r="J26" s="462"/>
      <c r="K26" s="155"/>
      <c r="L26" s="423"/>
      <c r="M26" s="423"/>
      <c r="N26" s="422"/>
      <c r="O26" s="422"/>
      <c r="P26" s="707" t="str">
        <f t="shared" si="49"/>
        <v>ок</v>
      </c>
      <c r="Q26" s="416">
        <f t="shared" si="50"/>
        <v>0</v>
      </c>
      <c r="R26" s="423"/>
      <c r="S26" s="423"/>
      <c r="T26" s="423"/>
      <c r="U26" s="467">
        <f t="shared" si="43"/>
        <v>0</v>
      </c>
      <c r="V26" s="447"/>
      <c r="W26" s="423"/>
      <c r="X26" s="423"/>
      <c r="Y26" s="423"/>
      <c r="Z26" s="448"/>
      <c r="AA26" s="466">
        <f t="shared" si="51"/>
        <v>0</v>
      </c>
      <c r="AB26" s="469">
        <f t="shared" si="52"/>
        <v>0</v>
      </c>
      <c r="AC26" s="421"/>
      <c r="AD26" s="449"/>
      <c r="AE26" s="449"/>
      <c r="AF26" s="422"/>
      <c r="AG26" s="422"/>
      <c r="AH26" s="466">
        <f t="shared" si="53"/>
        <v>0</v>
      </c>
      <c r="AI26" s="422"/>
      <c r="AJ26" s="422"/>
      <c r="AK26" s="422"/>
      <c r="AL26" s="422"/>
      <c r="AM26" s="422"/>
      <c r="AN26" s="422"/>
      <c r="AO26" s="422"/>
      <c r="AP26" s="422"/>
      <c r="AQ26" s="466">
        <f t="shared" si="44"/>
        <v>0</v>
      </c>
      <c r="AR26" s="423"/>
      <c r="AS26" s="423"/>
      <c r="AT26" s="423"/>
      <c r="AU26" s="423"/>
      <c r="AV26" s="423"/>
      <c r="AW26" s="466">
        <f t="shared" si="45"/>
        <v>0</v>
      </c>
      <c r="AX26" s="423"/>
      <c r="AY26" s="423"/>
      <c r="AZ26" s="466">
        <f t="shared" si="54"/>
        <v>0</v>
      </c>
      <c r="BA26" s="423"/>
      <c r="BB26" s="466">
        <f t="shared" si="46"/>
        <v>0</v>
      </c>
      <c r="BC26" s="469">
        <f t="shared" si="47"/>
        <v>0</v>
      </c>
      <c r="BD26" s="470">
        <f t="shared" si="48"/>
        <v>0</v>
      </c>
      <c r="BE26" s="159"/>
      <c r="BF26" s="157"/>
      <c r="BG26" s="148">
        <f t="shared" ref="BG26:BG34" si="55">BF26*14.7*0.95</f>
        <v>0</v>
      </c>
      <c r="BH26" s="767">
        <v>58</v>
      </c>
      <c r="BI26" s="148"/>
    </row>
    <row r="27" spans="1:61" ht="16.5" customHeight="1" x14ac:dyDescent="0.25">
      <c r="A27" s="1534"/>
      <c r="B27" s="1303"/>
      <c r="C27" s="901" t="s">
        <v>507</v>
      </c>
      <c r="D27" s="998"/>
      <c r="E27" s="995"/>
      <c r="F27" s="511"/>
      <c r="G27" s="995"/>
      <c r="H27" s="995"/>
      <c r="I27" s="996"/>
      <c r="J27" s="462"/>
      <c r="K27" s="155"/>
      <c r="L27" s="423"/>
      <c r="M27" s="423"/>
      <c r="N27" s="423"/>
      <c r="O27" s="423"/>
      <c r="P27" s="707" t="str">
        <f t="shared" si="49"/>
        <v>ок</v>
      </c>
      <c r="Q27" s="416">
        <f t="shared" si="50"/>
        <v>0</v>
      </c>
      <c r="R27" s="423"/>
      <c r="S27" s="423"/>
      <c r="T27" s="423"/>
      <c r="U27" s="467">
        <f t="shared" si="43"/>
        <v>0</v>
      </c>
      <c r="V27" s="447"/>
      <c r="W27" s="423"/>
      <c r="X27" s="423"/>
      <c r="Y27" s="423"/>
      <c r="Z27" s="448"/>
      <c r="AA27" s="466">
        <f>SUM(V27:Z27)</f>
        <v>0</v>
      </c>
      <c r="AB27" s="469">
        <f>AA27+U27</f>
        <v>0</v>
      </c>
      <c r="AC27" s="421"/>
      <c r="AD27" s="449"/>
      <c r="AE27" s="449"/>
      <c r="AF27" s="422"/>
      <c r="AG27" s="422"/>
      <c r="AH27" s="466">
        <f>SUM(AC27:AG27)</f>
        <v>0</v>
      </c>
      <c r="AI27" s="422"/>
      <c r="AJ27" s="422"/>
      <c r="AK27" s="422"/>
      <c r="AL27" s="422"/>
      <c r="AM27" s="422"/>
      <c r="AN27" s="422"/>
      <c r="AO27" s="422"/>
      <c r="AP27" s="422"/>
      <c r="AQ27" s="466">
        <f>SUM(AI27:AP27)</f>
        <v>0</v>
      </c>
      <c r="AR27" s="423"/>
      <c r="AS27" s="423"/>
      <c r="AT27" s="423"/>
      <c r="AU27" s="423"/>
      <c r="AV27" s="423"/>
      <c r="AW27" s="466">
        <f>SUM(AR27:AV27)</f>
        <v>0</v>
      </c>
      <c r="AX27" s="423"/>
      <c r="AY27" s="423"/>
      <c r="AZ27" s="466">
        <f>SUM(AX27:AY27)</f>
        <v>0</v>
      </c>
      <c r="BA27" s="423"/>
      <c r="BB27" s="466">
        <f>AQ27+AW27+AZ27+BA27</f>
        <v>0</v>
      </c>
      <c r="BC27" s="469">
        <f>BB27+AH27</f>
        <v>0</v>
      </c>
      <c r="BD27" s="470">
        <f>BC27+AB27</f>
        <v>0</v>
      </c>
      <c r="BE27" s="159"/>
      <c r="BF27" s="157"/>
      <c r="BG27" s="148">
        <f t="shared" si="55"/>
        <v>0</v>
      </c>
      <c r="BH27" s="767">
        <v>283</v>
      </c>
      <c r="BI27" s="148"/>
    </row>
    <row r="28" spans="1:61" ht="15.75" customHeight="1" x14ac:dyDescent="0.2">
      <c r="A28" s="1534"/>
      <c r="B28" s="1303"/>
      <c r="C28" s="901" t="s">
        <v>347</v>
      </c>
      <c r="D28" s="998"/>
      <c r="E28" s="995"/>
      <c r="F28" s="511"/>
      <c r="G28" s="995"/>
      <c r="H28" s="995"/>
      <c r="I28" s="996"/>
      <c r="J28" s="462"/>
      <c r="K28" s="155"/>
      <c r="L28" s="423"/>
      <c r="M28" s="423"/>
      <c r="N28" s="423"/>
      <c r="O28" s="423"/>
      <c r="P28" s="707" t="str">
        <f t="shared" si="49"/>
        <v>ок</v>
      </c>
      <c r="Q28" s="416">
        <f t="shared" si="50"/>
        <v>0</v>
      </c>
      <c r="R28" s="423"/>
      <c r="S28" s="423"/>
      <c r="T28" s="423"/>
      <c r="U28" s="467">
        <f t="shared" si="43"/>
        <v>0</v>
      </c>
      <c r="V28" s="447"/>
      <c r="W28" s="423"/>
      <c r="X28" s="423"/>
      <c r="Y28" s="423"/>
      <c r="Z28" s="448"/>
      <c r="AA28" s="466">
        <f t="shared" si="51"/>
        <v>0</v>
      </c>
      <c r="AB28" s="469">
        <f t="shared" si="52"/>
        <v>0</v>
      </c>
      <c r="AC28" s="421"/>
      <c r="AD28" s="449"/>
      <c r="AE28" s="449"/>
      <c r="AF28" s="422"/>
      <c r="AG28" s="422"/>
      <c r="AH28" s="466">
        <f t="shared" si="53"/>
        <v>0</v>
      </c>
      <c r="AI28" s="422"/>
      <c r="AJ28" s="422"/>
      <c r="AK28" s="422"/>
      <c r="AL28" s="422"/>
      <c r="AM28" s="422"/>
      <c r="AN28" s="422"/>
      <c r="AO28" s="422"/>
      <c r="AP28" s="422"/>
      <c r="AQ28" s="466">
        <f t="shared" si="44"/>
        <v>0</v>
      </c>
      <c r="AR28" s="423"/>
      <c r="AS28" s="423"/>
      <c r="AT28" s="423"/>
      <c r="AU28" s="423"/>
      <c r="AV28" s="423"/>
      <c r="AW28" s="466">
        <f t="shared" si="45"/>
        <v>0</v>
      </c>
      <c r="AX28" s="423"/>
      <c r="AY28" s="423"/>
      <c r="AZ28" s="466">
        <f t="shared" si="54"/>
        <v>0</v>
      </c>
      <c r="BA28" s="423"/>
      <c r="BB28" s="466">
        <f t="shared" si="46"/>
        <v>0</v>
      </c>
      <c r="BC28" s="469">
        <f t="shared" si="47"/>
        <v>0</v>
      </c>
      <c r="BD28" s="470">
        <f t="shared" si="48"/>
        <v>0</v>
      </c>
      <c r="BE28" s="159"/>
      <c r="BF28" s="146"/>
      <c r="BG28" s="148">
        <f t="shared" si="55"/>
        <v>0</v>
      </c>
      <c r="BH28" s="767">
        <v>183</v>
      </c>
      <c r="BI28" s="148"/>
    </row>
    <row r="29" spans="1:61" ht="15.75" customHeight="1" x14ac:dyDescent="0.2">
      <c r="A29" s="1534"/>
      <c r="B29" s="1303"/>
      <c r="C29" s="901" t="s">
        <v>196</v>
      </c>
      <c r="D29" s="998"/>
      <c r="E29" s="995"/>
      <c r="F29" s="511"/>
      <c r="G29" s="995"/>
      <c r="H29" s="995"/>
      <c r="I29" s="996"/>
      <c r="J29" s="462"/>
      <c r="K29" s="155"/>
      <c r="L29" s="423"/>
      <c r="M29" s="423"/>
      <c r="N29" s="423"/>
      <c r="O29" s="423"/>
      <c r="P29" s="707" t="str">
        <f t="shared" si="49"/>
        <v>ок</v>
      </c>
      <c r="Q29" s="416">
        <f t="shared" si="50"/>
        <v>0</v>
      </c>
      <c r="R29" s="423"/>
      <c r="S29" s="423"/>
      <c r="T29" s="423"/>
      <c r="U29" s="467">
        <f t="shared" si="43"/>
        <v>0</v>
      </c>
      <c r="V29" s="447"/>
      <c r="W29" s="423"/>
      <c r="X29" s="423"/>
      <c r="Y29" s="423"/>
      <c r="Z29" s="448"/>
      <c r="AA29" s="466">
        <f t="shared" si="51"/>
        <v>0</v>
      </c>
      <c r="AB29" s="469">
        <f t="shared" si="52"/>
        <v>0</v>
      </c>
      <c r="AC29" s="421"/>
      <c r="AD29" s="449"/>
      <c r="AE29" s="449"/>
      <c r="AF29" s="422"/>
      <c r="AG29" s="422"/>
      <c r="AH29" s="466">
        <f t="shared" si="53"/>
        <v>0</v>
      </c>
      <c r="AI29" s="422"/>
      <c r="AJ29" s="422"/>
      <c r="AK29" s="422"/>
      <c r="AL29" s="422"/>
      <c r="AM29" s="422"/>
      <c r="AN29" s="422"/>
      <c r="AO29" s="422"/>
      <c r="AP29" s="422"/>
      <c r="AQ29" s="466">
        <f t="shared" si="44"/>
        <v>0</v>
      </c>
      <c r="AR29" s="423"/>
      <c r="AS29" s="423"/>
      <c r="AT29" s="423"/>
      <c r="AU29" s="423"/>
      <c r="AV29" s="423"/>
      <c r="AW29" s="466">
        <f t="shared" si="45"/>
        <v>0</v>
      </c>
      <c r="AX29" s="423"/>
      <c r="AY29" s="423"/>
      <c r="AZ29" s="466">
        <f t="shared" si="54"/>
        <v>0</v>
      </c>
      <c r="BA29" s="423"/>
      <c r="BB29" s="466">
        <f t="shared" si="46"/>
        <v>0</v>
      </c>
      <c r="BC29" s="469">
        <f t="shared" si="47"/>
        <v>0</v>
      </c>
      <c r="BD29" s="470">
        <f t="shared" si="48"/>
        <v>0</v>
      </c>
      <c r="BE29" s="159"/>
      <c r="BF29" s="146"/>
      <c r="BG29" s="148">
        <f t="shared" si="55"/>
        <v>0</v>
      </c>
      <c r="BH29" s="767">
        <v>43</v>
      </c>
      <c r="BI29" s="148"/>
    </row>
    <row r="30" spans="1:61" ht="15.75" customHeight="1" x14ac:dyDescent="0.2">
      <c r="A30" s="1534"/>
      <c r="B30" s="1303"/>
      <c r="C30" s="901" t="s">
        <v>523</v>
      </c>
      <c r="D30" s="998"/>
      <c r="E30" s="995"/>
      <c r="F30" s="511"/>
      <c r="G30" s="995"/>
      <c r="H30" s="995"/>
      <c r="I30" s="996"/>
      <c r="J30" s="509"/>
      <c r="K30" s="155"/>
      <c r="L30" s="423"/>
      <c r="M30" s="423"/>
      <c r="N30" s="423"/>
      <c r="O30" s="423"/>
      <c r="P30" s="707" t="str">
        <f t="shared" si="49"/>
        <v>ок</v>
      </c>
      <c r="Q30" s="416">
        <f t="shared" si="50"/>
        <v>0</v>
      </c>
      <c r="R30" s="423"/>
      <c r="S30" s="423"/>
      <c r="T30" s="423"/>
      <c r="U30" s="467">
        <f t="shared" si="43"/>
        <v>0</v>
      </c>
      <c r="V30" s="447"/>
      <c r="W30" s="423"/>
      <c r="X30" s="423"/>
      <c r="Y30" s="423"/>
      <c r="Z30" s="448"/>
      <c r="AA30" s="466">
        <f t="shared" ref="AA30" si="56">SUM(V30:Z30)</f>
        <v>0</v>
      </c>
      <c r="AB30" s="469">
        <f t="shared" ref="AB30" si="57">AA30+U30</f>
        <v>0</v>
      </c>
      <c r="AC30" s="421"/>
      <c r="AD30" s="449"/>
      <c r="AE30" s="449"/>
      <c r="AF30" s="422"/>
      <c r="AG30" s="422"/>
      <c r="AH30" s="466">
        <f t="shared" si="53"/>
        <v>0</v>
      </c>
      <c r="AI30" s="422"/>
      <c r="AJ30" s="422"/>
      <c r="AK30" s="422"/>
      <c r="AL30" s="422"/>
      <c r="AM30" s="422"/>
      <c r="AN30" s="422"/>
      <c r="AO30" s="422"/>
      <c r="AP30" s="422"/>
      <c r="AQ30" s="466">
        <f t="shared" si="44"/>
        <v>0</v>
      </c>
      <c r="AR30" s="423"/>
      <c r="AS30" s="423"/>
      <c r="AT30" s="423"/>
      <c r="AU30" s="423"/>
      <c r="AV30" s="423"/>
      <c r="AW30" s="466">
        <f t="shared" si="45"/>
        <v>0</v>
      </c>
      <c r="AX30" s="423"/>
      <c r="AY30" s="423"/>
      <c r="AZ30" s="466">
        <f t="shared" si="54"/>
        <v>0</v>
      </c>
      <c r="BA30" s="423"/>
      <c r="BB30" s="466">
        <f t="shared" ref="BB30" si="58">AQ30+AW30+AZ30+BA30</f>
        <v>0</v>
      </c>
      <c r="BC30" s="469">
        <f t="shared" ref="BC30" si="59">BB30+AH30</f>
        <v>0</v>
      </c>
      <c r="BD30" s="470">
        <f t="shared" ref="BD30" si="60">BC30+AB30</f>
        <v>0</v>
      </c>
      <c r="BE30" s="159"/>
      <c r="BF30" s="146"/>
      <c r="BG30" s="148">
        <f t="shared" si="55"/>
        <v>0</v>
      </c>
      <c r="BH30" s="767">
        <v>284</v>
      </c>
      <c r="BI30" s="148"/>
    </row>
    <row r="31" spans="1:61" ht="15.75" customHeight="1" x14ac:dyDescent="0.2">
      <c r="A31" s="1534"/>
      <c r="B31" s="1303"/>
      <c r="C31" s="901" t="s">
        <v>533</v>
      </c>
      <c r="D31" s="998"/>
      <c r="E31" s="995"/>
      <c r="F31" s="511"/>
      <c r="G31" s="995"/>
      <c r="H31" s="995"/>
      <c r="I31" s="996"/>
      <c r="J31" s="509"/>
      <c r="K31" s="155"/>
      <c r="L31" s="423"/>
      <c r="M31" s="423"/>
      <c r="N31" s="423"/>
      <c r="O31" s="423"/>
      <c r="P31" s="707" t="str">
        <f t="shared" ref="P31" si="61">IF(N31&lt;AB31,"!","ок")</f>
        <v>ок</v>
      </c>
      <c r="Q31" s="416">
        <f t="shared" ref="Q31" si="62">IF(AC31="",0,12-(R31+S31+T31+AA31+BC31))</f>
        <v>0</v>
      </c>
      <c r="R31" s="423"/>
      <c r="S31" s="423"/>
      <c r="T31" s="423"/>
      <c r="U31" s="467">
        <f t="shared" ref="U31" si="63">SUM(Q31:T31)</f>
        <v>0</v>
      </c>
      <c r="V31" s="447"/>
      <c r="W31" s="423"/>
      <c r="X31" s="423"/>
      <c r="Y31" s="423"/>
      <c r="Z31" s="448"/>
      <c r="AA31" s="466">
        <f t="shared" ref="AA31" si="64">SUM(V31:Z31)</f>
        <v>0</v>
      </c>
      <c r="AB31" s="469">
        <f t="shared" ref="AB31" si="65">AA31+U31</f>
        <v>0</v>
      </c>
      <c r="AC31" s="421"/>
      <c r="AD31" s="449"/>
      <c r="AE31" s="449"/>
      <c r="AF31" s="422"/>
      <c r="AG31" s="422"/>
      <c r="AH31" s="466">
        <f t="shared" ref="AH31" si="66">SUM(AC31:AG31)</f>
        <v>0</v>
      </c>
      <c r="AI31" s="422"/>
      <c r="AJ31" s="422"/>
      <c r="AK31" s="422"/>
      <c r="AL31" s="422"/>
      <c r="AM31" s="422"/>
      <c r="AN31" s="422"/>
      <c r="AO31" s="422"/>
      <c r="AP31" s="422"/>
      <c r="AQ31" s="466">
        <f t="shared" ref="AQ31" si="67">SUM(AI31:AP31)</f>
        <v>0</v>
      </c>
      <c r="AR31" s="423"/>
      <c r="AS31" s="423"/>
      <c r="AT31" s="423"/>
      <c r="AU31" s="423"/>
      <c r="AV31" s="423"/>
      <c r="AW31" s="466">
        <f t="shared" ref="AW31" si="68">SUM(AR31:AV31)</f>
        <v>0</v>
      </c>
      <c r="AX31" s="423"/>
      <c r="AY31" s="423"/>
      <c r="AZ31" s="466">
        <f t="shared" ref="AZ31" si="69">SUM(AX31:AY31)</f>
        <v>0</v>
      </c>
      <c r="BA31" s="423"/>
      <c r="BB31" s="466">
        <f t="shared" ref="BB31" si="70">AQ31+AW31+AZ31+BA31</f>
        <v>0</v>
      </c>
      <c r="BC31" s="469">
        <f t="shared" ref="BC31" si="71">BB31+AH31</f>
        <v>0</v>
      </c>
      <c r="BD31" s="470">
        <f t="shared" ref="BD31" si="72">BC31+AB31</f>
        <v>0</v>
      </c>
      <c r="BE31" s="159"/>
      <c r="BF31" s="146"/>
      <c r="BG31" s="148">
        <f t="shared" ref="BG31" si="73">BF31*14.7*0.95</f>
        <v>0</v>
      </c>
      <c r="BH31" s="767">
        <v>284</v>
      </c>
      <c r="BI31" s="148"/>
    </row>
    <row r="32" spans="1:61" ht="15.75" customHeight="1" x14ac:dyDescent="0.2">
      <c r="A32" s="1534"/>
      <c r="B32" s="1303"/>
      <c r="C32" s="901" t="s">
        <v>525</v>
      </c>
      <c r="D32" s="998"/>
      <c r="E32" s="995"/>
      <c r="F32" s="511"/>
      <c r="G32" s="995"/>
      <c r="H32" s="995"/>
      <c r="I32" s="996"/>
      <c r="J32" s="509"/>
      <c r="K32" s="155"/>
      <c r="L32" s="423"/>
      <c r="M32" s="423"/>
      <c r="N32" s="423"/>
      <c r="O32" s="423"/>
      <c r="P32" s="707" t="str">
        <f t="shared" ref="P32" si="74">IF(N32&lt;AB32,"!","ок")</f>
        <v>ок</v>
      </c>
      <c r="Q32" s="416">
        <f t="shared" ref="Q32" si="75">IF(AC32="",0,12-(R32+S32+T32+AA32+BC32))</f>
        <v>0</v>
      </c>
      <c r="R32" s="423"/>
      <c r="S32" s="423"/>
      <c r="T32" s="423"/>
      <c r="U32" s="467">
        <f t="shared" ref="U32" si="76">SUM(Q32:T32)</f>
        <v>0</v>
      </c>
      <c r="V32" s="447"/>
      <c r="W32" s="423"/>
      <c r="X32" s="423"/>
      <c r="Y32" s="423"/>
      <c r="Z32" s="448"/>
      <c r="AA32" s="466">
        <f t="shared" ref="AA32" si="77">SUM(V32:Z32)</f>
        <v>0</v>
      </c>
      <c r="AB32" s="469">
        <f t="shared" ref="AB32" si="78">AA32+U32</f>
        <v>0</v>
      </c>
      <c r="AC32" s="421"/>
      <c r="AD32" s="449"/>
      <c r="AE32" s="449"/>
      <c r="AF32" s="422"/>
      <c r="AG32" s="422"/>
      <c r="AH32" s="466">
        <f t="shared" ref="AH32" si="79">SUM(AC32:AG32)</f>
        <v>0</v>
      </c>
      <c r="AI32" s="422"/>
      <c r="AJ32" s="422"/>
      <c r="AK32" s="422"/>
      <c r="AL32" s="422"/>
      <c r="AM32" s="422"/>
      <c r="AN32" s="422"/>
      <c r="AO32" s="422"/>
      <c r="AP32" s="422"/>
      <c r="AQ32" s="466">
        <f t="shared" ref="AQ32" si="80">SUM(AI32:AP32)</f>
        <v>0</v>
      </c>
      <c r="AR32" s="423"/>
      <c r="AS32" s="423"/>
      <c r="AT32" s="423"/>
      <c r="AU32" s="423"/>
      <c r="AV32" s="423"/>
      <c r="AW32" s="466">
        <f t="shared" ref="AW32" si="81">SUM(AR32:AV32)</f>
        <v>0</v>
      </c>
      <c r="AX32" s="423"/>
      <c r="AY32" s="423"/>
      <c r="AZ32" s="466">
        <f t="shared" ref="AZ32" si="82">SUM(AX32:AY32)</f>
        <v>0</v>
      </c>
      <c r="BA32" s="423"/>
      <c r="BB32" s="466">
        <f t="shared" ref="BB32" si="83">AQ32+AW32+AZ32+BA32</f>
        <v>0</v>
      </c>
      <c r="BC32" s="469">
        <f t="shared" ref="BC32" si="84">BB32+AH32</f>
        <v>0</v>
      </c>
      <c r="BD32" s="470">
        <f t="shared" ref="BD32" si="85">BC32+AB32</f>
        <v>0</v>
      </c>
      <c r="BE32" s="159"/>
      <c r="BF32" s="146"/>
      <c r="BG32" s="148">
        <f t="shared" si="55"/>
        <v>0</v>
      </c>
      <c r="BH32" s="767">
        <v>286</v>
      </c>
      <c r="BI32" s="148"/>
    </row>
    <row r="33" spans="1:61" ht="25.5" x14ac:dyDescent="0.2">
      <c r="A33" s="1534"/>
      <c r="B33" s="1541"/>
      <c r="C33" s="901" t="s">
        <v>534</v>
      </c>
      <c r="D33" s="999"/>
      <c r="E33" s="675"/>
      <c r="F33" s="675"/>
      <c r="G33" s="675"/>
      <c r="H33" s="675"/>
      <c r="I33" s="996"/>
      <c r="J33" s="987"/>
      <c r="K33" s="155"/>
      <c r="L33" s="426"/>
      <c r="M33" s="426"/>
      <c r="N33" s="426"/>
      <c r="O33" s="426"/>
      <c r="P33" s="426"/>
      <c r="Q33" s="426"/>
      <c r="R33" s="426"/>
      <c r="S33" s="426"/>
      <c r="T33" s="426"/>
      <c r="U33" s="427"/>
      <c r="V33" s="425"/>
      <c r="W33" s="426"/>
      <c r="X33" s="426"/>
      <c r="Y33" s="426"/>
      <c r="Z33" s="427"/>
      <c r="AA33" s="427"/>
      <c r="AB33" s="437"/>
      <c r="AC33" s="425"/>
      <c r="AD33" s="436"/>
      <c r="AE33" s="436"/>
      <c r="AF33" s="426"/>
      <c r="AG33" s="426"/>
      <c r="AH33" s="426"/>
      <c r="AI33" s="426"/>
      <c r="AJ33" s="426"/>
      <c r="AK33" s="426"/>
      <c r="AL33" s="426"/>
      <c r="AM33" s="426"/>
      <c r="AN33" s="426"/>
      <c r="AO33" s="426"/>
      <c r="AP33" s="426"/>
      <c r="AQ33" s="426"/>
      <c r="AR33" s="426"/>
      <c r="AS33" s="426"/>
      <c r="AT33" s="426"/>
      <c r="AU33" s="426"/>
      <c r="AV33" s="426"/>
      <c r="AW33" s="426"/>
      <c r="AX33" s="426"/>
      <c r="AY33" s="426"/>
      <c r="AZ33" s="426"/>
      <c r="BA33" s="426"/>
      <c r="BB33" s="426"/>
      <c r="BC33" s="437"/>
      <c r="BD33" s="450"/>
      <c r="BE33" s="159"/>
      <c r="BF33" s="146"/>
      <c r="BG33" s="148">
        <f t="shared" si="55"/>
        <v>0</v>
      </c>
      <c r="BI33" s="148"/>
    </row>
    <row r="34" spans="1:61" ht="12.75" customHeight="1" x14ac:dyDescent="0.2">
      <c r="A34" s="1534"/>
      <c r="B34" s="1535" t="s">
        <v>14</v>
      </c>
      <c r="C34" s="902" t="s">
        <v>353</v>
      </c>
      <c r="D34" s="506">
        <f>SUM(D21:D33)</f>
        <v>0</v>
      </c>
      <c r="E34" s="511">
        <f>SUM(E21:E33)</f>
        <v>0</v>
      </c>
      <c r="F34" s="511">
        <f>SUM(F21:F33)</f>
        <v>0</v>
      </c>
      <c r="G34" s="511">
        <f>SUM(G21:G33)</f>
        <v>0</v>
      </c>
      <c r="H34" s="511">
        <f>SUM(H21:H33)</f>
        <v>0</v>
      </c>
      <c r="I34" s="675"/>
      <c r="J34" s="509">
        <f>SUM(G34:H34)</f>
        <v>0</v>
      </c>
      <c r="K34" s="155"/>
      <c r="L34" s="466">
        <f t="shared" ref="L34:BD34" si="86">SUM(L23:L32)</f>
        <v>0</v>
      </c>
      <c r="M34" s="466">
        <f t="shared" si="86"/>
        <v>0</v>
      </c>
      <c r="N34" s="466">
        <f t="shared" si="86"/>
        <v>0</v>
      </c>
      <c r="O34" s="466">
        <f t="shared" si="86"/>
        <v>0</v>
      </c>
      <c r="P34" s="466">
        <f t="shared" si="86"/>
        <v>0</v>
      </c>
      <c r="Q34" s="466">
        <f t="shared" si="86"/>
        <v>0</v>
      </c>
      <c r="R34" s="466">
        <f t="shared" si="86"/>
        <v>0</v>
      </c>
      <c r="S34" s="466">
        <f t="shared" si="86"/>
        <v>0</v>
      </c>
      <c r="T34" s="466">
        <f t="shared" si="86"/>
        <v>0</v>
      </c>
      <c r="U34" s="466">
        <f t="shared" si="86"/>
        <v>0</v>
      </c>
      <c r="V34" s="466">
        <f t="shared" si="86"/>
        <v>0</v>
      </c>
      <c r="W34" s="466">
        <f t="shared" si="86"/>
        <v>0</v>
      </c>
      <c r="X34" s="466">
        <f t="shared" si="86"/>
        <v>0</v>
      </c>
      <c r="Y34" s="466">
        <f t="shared" si="86"/>
        <v>0</v>
      </c>
      <c r="Z34" s="466">
        <f t="shared" si="86"/>
        <v>0</v>
      </c>
      <c r="AA34" s="466">
        <f t="shared" si="86"/>
        <v>0</v>
      </c>
      <c r="AB34" s="466">
        <f t="shared" si="86"/>
        <v>0</v>
      </c>
      <c r="AC34" s="466">
        <f t="shared" si="86"/>
        <v>0</v>
      </c>
      <c r="AD34" s="466">
        <f t="shared" si="86"/>
        <v>0</v>
      </c>
      <c r="AE34" s="466">
        <f t="shared" si="86"/>
        <v>0</v>
      </c>
      <c r="AF34" s="466">
        <f t="shared" si="86"/>
        <v>0</v>
      </c>
      <c r="AG34" s="466">
        <f t="shared" si="86"/>
        <v>0</v>
      </c>
      <c r="AH34" s="466">
        <f t="shared" si="86"/>
        <v>0</v>
      </c>
      <c r="AI34" s="466">
        <f t="shared" si="86"/>
        <v>0</v>
      </c>
      <c r="AJ34" s="466">
        <f t="shared" si="86"/>
        <v>0</v>
      </c>
      <c r="AK34" s="466">
        <f t="shared" si="86"/>
        <v>0</v>
      </c>
      <c r="AL34" s="466">
        <f t="shared" si="86"/>
        <v>0</v>
      </c>
      <c r="AM34" s="466">
        <f t="shared" si="86"/>
        <v>0</v>
      </c>
      <c r="AN34" s="466">
        <f t="shared" si="86"/>
        <v>0</v>
      </c>
      <c r="AO34" s="466">
        <f t="shared" si="86"/>
        <v>0</v>
      </c>
      <c r="AP34" s="466">
        <f t="shared" si="86"/>
        <v>0</v>
      </c>
      <c r="AQ34" s="466">
        <f t="shared" si="86"/>
        <v>0</v>
      </c>
      <c r="AR34" s="466">
        <f t="shared" si="86"/>
        <v>0</v>
      </c>
      <c r="AS34" s="466">
        <f t="shared" si="86"/>
        <v>0</v>
      </c>
      <c r="AT34" s="466">
        <f t="shared" si="86"/>
        <v>0</v>
      </c>
      <c r="AU34" s="466">
        <f t="shared" si="86"/>
        <v>0</v>
      </c>
      <c r="AV34" s="466">
        <f t="shared" si="86"/>
        <v>0</v>
      </c>
      <c r="AW34" s="466">
        <f t="shared" si="86"/>
        <v>0</v>
      </c>
      <c r="AX34" s="466">
        <f t="shared" si="86"/>
        <v>0</v>
      </c>
      <c r="AY34" s="466">
        <f t="shared" si="86"/>
        <v>0</v>
      </c>
      <c r="AZ34" s="466">
        <f t="shared" si="86"/>
        <v>0</v>
      </c>
      <c r="BA34" s="466">
        <f t="shared" si="86"/>
        <v>0</v>
      </c>
      <c r="BB34" s="466">
        <f t="shared" si="86"/>
        <v>0</v>
      </c>
      <c r="BC34" s="469">
        <f t="shared" si="86"/>
        <v>0</v>
      </c>
      <c r="BD34" s="470">
        <f t="shared" si="86"/>
        <v>0</v>
      </c>
      <c r="BE34" s="159"/>
      <c r="BF34" s="151">
        <f>SUM(BF21:BF33)</f>
        <v>0</v>
      </c>
      <c r="BG34" s="148">
        <f t="shared" si="55"/>
        <v>0</v>
      </c>
      <c r="BI34" s="148"/>
    </row>
    <row r="35" spans="1:61" ht="19.5" customHeight="1" thickBot="1" x14ac:dyDescent="0.25">
      <c r="A35" s="1534"/>
      <c r="B35" s="1536"/>
      <c r="C35" s="904" t="s">
        <v>12</v>
      </c>
      <c r="D35" s="1006"/>
      <c r="E35" s="1007"/>
      <c r="F35" s="549">
        <f>SUM(F23:F32)</f>
        <v>0</v>
      </c>
      <c r="G35" s="1007"/>
      <c r="H35" s="1007"/>
      <c r="I35" s="549">
        <f>SUM(I21:I32)</f>
        <v>0</v>
      </c>
      <c r="J35" s="510">
        <f>SUM(J21:J24,J25:J32)</f>
        <v>0</v>
      </c>
      <c r="K35" s="478">
        <f>SUM(K21:K33)</f>
        <v>0</v>
      </c>
      <c r="L35" s="434"/>
      <c r="M35" s="434"/>
      <c r="N35" s="434"/>
      <c r="O35" s="434"/>
      <c r="P35" s="434"/>
      <c r="Q35" s="434"/>
      <c r="R35" s="434"/>
      <c r="S35" s="434"/>
      <c r="T35" s="434"/>
      <c r="U35" s="435"/>
      <c r="V35" s="433"/>
      <c r="W35" s="434"/>
      <c r="X35" s="434"/>
      <c r="Y35" s="434"/>
      <c r="Z35" s="435"/>
      <c r="AA35" s="435"/>
      <c r="AB35" s="453"/>
      <c r="AC35" s="428"/>
      <c r="AD35" s="454"/>
      <c r="AE35" s="454"/>
      <c r="AF35" s="434"/>
      <c r="AG35" s="434"/>
      <c r="AH35" s="434"/>
      <c r="AI35" s="434"/>
      <c r="AJ35" s="434"/>
      <c r="AK35" s="434"/>
      <c r="AL35" s="434"/>
      <c r="AM35" s="434"/>
      <c r="AN35" s="434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4"/>
      <c r="BA35" s="434"/>
      <c r="BB35" s="434"/>
      <c r="BC35" s="453"/>
      <c r="BD35" s="455"/>
      <c r="BE35" s="160"/>
      <c r="BF35" s="146"/>
      <c r="BG35" s="148"/>
      <c r="BI35" s="148"/>
    </row>
    <row r="36" spans="1:61" ht="15.75" hidden="1" customHeight="1" x14ac:dyDescent="0.2">
      <c r="A36" s="1449" t="s">
        <v>11</v>
      </c>
      <c r="B36" s="1543" t="s">
        <v>23</v>
      </c>
      <c r="C36" s="901" t="s">
        <v>131</v>
      </c>
      <c r="D36" s="522">
        <f t="shared" ref="D36:J39" si="87">D6+D21</f>
        <v>0</v>
      </c>
      <c r="E36" s="513">
        <f t="shared" si="87"/>
        <v>0</v>
      </c>
      <c r="F36" s="513">
        <f t="shared" si="87"/>
        <v>0</v>
      </c>
      <c r="G36" s="513">
        <f t="shared" si="87"/>
        <v>0</v>
      </c>
      <c r="H36" s="513">
        <f t="shared" si="87"/>
        <v>0</v>
      </c>
      <c r="I36" s="513">
        <f t="shared" si="87"/>
        <v>0</v>
      </c>
      <c r="J36" s="988">
        <f t="shared" si="87"/>
        <v>0</v>
      </c>
      <c r="K36" s="154"/>
      <c r="L36" s="471">
        <f t="shared" ref="L36:O39" si="88">L6+L21</f>
        <v>0</v>
      </c>
      <c r="M36" s="471">
        <f t="shared" si="88"/>
        <v>0</v>
      </c>
      <c r="N36" s="471">
        <f t="shared" si="88"/>
        <v>0</v>
      </c>
      <c r="O36" s="471">
        <f t="shared" si="88"/>
        <v>0</v>
      </c>
      <c r="P36" s="471"/>
      <c r="Q36" s="471">
        <f t="shared" ref="Q36:BD36" si="89">Q6+Q21</f>
        <v>0</v>
      </c>
      <c r="R36" s="471">
        <f t="shared" si="89"/>
        <v>0</v>
      </c>
      <c r="S36" s="471">
        <f t="shared" si="89"/>
        <v>0</v>
      </c>
      <c r="T36" s="471">
        <f t="shared" si="89"/>
        <v>0</v>
      </c>
      <c r="U36" s="473">
        <f t="shared" si="89"/>
        <v>0</v>
      </c>
      <c r="V36" s="479">
        <f t="shared" si="89"/>
        <v>0</v>
      </c>
      <c r="W36" s="471">
        <f t="shared" si="89"/>
        <v>0</v>
      </c>
      <c r="X36" s="471">
        <f t="shared" si="89"/>
        <v>0</v>
      </c>
      <c r="Y36" s="471">
        <f t="shared" si="89"/>
        <v>0</v>
      </c>
      <c r="Z36" s="471">
        <f t="shared" si="89"/>
        <v>0</v>
      </c>
      <c r="AA36" s="471">
        <f t="shared" si="89"/>
        <v>0</v>
      </c>
      <c r="AB36" s="477">
        <f t="shared" si="89"/>
        <v>0</v>
      </c>
      <c r="AC36" s="479">
        <f t="shared" si="89"/>
        <v>0</v>
      </c>
      <c r="AD36" s="471">
        <f t="shared" si="89"/>
        <v>0</v>
      </c>
      <c r="AE36" s="471">
        <f t="shared" si="89"/>
        <v>0</v>
      </c>
      <c r="AF36" s="471">
        <f t="shared" si="89"/>
        <v>0</v>
      </c>
      <c r="AG36" s="471">
        <f t="shared" si="89"/>
        <v>0</v>
      </c>
      <c r="AH36" s="471">
        <f t="shared" si="89"/>
        <v>0</v>
      </c>
      <c r="AI36" s="471">
        <f t="shared" si="89"/>
        <v>0</v>
      </c>
      <c r="AJ36" s="471">
        <f t="shared" si="89"/>
        <v>0</v>
      </c>
      <c r="AK36" s="471">
        <f t="shared" si="89"/>
        <v>0</v>
      </c>
      <c r="AL36" s="471">
        <f t="shared" si="89"/>
        <v>0</v>
      </c>
      <c r="AM36" s="471">
        <f t="shared" si="89"/>
        <v>0</v>
      </c>
      <c r="AN36" s="471">
        <f t="shared" si="89"/>
        <v>0</v>
      </c>
      <c r="AO36" s="471">
        <f t="shared" si="89"/>
        <v>0</v>
      </c>
      <c r="AP36" s="471">
        <f t="shared" si="89"/>
        <v>0</v>
      </c>
      <c r="AQ36" s="471">
        <f t="shared" si="89"/>
        <v>0</v>
      </c>
      <c r="AR36" s="471">
        <f t="shared" si="89"/>
        <v>0</v>
      </c>
      <c r="AS36" s="471">
        <f t="shared" si="89"/>
        <v>0</v>
      </c>
      <c r="AT36" s="471">
        <f t="shared" si="89"/>
        <v>0</v>
      </c>
      <c r="AU36" s="471">
        <f t="shared" si="89"/>
        <v>0</v>
      </c>
      <c r="AV36" s="471">
        <f t="shared" si="89"/>
        <v>0</v>
      </c>
      <c r="AW36" s="471">
        <f t="shared" si="89"/>
        <v>0</v>
      </c>
      <c r="AX36" s="471">
        <f t="shared" si="89"/>
        <v>0</v>
      </c>
      <c r="AY36" s="471">
        <f t="shared" si="89"/>
        <v>0</v>
      </c>
      <c r="AZ36" s="471">
        <f t="shared" si="89"/>
        <v>0</v>
      </c>
      <c r="BA36" s="471">
        <f t="shared" si="89"/>
        <v>0</v>
      </c>
      <c r="BB36" s="471">
        <f t="shared" si="89"/>
        <v>0</v>
      </c>
      <c r="BC36" s="473">
        <f t="shared" si="89"/>
        <v>0</v>
      </c>
      <c r="BD36" s="474">
        <f t="shared" si="89"/>
        <v>0</v>
      </c>
      <c r="BE36" s="161"/>
      <c r="BF36" s="151">
        <f>BF6+BF21</f>
        <v>0</v>
      </c>
      <c r="BG36" s="148">
        <f>BF36*14.7*0.95</f>
        <v>0</v>
      </c>
      <c r="BI36" s="148"/>
    </row>
    <row r="37" spans="1:61" ht="15.75" hidden="1" customHeight="1" x14ac:dyDescent="0.2">
      <c r="A37" s="1317"/>
      <c r="B37" s="1431"/>
      <c r="C37" s="900" t="s">
        <v>325</v>
      </c>
      <c r="D37" s="506">
        <f t="shared" si="87"/>
        <v>0</v>
      </c>
      <c r="E37" s="511">
        <f t="shared" si="87"/>
        <v>0</v>
      </c>
      <c r="F37" s="511">
        <f t="shared" si="87"/>
        <v>0</v>
      </c>
      <c r="G37" s="511">
        <f t="shared" si="87"/>
        <v>0</v>
      </c>
      <c r="H37" s="511">
        <f t="shared" si="87"/>
        <v>0</v>
      </c>
      <c r="I37" s="511">
        <f t="shared" si="87"/>
        <v>0</v>
      </c>
      <c r="J37" s="509">
        <f t="shared" si="87"/>
        <v>0</v>
      </c>
      <c r="K37" s="155"/>
      <c r="L37" s="466">
        <f t="shared" si="88"/>
        <v>0</v>
      </c>
      <c r="M37" s="466">
        <f t="shared" si="88"/>
        <v>0</v>
      </c>
      <c r="N37" s="466">
        <f t="shared" si="88"/>
        <v>0</v>
      </c>
      <c r="O37" s="466">
        <f t="shared" si="88"/>
        <v>0</v>
      </c>
      <c r="P37" s="466"/>
      <c r="Q37" s="466">
        <f t="shared" ref="Q37:BD37" si="90">Q7+Q22</f>
        <v>0</v>
      </c>
      <c r="R37" s="466">
        <f t="shared" si="90"/>
        <v>0</v>
      </c>
      <c r="S37" s="466">
        <f t="shared" si="90"/>
        <v>0</v>
      </c>
      <c r="T37" s="466">
        <f t="shared" si="90"/>
        <v>0</v>
      </c>
      <c r="U37" s="469">
        <f t="shared" si="90"/>
        <v>0</v>
      </c>
      <c r="V37" s="468">
        <f t="shared" si="90"/>
        <v>0</v>
      </c>
      <c r="W37" s="466">
        <f t="shared" si="90"/>
        <v>0</v>
      </c>
      <c r="X37" s="466">
        <f t="shared" si="90"/>
        <v>0</v>
      </c>
      <c r="Y37" s="466">
        <f t="shared" si="90"/>
        <v>0</v>
      </c>
      <c r="Z37" s="466">
        <f t="shared" si="90"/>
        <v>0</v>
      </c>
      <c r="AA37" s="466">
        <f t="shared" si="90"/>
        <v>0</v>
      </c>
      <c r="AB37" s="467">
        <f t="shared" si="90"/>
        <v>0</v>
      </c>
      <c r="AC37" s="468">
        <f t="shared" si="90"/>
        <v>0</v>
      </c>
      <c r="AD37" s="466">
        <f t="shared" si="90"/>
        <v>0</v>
      </c>
      <c r="AE37" s="466">
        <f t="shared" si="90"/>
        <v>0</v>
      </c>
      <c r="AF37" s="466">
        <f t="shared" si="90"/>
        <v>0</v>
      </c>
      <c r="AG37" s="466">
        <f t="shared" si="90"/>
        <v>0</v>
      </c>
      <c r="AH37" s="466">
        <f t="shared" si="90"/>
        <v>0</v>
      </c>
      <c r="AI37" s="466">
        <f t="shared" si="90"/>
        <v>0</v>
      </c>
      <c r="AJ37" s="466">
        <f t="shared" si="90"/>
        <v>0</v>
      </c>
      <c r="AK37" s="466">
        <f t="shared" si="90"/>
        <v>0</v>
      </c>
      <c r="AL37" s="466">
        <f t="shared" si="90"/>
        <v>0</v>
      </c>
      <c r="AM37" s="466">
        <f t="shared" si="90"/>
        <v>0</v>
      </c>
      <c r="AN37" s="466">
        <f t="shared" si="90"/>
        <v>0</v>
      </c>
      <c r="AO37" s="466">
        <f t="shared" si="90"/>
        <v>0</v>
      </c>
      <c r="AP37" s="466">
        <f t="shared" si="90"/>
        <v>0</v>
      </c>
      <c r="AQ37" s="466">
        <f t="shared" si="90"/>
        <v>0</v>
      </c>
      <c r="AR37" s="466">
        <f t="shared" si="90"/>
        <v>0</v>
      </c>
      <c r="AS37" s="466">
        <f t="shared" si="90"/>
        <v>0</v>
      </c>
      <c r="AT37" s="466">
        <f t="shared" si="90"/>
        <v>0</v>
      </c>
      <c r="AU37" s="466">
        <f t="shared" si="90"/>
        <v>0</v>
      </c>
      <c r="AV37" s="466">
        <f t="shared" si="90"/>
        <v>0</v>
      </c>
      <c r="AW37" s="466">
        <f t="shared" si="90"/>
        <v>0</v>
      </c>
      <c r="AX37" s="466">
        <f t="shared" si="90"/>
        <v>0</v>
      </c>
      <c r="AY37" s="466">
        <f t="shared" si="90"/>
        <v>0</v>
      </c>
      <c r="AZ37" s="466">
        <f t="shared" si="90"/>
        <v>0</v>
      </c>
      <c r="BA37" s="466">
        <f t="shared" si="90"/>
        <v>0</v>
      </c>
      <c r="BB37" s="466">
        <f t="shared" si="90"/>
        <v>0</v>
      </c>
      <c r="BC37" s="469">
        <f t="shared" si="90"/>
        <v>0</v>
      </c>
      <c r="BD37" s="470">
        <f t="shared" si="90"/>
        <v>0</v>
      </c>
      <c r="BE37" s="159"/>
      <c r="BF37" s="151">
        <f>BF7+BF22</f>
        <v>0</v>
      </c>
      <c r="BG37" s="148">
        <f>BF37*14.7*0.95</f>
        <v>0</v>
      </c>
      <c r="BI37" s="148"/>
    </row>
    <row r="38" spans="1:61" ht="15.75" hidden="1" customHeight="1" x14ac:dyDescent="0.2">
      <c r="A38" s="1317"/>
      <c r="B38" s="1431"/>
      <c r="C38" s="900" t="s">
        <v>406</v>
      </c>
      <c r="D38" s="506">
        <f t="shared" si="87"/>
        <v>0</v>
      </c>
      <c r="E38" s="511">
        <f t="shared" si="87"/>
        <v>0</v>
      </c>
      <c r="F38" s="511">
        <f t="shared" si="87"/>
        <v>0</v>
      </c>
      <c r="G38" s="511">
        <f t="shared" si="87"/>
        <v>0</v>
      </c>
      <c r="H38" s="511">
        <f t="shared" si="87"/>
        <v>0</v>
      </c>
      <c r="I38" s="511">
        <f t="shared" si="87"/>
        <v>0</v>
      </c>
      <c r="J38" s="509">
        <f t="shared" si="87"/>
        <v>0</v>
      </c>
      <c r="K38" s="155"/>
      <c r="L38" s="466">
        <f t="shared" si="88"/>
        <v>0</v>
      </c>
      <c r="M38" s="466">
        <f t="shared" si="88"/>
        <v>0</v>
      </c>
      <c r="N38" s="466">
        <f t="shared" si="88"/>
        <v>0</v>
      </c>
      <c r="O38" s="466">
        <f t="shared" si="88"/>
        <v>0</v>
      </c>
      <c r="P38" s="466"/>
      <c r="Q38" s="466">
        <f t="shared" ref="Q38:BD38" si="91">Q8+Q23</f>
        <v>0</v>
      </c>
      <c r="R38" s="466">
        <f t="shared" si="91"/>
        <v>0</v>
      </c>
      <c r="S38" s="466">
        <f t="shared" si="91"/>
        <v>0</v>
      </c>
      <c r="T38" s="466">
        <f t="shared" si="91"/>
        <v>0</v>
      </c>
      <c r="U38" s="469">
        <f t="shared" si="91"/>
        <v>0</v>
      </c>
      <c r="V38" s="468">
        <f t="shared" si="91"/>
        <v>0</v>
      </c>
      <c r="W38" s="466">
        <f t="shared" si="91"/>
        <v>0</v>
      </c>
      <c r="X38" s="466">
        <f t="shared" si="91"/>
        <v>0</v>
      </c>
      <c r="Y38" s="466">
        <f t="shared" si="91"/>
        <v>0</v>
      </c>
      <c r="Z38" s="466">
        <f t="shared" si="91"/>
        <v>0</v>
      </c>
      <c r="AA38" s="466">
        <f t="shared" si="91"/>
        <v>0</v>
      </c>
      <c r="AB38" s="467">
        <f t="shared" si="91"/>
        <v>0</v>
      </c>
      <c r="AC38" s="468">
        <f t="shared" si="91"/>
        <v>0</v>
      </c>
      <c r="AD38" s="466">
        <f t="shared" si="91"/>
        <v>0</v>
      </c>
      <c r="AE38" s="466">
        <f t="shared" si="91"/>
        <v>0</v>
      </c>
      <c r="AF38" s="466">
        <f t="shared" si="91"/>
        <v>0</v>
      </c>
      <c r="AG38" s="466">
        <f t="shared" si="91"/>
        <v>0</v>
      </c>
      <c r="AH38" s="466">
        <f t="shared" si="91"/>
        <v>0</v>
      </c>
      <c r="AI38" s="466">
        <f t="shared" si="91"/>
        <v>0</v>
      </c>
      <c r="AJ38" s="466">
        <f t="shared" si="91"/>
        <v>0</v>
      </c>
      <c r="AK38" s="466">
        <f t="shared" si="91"/>
        <v>0</v>
      </c>
      <c r="AL38" s="466">
        <f t="shared" si="91"/>
        <v>0</v>
      </c>
      <c r="AM38" s="466">
        <f t="shared" si="91"/>
        <v>0</v>
      </c>
      <c r="AN38" s="466">
        <f t="shared" si="91"/>
        <v>0</v>
      </c>
      <c r="AO38" s="466">
        <f t="shared" si="91"/>
        <v>0</v>
      </c>
      <c r="AP38" s="466">
        <f t="shared" si="91"/>
        <v>0</v>
      </c>
      <c r="AQ38" s="466">
        <f t="shared" si="91"/>
        <v>0</v>
      </c>
      <c r="AR38" s="466">
        <f t="shared" si="91"/>
        <v>0</v>
      </c>
      <c r="AS38" s="466">
        <f t="shared" si="91"/>
        <v>0</v>
      </c>
      <c r="AT38" s="466">
        <f t="shared" si="91"/>
        <v>0</v>
      </c>
      <c r="AU38" s="466">
        <f t="shared" si="91"/>
        <v>0</v>
      </c>
      <c r="AV38" s="466">
        <f t="shared" si="91"/>
        <v>0</v>
      </c>
      <c r="AW38" s="466">
        <f t="shared" si="91"/>
        <v>0</v>
      </c>
      <c r="AX38" s="466">
        <f t="shared" si="91"/>
        <v>0</v>
      </c>
      <c r="AY38" s="466">
        <f t="shared" si="91"/>
        <v>0</v>
      </c>
      <c r="AZ38" s="466">
        <f t="shared" si="91"/>
        <v>0</v>
      </c>
      <c r="BA38" s="466">
        <f t="shared" si="91"/>
        <v>0</v>
      </c>
      <c r="BB38" s="466">
        <f t="shared" si="91"/>
        <v>0</v>
      </c>
      <c r="BC38" s="469">
        <f t="shared" si="91"/>
        <v>0</v>
      </c>
      <c r="BD38" s="470">
        <f t="shared" si="91"/>
        <v>0</v>
      </c>
      <c r="BE38" s="159"/>
      <c r="BF38" s="151"/>
      <c r="BG38" s="148"/>
      <c r="BI38" s="148"/>
    </row>
    <row r="39" spans="1:61" ht="15.75" hidden="1" customHeight="1" x14ac:dyDescent="0.2">
      <c r="A39" s="1317"/>
      <c r="B39" s="1431"/>
      <c r="C39" s="900" t="s">
        <v>327</v>
      </c>
      <c r="D39" s="506">
        <f t="shared" si="87"/>
        <v>0</v>
      </c>
      <c r="E39" s="511">
        <f t="shared" si="87"/>
        <v>0</v>
      </c>
      <c r="F39" s="511">
        <f t="shared" si="87"/>
        <v>0</v>
      </c>
      <c r="G39" s="511">
        <f t="shared" si="87"/>
        <v>0</v>
      </c>
      <c r="H39" s="511">
        <f t="shared" si="87"/>
        <v>0</v>
      </c>
      <c r="I39" s="511">
        <f t="shared" si="87"/>
        <v>0</v>
      </c>
      <c r="J39" s="509">
        <f t="shared" si="87"/>
        <v>0</v>
      </c>
      <c r="K39" s="155"/>
      <c r="L39" s="466">
        <f t="shared" si="88"/>
        <v>0</v>
      </c>
      <c r="M39" s="466">
        <f t="shared" si="88"/>
        <v>0</v>
      </c>
      <c r="N39" s="466">
        <f t="shared" si="88"/>
        <v>0</v>
      </c>
      <c r="O39" s="466">
        <f t="shared" si="88"/>
        <v>0</v>
      </c>
      <c r="P39" s="466"/>
      <c r="Q39" s="466">
        <f t="shared" ref="Q39:BD39" si="92">Q9+Q24</f>
        <v>0</v>
      </c>
      <c r="R39" s="466">
        <f t="shared" si="92"/>
        <v>0</v>
      </c>
      <c r="S39" s="466">
        <f t="shared" si="92"/>
        <v>0</v>
      </c>
      <c r="T39" s="466">
        <f t="shared" si="92"/>
        <v>0</v>
      </c>
      <c r="U39" s="469">
        <f t="shared" si="92"/>
        <v>0</v>
      </c>
      <c r="V39" s="468">
        <f t="shared" si="92"/>
        <v>0</v>
      </c>
      <c r="W39" s="466">
        <f t="shared" si="92"/>
        <v>0</v>
      </c>
      <c r="X39" s="466">
        <f t="shared" si="92"/>
        <v>0</v>
      </c>
      <c r="Y39" s="466">
        <f t="shared" si="92"/>
        <v>0</v>
      </c>
      <c r="Z39" s="466">
        <f t="shared" si="92"/>
        <v>0</v>
      </c>
      <c r="AA39" s="466">
        <f t="shared" si="92"/>
        <v>0</v>
      </c>
      <c r="AB39" s="467">
        <f t="shared" si="92"/>
        <v>0</v>
      </c>
      <c r="AC39" s="468">
        <f t="shared" si="92"/>
        <v>0</v>
      </c>
      <c r="AD39" s="466">
        <f t="shared" si="92"/>
        <v>0</v>
      </c>
      <c r="AE39" s="466">
        <f t="shared" si="92"/>
        <v>0</v>
      </c>
      <c r="AF39" s="466">
        <f t="shared" si="92"/>
        <v>0</v>
      </c>
      <c r="AG39" s="466">
        <f t="shared" si="92"/>
        <v>0</v>
      </c>
      <c r="AH39" s="466">
        <f t="shared" si="92"/>
        <v>0</v>
      </c>
      <c r="AI39" s="466">
        <f t="shared" si="92"/>
        <v>0</v>
      </c>
      <c r="AJ39" s="466">
        <f t="shared" si="92"/>
        <v>0</v>
      </c>
      <c r="AK39" s="466">
        <f t="shared" si="92"/>
        <v>0</v>
      </c>
      <c r="AL39" s="466">
        <f t="shared" si="92"/>
        <v>0</v>
      </c>
      <c r="AM39" s="466">
        <f t="shared" si="92"/>
        <v>0</v>
      </c>
      <c r="AN39" s="466">
        <f t="shared" si="92"/>
        <v>0</v>
      </c>
      <c r="AO39" s="466">
        <f t="shared" si="92"/>
        <v>0</v>
      </c>
      <c r="AP39" s="466">
        <f t="shared" si="92"/>
        <v>0</v>
      </c>
      <c r="AQ39" s="466">
        <f t="shared" si="92"/>
        <v>0</v>
      </c>
      <c r="AR39" s="466">
        <f t="shared" si="92"/>
        <v>0</v>
      </c>
      <c r="AS39" s="466">
        <f t="shared" si="92"/>
        <v>0</v>
      </c>
      <c r="AT39" s="466">
        <f t="shared" si="92"/>
        <v>0</v>
      </c>
      <c r="AU39" s="466">
        <f t="shared" si="92"/>
        <v>0</v>
      </c>
      <c r="AV39" s="466">
        <f t="shared" si="92"/>
        <v>0</v>
      </c>
      <c r="AW39" s="466">
        <f t="shared" si="92"/>
        <v>0</v>
      </c>
      <c r="AX39" s="466">
        <f t="shared" si="92"/>
        <v>0</v>
      </c>
      <c r="AY39" s="466">
        <f t="shared" si="92"/>
        <v>0</v>
      </c>
      <c r="AZ39" s="466">
        <f t="shared" si="92"/>
        <v>0</v>
      </c>
      <c r="BA39" s="466">
        <f t="shared" si="92"/>
        <v>0</v>
      </c>
      <c r="BB39" s="466">
        <f t="shared" si="92"/>
        <v>0</v>
      </c>
      <c r="BC39" s="469">
        <f t="shared" si="92"/>
        <v>0</v>
      </c>
      <c r="BD39" s="470">
        <f t="shared" si="92"/>
        <v>0</v>
      </c>
      <c r="BE39" s="159"/>
      <c r="BF39" s="151"/>
      <c r="BG39" s="148"/>
      <c r="BI39" s="148"/>
    </row>
    <row r="40" spans="1:61" ht="15.75" customHeight="1" x14ac:dyDescent="0.2">
      <c r="A40" s="1317"/>
      <c r="B40" s="1431"/>
      <c r="C40" s="900" t="s">
        <v>133</v>
      </c>
      <c r="D40" s="997"/>
      <c r="E40" s="674"/>
      <c r="F40" s="674"/>
      <c r="G40" s="675"/>
      <c r="H40" s="675"/>
      <c r="I40" s="675"/>
      <c r="J40" s="509">
        <f t="shared" ref="J40:J46" si="93">J10+J25</f>
        <v>0</v>
      </c>
      <c r="K40" s="757"/>
      <c r="L40" s="156"/>
      <c r="M40" s="156"/>
      <c r="N40" s="156"/>
      <c r="O40" s="156"/>
      <c r="P40" s="156"/>
      <c r="Q40" s="466">
        <f t="shared" ref="Q40:BD40" si="94">Q10+Q25</f>
        <v>0</v>
      </c>
      <c r="R40" s="466">
        <f t="shared" si="94"/>
        <v>0</v>
      </c>
      <c r="S40" s="466">
        <f t="shared" si="94"/>
        <v>0</v>
      </c>
      <c r="T40" s="466">
        <f t="shared" si="94"/>
        <v>0</v>
      </c>
      <c r="U40" s="469">
        <f t="shared" si="94"/>
        <v>0</v>
      </c>
      <c r="V40" s="468">
        <f t="shared" si="94"/>
        <v>0</v>
      </c>
      <c r="W40" s="466">
        <f t="shared" si="94"/>
        <v>0</v>
      </c>
      <c r="X40" s="466">
        <f t="shared" si="94"/>
        <v>0</v>
      </c>
      <c r="Y40" s="466">
        <f t="shared" si="94"/>
        <v>0</v>
      </c>
      <c r="Z40" s="466">
        <f t="shared" si="94"/>
        <v>0</v>
      </c>
      <c r="AA40" s="466">
        <f t="shared" si="94"/>
        <v>0</v>
      </c>
      <c r="AB40" s="467">
        <f t="shared" si="94"/>
        <v>0</v>
      </c>
      <c r="AC40" s="468">
        <f t="shared" si="94"/>
        <v>0</v>
      </c>
      <c r="AD40" s="466">
        <f t="shared" si="94"/>
        <v>0</v>
      </c>
      <c r="AE40" s="466">
        <f t="shared" si="94"/>
        <v>0</v>
      </c>
      <c r="AF40" s="466">
        <f t="shared" si="94"/>
        <v>0</v>
      </c>
      <c r="AG40" s="466">
        <f t="shared" si="94"/>
        <v>0</v>
      </c>
      <c r="AH40" s="466">
        <f t="shared" si="94"/>
        <v>0</v>
      </c>
      <c r="AI40" s="466">
        <f t="shared" si="94"/>
        <v>0</v>
      </c>
      <c r="AJ40" s="466">
        <f t="shared" si="94"/>
        <v>0</v>
      </c>
      <c r="AK40" s="466">
        <f t="shared" si="94"/>
        <v>0</v>
      </c>
      <c r="AL40" s="466">
        <f t="shared" si="94"/>
        <v>0</v>
      </c>
      <c r="AM40" s="466">
        <f t="shared" si="94"/>
        <v>0</v>
      </c>
      <c r="AN40" s="466">
        <f t="shared" si="94"/>
        <v>0</v>
      </c>
      <c r="AO40" s="466">
        <f t="shared" si="94"/>
        <v>0</v>
      </c>
      <c r="AP40" s="466">
        <f t="shared" si="94"/>
        <v>0</v>
      </c>
      <c r="AQ40" s="466">
        <f t="shared" si="94"/>
        <v>0</v>
      </c>
      <c r="AR40" s="466">
        <f t="shared" si="94"/>
        <v>0</v>
      </c>
      <c r="AS40" s="466">
        <f t="shared" si="94"/>
        <v>0</v>
      </c>
      <c r="AT40" s="466">
        <f t="shared" si="94"/>
        <v>0</v>
      </c>
      <c r="AU40" s="466">
        <f t="shared" si="94"/>
        <v>0</v>
      </c>
      <c r="AV40" s="466">
        <f t="shared" si="94"/>
        <v>0</v>
      </c>
      <c r="AW40" s="466">
        <f t="shared" si="94"/>
        <v>0</v>
      </c>
      <c r="AX40" s="466">
        <f t="shared" si="94"/>
        <v>0</v>
      </c>
      <c r="AY40" s="466">
        <f t="shared" si="94"/>
        <v>0</v>
      </c>
      <c r="AZ40" s="466">
        <f t="shared" si="94"/>
        <v>0</v>
      </c>
      <c r="BA40" s="466">
        <f t="shared" si="94"/>
        <v>0</v>
      </c>
      <c r="BB40" s="466">
        <f t="shared" si="94"/>
        <v>0</v>
      </c>
      <c r="BC40" s="469">
        <f t="shared" si="94"/>
        <v>0</v>
      </c>
      <c r="BD40" s="470">
        <f t="shared" si="94"/>
        <v>0</v>
      </c>
      <c r="BE40" s="159"/>
      <c r="BF40" s="151">
        <f t="shared" ref="BF40:BG46" si="95">BF10+BF25</f>
        <v>0</v>
      </c>
      <c r="BG40" s="149">
        <f t="shared" si="95"/>
        <v>0</v>
      </c>
      <c r="BI40" s="148"/>
    </row>
    <row r="41" spans="1:61" ht="15.75" customHeight="1" x14ac:dyDescent="0.2">
      <c r="A41" s="1317"/>
      <c r="B41" s="1431" t="s">
        <v>24</v>
      </c>
      <c r="C41" s="901" t="s">
        <v>135</v>
      </c>
      <c r="D41" s="506">
        <f t="shared" ref="D41:I46" si="96">D11+D26</f>
        <v>0</v>
      </c>
      <c r="E41" s="511">
        <f t="shared" si="96"/>
        <v>0</v>
      </c>
      <c r="F41" s="511">
        <f t="shared" si="96"/>
        <v>0</v>
      </c>
      <c r="G41" s="511">
        <f t="shared" si="96"/>
        <v>0</v>
      </c>
      <c r="H41" s="511">
        <f t="shared" si="96"/>
        <v>0</v>
      </c>
      <c r="I41" s="511">
        <f t="shared" si="96"/>
        <v>0</v>
      </c>
      <c r="J41" s="509">
        <f t="shared" si="93"/>
        <v>0</v>
      </c>
      <c r="K41" s="155"/>
      <c r="L41" s="466">
        <f t="shared" ref="L41:O46" si="97">L11+L26</f>
        <v>0</v>
      </c>
      <c r="M41" s="466">
        <f t="shared" si="97"/>
        <v>0</v>
      </c>
      <c r="N41" s="466">
        <f t="shared" si="97"/>
        <v>0</v>
      </c>
      <c r="O41" s="466">
        <f t="shared" si="97"/>
        <v>0</v>
      </c>
      <c r="P41" s="466"/>
      <c r="Q41" s="466">
        <f t="shared" ref="Q41:BD41" si="98">Q11+Q26</f>
        <v>0</v>
      </c>
      <c r="R41" s="466">
        <f t="shared" si="98"/>
        <v>0</v>
      </c>
      <c r="S41" s="466">
        <f t="shared" si="98"/>
        <v>0</v>
      </c>
      <c r="T41" s="466">
        <f t="shared" si="98"/>
        <v>0</v>
      </c>
      <c r="U41" s="469">
        <f t="shared" si="98"/>
        <v>0</v>
      </c>
      <c r="V41" s="468">
        <f t="shared" si="98"/>
        <v>0</v>
      </c>
      <c r="W41" s="466">
        <f t="shared" si="98"/>
        <v>0</v>
      </c>
      <c r="X41" s="466">
        <f t="shared" si="98"/>
        <v>0</v>
      </c>
      <c r="Y41" s="466">
        <f t="shared" si="98"/>
        <v>0</v>
      </c>
      <c r="Z41" s="466">
        <f t="shared" si="98"/>
        <v>0</v>
      </c>
      <c r="AA41" s="466">
        <f t="shared" si="98"/>
        <v>0</v>
      </c>
      <c r="AB41" s="467">
        <f t="shared" si="98"/>
        <v>0</v>
      </c>
      <c r="AC41" s="468">
        <f t="shared" si="98"/>
        <v>0</v>
      </c>
      <c r="AD41" s="466">
        <f t="shared" si="98"/>
        <v>0</v>
      </c>
      <c r="AE41" s="466">
        <f t="shared" si="98"/>
        <v>0</v>
      </c>
      <c r="AF41" s="466">
        <f t="shared" si="98"/>
        <v>0</v>
      </c>
      <c r="AG41" s="466">
        <f t="shared" si="98"/>
        <v>0</v>
      </c>
      <c r="AH41" s="466">
        <f t="shared" si="98"/>
        <v>0</v>
      </c>
      <c r="AI41" s="466">
        <f t="shared" si="98"/>
        <v>0</v>
      </c>
      <c r="AJ41" s="466">
        <f t="shared" si="98"/>
        <v>0</v>
      </c>
      <c r="AK41" s="466">
        <f t="shared" si="98"/>
        <v>0</v>
      </c>
      <c r="AL41" s="466">
        <f t="shared" si="98"/>
        <v>0</v>
      </c>
      <c r="AM41" s="466">
        <f t="shared" si="98"/>
        <v>0</v>
      </c>
      <c r="AN41" s="466">
        <f t="shared" si="98"/>
        <v>0</v>
      </c>
      <c r="AO41" s="466">
        <f t="shared" si="98"/>
        <v>0</v>
      </c>
      <c r="AP41" s="466">
        <f t="shared" si="98"/>
        <v>0</v>
      </c>
      <c r="AQ41" s="466">
        <f t="shared" si="98"/>
        <v>0</v>
      </c>
      <c r="AR41" s="466">
        <f t="shared" si="98"/>
        <v>0</v>
      </c>
      <c r="AS41" s="466">
        <f t="shared" si="98"/>
        <v>0</v>
      </c>
      <c r="AT41" s="466">
        <f t="shared" si="98"/>
        <v>0</v>
      </c>
      <c r="AU41" s="466">
        <f t="shared" si="98"/>
        <v>0</v>
      </c>
      <c r="AV41" s="466">
        <f t="shared" si="98"/>
        <v>0</v>
      </c>
      <c r="AW41" s="466">
        <f t="shared" si="98"/>
        <v>0</v>
      </c>
      <c r="AX41" s="466">
        <f t="shared" si="98"/>
        <v>0</v>
      </c>
      <c r="AY41" s="466">
        <f t="shared" si="98"/>
        <v>0</v>
      </c>
      <c r="AZ41" s="466">
        <f t="shared" si="98"/>
        <v>0</v>
      </c>
      <c r="BA41" s="466">
        <f t="shared" si="98"/>
        <v>0</v>
      </c>
      <c r="BB41" s="466">
        <f t="shared" si="98"/>
        <v>0</v>
      </c>
      <c r="BC41" s="469">
        <f t="shared" si="98"/>
        <v>0</v>
      </c>
      <c r="BD41" s="470">
        <f t="shared" si="98"/>
        <v>0</v>
      </c>
      <c r="BE41" s="159"/>
      <c r="BF41" s="151">
        <f t="shared" si="95"/>
        <v>0</v>
      </c>
      <c r="BG41" s="149">
        <f t="shared" si="95"/>
        <v>0</v>
      </c>
      <c r="BI41" s="148"/>
    </row>
    <row r="42" spans="1:61" ht="15.75" customHeight="1" x14ac:dyDescent="0.2">
      <c r="A42" s="1317"/>
      <c r="B42" s="1431"/>
      <c r="C42" s="901" t="s">
        <v>507</v>
      </c>
      <c r="D42" s="506">
        <f t="shared" si="96"/>
        <v>0</v>
      </c>
      <c r="E42" s="511">
        <f t="shared" si="96"/>
        <v>0</v>
      </c>
      <c r="F42" s="511">
        <f t="shared" si="96"/>
        <v>0</v>
      </c>
      <c r="G42" s="511">
        <f t="shared" si="96"/>
        <v>0</v>
      </c>
      <c r="H42" s="511">
        <f t="shared" si="96"/>
        <v>0</v>
      </c>
      <c r="I42" s="511">
        <f t="shared" si="96"/>
        <v>0</v>
      </c>
      <c r="J42" s="509">
        <f t="shared" si="93"/>
        <v>0</v>
      </c>
      <c r="K42" s="155"/>
      <c r="L42" s="466">
        <f t="shared" si="97"/>
        <v>0</v>
      </c>
      <c r="M42" s="466">
        <f t="shared" si="97"/>
        <v>0</v>
      </c>
      <c r="N42" s="466">
        <f t="shared" si="97"/>
        <v>0</v>
      </c>
      <c r="O42" s="466">
        <f t="shared" si="97"/>
        <v>0</v>
      </c>
      <c r="P42" s="466"/>
      <c r="Q42" s="466">
        <f t="shared" ref="Q42:BD42" si="99">Q12+Q27</f>
        <v>0</v>
      </c>
      <c r="R42" s="466">
        <f t="shared" si="99"/>
        <v>0</v>
      </c>
      <c r="S42" s="466">
        <f t="shared" si="99"/>
        <v>0</v>
      </c>
      <c r="T42" s="466">
        <f t="shared" si="99"/>
        <v>0</v>
      </c>
      <c r="U42" s="469">
        <f t="shared" si="99"/>
        <v>0</v>
      </c>
      <c r="V42" s="468">
        <f t="shared" si="99"/>
        <v>0</v>
      </c>
      <c r="W42" s="466">
        <f t="shared" si="99"/>
        <v>0</v>
      </c>
      <c r="X42" s="466">
        <f t="shared" si="99"/>
        <v>0</v>
      </c>
      <c r="Y42" s="466">
        <f t="shared" si="99"/>
        <v>0</v>
      </c>
      <c r="Z42" s="466">
        <f t="shared" si="99"/>
        <v>0</v>
      </c>
      <c r="AA42" s="466">
        <f t="shared" si="99"/>
        <v>0</v>
      </c>
      <c r="AB42" s="467">
        <f t="shared" si="99"/>
        <v>0</v>
      </c>
      <c r="AC42" s="468">
        <f t="shared" si="99"/>
        <v>0</v>
      </c>
      <c r="AD42" s="466">
        <f t="shared" si="99"/>
        <v>0</v>
      </c>
      <c r="AE42" s="466">
        <f t="shared" si="99"/>
        <v>0</v>
      </c>
      <c r="AF42" s="466">
        <f t="shared" si="99"/>
        <v>0</v>
      </c>
      <c r="AG42" s="466">
        <f t="shared" si="99"/>
        <v>0</v>
      </c>
      <c r="AH42" s="466">
        <f t="shared" si="99"/>
        <v>0</v>
      </c>
      <c r="AI42" s="466">
        <f t="shared" si="99"/>
        <v>0</v>
      </c>
      <c r="AJ42" s="466">
        <f t="shared" si="99"/>
        <v>0</v>
      </c>
      <c r="AK42" s="466">
        <f t="shared" si="99"/>
        <v>0</v>
      </c>
      <c r="AL42" s="466">
        <f t="shared" si="99"/>
        <v>0</v>
      </c>
      <c r="AM42" s="466">
        <f t="shared" si="99"/>
        <v>0</v>
      </c>
      <c r="AN42" s="466">
        <f t="shared" si="99"/>
        <v>0</v>
      </c>
      <c r="AO42" s="466">
        <f t="shared" si="99"/>
        <v>0</v>
      </c>
      <c r="AP42" s="466">
        <f t="shared" si="99"/>
        <v>0</v>
      </c>
      <c r="AQ42" s="466">
        <f t="shared" si="99"/>
        <v>0</v>
      </c>
      <c r="AR42" s="466">
        <f t="shared" si="99"/>
        <v>0</v>
      </c>
      <c r="AS42" s="466">
        <f t="shared" si="99"/>
        <v>0</v>
      </c>
      <c r="AT42" s="466">
        <f t="shared" si="99"/>
        <v>0</v>
      </c>
      <c r="AU42" s="466">
        <f t="shared" si="99"/>
        <v>0</v>
      </c>
      <c r="AV42" s="466">
        <f t="shared" si="99"/>
        <v>0</v>
      </c>
      <c r="AW42" s="466">
        <f t="shared" si="99"/>
        <v>0</v>
      </c>
      <c r="AX42" s="466">
        <f t="shared" si="99"/>
        <v>0</v>
      </c>
      <c r="AY42" s="466">
        <f t="shared" si="99"/>
        <v>0</v>
      </c>
      <c r="AZ42" s="466">
        <f t="shared" si="99"/>
        <v>0</v>
      </c>
      <c r="BA42" s="466">
        <f t="shared" si="99"/>
        <v>0</v>
      </c>
      <c r="BB42" s="466">
        <f t="shared" si="99"/>
        <v>0</v>
      </c>
      <c r="BC42" s="469">
        <f t="shared" si="99"/>
        <v>0</v>
      </c>
      <c r="BD42" s="470">
        <f t="shared" si="99"/>
        <v>0</v>
      </c>
      <c r="BE42" s="159"/>
      <c r="BF42" s="151">
        <f t="shared" si="95"/>
        <v>0</v>
      </c>
      <c r="BG42" s="149">
        <f t="shared" si="95"/>
        <v>0</v>
      </c>
      <c r="BI42" s="148"/>
    </row>
    <row r="43" spans="1:61" ht="15.75" customHeight="1" x14ac:dyDescent="0.2">
      <c r="A43" s="1317"/>
      <c r="B43" s="1431"/>
      <c r="C43" s="901" t="s">
        <v>347</v>
      </c>
      <c r="D43" s="506">
        <f t="shared" si="96"/>
        <v>0</v>
      </c>
      <c r="E43" s="511">
        <f t="shared" si="96"/>
        <v>0</v>
      </c>
      <c r="F43" s="511">
        <f t="shared" si="96"/>
        <v>0</v>
      </c>
      <c r="G43" s="511">
        <f t="shared" si="96"/>
        <v>0</v>
      </c>
      <c r="H43" s="511">
        <f t="shared" si="96"/>
        <v>0</v>
      </c>
      <c r="I43" s="511">
        <f t="shared" si="96"/>
        <v>0</v>
      </c>
      <c r="J43" s="509">
        <f t="shared" si="93"/>
        <v>0</v>
      </c>
      <c r="K43" s="155"/>
      <c r="L43" s="466">
        <f t="shared" si="97"/>
        <v>0</v>
      </c>
      <c r="M43" s="466">
        <f t="shared" si="97"/>
        <v>0</v>
      </c>
      <c r="N43" s="466">
        <f t="shared" si="97"/>
        <v>0</v>
      </c>
      <c r="O43" s="466">
        <f t="shared" si="97"/>
        <v>0</v>
      </c>
      <c r="P43" s="466"/>
      <c r="Q43" s="466">
        <f t="shared" ref="Q43:BD43" si="100">Q13+Q28</f>
        <v>0</v>
      </c>
      <c r="R43" s="466">
        <f t="shared" si="100"/>
        <v>0</v>
      </c>
      <c r="S43" s="466">
        <f t="shared" si="100"/>
        <v>0</v>
      </c>
      <c r="T43" s="466">
        <f t="shared" si="100"/>
        <v>0</v>
      </c>
      <c r="U43" s="469">
        <f t="shared" si="100"/>
        <v>0</v>
      </c>
      <c r="V43" s="468">
        <f t="shared" si="100"/>
        <v>0</v>
      </c>
      <c r="W43" s="466">
        <f t="shared" si="100"/>
        <v>0</v>
      </c>
      <c r="X43" s="466">
        <f t="shared" si="100"/>
        <v>0</v>
      </c>
      <c r="Y43" s="466">
        <f t="shared" si="100"/>
        <v>0</v>
      </c>
      <c r="Z43" s="466">
        <f t="shared" si="100"/>
        <v>0</v>
      </c>
      <c r="AA43" s="466">
        <f t="shared" si="100"/>
        <v>0</v>
      </c>
      <c r="AB43" s="467">
        <f t="shared" si="100"/>
        <v>0</v>
      </c>
      <c r="AC43" s="468">
        <f t="shared" si="100"/>
        <v>0</v>
      </c>
      <c r="AD43" s="466">
        <f t="shared" si="100"/>
        <v>0</v>
      </c>
      <c r="AE43" s="466">
        <f t="shared" si="100"/>
        <v>0</v>
      </c>
      <c r="AF43" s="466">
        <f t="shared" si="100"/>
        <v>0</v>
      </c>
      <c r="AG43" s="466">
        <f t="shared" si="100"/>
        <v>0</v>
      </c>
      <c r="AH43" s="466">
        <f t="shared" si="100"/>
        <v>0</v>
      </c>
      <c r="AI43" s="466">
        <f t="shared" si="100"/>
        <v>0</v>
      </c>
      <c r="AJ43" s="466">
        <f t="shared" si="100"/>
        <v>0</v>
      </c>
      <c r="AK43" s="466">
        <f t="shared" si="100"/>
        <v>0</v>
      </c>
      <c r="AL43" s="466">
        <f t="shared" si="100"/>
        <v>0</v>
      </c>
      <c r="AM43" s="466">
        <f t="shared" si="100"/>
        <v>0</v>
      </c>
      <c r="AN43" s="466">
        <f t="shared" si="100"/>
        <v>0</v>
      </c>
      <c r="AO43" s="466">
        <f t="shared" si="100"/>
        <v>0</v>
      </c>
      <c r="AP43" s="466">
        <f t="shared" si="100"/>
        <v>0</v>
      </c>
      <c r="AQ43" s="466">
        <f t="shared" si="100"/>
        <v>0</v>
      </c>
      <c r="AR43" s="466">
        <f t="shared" si="100"/>
        <v>0</v>
      </c>
      <c r="AS43" s="466">
        <f t="shared" si="100"/>
        <v>0</v>
      </c>
      <c r="AT43" s="466">
        <f t="shared" si="100"/>
        <v>0</v>
      </c>
      <c r="AU43" s="466">
        <f t="shared" si="100"/>
        <v>0</v>
      </c>
      <c r="AV43" s="466">
        <f t="shared" si="100"/>
        <v>0</v>
      </c>
      <c r="AW43" s="466">
        <f t="shared" si="100"/>
        <v>0</v>
      </c>
      <c r="AX43" s="466">
        <f t="shared" si="100"/>
        <v>0</v>
      </c>
      <c r="AY43" s="466">
        <f t="shared" si="100"/>
        <v>0</v>
      </c>
      <c r="AZ43" s="466">
        <f t="shared" si="100"/>
        <v>0</v>
      </c>
      <c r="BA43" s="466">
        <f t="shared" si="100"/>
        <v>0</v>
      </c>
      <c r="BB43" s="466">
        <f t="shared" si="100"/>
        <v>0</v>
      </c>
      <c r="BC43" s="469">
        <f t="shared" si="100"/>
        <v>0</v>
      </c>
      <c r="BD43" s="470">
        <f t="shared" si="100"/>
        <v>0</v>
      </c>
      <c r="BE43" s="159"/>
      <c r="BF43" s="151">
        <f t="shared" si="95"/>
        <v>0</v>
      </c>
      <c r="BG43" s="149">
        <f t="shared" si="95"/>
        <v>0</v>
      </c>
      <c r="BI43" s="148"/>
    </row>
    <row r="44" spans="1:61" ht="15" customHeight="1" x14ac:dyDescent="0.2">
      <c r="A44" s="1317"/>
      <c r="B44" s="1431"/>
      <c r="C44" s="901" t="s">
        <v>196</v>
      </c>
      <c r="D44" s="506">
        <f t="shared" si="96"/>
        <v>0</v>
      </c>
      <c r="E44" s="511">
        <f t="shared" si="96"/>
        <v>0</v>
      </c>
      <c r="F44" s="511">
        <f t="shared" si="96"/>
        <v>0</v>
      </c>
      <c r="G44" s="511">
        <f t="shared" si="96"/>
        <v>0</v>
      </c>
      <c r="H44" s="511">
        <f t="shared" si="96"/>
        <v>0</v>
      </c>
      <c r="I44" s="511">
        <f t="shared" si="96"/>
        <v>0</v>
      </c>
      <c r="J44" s="509">
        <f t="shared" si="93"/>
        <v>0</v>
      </c>
      <c r="K44" s="155"/>
      <c r="L44" s="466">
        <f t="shared" si="97"/>
        <v>0</v>
      </c>
      <c r="M44" s="466">
        <f t="shared" si="97"/>
        <v>0</v>
      </c>
      <c r="N44" s="466">
        <f t="shared" si="97"/>
        <v>0</v>
      </c>
      <c r="O44" s="466">
        <f t="shared" si="97"/>
        <v>0</v>
      </c>
      <c r="P44" s="466"/>
      <c r="Q44" s="466">
        <f t="shared" ref="Q44:BD44" si="101">Q14+Q29</f>
        <v>0</v>
      </c>
      <c r="R44" s="466">
        <f t="shared" si="101"/>
        <v>0</v>
      </c>
      <c r="S44" s="466">
        <f t="shared" si="101"/>
        <v>0</v>
      </c>
      <c r="T44" s="466">
        <f t="shared" si="101"/>
        <v>0</v>
      </c>
      <c r="U44" s="469">
        <f t="shared" si="101"/>
        <v>0</v>
      </c>
      <c r="V44" s="468">
        <f t="shared" si="101"/>
        <v>0</v>
      </c>
      <c r="W44" s="466">
        <f t="shared" si="101"/>
        <v>0</v>
      </c>
      <c r="X44" s="466">
        <f t="shared" si="101"/>
        <v>0</v>
      </c>
      <c r="Y44" s="466">
        <f t="shared" si="101"/>
        <v>0</v>
      </c>
      <c r="Z44" s="466">
        <f t="shared" si="101"/>
        <v>0</v>
      </c>
      <c r="AA44" s="466">
        <f t="shared" si="101"/>
        <v>0</v>
      </c>
      <c r="AB44" s="467">
        <f t="shared" si="101"/>
        <v>0</v>
      </c>
      <c r="AC44" s="468">
        <f t="shared" si="101"/>
        <v>0</v>
      </c>
      <c r="AD44" s="466">
        <f t="shared" si="101"/>
        <v>0</v>
      </c>
      <c r="AE44" s="466">
        <f t="shared" si="101"/>
        <v>0</v>
      </c>
      <c r="AF44" s="466">
        <f t="shared" si="101"/>
        <v>0</v>
      </c>
      <c r="AG44" s="466">
        <f t="shared" si="101"/>
        <v>0</v>
      </c>
      <c r="AH44" s="466">
        <f t="shared" si="101"/>
        <v>0</v>
      </c>
      <c r="AI44" s="466">
        <f t="shared" si="101"/>
        <v>0</v>
      </c>
      <c r="AJ44" s="466">
        <f t="shared" si="101"/>
        <v>0</v>
      </c>
      <c r="AK44" s="466">
        <f t="shared" si="101"/>
        <v>0</v>
      </c>
      <c r="AL44" s="466">
        <f t="shared" si="101"/>
        <v>0</v>
      </c>
      <c r="AM44" s="466">
        <f t="shared" si="101"/>
        <v>0</v>
      </c>
      <c r="AN44" s="466">
        <f t="shared" si="101"/>
        <v>0</v>
      </c>
      <c r="AO44" s="466">
        <f t="shared" si="101"/>
        <v>0</v>
      </c>
      <c r="AP44" s="466">
        <f t="shared" si="101"/>
        <v>0</v>
      </c>
      <c r="AQ44" s="466">
        <f t="shared" si="101"/>
        <v>0</v>
      </c>
      <c r="AR44" s="466">
        <f t="shared" si="101"/>
        <v>0</v>
      </c>
      <c r="AS44" s="466">
        <f t="shared" si="101"/>
        <v>0</v>
      </c>
      <c r="AT44" s="466">
        <f t="shared" si="101"/>
        <v>0</v>
      </c>
      <c r="AU44" s="466">
        <f t="shared" si="101"/>
        <v>0</v>
      </c>
      <c r="AV44" s="466">
        <f t="shared" si="101"/>
        <v>0</v>
      </c>
      <c r="AW44" s="466">
        <f t="shared" si="101"/>
        <v>0</v>
      </c>
      <c r="AX44" s="466">
        <f t="shared" si="101"/>
        <v>0</v>
      </c>
      <c r="AY44" s="466">
        <f t="shared" si="101"/>
        <v>0</v>
      </c>
      <c r="AZ44" s="466">
        <f t="shared" si="101"/>
        <v>0</v>
      </c>
      <c r="BA44" s="466">
        <f t="shared" si="101"/>
        <v>0</v>
      </c>
      <c r="BB44" s="466">
        <f t="shared" si="101"/>
        <v>0</v>
      </c>
      <c r="BC44" s="469">
        <f t="shared" si="101"/>
        <v>0</v>
      </c>
      <c r="BD44" s="470">
        <f t="shared" si="101"/>
        <v>0</v>
      </c>
      <c r="BE44" s="159"/>
      <c r="BF44" s="151">
        <f t="shared" si="95"/>
        <v>0</v>
      </c>
      <c r="BG44" s="149">
        <f t="shared" si="95"/>
        <v>0</v>
      </c>
      <c r="BI44" s="148"/>
    </row>
    <row r="45" spans="1:61" ht="15" customHeight="1" x14ac:dyDescent="0.2">
      <c r="A45" s="1317"/>
      <c r="B45" s="1431"/>
      <c r="C45" s="901" t="s">
        <v>523</v>
      </c>
      <c r="D45" s="506">
        <f t="shared" si="96"/>
        <v>0</v>
      </c>
      <c r="E45" s="511">
        <f t="shared" si="96"/>
        <v>0</v>
      </c>
      <c r="F45" s="511">
        <f t="shared" si="96"/>
        <v>0</v>
      </c>
      <c r="G45" s="511">
        <f t="shared" si="96"/>
        <v>0</v>
      </c>
      <c r="H45" s="511">
        <f t="shared" si="96"/>
        <v>0</v>
      </c>
      <c r="I45" s="511">
        <f t="shared" si="96"/>
        <v>0</v>
      </c>
      <c r="J45" s="509">
        <f t="shared" si="93"/>
        <v>0</v>
      </c>
      <c r="K45" s="155"/>
      <c r="L45" s="466">
        <f t="shared" si="97"/>
        <v>0</v>
      </c>
      <c r="M45" s="466">
        <f t="shared" si="97"/>
        <v>0</v>
      </c>
      <c r="N45" s="466">
        <f t="shared" si="97"/>
        <v>0</v>
      </c>
      <c r="O45" s="466">
        <f t="shared" si="97"/>
        <v>0</v>
      </c>
      <c r="P45" s="466"/>
      <c r="Q45" s="466">
        <f t="shared" ref="Q45:BD46" si="102">Q15+Q30</f>
        <v>0</v>
      </c>
      <c r="R45" s="466">
        <f t="shared" si="102"/>
        <v>0</v>
      </c>
      <c r="S45" s="466">
        <f t="shared" si="102"/>
        <v>0</v>
      </c>
      <c r="T45" s="466">
        <f t="shared" si="102"/>
        <v>0</v>
      </c>
      <c r="U45" s="469">
        <f t="shared" si="102"/>
        <v>0</v>
      </c>
      <c r="V45" s="468">
        <f t="shared" si="102"/>
        <v>0</v>
      </c>
      <c r="W45" s="466">
        <f t="shared" si="102"/>
        <v>0</v>
      </c>
      <c r="X45" s="466">
        <f t="shared" si="102"/>
        <v>0</v>
      </c>
      <c r="Y45" s="466">
        <f t="shared" si="102"/>
        <v>0</v>
      </c>
      <c r="Z45" s="466">
        <f t="shared" si="102"/>
        <v>0</v>
      </c>
      <c r="AA45" s="466">
        <f t="shared" si="102"/>
        <v>0</v>
      </c>
      <c r="AB45" s="467">
        <f t="shared" si="102"/>
        <v>0</v>
      </c>
      <c r="AC45" s="468">
        <f t="shared" si="102"/>
        <v>0</v>
      </c>
      <c r="AD45" s="466">
        <f t="shared" si="102"/>
        <v>0</v>
      </c>
      <c r="AE45" s="466">
        <f t="shared" si="102"/>
        <v>0</v>
      </c>
      <c r="AF45" s="466">
        <f t="shared" si="102"/>
        <v>0</v>
      </c>
      <c r="AG45" s="466">
        <f t="shared" si="102"/>
        <v>0</v>
      </c>
      <c r="AH45" s="466">
        <f t="shared" si="102"/>
        <v>0</v>
      </c>
      <c r="AI45" s="466">
        <f t="shared" si="102"/>
        <v>0</v>
      </c>
      <c r="AJ45" s="466">
        <f t="shared" si="102"/>
        <v>0</v>
      </c>
      <c r="AK45" s="466">
        <f t="shared" si="102"/>
        <v>0</v>
      </c>
      <c r="AL45" s="466">
        <f t="shared" si="102"/>
        <v>0</v>
      </c>
      <c r="AM45" s="466">
        <f t="shared" si="102"/>
        <v>0</v>
      </c>
      <c r="AN45" s="466">
        <f t="shared" si="102"/>
        <v>0</v>
      </c>
      <c r="AO45" s="466">
        <f t="shared" si="102"/>
        <v>0</v>
      </c>
      <c r="AP45" s="466">
        <f t="shared" si="102"/>
        <v>0</v>
      </c>
      <c r="AQ45" s="466">
        <f t="shared" si="102"/>
        <v>0</v>
      </c>
      <c r="AR45" s="466">
        <f t="shared" si="102"/>
        <v>0</v>
      </c>
      <c r="AS45" s="466">
        <f t="shared" si="102"/>
        <v>0</v>
      </c>
      <c r="AT45" s="466">
        <f t="shared" si="102"/>
        <v>0</v>
      </c>
      <c r="AU45" s="466">
        <f t="shared" si="102"/>
        <v>0</v>
      </c>
      <c r="AV45" s="466">
        <f t="shared" si="102"/>
        <v>0</v>
      </c>
      <c r="AW45" s="466">
        <f t="shared" si="102"/>
        <v>0</v>
      </c>
      <c r="AX45" s="466">
        <f t="shared" si="102"/>
        <v>0</v>
      </c>
      <c r="AY45" s="466">
        <f t="shared" si="102"/>
        <v>0</v>
      </c>
      <c r="AZ45" s="466">
        <f t="shared" si="102"/>
        <v>0</v>
      </c>
      <c r="BA45" s="466">
        <f t="shared" si="102"/>
        <v>0</v>
      </c>
      <c r="BB45" s="466">
        <f t="shared" si="102"/>
        <v>0</v>
      </c>
      <c r="BC45" s="469">
        <f t="shared" si="102"/>
        <v>0</v>
      </c>
      <c r="BD45" s="470">
        <f t="shared" si="102"/>
        <v>0</v>
      </c>
      <c r="BE45" s="159"/>
      <c r="BF45" s="151">
        <f t="shared" si="95"/>
        <v>0</v>
      </c>
      <c r="BG45" s="149">
        <f t="shared" si="95"/>
        <v>0</v>
      </c>
      <c r="BI45" s="148"/>
    </row>
    <row r="46" spans="1:61" x14ac:dyDescent="0.2">
      <c r="A46" s="1317"/>
      <c r="B46" s="1431"/>
      <c r="C46" s="901" t="s">
        <v>533</v>
      </c>
      <c r="D46" s="506">
        <f t="shared" si="96"/>
        <v>0</v>
      </c>
      <c r="E46" s="511">
        <f t="shared" si="96"/>
        <v>0</v>
      </c>
      <c r="F46" s="511">
        <f t="shared" si="96"/>
        <v>0</v>
      </c>
      <c r="G46" s="511">
        <f t="shared" si="96"/>
        <v>0</v>
      </c>
      <c r="H46" s="511">
        <f>H16+H31</f>
        <v>0</v>
      </c>
      <c r="I46" s="511">
        <f t="shared" si="96"/>
        <v>0</v>
      </c>
      <c r="J46" s="509">
        <f t="shared" si="93"/>
        <v>0</v>
      </c>
      <c r="K46" s="155"/>
      <c r="L46" s="466">
        <f t="shared" si="97"/>
        <v>0</v>
      </c>
      <c r="M46" s="466">
        <f t="shared" si="97"/>
        <v>0</v>
      </c>
      <c r="N46" s="466">
        <f t="shared" si="97"/>
        <v>0</v>
      </c>
      <c r="O46" s="466">
        <f t="shared" si="97"/>
        <v>0</v>
      </c>
      <c r="P46" s="466"/>
      <c r="Q46" s="466">
        <f t="shared" si="102"/>
        <v>0</v>
      </c>
      <c r="R46" s="466">
        <f t="shared" si="102"/>
        <v>0</v>
      </c>
      <c r="S46" s="466">
        <f t="shared" si="102"/>
        <v>0</v>
      </c>
      <c r="T46" s="466">
        <f t="shared" si="102"/>
        <v>0</v>
      </c>
      <c r="U46" s="469">
        <f t="shared" si="102"/>
        <v>0</v>
      </c>
      <c r="V46" s="468">
        <f t="shared" si="102"/>
        <v>0</v>
      </c>
      <c r="W46" s="466">
        <f t="shared" si="102"/>
        <v>0</v>
      </c>
      <c r="X46" s="466">
        <f t="shared" si="102"/>
        <v>0</v>
      </c>
      <c r="Y46" s="466">
        <f t="shared" si="102"/>
        <v>0</v>
      </c>
      <c r="Z46" s="466">
        <f t="shared" si="102"/>
        <v>0</v>
      </c>
      <c r="AA46" s="466">
        <f t="shared" si="102"/>
        <v>0</v>
      </c>
      <c r="AB46" s="467">
        <f t="shared" si="102"/>
        <v>0</v>
      </c>
      <c r="AC46" s="468">
        <f t="shared" si="102"/>
        <v>0</v>
      </c>
      <c r="AD46" s="466">
        <f t="shared" si="102"/>
        <v>0</v>
      </c>
      <c r="AE46" s="466">
        <f t="shared" si="102"/>
        <v>0</v>
      </c>
      <c r="AF46" s="466">
        <f t="shared" si="102"/>
        <v>0</v>
      </c>
      <c r="AG46" s="466">
        <f t="shared" si="102"/>
        <v>0</v>
      </c>
      <c r="AH46" s="466">
        <f t="shared" si="102"/>
        <v>0</v>
      </c>
      <c r="AI46" s="466">
        <f t="shared" si="102"/>
        <v>0</v>
      </c>
      <c r="AJ46" s="466">
        <f t="shared" si="102"/>
        <v>0</v>
      </c>
      <c r="AK46" s="466">
        <f t="shared" si="102"/>
        <v>0</v>
      </c>
      <c r="AL46" s="466">
        <f t="shared" si="102"/>
        <v>0</v>
      </c>
      <c r="AM46" s="466">
        <f t="shared" si="102"/>
        <v>0</v>
      </c>
      <c r="AN46" s="466">
        <f t="shared" si="102"/>
        <v>0</v>
      </c>
      <c r="AO46" s="466">
        <f t="shared" si="102"/>
        <v>0</v>
      </c>
      <c r="AP46" s="466">
        <f t="shared" si="102"/>
        <v>0</v>
      </c>
      <c r="AQ46" s="466">
        <f t="shared" si="102"/>
        <v>0</v>
      </c>
      <c r="AR46" s="466">
        <f t="shared" si="102"/>
        <v>0</v>
      </c>
      <c r="AS46" s="466">
        <f t="shared" si="102"/>
        <v>0</v>
      </c>
      <c r="AT46" s="466">
        <f t="shared" si="102"/>
        <v>0</v>
      </c>
      <c r="AU46" s="466">
        <f t="shared" si="102"/>
        <v>0</v>
      </c>
      <c r="AV46" s="466">
        <f t="shared" si="102"/>
        <v>0</v>
      </c>
      <c r="AW46" s="466">
        <f t="shared" si="102"/>
        <v>0</v>
      </c>
      <c r="AX46" s="466">
        <f t="shared" si="102"/>
        <v>0</v>
      </c>
      <c r="AY46" s="466">
        <f t="shared" si="102"/>
        <v>0</v>
      </c>
      <c r="AZ46" s="466">
        <f t="shared" si="102"/>
        <v>0</v>
      </c>
      <c r="BA46" s="466">
        <f t="shared" si="102"/>
        <v>0</v>
      </c>
      <c r="BB46" s="466">
        <f t="shared" si="102"/>
        <v>0</v>
      </c>
      <c r="BC46" s="469">
        <f t="shared" si="102"/>
        <v>0</v>
      </c>
      <c r="BD46" s="470">
        <f t="shared" si="102"/>
        <v>0</v>
      </c>
      <c r="BE46" s="159"/>
      <c r="BF46" s="151">
        <f t="shared" si="95"/>
        <v>0</v>
      </c>
      <c r="BG46" s="149">
        <f t="shared" si="95"/>
        <v>0</v>
      </c>
      <c r="BI46" s="148"/>
    </row>
    <row r="47" spans="1:61" ht="15.75" customHeight="1" x14ac:dyDescent="0.2">
      <c r="A47" s="1317"/>
      <c r="B47" s="1431"/>
      <c r="C47" s="901" t="s">
        <v>525</v>
      </c>
      <c r="D47" s="506">
        <f t="shared" ref="D47:I47" si="103">D17+D32</f>
        <v>0</v>
      </c>
      <c r="E47" s="511">
        <f t="shared" si="103"/>
        <v>0</v>
      </c>
      <c r="F47" s="511">
        <f t="shared" si="103"/>
        <v>0</v>
      </c>
      <c r="G47" s="511">
        <f t="shared" si="103"/>
        <v>0</v>
      </c>
      <c r="H47" s="511">
        <f t="shared" si="103"/>
        <v>0</v>
      </c>
      <c r="I47" s="511">
        <f t="shared" si="103"/>
        <v>0</v>
      </c>
      <c r="J47" s="509">
        <f t="shared" ref="J47" si="104">J17+J32</f>
        <v>0</v>
      </c>
      <c r="K47" s="155"/>
      <c r="L47" s="466">
        <f t="shared" ref="L47:O47" si="105">L17+L32</f>
        <v>0</v>
      </c>
      <c r="M47" s="466">
        <f t="shared" si="105"/>
        <v>0</v>
      </c>
      <c r="N47" s="466">
        <f t="shared" si="105"/>
        <v>0</v>
      </c>
      <c r="O47" s="466">
        <f t="shared" si="105"/>
        <v>0</v>
      </c>
      <c r="P47" s="466"/>
      <c r="Q47" s="466">
        <f t="shared" ref="Q47:BD47" si="106">Q17+Q32</f>
        <v>0</v>
      </c>
      <c r="R47" s="466">
        <f t="shared" si="106"/>
        <v>0</v>
      </c>
      <c r="S47" s="466">
        <f t="shared" si="106"/>
        <v>0</v>
      </c>
      <c r="T47" s="466">
        <f t="shared" si="106"/>
        <v>0</v>
      </c>
      <c r="U47" s="469">
        <f t="shared" si="106"/>
        <v>0</v>
      </c>
      <c r="V47" s="468">
        <f t="shared" si="106"/>
        <v>0</v>
      </c>
      <c r="W47" s="466">
        <f t="shared" si="106"/>
        <v>0</v>
      </c>
      <c r="X47" s="466">
        <f t="shared" si="106"/>
        <v>0</v>
      </c>
      <c r="Y47" s="466">
        <f t="shared" si="106"/>
        <v>0</v>
      </c>
      <c r="Z47" s="466">
        <f t="shared" si="106"/>
        <v>0</v>
      </c>
      <c r="AA47" s="466">
        <f t="shared" si="106"/>
        <v>0</v>
      </c>
      <c r="AB47" s="467">
        <f t="shared" si="106"/>
        <v>0</v>
      </c>
      <c r="AC47" s="468">
        <f t="shared" si="106"/>
        <v>0</v>
      </c>
      <c r="AD47" s="466">
        <f t="shared" si="106"/>
        <v>0</v>
      </c>
      <c r="AE47" s="466">
        <f t="shared" si="106"/>
        <v>0</v>
      </c>
      <c r="AF47" s="466">
        <f t="shared" si="106"/>
        <v>0</v>
      </c>
      <c r="AG47" s="466">
        <f t="shared" si="106"/>
        <v>0</v>
      </c>
      <c r="AH47" s="466">
        <f t="shared" si="106"/>
        <v>0</v>
      </c>
      <c r="AI47" s="466">
        <f t="shared" si="106"/>
        <v>0</v>
      </c>
      <c r="AJ47" s="466">
        <f t="shared" si="106"/>
        <v>0</v>
      </c>
      <c r="AK47" s="466">
        <f t="shared" si="106"/>
        <v>0</v>
      </c>
      <c r="AL47" s="466">
        <f t="shared" si="106"/>
        <v>0</v>
      </c>
      <c r="AM47" s="466">
        <f t="shared" si="106"/>
        <v>0</v>
      </c>
      <c r="AN47" s="466">
        <f t="shared" si="106"/>
        <v>0</v>
      </c>
      <c r="AO47" s="466">
        <f t="shared" si="106"/>
        <v>0</v>
      </c>
      <c r="AP47" s="466">
        <f t="shared" si="106"/>
        <v>0</v>
      </c>
      <c r="AQ47" s="466">
        <f t="shared" si="106"/>
        <v>0</v>
      </c>
      <c r="AR47" s="466">
        <f t="shared" si="106"/>
        <v>0</v>
      </c>
      <c r="AS47" s="466">
        <f t="shared" si="106"/>
        <v>0</v>
      </c>
      <c r="AT47" s="466">
        <f t="shared" si="106"/>
        <v>0</v>
      </c>
      <c r="AU47" s="466">
        <f t="shared" si="106"/>
        <v>0</v>
      </c>
      <c r="AV47" s="466">
        <f t="shared" si="106"/>
        <v>0</v>
      </c>
      <c r="AW47" s="466">
        <f t="shared" si="106"/>
        <v>0</v>
      </c>
      <c r="AX47" s="466">
        <f t="shared" si="106"/>
        <v>0</v>
      </c>
      <c r="AY47" s="466">
        <f t="shared" si="106"/>
        <v>0</v>
      </c>
      <c r="AZ47" s="466">
        <f t="shared" si="106"/>
        <v>0</v>
      </c>
      <c r="BA47" s="466">
        <f t="shared" si="106"/>
        <v>0</v>
      </c>
      <c r="BB47" s="466">
        <f t="shared" si="106"/>
        <v>0</v>
      </c>
      <c r="BC47" s="469">
        <f t="shared" si="106"/>
        <v>0</v>
      </c>
      <c r="BD47" s="470">
        <f t="shared" si="106"/>
        <v>0</v>
      </c>
      <c r="BE47" s="159"/>
      <c r="BF47" s="151">
        <f t="shared" ref="BF47:BG47" si="107">BF17+BF32</f>
        <v>0</v>
      </c>
      <c r="BG47" s="149">
        <f t="shared" si="107"/>
        <v>0</v>
      </c>
      <c r="BI47" s="148"/>
    </row>
    <row r="48" spans="1:61" ht="25.5" x14ac:dyDescent="0.2">
      <c r="A48" s="1317"/>
      <c r="B48" s="1431"/>
      <c r="C48" s="901" t="s">
        <v>256</v>
      </c>
      <c r="D48" s="999"/>
      <c r="E48" s="675"/>
      <c r="F48" s="675"/>
      <c r="G48" s="675"/>
      <c r="H48" s="675"/>
      <c r="I48" s="511">
        <f>I18+I33</f>
        <v>0</v>
      </c>
      <c r="J48" s="987"/>
      <c r="K48" s="155"/>
      <c r="L48" s="426"/>
      <c r="M48" s="426"/>
      <c r="N48" s="426"/>
      <c r="O48" s="426"/>
      <c r="P48" s="426"/>
      <c r="Q48" s="426"/>
      <c r="R48" s="426"/>
      <c r="S48" s="426"/>
      <c r="T48" s="426"/>
      <c r="U48" s="437"/>
      <c r="V48" s="425"/>
      <c r="W48" s="426"/>
      <c r="X48" s="426"/>
      <c r="Y48" s="426"/>
      <c r="Z48" s="426"/>
      <c r="AA48" s="426"/>
      <c r="AB48" s="427"/>
      <c r="AC48" s="425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  <c r="AO48" s="426"/>
      <c r="AP48" s="426"/>
      <c r="AQ48" s="426"/>
      <c r="AR48" s="426"/>
      <c r="AS48" s="426"/>
      <c r="AT48" s="426"/>
      <c r="AU48" s="426"/>
      <c r="AV48" s="426"/>
      <c r="AW48" s="426"/>
      <c r="AX48" s="426"/>
      <c r="AY48" s="426"/>
      <c r="AZ48" s="426"/>
      <c r="BA48" s="426"/>
      <c r="BB48" s="426"/>
      <c r="BC48" s="437"/>
      <c r="BD48" s="450"/>
      <c r="BE48" s="159"/>
      <c r="BF48" s="151" t="e">
        <f>#REF!+BF33</f>
        <v>#REF!</v>
      </c>
      <c r="BG48" s="149" t="e">
        <f>#REF!+BG33</f>
        <v>#REF!</v>
      </c>
      <c r="BI48" s="148"/>
    </row>
    <row r="49" spans="1:61" ht="15" customHeight="1" x14ac:dyDescent="0.2">
      <c r="A49" s="1317"/>
      <c r="B49" s="1538" t="s">
        <v>25</v>
      </c>
      <c r="C49" s="902" t="s">
        <v>353</v>
      </c>
      <c r="D49" s="506">
        <f>D19+D34</f>
        <v>0</v>
      </c>
      <c r="E49" s="511">
        <f>E19+E34</f>
        <v>0</v>
      </c>
      <c r="F49" s="511">
        <f>F19+F34</f>
        <v>0</v>
      </c>
      <c r="G49" s="511">
        <f>G19+G34</f>
        <v>0</v>
      </c>
      <c r="H49" s="511">
        <f>H19+H34</f>
        <v>0</v>
      </c>
      <c r="I49" s="675"/>
      <c r="J49" s="509">
        <f>J19+J34</f>
        <v>0</v>
      </c>
      <c r="K49" s="155"/>
      <c r="L49" s="466">
        <f>L19+L34</f>
        <v>0</v>
      </c>
      <c r="M49" s="466">
        <f>M19+M34</f>
        <v>0</v>
      </c>
      <c r="N49" s="466">
        <f>N19+N34</f>
        <v>0</v>
      </c>
      <c r="O49" s="466">
        <f>O19+O34</f>
        <v>0</v>
      </c>
      <c r="P49" s="466"/>
      <c r="Q49" s="466">
        <f t="shared" ref="Q49:BC49" si="108">Q19+Q34</f>
        <v>0</v>
      </c>
      <c r="R49" s="466">
        <f t="shared" si="108"/>
        <v>0</v>
      </c>
      <c r="S49" s="466">
        <f t="shared" si="108"/>
        <v>0</v>
      </c>
      <c r="T49" s="466">
        <f t="shared" si="108"/>
        <v>0</v>
      </c>
      <c r="U49" s="469">
        <f t="shared" si="108"/>
        <v>0</v>
      </c>
      <c r="V49" s="468">
        <f t="shared" si="108"/>
        <v>0</v>
      </c>
      <c r="W49" s="466">
        <f t="shared" si="108"/>
        <v>0</v>
      </c>
      <c r="X49" s="466">
        <f t="shared" si="108"/>
        <v>0</v>
      </c>
      <c r="Y49" s="466">
        <f t="shared" si="108"/>
        <v>0</v>
      </c>
      <c r="Z49" s="466">
        <f t="shared" si="108"/>
        <v>0</v>
      </c>
      <c r="AA49" s="466">
        <f t="shared" si="108"/>
        <v>0</v>
      </c>
      <c r="AB49" s="467">
        <f t="shared" si="108"/>
        <v>0</v>
      </c>
      <c r="AC49" s="468">
        <f t="shared" si="108"/>
        <v>0</v>
      </c>
      <c r="AD49" s="466">
        <f t="shared" si="108"/>
        <v>0</v>
      </c>
      <c r="AE49" s="466">
        <f t="shared" si="108"/>
        <v>0</v>
      </c>
      <c r="AF49" s="466">
        <f t="shared" si="108"/>
        <v>0</v>
      </c>
      <c r="AG49" s="466">
        <f t="shared" si="108"/>
        <v>0</v>
      </c>
      <c r="AH49" s="466">
        <f t="shared" si="108"/>
        <v>0</v>
      </c>
      <c r="AI49" s="466">
        <f t="shared" si="108"/>
        <v>0</v>
      </c>
      <c r="AJ49" s="466">
        <f t="shared" si="108"/>
        <v>0</v>
      </c>
      <c r="AK49" s="466">
        <f t="shared" si="108"/>
        <v>0</v>
      </c>
      <c r="AL49" s="466">
        <f t="shared" si="108"/>
        <v>0</v>
      </c>
      <c r="AM49" s="466">
        <f t="shared" si="108"/>
        <v>0</v>
      </c>
      <c r="AN49" s="466">
        <f t="shared" si="108"/>
        <v>0</v>
      </c>
      <c r="AO49" s="466">
        <f t="shared" si="108"/>
        <v>0</v>
      </c>
      <c r="AP49" s="466">
        <f t="shared" si="108"/>
        <v>0</v>
      </c>
      <c r="AQ49" s="466">
        <f t="shared" si="108"/>
        <v>0</v>
      </c>
      <c r="AR49" s="466">
        <f t="shared" si="108"/>
        <v>0</v>
      </c>
      <c r="AS49" s="466">
        <f t="shared" si="108"/>
        <v>0</v>
      </c>
      <c r="AT49" s="466">
        <f t="shared" si="108"/>
        <v>0</v>
      </c>
      <c r="AU49" s="466">
        <f t="shared" si="108"/>
        <v>0</v>
      </c>
      <c r="AV49" s="466">
        <f t="shared" si="108"/>
        <v>0</v>
      </c>
      <c r="AW49" s="466">
        <f t="shared" si="108"/>
        <v>0</v>
      </c>
      <c r="AX49" s="466">
        <f t="shared" si="108"/>
        <v>0</v>
      </c>
      <c r="AY49" s="466">
        <f t="shared" si="108"/>
        <v>0</v>
      </c>
      <c r="AZ49" s="466">
        <f t="shared" si="108"/>
        <v>0</v>
      </c>
      <c r="BA49" s="466">
        <f t="shared" si="108"/>
        <v>0</v>
      </c>
      <c r="BB49" s="466">
        <f t="shared" si="108"/>
        <v>0</v>
      </c>
      <c r="BC49" s="469">
        <f t="shared" si="108"/>
        <v>0</v>
      </c>
      <c r="BD49" s="470">
        <f>BD19+BD34</f>
        <v>0</v>
      </c>
      <c r="BE49" s="159"/>
      <c r="BF49" s="151">
        <f>BF19+BF34</f>
        <v>0</v>
      </c>
      <c r="BG49" s="149">
        <f>BG19+BG34</f>
        <v>0</v>
      </c>
      <c r="BI49" s="148"/>
    </row>
    <row r="50" spans="1:61" ht="20.25" customHeight="1" thickBot="1" x14ac:dyDescent="0.25">
      <c r="A50" s="1537"/>
      <c r="B50" s="1539"/>
      <c r="C50" s="903" t="s">
        <v>12</v>
      </c>
      <c r="D50" s="1000"/>
      <c r="E50" s="1001"/>
      <c r="F50" s="512">
        <f>F20+F35</f>
        <v>0</v>
      </c>
      <c r="G50" s="1001"/>
      <c r="H50" s="1001"/>
      <c r="I50" s="512">
        <f>I20+I35</f>
        <v>0</v>
      </c>
      <c r="J50" s="510">
        <f>J20+J35</f>
        <v>0</v>
      </c>
      <c r="K50" s="463">
        <f>K20+K35</f>
        <v>0</v>
      </c>
      <c r="L50" s="429"/>
      <c r="M50" s="429"/>
      <c r="N50" s="429"/>
      <c r="O50" s="429"/>
      <c r="P50" s="429"/>
      <c r="Q50" s="429"/>
      <c r="R50" s="429"/>
      <c r="S50" s="429"/>
      <c r="T50" s="429"/>
      <c r="U50" s="451"/>
      <c r="V50" s="428"/>
      <c r="W50" s="429"/>
      <c r="X50" s="429"/>
      <c r="Y50" s="429"/>
      <c r="Z50" s="429"/>
      <c r="AA50" s="429"/>
      <c r="AB50" s="430"/>
      <c r="AC50" s="428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  <c r="AO50" s="429"/>
      <c r="AP50" s="429"/>
      <c r="AQ50" s="429"/>
      <c r="AR50" s="429"/>
      <c r="AS50" s="429"/>
      <c r="AT50" s="429"/>
      <c r="AU50" s="429"/>
      <c r="AV50" s="429"/>
      <c r="AW50" s="429"/>
      <c r="AX50" s="429"/>
      <c r="AY50" s="429"/>
      <c r="AZ50" s="429"/>
      <c r="BA50" s="429"/>
      <c r="BB50" s="429"/>
      <c r="BC50" s="451"/>
      <c r="BD50" s="452"/>
      <c r="BE50" s="160"/>
      <c r="BF50" s="146"/>
      <c r="BG50" s="148"/>
      <c r="BI50" s="148"/>
    </row>
  </sheetData>
  <customSheetViews>
    <customSheetView guid="{3F312A0E-DF4A-4A92-9F0F-6B2059264CC1}" hiddenRows="1" hiddenColumns="1" showRuler="0" topLeftCell="B1">
      <pane xSplit="4" ySplit="14" topLeftCell="F59" activePane="bottomRight" state="frozen"/>
      <selection pane="bottomRight" activeCell="AB15" sqref="AB15"/>
      <pageMargins left="0.75" right="0.75" top="1" bottom="1" header="0.5" footer="0.5"/>
      <pageSetup paperSize="9" orientation="portrait" verticalDpi="300" r:id="rId1"/>
      <headerFooter alignWithMargins="0"/>
    </customSheetView>
  </customSheetViews>
  <mergeCells count="67">
    <mergeCell ref="AB1:AB4"/>
    <mergeCell ref="AA2:AA4"/>
    <mergeCell ref="Z2:Z4"/>
    <mergeCell ref="M2:M4"/>
    <mergeCell ref="N2:N4"/>
    <mergeCell ref="O2:O4"/>
    <mergeCell ref="P2:P4"/>
    <mergeCell ref="K1:T1"/>
    <mergeCell ref="K2:K4"/>
    <mergeCell ref="L2:L4"/>
    <mergeCell ref="X2:X4"/>
    <mergeCell ref="R2:S3"/>
    <mergeCell ref="V2:V4"/>
    <mergeCell ref="U1:U4"/>
    <mergeCell ref="V1:AA1"/>
    <mergeCell ref="Y2:Y4"/>
    <mergeCell ref="A1:A4"/>
    <mergeCell ref="D1:J1"/>
    <mergeCell ref="I2:I4"/>
    <mergeCell ref="H3:H4"/>
    <mergeCell ref="D2:E2"/>
    <mergeCell ref="G3:G4"/>
    <mergeCell ref="E3:E4"/>
    <mergeCell ref="F2:F4"/>
    <mergeCell ref="J2:J4"/>
    <mergeCell ref="G2:H2"/>
    <mergeCell ref="A21:A35"/>
    <mergeCell ref="B34:B35"/>
    <mergeCell ref="A36:A50"/>
    <mergeCell ref="B49:B50"/>
    <mergeCell ref="A6:A20"/>
    <mergeCell ref="B26:B33"/>
    <mergeCell ref="B19:B20"/>
    <mergeCell ref="B11:B18"/>
    <mergeCell ref="B36:B40"/>
    <mergeCell ref="B6:B10"/>
    <mergeCell ref="B21:B25"/>
    <mergeCell ref="B41:B48"/>
    <mergeCell ref="W2:W4"/>
    <mergeCell ref="C1:C4"/>
    <mergeCell ref="B1:B4"/>
    <mergeCell ref="Q2:Q4"/>
    <mergeCell ref="D3:D4"/>
    <mergeCell ref="T2:T4"/>
    <mergeCell ref="AZ3:AZ4"/>
    <mergeCell ref="AQ3:AQ4"/>
    <mergeCell ref="BE1:BE4"/>
    <mergeCell ref="BD1:BD4"/>
    <mergeCell ref="AC2:AG2"/>
    <mergeCell ref="AG3:AG4"/>
    <mergeCell ref="AD3:AD4"/>
    <mergeCell ref="BI1:BI5"/>
    <mergeCell ref="BC1:BC4"/>
    <mergeCell ref="AI3:AP3"/>
    <mergeCell ref="AX3:AY3"/>
    <mergeCell ref="AC1:BB1"/>
    <mergeCell ref="AF3:AF4"/>
    <mergeCell ref="AH2:AH4"/>
    <mergeCell ref="BG2:BG4"/>
    <mergeCell ref="BA3:BA4"/>
    <mergeCell ref="AI2:BA2"/>
    <mergeCell ref="AW3:AW4"/>
    <mergeCell ref="AR3:AV3"/>
    <mergeCell ref="BB2:BB4"/>
    <mergeCell ref="BF3:BF4"/>
    <mergeCell ref="AC3:AC4"/>
    <mergeCell ref="AE3:AE4"/>
  </mergeCells>
  <phoneticPr fontId="2" type="noConversion"/>
  <conditionalFormatting sqref="BI6:BI15 BI17:BI30 BI32:BI45 BI47:BI50">
    <cfRule type="containsText" dxfId="12" priority="12" stopIfTrue="1" operator="containsText" text="нет">
      <formula>NOT(ISERROR(SEARCH("нет",BI6)))</formula>
    </cfRule>
    <cfRule type="containsText" dxfId="11" priority="13" stopIfTrue="1" operator="containsText" text="ок">
      <formula>NOT(ISERROR(SEARCH("ок",BI6)))</formula>
    </cfRule>
  </conditionalFormatting>
  <conditionalFormatting sqref="BD6:BD15 BD21:BD30">
    <cfRule type="cellIs" dxfId="10" priority="11" stopIfTrue="1" operator="notEqual">
      <formula>12</formula>
    </cfRule>
  </conditionalFormatting>
  <conditionalFormatting sqref="BD17">
    <cfRule type="cellIs" dxfId="9" priority="10" stopIfTrue="1" operator="notEqual">
      <formula>12</formula>
    </cfRule>
  </conditionalFormatting>
  <conditionalFormatting sqref="BD32">
    <cfRule type="cellIs" dxfId="8" priority="9" stopIfTrue="1" operator="notEqual">
      <formula>12</formula>
    </cfRule>
  </conditionalFormatting>
  <conditionalFormatting sqref="BI16">
    <cfRule type="containsText" dxfId="7" priority="7" stopIfTrue="1" operator="containsText" text="нет">
      <formula>NOT(ISERROR(SEARCH("нет",BI16)))</formula>
    </cfRule>
    <cfRule type="containsText" dxfId="6" priority="8" stopIfTrue="1" operator="containsText" text="ок">
      <formula>NOT(ISERROR(SEARCH("ок",BI16)))</formula>
    </cfRule>
  </conditionalFormatting>
  <conditionalFormatting sqref="BD16">
    <cfRule type="cellIs" dxfId="5" priority="6" stopIfTrue="1" operator="notEqual">
      <formula>12</formula>
    </cfRule>
  </conditionalFormatting>
  <conditionalFormatting sqref="BI31">
    <cfRule type="containsText" dxfId="4" priority="4" stopIfTrue="1" operator="containsText" text="нет">
      <formula>NOT(ISERROR(SEARCH("нет",BI31)))</formula>
    </cfRule>
    <cfRule type="containsText" dxfId="3" priority="5" stopIfTrue="1" operator="containsText" text="ок">
      <formula>NOT(ISERROR(SEARCH("ок",BI31)))</formula>
    </cfRule>
  </conditionalFormatting>
  <conditionalFormatting sqref="BD31">
    <cfRule type="cellIs" dxfId="2" priority="3" stopIfTrue="1" operator="notEqual">
      <formula>12</formula>
    </cfRule>
  </conditionalFormatting>
  <conditionalFormatting sqref="BI46">
    <cfRule type="containsText" dxfId="1" priority="1" stopIfTrue="1" operator="containsText" text="нет">
      <formula>NOT(ISERROR(SEARCH("нет",BI46)))</formula>
    </cfRule>
    <cfRule type="containsText" dxfId="0" priority="2" stopIfTrue="1" operator="containsText" text="ок">
      <formula>NOT(ISERROR(SEARCH("ок",BI46)))</formula>
    </cfRule>
  </conditionalFormatting>
  <pageMargins left="0.75" right="0.75" top="1" bottom="1" header="0.5" footer="0.5"/>
  <pageSetup paperSize="9" orientation="portrait" verticalDpi="300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5" tint="-0.249977111117893"/>
  </sheetPr>
  <dimension ref="A1:I44"/>
  <sheetViews>
    <sheetView topLeftCell="E1" workbookViewId="0">
      <selection activeCell="E1" sqref="E1"/>
    </sheetView>
  </sheetViews>
  <sheetFormatPr defaultRowHeight="12.75" x14ac:dyDescent="0.2"/>
  <cols>
    <col min="1" max="1" width="0.42578125" style="1" hidden="1" customWidth="1"/>
    <col min="2" max="2" width="6.140625" style="1" hidden="1" customWidth="1"/>
    <col min="3" max="3" width="16.85546875" style="1" hidden="1" customWidth="1"/>
    <col min="4" max="4" width="9.85546875" style="1" hidden="1" customWidth="1"/>
    <col min="5" max="5" width="9.140625" style="1"/>
    <col min="6" max="6" width="17.7109375" style="1" customWidth="1"/>
    <col min="7" max="7" width="9.140625" style="1130"/>
    <col min="8" max="16384" width="9.140625" style="1"/>
  </cols>
  <sheetData>
    <row r="1" spans="1:9" ht="23.25" thickBot="1" x14ac:dyDescent="0.25">
      <c r="B1" s="1561" t="s">
        <v>72</v>
      </c>
      <c r="C1" s="1562"/>
      <c r="D1" s="1563"/>
      <c r="F1" s="1564" t="s">
        <v>436</v>
      </c>
      <c r="G1" s="1565"/>
      <c r="H1" s="969"/>
    </row>
    <row r="2" spans="1:9" ht="12.75" customHeight="1" thickBot="1" x14ac:dyDescent="0.25">
      <c r="A2" s="960"/>
      <c r="B2" s="970" t="s">
        <v>1</v>
      </c>
      <c r="C2" s="959" t="s">
        <v>37</v>
      </c>
      <c r="D2" s="961" t="s">
        <v>38</v>
      </c>
      <c r="F2" s="977" t="s">
        <v>37</v>
      </c>
      <c r="G2" s="978" t="s">
        <v>38</v>
      </c>
      <c r="H2" s="2"/>
    </row>
    <row r="3" spans="1:9" ht="13.5" thickBot="1" x14ac:dyDescent="0.25">
      <c r="A3" s="152"/>
      <c r="B3" s="745">
        <v>1</v>
      </c>
      <c r="C3" s="965">
        <v>2</v>
      </c>
      <c r="D3" s="971">
        <v>3</v>
      </c>
      <c r="E3" s="1558" t="s">
        <v>483</v>
      </c>
      <c r="F3" s="1142" t="s">
        <v>284</v>
      </c>
      <c r="G3" s="1127"/>
    </row>
    <row r="4" spans="1:9" ht="13.5" customHeight="1" x14ac:dyDescent="0.2">
      <c r="A4" s="1">
        <v>72</v>
      </c>
      <c r="B4" s="1566">
        <v>1</v>
      </c>
      <c r="C4" s="966" t="str">
        <f>'Суточный рапорт'!$A$84</f>
        <v>DM-45</v>
      </c>
      <c r="D4" s="972"/>
      <c r="E4" s="1559"/>
      <c r="F4" s="770" t="s">
        <v>473</v>
      </c>
      <c r="G4" s="1128"/>
    </row>
    <row r="5" spans="1:9" ht="13.5" customHeight="1" x14ac:dyDescent="0.2">
      <c r="A5" s="1">
        <v>12</v>
      </c>
      <c r="B5" s="1566"/>
      <c r="C5" s="966" t="str">
        <f>'Суточный рапорт'!$A$87</f>
        <v>DI-550</v>
      </c>
      <c r="D5" s="972"/>
      <c r="E5" s="1559"/>
      <c r="F5" s="770" t="s">
        <v>285</v>
      </c>
      <c r="G5" s="1128"/>
    </row>
    <row r="6" spans="1:9" x14ac:dyDescent="0.2">
      <c r="A6" s="1">
        <v>11</v>
      </c>
      <c r="B6" s="1567"/>
      <c r="C6" s="967" t="s">
        <v>490</v>
      </c>
      <c r="D6" s="973"/>
      <c r="E6" s="1559"/>
      <c r="F6" s="770" t="s">
        <v>354</v>
      </c>
      <c r="G6" s="1128"/>
    </row>
    <row r="7" spans="1:9" x14ac:dyDescent="0.2">
      <c r="A7" s="1">
        <v>13</v>
      </c>
      <c r="B7" s="1567"/>
      <c r="C7" s="967" t="str">
        <f>'Суточный рапорт'!$A$93</f>
        <v>DI-500</v>
      </c>
      <c r="D7" s="973"/>
      <c r="E7" s="1559"/>
      <c r="F7" s="770" t="s">
        <v>355</v>
      </c>
      <c r="G7" s="1128"/>
      <c r="I7" s="137"/>
    </row>
    <row r="8" spans="1:9" x14ac:dyDescent="0.2">
      <c r="B8" s="1568"/>
      <c r="C8" s="1093" t="s">
        <v>449</v>
      </c>
      <c r="D8" s="1094"/>
      <c r="E8" s="1559"/>
      <c r="F8" s="770" t="s">
        <v>286</v>
      </c>
      <c r="G8" s="1128"/>
      <c r="I8" s="1131"/>
    </row>
    <row r="9" spans="1:9" ht="12.75" customHeight="1" thickBot="1" x14ac:dyDescent="0.25">
      <c r="B9" s="1569"/>
      <c r="C9" s="968" t="s">
        <v>13</v>
      </c>
      <c r="D9" s="974">
        <f>SUM(D4:D8)</f>
        <v>0</v>
      </c>
      <c r="E9" s="1559"/>
      <c r="F9" s="770" t="s">
        <v>287</v>
      </c>
      <c r="G9" s="1128"/>
    </row>
    <row r="10" spans="1:9" ht="13.5" customHeight="1" x14ac:dyDescent="0.2">
      <c r="A10" s="1">
        <v>72</v>
      </c>
      <c r="B10" s="1566">
        <v>2</v>
      </c>
      <c r="C10" s="966" t="str">
        <f>'Суточный рапорт'!$A$84</f>
        <v>DM-45</v>
      </c>
      <c r="D10" s="972"/>
      <c r="E10" s="1559"/>
      <c r="F10" s="770" t="s">
        <v>356</v>
      </c>
      <c r="G10" s="1128"/>
    </row>
    <row r="11" spans="1:9" ht="13.5" customHeight="1" x14ac:dyDescent="0.2">
      <c r="A11" s="1">
        <v>12</v>
      </c>
      <c r="B11" s="1566"/>
      <c r="C11" s="966" t="str">
        <f>'Суточный рапорт'!$A$87</f>
        <v>DI-550</v>
      </c>
      <c r="D11" s="972"/>
      <c r="E11" s="1559"/>
      <c r="F11" s="770" t="s">
        <v>489</v>
      </c>
      <c r="G11" s="1128"/>
    </row>
    <row r="12" spans="1:9" x14ac:dyDescent="0.2">
      <c r="A12" s="1">
        <v>11</v>
      </c>
      <c r="B12" s="1567"/>
      <c r="C12" s="967" t="s">
        <v>490</v>
      </c>
      <c r="D12" s="973"/>
      <c r="E12" s="1559"/>
      <c r="F12" s="770" t="s">
        <v>194</v>
      </c>
      <c r="G12" s="1128"/>
    </row>
    <row r="13" spans="1:9" x14ac:dyDescent="0.2">
      <c r="A13" s="1">
        <v>13</v>
      </c>
      <c r="B13" s="1567"/>
      <c r="C13" s="967" t="str">
        <f>'Суточный рапорт'!$A$93</f>
        <v>DI-500</v>
      </c>
      <c r="D13" s="973"/>
      <c r="E13" s="1559"/>
      <c r="F13" s="770" t="s">
        <v>215</v>
      </c>
      <c r="G13" s="1128"/>
    </row>
    <row r="14" spans="1:9" x14ac:dyDescent="0.2">
      <c r="B14" s="1568"/>
      <c r="C14" s="1093" t="s">
        <v>449</v>
      </c>
      <c r="D14" s="1094"/>
      <c r="E14" s="1559"/>
      <c r="F14" s="770" t="s">
        <v>336</v>
      </c>
      <c r="G14" s="1128"/>
    </row>
    <row r="15" spans="1:9" ht="13.5" thickBot="1" x14ac:dyDescent="0.25">
      <c r="B15" s="1569"/>
      <c r="C15" s="968" t="s">
        <v>14</v>
      </c>
      <c r="D15" s="974">
        <f>SUM(D10:D14)</f>
        <v>0</v>
      </c>
      <c r="E15" s="1559"/>
      <c r="F15" s="770" t="s">
        <v>338</v>
      </c>
      <c r="G15" s="1128"/>
    </row>
    <row r="16" spans="1:9" ht="13.5" thickBot="1" x14ac:dyDescent="0.25">
      <c r="B16" s="1503"/>
      <c r="C16" s="966" t="str">
        <f>'Суточный рапорт'!$A$84</f>
        <v>DM-45</v>
      </c>
      <c r="D16" s="975">
        <f t="shared" ref="D16:D21" si="0">D4+D10</f>
        <v>0</v>
      </c>
      <c r="E16" s="1560"/>
      <c r="F16" s="1143" t="s">
        <v>485</v>
      </c>
      <c r="G16" s="1129"/>
    </row>
    <row r="17" spans="2:7" x14ac:dyDescent="0.2">
      <c r="B17" s="1566"/>
      <c r="C17" s="966" t="str">
        <f>'Суточный рапорт'!$A$87</f>
        <v>DI-550</v>
      </c>
      <c r="D17" s="976">
        <f t="shared" si="0"/>
        <v>0</v>
      </c>
      <c r="E17" s="1559" t="s">
        <v>484</v>
      </c>
      <c r="F17" s="1154" t="s">
        <v>284</v>
      </c>
      <c r="G17" s="1155"/>
    </row>
    <row r="18" spans="2:7" x14ac:dyDescent="0.2">
      <c r="B18" s="1567"/>
      <c r="C18" s="967" t="s">
        <v>490</v>
      </c>
      <c r="D18" s="976">
        <f t="shared" si="0"/>
        <v>0</v>
      </c>
      <c r="E18" s="1559"/>
      <c r="F18" s="770" t="s">
        <v>473</v>
      </c>
      <c r="G18" s="1128"/>
    </row>
    <row r="19" spans="2:7" x14ac:dyDescent="0.2">
      <c r="B19" s="1567"/>
      <c r="C19" s="967" t="str">
        <f>'Суточный рапорт'!$A$93</f>
        <v>DI-500</v>
      </c>
      <c r="D19" s="976">
        <f t="shared" si="0"/>
        <v>0</v>
      </c>
      <c r="E19" s="1559"/>
      <c r="F19" s="770" t="s">
        <v>285</v>
      </c>
      <c r="G19" s="1128"/>
    </row>
    <row r="20" spans="2:7" x14ac:dyDescent="0.2">
      <c r="B20" s="1568"/>
      <c r="C20" s="1093" t="s">
        <v>448</v>
      </c>
      <c r="D20" s="976">
        <f t="shared" si="0"/>
        <v>0</v>
      </c>
      <c r="E20" s="1559"/>
      <c r="F20" s="770" t="s">
        <v>354</v>
      </c>
      <c r="G20" s="1128"/>
    </row>
    <row r="21" spans="2:7" ht="13.5" thickBot="1" x14ac:dyDescent="0.25">
      <c r="B21" s="1569"/>
      <c r="C21" s="968" t="s">
        <v>25</v>
      </c>
      <c r="D21" s="974">
        <f t="shared" si="0"/>
        <v>0</v>
      </c>
      <c r="E21" s="1559"/>
      <c r="F21" s="770" t="s">
        <v>355</v>
      </c>
      <c r="G21" s="1128"/>
    </row>
    <row r="22" spans="2:7" x14ac:dyDescent="0.2">
      <c r="E22" s="1559"/>
      <c r="F22" s="770" t="s">
        <v>286</v>
      </c>
      <c r="G22" s="1128"/>
    </row>
    <row r="23" spans="2:7" x14ac:dyDescent="0.2">
      <c r="E23" s="1559"/>
      <c r="F23" s="770" t="s">
        <v>287</v>
      </c>
      <c r="G23" s="1128"/>
    </row>
    <row r="24" spans="2:7" x14ac:dyDescent="0.2">
      <c r="E24" s="1559"/>
      <c r="F24" s="770" t="s">
        <v>356</v>
      </c>
      <c r="G24" s="1128"/>
    </row>
    <row r="25" spans="2:7" x14ac:dyDescent="0.2">
      <c r="E25" s="1559"/>
      <c r="F25" s="770" t="s">
        <v>489</v>
      </c>
      <c r="G25" s="1128"/>
    </row>
    <row r="26" spans="2:7" x14ac:dyDescent="0.2">
      <c r="E26" s="1559"/>
      <c r="F26" s="770" t="s">
        <v>194</v>
      </c>
      <c r="G26" s="1128"/>
    </row>
    <row r="27" spans="2:7" x14ac:dyDescent="0.2">
      <c r="E27" s="1559"/>
      <c r="F27" s="770" t="s">
        <v>215</v>
      </c>
      <c r="G27" s="1128"/>
    </row>
    <row r="28" spans="2:7" x14ac:dyDescent="0.2">
      <c r="E28" s="1559"/>
      <c r="F28" s="770" t="s">
        <v>336</v>
      </c>
      <c r="G28" s="1128"/>
    </row>
    <row r="29" spans="2:7" x14ac:dyDescent="0.2">
      <c r="E29" s="1559"/>
      <c r="F29" s="770" t="s">
        <v>338</v>
      </c>
      <c r="G29" s="1128"/>
    </row>
    <row r="30" spans="2:7" ht="13.5" thickBot="1" x14ac:dyDescent="0.25">
      <c r="E30" s="1559"/>
      <c r="F30" s="1143" t="s">
        <v>485</v>
      </c>
      <c r="G30" s="1148"/>
    </row>
    <row r="31" spans="2:7" x14ac:dyDescent="0.2">
      <c r="E31" s="1558" t="s">
        <v>73</v>
      </c>
      <c r="F31" s="1149" t="s">
        <v>284</v>
      </c>
      <c r="G31" s="1151">
        <f>G17+G3</f>
        <v>0</v>
      </c>
    </row>
    <row r="32" spans="2:7" x14ac:dyDescent="0.2">
      <c r="E32" s="1559"/>
      <c r="F32" s="1150" t="s">
        <v>473</v>
      </c>
      <c r="G32" s="1152">
        <f t="shared" ref="G32:G44" si="1">G18+G4</f>
        <v>0</v>
      </c>
    </row>
    <row r="33" spans="5:7" x14ac:dyDescent="0.2">
      <c r="E33" s="1559"/>
      <c r="F33" s="1150" t="s">
        <v>285</v>
      </c>
      <c r="G33" s="1152">
        <f t="shared" si="1"/>
        <v>0</v>
      </c>
    </row>
    <row r="34" spans="5:7" x14ac:dyDescent="0.2">
      <c r="E34" s="1559"/>
      <c r="F34" s="1150" t="s">
        <v>354</v>
      </c>
      <c r="G34" s="1152">
        <f t="shared" si="1"/>
        <v>0</v>
      </c>
    </row>
    <row r="35" spans="5:7" x14ac:dyDescent="0.2">
      <c r="E35" s="1559"/>
      <c r="F35" s="1150" t="s">
        <v>355</v>
      </c>
      <c r="G35" s="1152">
        <f t="shared" si="1"/>
        <v>0</v>
      </c>
    </row>
    <row r="36" spans="5:7" x14ac:dyDescent="0.2">
      <c r="E36" s="1559"/>
      <c r="F36" s="1150" t="s">
        <v>286</v>
      </c>
      <c r="G36" s="1152">
        <f t="shared" si="1"/>
        <v>0</v>
      </c>
    </row>
    <row r="37" spans="5:7" x14ac:dyDescent="0.2">
      <c r="E37" s="1559"/>
      <c r="F37" s="1150" t="s">
        <v>287</v>
      </c>
      <c r="G37" s="1152">
        <f t="shared" si="1"/>
        <v>0</v>
      </c>
    </row>
    <row r="38" spans="5:7" x14ac:dyDescent="0.2">
      <c r="E38" s="1559"/>
      <c r="F38" s="1150" t="s">
        <v>356</v>
      </c>
      <c r="G38" s="1152">
        <f t="shared" si="1"/>
        <v>0</v>
      </c>
    </row>
    <row r="39" spans="5:7" x14ac:dyDescent="0.2">
      <c r="E39" s="1559"/>
      <c r="F39" s="1150" t="s">
        <v>489</v>
      </c>
      <c r="G39" s="1152">
        <f t="shared" si="1"/>
        <v>0</v>
      </c>
    </row>
    <row r="40" spans="5:7" x14ac:dyDescent="0.2">
      <c r="E40" s="1559"/>
      <c r="F40" s="1150" t="s">
        <v>194</v>
      </c>
      <c r="G40" s="1152">
        <f t="shared" si="1"/>
        <v>0</v>
      </c>
    </row>
    <row r="41" spans="5:7" x14ac:dyDescent="0.2">
      <c r="E41" s="1559"/>
      <c r="F41" s="1150" t="s">
        <v>215</v>
      </c>
      <c r="G41" s="1152">
        <f t="shared" si="1"/>
        <v>0</v>
      </c>
    </row>
    <row r="42" spans="5:7" x14ac:dyDescent="0.2">
      <c r="E42" s="1559"/>
      <c r="F42" s="1150" t="s">
        <v>336</v>
      </c>
      <c r="G42" s="1152">
        <f t="shared" si="1"/>
        <v>0</v>
      </c>
    </row>
    <row r="43" spans="5:7" x14ac:dyDescent="0.2">
      <c r="E43" s="1559"/>
      <c r="F43" s="1150" t="s">
        <v>338</v>
      </c>
      <c r="G43" s="1152">
        <f t="shared" si="1"/>
        <v>0</v>
      </c>
    </row>
    <row r="44" spans="5:7" ht="13.5" thickBot="1" x14ac:dyDescent="0.25">
      <c r="E44" s="1560"/>
      <c r="F44" s="1143" t="s">
        <v>485</v>
      </c>
      <c r="G44" s="1153">
        <f t="shared" si="1"/>
        <v>0</v>
      </c>
    </row>
  </sheetData>
  <customSheetViews>
    <customSheetView guid="{3F312A0E-DF4A-4A92-9F0F-6B2059264CC1}" hiddenRows="1" hiddenColumns="1" showRuler="0" topLeftCell="B3">
      <pane xSplit="3" ySplit="10" topLeftCell="E20" activePane="bottomRight" state="frozen"/>
      <selection pane="bottomRight" activeCell="R20" sqref="R20"/>
      <pageMargins left="0.75" right="0.75" top="1" bottom="1" header="0.5" footer="0.5"/>
      <pageSetup paperSize="9" orientation="portrait" r:id="rId1"/>
      <headerFooter alignWithMargins="0"/>
    </customSheetView>
  </customSheetViews>
  <mergeCells count="8">
    <mergeCell ref="E31:E44"/>
    <mergeCell ref="B1:D1"/>
    <mergeCell ref="F1:G1"/>
    <mergeCell ref="B16:B21"/>
    <mergeCell ref="B10:B15"/>
    <mergeCell ref="B4:B9"/>
    <mergeCell ref="E3:E16"/>
    <mergeCell ref="E17:E30"/>
  </mergeCells>
  <phoneticPr fontId="2" type="noConversion"/>
  <pageMargins left="0.75" right="0.75" top="1" bottom="1" header="0.5" footer="0.5"/>
  <pageSetup paperSize="9"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9">
    <tabColor rgb="FF00B050"/>
  </sheetPr>
  <dimension ref="A1:CO134"/>
  <sheetViews>
    <sheetView topLeftCell="A86" zoomScaleNormal="100" workbookViewId="0">
      <selection activeCell="C98" sqref="C98:E98"/>
    </sheetView>
  </sheetViews>
  <sheetFormatPr defaultRowHeight="12.75" x14ac:dyDescent="0.2"/>
  <cols>
    <col min="1" max="1" width="6.85546875" style="27" customWidth="1"/>
    <col min="2" max="2" width="46.28515625" style="128" customWidth="1"/>
    <col min="3" max="3" width="8.42578125" style="27" customWidth="1"/>
    <col min="4" max="4" width="9.7109375" style="27" customWidth="1"/>
    <col min="5" max="5" width="12.5703125" style="27" customWidth="1"/>
    <col min="6" max="6" width="17.7109375" style="27" customWidth="1"/>
    <col min="7" max="7" width="20.140625" style="27" customWidth="1"/>
    <col min="8" max="8" width="17" style="27" customWidth="1"/>
    <col min="9" max="9" width="11.85546875" style="1" customWidth="1"/>
    <col min="10" max="10" width="13.28515625" style="1" customWidth="1"/>
    <col min="11" max="11" width="38.42578125" style="1" bestFit="1" customWidth="1"/>
    <col min="12" max="12" width="7.42578125" style="1" customWidth="1"/>
    <col min="13" max="13" width="7.85546875" style="1" customWidth="1"/>
    <col min="14" max="14" width="6.85546875" style="1" customWidth="1"/>
    <col min="15" max="15" width="8.42578125" style="1" customWidth="1"/>
    <col min="16" max="16" width="31.5703125" style="1" customWidth="1"/>
    <col min="17" max="17" width="9.140625" style="1"/>
    <col min="18" max="18" width="12.28515625" style="1" customWidth="1"/>
    <col min="19" max="16384" width="9.140625" style="1"/>
  </cols>
  <sheetData>
    <row r="1" spans="1:16" x14ac:dyDescent="0.2">
      <c r="A1" s="1589" t="s">
        <v>50</v>
      </c>
      <c r="B1" s="1589"/>
      <c r="C1" s="1589"/>
      <c r="D1" s="1589"/>
      <c r="E1" s="1589"/>
      <c r="F1" s="1589"/>
      <c r="G1" s="1589"/>
      <c r="H1" s="1590"/>
      <c r="I1" s="1590"/>
      <c r="J1" s="1590"/>
      <c r="K1" s="1590"/>
      <c r="L1" s="1590"/>
      <c r="M1" s="1590"/>
      <c r="N1" s="1590"/>
      <c r="O1" s="1590"/>
      <c r="P1" s="1">
        <v>0.96</v>
      </c>
    </row>
    <row r="2" spans="1:16" ht="13.5" customHeight="1" thickBot="1" x14ac:dyDescent="0.25">
      <c r="A2" s="1591" t="s">
        <v>51</v>
      </c>
      <c r="B2" s="1592"/>
      <c r="C2" s="1592"/>
      <c r="D2" s="1592"/>
      <c r="E2" s="1592"/>
      <c r="F2" s="1592"/>
      <c r="G2" s="1592"/>
      <c r="H2" s="1593"/>
      <c r="I2" s="1593"/>
      <c r="J2" s="1593"/>
      <c r="K2" s="1593"/>
      <c r="L2" s="1593"/>
      <c r="M2" s="1593"/>
      <c r="N2" s="1593"/>
      <c r="O2" s="1593"/>
      <c r="P2" s="1">
        <v>0.9</v>
      </c>
    </row>
    <row r="3" spans="1:16" x14ac:dyDescent="0.2">
      <c r="A3" s="775" t="s">
        <v>52</v>
      </c>
      <c r="B3" s="1596" t="s">
        <v>53</v>
      </c>
      <c r="C3" s="1599" t="s">
        <v>54</v>
      </c>
      <c r="D3" s="641" t="s">
        <v>11</v>
      </c>
      <c r="E3" s="641"/>
      <c r="F3" s="641"/>
      <c r="G3" s="776"/>
      <c r="H3" s="1594" t="s">
        <v>59</v>
      </c>
      <c r="I3" s="1595"/>
      <c r="J3" s="1595"/>
      <c r="K3" s="1595"/>
      <c r="L3" s="1595"/>
      <c r="M3" s="1595"/>
      <c r="N3" s="1595"/>
      <c r="O3" s="1595"/>
    </row>
    <row r="4" spans="1:16" x14ac:dyDescent="0.2">
      <c r="A4" s="774"/>
      <c r="B4" s="1421"/>
      <c r="C4" s="1299"/>
      <c r="D4" s="1299" t="s">
        <v>55</v>
      </c>
      <c r="E4" s="1299" t="s">
        <v>56</v>
      </c>
      <c r="F4" s="1299" t="s">
        <v>57</v>
      </c>
      <c r="G4" s="1601" t="s">
        <v>58</v>
      </c>
      <c r="H4" s="1597" t="s">
        <v>60</v>
      </c>
      <c r="I4" s="1598"/>
      <c r="J4" s="1598" t="s">
        <v>61</v>
      </c>
      <c r="K4" s="1598"/>
      <c r="L4" s="1598" t="s">
        <v>39</v>
      </c>
      <c r="M4" s="1598"/>
      <c r="N4" s="1598" t="s">
        <v>62</v>
      </c>
      <c r="O4" s="1598"/>
    </row>
    <row r="5" spans="1:16" ht="14.25" customHeight="1" x14ac:dyDescent="0.2">
      <c r="A5" s="774"/>
      <c r="B5" s="1421"/>
      <c r="C5" s="1299"/>
      <c r="D5" s="1299"/>
      <c r="E5" s="1600"/>
      <c r="F5" s="1600"/>
      <c r="G5" s="1602"/>
      <c r="H5" s="153" t="s">
        <v>40</v>
      </c>
      <c r="I5" s="3" t="s">
        <v>41</v>
      </c>
      <c r="J5" s="3" t="s">
        <v>40</v>
      </c>
      <c r="K5" s="3" t="s">
        <v>41</v>
      </c>
      <c r="L5" s="3" t="s">
        <v>40</v>
      </c>
      <c r="M5" s="3" t="s">
        <v>41</v>
      </c>
      <c r="N5" s="3" t="s">
        <v>40</v>
      </c>
      <c r="O5" s="3" t="s">
        <v>41</v>
      </c>
    </row>
    <row r="6" spans="1:16" ht="13.5" thickBot="1" x14ac:dyDescent="0.25">
      <c r="A6" s="690">
        <v>1</v>
      </c>
      <c r="B6" s="693">
        <v>2</v>
      </c>
      <c r="C6" s="628">
        <v>3</v>
      </c>
      <c r="D6" s="628">
        <v>4</v>
      </c>
      <c r="E6" s="628">
        <v>5</v>
      </c>
      <c r="F6" s="628">
        <v>6</v>
      </c>
      <c r="G6" s="642">
        <v>7</v>
      </c>
      <c r="H6" s="237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</row>
    <row r="7" spans="1:16" ht="16.5" hidden="1" thickBot="1" x14ac:dyDescent="0.25">
      <c r="A7" s="691">
        <v>1</v>
      </c>
      <c r="B7" s="694" t="s">
        <v>460</v>
      </c>
      <c r="C7" s="631" t="s">
        <v>345</v>
      </c>
      <c r="D7" s="632"/>
      <c r="E7" s="982">
        <f>E8+E32</f>
        <v>0</v>
      </c>
      <c r="F7" s="633"/>
      <c r="G7" s="634"/>
      <c r="H7" s="237"/>
      <c r="I7" s="9"/>
      <c r="J7" s="9"/>
      <c r="K7" s="9"/>
      <c r="L7" s="9"/>
      <c r="M7" s="9"/>
      <c r="N7" s="9"/>
      <c r="O7" s="9"/>
    </row>
    <row r="8" spans="1:16" ht="15.75" hidden="1" x14ac:dyDescent="0.2">
      <c r="A8" s="1351">
        <v>2</v>
      </c>
      <c r="B8" s="656" t="s">
        <v>344</v>
      </c>
      <c r="C8" s="635" t="s">
        <v>345</v>
      </c>
      <c r="D8" s="700"/>
      <c r="E8" s="911">
        <f>ROUND(Экскаваторы!J50*$P$1+Экскаваторы!I50,0)</f>
        <v>0</v>
      </c>
      <c r="F8" s="700"/>
      <c r="G8" s="701"/>
      <c r="H8" s="237"/>
      <c r="I8" s="9"/>
      <c r="J8" s="9"/>
      <c r="K8" s="9"/>
      <c r="L8" s="9"/>
      <c r="M8" s="9"/>
      <c r="N8" s="9"/>
      <c r="O8" s="9"/>
    </row>
    <row r="9" spans="1:16" ht="15.75" hidden="1" x14ac:dyDescent="0.2">
      <c r="A9" s="1352"/>
      <c r="B9" s="647" t="s">
        <v>343</v>
      </c>
      <c r="C9" s="545" t="s">
        <v>198</v>
      </c>
      <c r="D9" s="8"/>
      <c r="E9" s="686">
        <f>E8-E13-E14</f>
        <v>0</v>
      </c>
      <c r="F9" s="8"/>
      <c r="G9" s="638"/>
      <c r="H9" s="237"/>
      <c r="I9" s="9"/>
      <c r="J9" s="9"/>
      <c r="K9" s="9"/>
      <c r="L9" s="9"/>
      <c r="M9" s="9"/>
      <c r="N9" s="9"/>
      <c r="O9" s="9"/>
    </row>
    <row r="10" spans="1:16" ht="15.75" hidden="1" x14ac:dyDescent="0.2">
      <c r="A10" s="1352"/>
      <c r="B10" s="647" t="s">
        <v>446</v>
      </c>
      <c r="C10" s="545" t="s">
        <v>198</v>
      </c>
      <c r="D10" s="1078">
        <f>ROUND('БелАЗы '!BR29,0)</f>
        <v>0</v>
      </c>
      <c r="E10" s="686">
        <f>D10*$P$1</f>
        <v>0</v>
      </c>
      <c r="F10" s="8"/>
      <c r="G10" s="638"/>
      <c r="H10" s="237"/>
      <c r="I10" s="9"/>
      <c r="J10" s="9"/>
      <c r="K10" s="9"/>
      <c r="L10" s="9"/>
      <c r="M10" s="9"/>
      <c r="N10" s="9"/>
      <c r="O10" s="9"/>
    </row>
    <row r="11" spans="1:16" ht="15.75" hidden="1" x14ac:dyDescent="0.2">
      <c r="A11" s="1352"/>
      <c r="B11" s="647" t="s">
        <v>510</v>
      </c>
      <c r="C11" s="545" t="s">
        <v>198</v>
      </c>
      <c r="D11" s="8"/>
      <c r="E11" s="686">
        <f>E9-E10</f>
        <v>0</v>
      </c>
      <c r="F11" s="8"/>
      <c r="G11" s="638"/>
      <c r="H11" s="237"/>
      <c r="I11" s="9"/>
      <c r="J11" s="9"/>
      <c r="K11" s="9"/>
      <c r="L11" s="9"/>
      <c r="M11" s="9"/>
      <c r="N11" s="9"/>
      <c r="O11" s="9"/>
    </row>
    <row r="12" spans="1:16" ht="15.75" hidden="1" x14ac:dyDescent="0.2">
      <c r="A12" s="1352"/>
      <c r="B12" s="647" t="s">
        <v>128</v>
      </c>
      <c r="C12" s="545" t="s">
        <v>198</v>
      </c>
      <c r="D12" s="8"/>
      <c r="E12" s="686">
        <f>ROUND(Экскаваторы!I48*$P$1,0)</f>
        <v>0</v>
      </c>
      <c r="F12" s="8"/>
      <c r="G12" s="638"/>
      <c r="H12" s="237"/>
      <c r="I12" s="9"/>
      <c r="J12" s="9"/>
      <c r="K12" s="9"/>
      <c r="L12" s="9"/>
      <c r="M12" s="9"/>
      <c r="N12" s="9"/>
      <c r="O12" s="9"/>
    </row>
    <row r="13" spans="1:16" ht="15.75" hidden="1" x14ac:dyDescent="0.2">
      <c r="A13" s="1352"/>
      <c r="B13" s="695" t="s">
        <v>225</v>
      </c>
      <c r="C13" s="627" t="s">
        <v>345</v>
      </c>
      <c r="D13" s="8"/>
      <c r="E13" s="686">
        <v>0</v>
      </c>
      <c r="F13" s="8"/>
      <c r="G13" s="638"/>
      <c r="H13" s="237"/>
      <c r="I13" s="9"/>
      <c r="J13" s="9"/>
      <c r="K13" s="9"/>
      <c r="L13" s="9"/>
      <c r="M13" s="9"/>
      <c r="N13" s="9"/>
      <c r="O13" s="9"/>
    </row>
    <row r="14" spans="1:16" ht="15.75" hidden="1" x14ac:dyDescent="0.2">
      <c r="A14" s="1352"/>
      <c r="B14" s="695" t="s">
        <v>226</v>
      </c>
      <c r="C14" s="627" t="s">
        <v>345</v>
      </c>
      <c r="D14" s="8"/>
      <c r="E14" s="686">
        <f>ROUND('БелАЗы '!E29*$P$1,0)</f>
        <v>0</v>
      </c>
      <c r="F14" s="8"/>
      <c r="G14" s="638"/>
      <c r="H14" s="237"/>
      <c r="I14" s="9"/>
      <c r="J14" s="9"/>
      <c r="K14" s="9"/>
      <c r="L14" s="9"/>
      <c r="M14" s="9"/>
      <c r="N14" s="9"/>
      <c r="O14" s="9"/>
    </row>
    <row r="15" spans="1:16" ht="16.5" hidden="1" thickBot="1" x14ac:dyDescent="0.25">
      <c r="A15" s="1355">
        <v>3</v>
      </c>
      <c r="B15" s="647" t="s">
        <v>509</v>
      </c>
      <c r="C15" s="545" t="s">
        <v>329</v>
      </c>
      <c r="D15" s="8"/>
      <c r="E15" s="686">
        <f>ROUND(Экскаваторы!J36*$P$1+Экскаваторы!I36,0)</f>
        <v>0</v>
      </c>
      <c r="F15" s="8"/>
      <c r="G15" s="638"/>
      <c r="H15" s="542">
        <f>Экскаваторы!U6</f>
        <v>0</v>
      </c>
      <c r="I15" s="528">
        <f>Экскаваторы!U21</f>
        <v>0</v>
      </c>
      <c r="J15" s="528">
        <f>Экскаваторы!AQ6+Экскаваторы!AG6+Экскаваторы!AF6</f>
        <v>0</v>
      </c>
      <c r="K15" s="528">
        <f>Экскаваторы!AQ21+Экскаваторы!AG21+Экскаваторы!AF21</f>
        <v>0</v>
      </c>
      <c r="L15" s="528">
        <f>Экскаваторы!AA6+Экскаваторы!AC6+Экскаваторы!AE6+Экскаваторы!AW6+Экскаваторы!AZ6+Экскаваторы!BA6</f>
        <v>0</v>
      </c>
      <c r="M15" s="528">
        <f>Экскаваторы!AA21+Экскаваторы!AC21+Экскаваторы!AE21+Экскаваторы!AW21+Экскаваторы!AZ21+Экскаваторы!BA21</f>
        <v>0</v>
      </c>
      <c r="N15" s="528">
        <f>Экскаваторы!AE6</f>
        <v>0</v>
      </c>
      <c r="O15" s="528">
        <f>Экскаваторы!AE21</f>
        <v>0</v>
      </c>
    </row>
    <row r="16" spans="1:16" ht="15.75" hidden="1" x14ac:dyDescent="0.2">
      <c r="A16" s="1355"/>
      <c r="B16" s="647" t="s">
        <v>325</v>
      </c>
      <c r="C16" s="545" t="s">
        <v>329</v>
      </c>
      <c r="D16" s="8"/>
      <c r="E16" s="686">
        <f>ROUND(Экскаваторы!J37*$P$1+Экскаваторы!I37,0)</f>
        <v>0</v>
      </c>
      <c r="F16" s="8"/>
      <c r="G16" s="638"/>
      <c r="H16" s="542">
        <f>Экскаваторы!U7</f>
        <v>0</v>
      </c>
      <c r="I16" s="528">
        <f>Экскаваторы!U22</f>
        <v>0</v>
      </c>
      <c r="J16" s="528">
        <f>Экскаваторы!AQ7+Экскаваторы!AG7+Экскаваторы!AF7</f>
        <v>0</v>
      </c>
      <c r="K16" s="528">
        <f>Экскаваторы!AQ22+Экскаваторы!AG22+Экскаваторы!AF22</f>
        <v>0</v>
      </c>
      <c r="L16" s="528">
        <f>Экскаваторы!AA7+Экскаваторы!AC7+Экскаваторы!AE7+Экскаваторы!AW7+Экскаваторы!AZ7+Экскаваторы!BA7</f>
        <v>0</v>
      </c>
      <c r="M16" s="528">
        <f>Экскаваторы!AA22+Экскаваторы!AC22+Экскаваторы!AE22+Экскаваторы!AW22+Экскаваторы!AZ22+Экскаваторы!BA22</f>
        <v>0</v>
      </c>
      <c r="N16" s="528">
        <f>Экскаваторы!AE7</f>
        <v>0</v>
      </c>
      <c r="O16" s="528">
        <f>Экскаваторы!AE22</f>
        <v>0</v>
      </c>
    </row>
    <row r="17" spans="1:15" hidden="1" x14ac:dyDescent="0.2">
      <c r="A17" s="1355"/>
      <c r="B17" s="647" t="s">
        <v>405</v>
      </c>
      <c r="C17" s="545" t="s">
        <v>44</v>
      </c>
      <c r="D17" s="127"/>
      <c r="E17" s="686">
        <f>ROUND(Экскаваторы!J38*$P$1+Экскаваторы!I38,0)</f>
        <v>0</v>
      </c>
      <c r="F17" s="8"/>
      <c r="G17" s="638"/>
      <c r="H17" s="542">
        <f>Экскаваторы!U8</f>
        <v>0</v>
      </c>
      <c r="I17" s="528">
        <f>Экскаваторы!U23</f>
        <v>0</v>
      </c>
      <c r="J17" s="528">
        <f>Экскаваторы!AQ8+Экскаваторы!AG8+Экскаваторы!AF8</f>
        <v>0</v>
      </c>
      <c r="K17" s="528">
        <f>Экскаваторы!AQ23+Экскаваторы!AG23+Экскаваторы!AF23</f>
        <v>0</v>
      </c>
      <c r="L17" s="528">
        <f>Экскаваторы!AA8+Экскаваторы!AC8+Экскаваторы!AE8+Экскаваторы!AW8+Экскаваторы!AZ8+Экскаваторы!BA8</f>
        <v>0</v>
      </c>
      <c r="M17" s="528">
        <f>Экскаваторы!AA23+Экскаваторы!AC23+Экскаваторы!AE23+Экскаваторы!AW23+Экскаваторы!AZ23+Экскаваторы!BA23</f>
        <v>0</v>
      </c>
      <c r="N17" s="528">
        <f>Экскаваторы!AE8</f>
        <v>0</v>
      </c>
      <c r="O17" s="528">
        <f>Экскаваторы!AE23</f>
        <v>0</v>
      </c>
    </row>
    <row r="18" spans="1:15" ht="15.75" hidden="1" x14ac:dyDescent="0.2">
      <c r="A18" s="1355"/>
      <c r="B18" s="647" t="s">
        <v>327</v>
      </c>
      <c r="C18" s="545" t="s">
        <v>329</v>
      </c>
      <c r="D18" s="8"/>
      <c r="E18" s="686">
        <f>ROUND(Экскаваторы!J39*$P$1+Экскаваторы!I39,0)</f>
        <v>0</v>
      </c>
      <c r="F18" s="8"/>
      <c r="G18" s="638"/>
      <c r="H18" s="542">
        <f>Экскаваторы!U9</f>
        <v>0</v>
      </c>
      <c r="I18" s="528">
        <f>Экскаваторы!U24</f>
        <v>0</v>
      </c>
      <c r="J18" s="528">
        <f>Экскаваторы!AQ9+Экскаваторы!AG9+Экскаваторы!AF9</f>
        <v>0</v>
      </c>
      <c r="K18" s="528">
        <f>Экскаваторы!AQ24+Экскаваторы!AG24+Экскаваторы!AF24</f>
        <v>0</v>
      </c>
      <c r="L18" s="528">
        <f>Экскаваторы!AA9+Экскаваторы!AC9+Экскаваторы!AE9+Экскаваторы!AW9+Экскаваторы!AZ9+Экскаваторы!BA9</f>
        <v>0</v>
      </c>
      <c r="M18" s="528">
        <f>Экскаваторы!AA24+Экскаваторы!AC24+Экскаваторы!AE24+Экскаваторы!AW24+Экскаваторы!AZ24+Экскаваторы!BA24</f>
        <v>0</v>
      </c>
      <c r="N18" s="528">
        <f>Экскаваторы!AE9</f>
        <v>0</v>
      </c>
      <c r="O18" s="528">
        <f>Экскаваторы!AE24</f>
        <v>0</v>
      </c>
    </row>
    <row r="19" spans="1:15" ht="15.75" hidden="1" x14ac:dyDescent="0.2">
      <c r="A19" s="1355"/>
      <c r="B19" s="647" t="s">
        <v>197</v>
      </c>
      <c r="C19" s="545" t="s">
        <v>329</v>
      </c>
      <c r="D19" s="8"/>
      <c r="E19" s="686">
        <f>ROUND(Экскаваторы!J44*$P$1+Экскаваторы!I44,0)</f>
        <v>0</v>
      </c>
      <c r="F19" s="8"/>
      <c r="G19" s="638"/>
      <c r="H19" s="542">
        <f>Экскаваторы!U14</f>
        <v>0</v>
      </c>
      <c r="I19" s="528">
        <f>Экскаваторы!U29</f>
        <v>0</v>
      </c>
      <c r="J19" s="528">
        <f>Экскаваторы!AQ14+Экскаваторы!AG14+Экскаваторы!AF14</f>
        <v>0</v>
      </c>
      <c r="K19" s="528">
        <f>Экскаваторы!AQ29+Экскаваторы!AG29+Экскаваторы!AF29</f>
        <v>0</v>
      </c>
      <c r="L19" s="528">
        <f>Экскаваторы!AA14+Экскаваторы!AC14+Экскаваторы!AE14+Экскаваторы!AW14+Экскаваторы!AZ14+Экскаваторы!BA14</f>
        <v>0</v>
      </c>
      <c r="M19" s="528">
        <f>Экскаваторы!AA29+Экскаваторы!AC29+Экскаваторы!AE29+Экскаваторы!AW29+Экскаваторы!AZ29+Экскаваторы!BA29</f>
        <v>0</v>
      </c>
      <c r="N19" s="528">
        <f>Экскаваторы!AE14</f>
        <v>0</v>
      </c>
      <c r="O19" s="528">
        <f>Экскаваторы!AE29</f>
        <v>0</v>
      </c>
    </row>
    <row r="20" spans="1:15" ht="16.5" hidden="1" thickBot="1" x14ac:dyDescent="0.25">
      <c r="A20" s="1355"/>
      <c r="B20" s="647" t="s">
        <v>491</v>
      </c>
      <c r="C20" s="545" t="s">
        <v>329</v>
      </c>
      <c r="D20" s="8"/>
      <c r="E20" s="686">
        <f>ROUND(Экскаваторы!J43*$P$1+Экскаваторы!I43,0)</f>
        <v>0</v>
      </c>
      <c r="F20" s="8"/>
      <c r="G20" s="638"/>
      <c r="H20" s="542">
        <f>Экскаваторы!U13</f>
        <v>0</v>
      </c>
      <c r="I20" s="528">
        <f>Экскаваторы!U28</f>
        <v>0</v>
      </c>
      <c r="J20" s="528">
        <f>Экскаваторы!AQ13+Экскаваторы!AG13+Экскаваторы!AF13</f>
        <v>0</v>
      </c>
      <c r="K20" s="528">
        <f>Экскаваторы!AQ28+Экскаваторы!AG28+Экскаваторы!AF28</f>
        <v>0</v>
      </c>
      <c r="L20" s="528">
        <f>Экскаваторы!AA13+Экскаваторы!AC13+Экскаваторы!AE13+Экскаваторы!AW13+Экскаваторы!AZ13+Экскаваторы!BA13</f>
        <v>0</v>
      </c>
      <c r="M20" s="528">
        <f>Экскаваторы!AA28+Экскаваторы!AC28+Экскаваторы!AE28+Экскаваторы!AW28+Экскаваторы!AZ28+Экскаваторы!BA28</f>
        <v>0</v>
      </c>
      <c r="N20" s="528">
        <f>Экскаваторы!AE13</f>
        <v>0</v>
      </c>
      <c r="O20" s="528">
        <f>Экскаваторы!AE28</f>
        <v>0</v>
      </c>
    </row>
    <row r="21" spans="1:15" hidden="1" x14ac:dyDescent="0.2">
      <c r="A21" s="1355"/>
      <c r="B21" s="651" t="s">
        <v>342</v>
      </c>
      <c r="C21" s="652" t="s">
        <v>199</v>
      </c>
      <c r="D21" s="653"/>
      <c r="E21" s="983">
        <f>SUM(E22:E29)</f>
        <v>0</v>
      </c>
      <c r="F21" s="653"/>
      <c r="G21" s="654"/>
      <c r="H21" s="643"/>
      <c r="I21" s="235"/>
      <c r="J21" s="235"/>
      <c r="K21" s="235"/>
      <c r="L21" s="235"/>
      <c r="M21" s="235"/>
      <c r="N21" s="235"/>
      <c r="O21" s="235"/>
    </row>
    <row r="22" spans="1:15" ht="15.75" hidden="1" x14ac:dyDescent="0.2">
      <c r="A22" s="1355"/>
      <c r="B22" s="647" t="s">
        <v>481</v>
      </c>
      <c r="C22" s="545" t="s">
        <v>329</v>
      </c>
      <c r="D22" s="1078"/>
      <c r="E22" s="686">
        <f>ROUND(Экскаваторы!F36*'Сводка внутр.'!$P$1,0)</f>
        <v>0</v>
      </c>
      <c r="F22" s="8"/>
      <c r="G22" s="638"/>
      <c r="H22" s="643"/>
      <c r="I22" s="235"/>
      <c r="J22" s="235"/>
      <c r="K22" s="235"/>
      <c r="L22" s="235"/>
      <c r="M22" s="235"/>
      <c r="N22" s="235"/>
      <c r="O22" s="235"/>
    </row>
    <row r="23" spans="1:15" ht="15.75" hidden="1" x14ac:dyDescent="0.2">
      <c r="A23" s="1355"/>
      <c r="B23" s="647" t="s">
        <v>482</v>
      </c>
      <c r="C23" s="545" t="s">
        <v>329</v>
      </c>
      <c r="D23" s="1078"/>
      <c r="E23" s="686">
        <f>ROUND(Экскаваторы!F37*'Сводка внутр.'!$P$1,0)</f>
        <v>0</v>
      </c>
      <c r="F23" s="8"/>
      <c r="G23" s="638"/>
      <c r="H23" s="643"/>
      <c r="I23" s="235"/>
      <c r="J23" s="235"/>
      <c r="K23" s="235"/>
      <c r="L23" s="235"/>
      <c r="M23" s="235"/>
      <c r="N23" s="235"/>
      <c r="O23" s="235"/>
    </row>
    <row r="24" spans="1:15" hidden="1" x14ac:dyDescent="0.2">
      <c r="A24" s="1355"/>
      <c r="B24" s="647" t="s">
        <v>407</v>
      </c>
      <c r="C24" s="545" t="s">
        <v>44</v>
      </c>
      <c r="D24" s="1078"/>
      <c r="E24" s="686">
        <f>ROUND(Экскаваторы!F38*'Сводка внутр.'!$P$1,0)</f>
        <v>0</v>
      </c>
      <c r="F24" s="8"/>
      <c r="G24" s="638"/>
      <c r="H24" s="643"/>
      <c r="I24" s="235"/>
      <c r="J24" s="235"/>
      <c r="K24" s="235"/>
      <c r="L24" s="235"/>
      <c r="M24" s="235"/>
      <c r="N24" s="235"/>
      <c r="O24" s="235"/>
    </row>
    <row r="25" spans="1:15" ht="15.75" hidden="1" x14ac:dyDescent="0.2">
      <c r="A25" s="1355"/>
      <c r="B25" s="647" t="s">
        <v>339</v>
      </c>
      <c r="C25" s="545" t="s">
        <v>329</v>
      </c>
      <c r="D25" s="1078"/>
      <c r="E25" s="686">
        <f>ROUND(Экскаваторы!F39*'Сводка внутр.'!$P$1,0)</f>
        <v>0</v>
      </c>
      <c r="F25" s="8"/>
      <c r="G25" s="638"/>
      <c r="H25" s="643"/>
      <c r="I25" s="235"/>
      <c r="J25" s="235"/>
      <c r="K25" s="235"/>
      <c r="L25" s="235"/>
      <c r="M25" s="235"/>
      <c r="N25" s="235"/>
      <c r="O25" s="235"/>
    </row>
    <row r="26" spans="1:15" ht="15.75" hidden="1" x14ac:dyDescent="0.2">
      <c r="A26" s="1355"/>
      <c r="B26" s="647" t="s">
        <v>341</v>
      </c>
      <c r="C26" s="545" t="s">
        <v>329</v>
      </c>
      <c r="D26" s="8"/>
      <c r="E26" s="686">
        <f>ROUND(Экскаваторы!F41*'Сводка внутр.'!$P$1,0)</f>
        <v>0</v>
      </c>
      <c r="F26" s="8"/>
      <c r="G26" s="638"/>
      <c r="H26" s="643"/>
      <c r="I26" s="235"/>
      <c r="J26" s="235"/>
      <c r="K26" s="235"/>
      <c r="L26" s="235"/>
      <c r="M26" s="235"/>
      <c r="N26" s="235"/>
      <c r="O26" s="235"/>
    </row>
    <row r="27" spans="1:15" ht="15.75" hidden="1" x14ac:dyDescent="0.2">
      <c r="A27" s="1355"/>
      <c r="B27" s="647" t="s">
        <v>348</v>
      </c>
      <c r="C27" s="545" t="s">
        <v>329</v>
      </c>
      <c r="D27" s="8"/>
      <c r="E27" s="686">
        <f>ROUND(Экскаваторы!F42*'Сводка внутр.'!$P$1,0)</f>
        <v>0</v>
      </c>
      <c r="F27" s="8"/>
      <c r="G27" s="638"/>
      <c r="H27" s="643"/>
      <c r="I27" s="235"/>
      <c r="J27" s="235"/>
      <c r="K27" s="235"/>
      <c r="L27" s="235"/>
      <c r="M27" s="235"/>
      <c r="N27" s="235"/>
      <c r="O27" s="235"/>
    </row>
    <row r="28" spans="1:15" ht="15.75" hidden="1" x14ac:dyDescent="0.2">
      <c r="A28" s="1355"/>
      <c r="B28" s="647" t="s">
        <v>340</v>
      </c>
      <c r="C28" s="545" t="s">
        <v>329</v>
      </c>
      <c r="D28" s="8"/>
      <c r="E28" s="686">
        <f>ROUND(Экскаваторы!F44*'Сводка внутр.'!$P$1,0)</f>
        <v>0</v>
      </c>
      <c r="F28" s="8"/>
      <c r="G28" s="638"/>
      <c r="H28" s="643"/>
      <c r="I28" s="235"/>
      <c r="J28" s="235"/>
      <c r="K28" s="235"/>
      <c r="L28" s="235"/>
      <c r="M28" s="235"/>
      <c r="N28" s="235"/>
      <c r="O28" s="235"/>
    </row>
    <row r="29" spans="1:15" ht="16.5" hidden="1" thickBot="1" x14ac:dyDescent="0.25">
      <c r="A29" s="1355"/>
      <c r="B29" s="658" t="s">
        <v>492</v>
      </c>
      <c r="C29" s="645" t="s">
        <v>329</v>
      </c>
      <c r="D29" s="629"/>
      <c r="E29" s="912">
        <f>ROUND(Экскаваторы!F43*'Сводка внутр.'!$P$1,0)</f>
        <v>0</v>
      </c>
      <c r="F29" s="629"/>
      <c r="G29" s="644"/>
      <c r="H29" s="643"/>
      <c r="I29" s="235"/>
      <c r="J29" s="235"/>
      <c r="K29" s="235"/>
      <c r="L29" s="235"/>
      <c r="M29" s="235"/>
      <c r="N29" s="235"/>
      <c r="O29" s="235"/>
    </row>
    <row r="30" spans="1:15" hidden="1" x14ac:dyDescent="0.2">
      <c r="A30" s="1576" t="s">
        <v>456</v>
      </c>
      <c r="B30" s="656" t="s">
        <v>274</v>
      </c>
      <c r="C30" s="635" t="s">
        <v>199</v>
      </c>
      <c r="D30" s="15"/>
      <c r="E30" s="687">
        <f>SUM(E31:E32)+E34</f>
        <v>0</v>
      </c>
      <c r="F30" s="1123"/>
      <c r="G30" s="655"/>
      <c r="H30" s="643"/>
      <c r="I30" s="236"/>
      <c r="J30" s="236"/>
      <c r="K30" s="236"/>
      <c r="L30" s="236"/>
      <c r="M30" s="236"/>
      <c r="N30" s="236"/>
      <c r="O30" s="236"/>
    </row>
    <row r="31" spans="1:15" ht="15.75" hidden="1" x14ac:dyDescent="0.2">
      <c r="A31" s="1582"/>
      <c r="B31" s="657" t="s">
        <v>275</v>
      </c>
      <c r="C31" s="545" t="s">
        <v>198</v>
      </c>
      <c r="D31" s="8"/>
      <c r="E31" s="686">
        <f>E8</f>
        <v>0</v>
      </c>
      <c r="F31" s="8"/>
      <c r="G31" s="638"/>
      <c r="H31" s="650"/>
      <c r="I31" s="406"/>
      <c r="J31" s="26"/>
      <c r="K31" s="26"/>
      <c r="L31" s="26"/>
      <c r="M31" s="26"/>
      <c r="N31" s="26"/>
      <c r="O31" s="26"/>
    </row>
    <row r="32" spans="1:15" ht="15.75" hidden="1" x14ac:dyDescent="0.2">
      <c r="A32" s="1582"/>
      <c r="B32" s="647" t="s">
        <v>19</v>
      </c>
      <c r="C32" s="545" t="s">
        <v>200</v>
      </c>
      <c r="D32" s="8"/>
      <c r="E32" s="686">
        <f>E21</f>
        <v>0</v>
      </c>
      <c r="F32" s="8"/>
      <c r="G32" s="638"/>
      <c r="H32" s="542">
        <f>'БелАЗы '!Q16</f>
        <v>0</v>
      </c>
      <c r="I32" s="528">
        <f>'БелАЗы '!Q27</f>
        <v>0</v>
      </c>
      <c r="J32" s="528">
        <f>'БелАЗы '!AL16+'БелАЗы '!AB16+'БелАЗы '!AA16</f>
        <v>0</v>
      </c>
      <c r="K32" s="528">
        <f>'БелАЗы '!AL27+'БелАЗы '!AB27+'БелАЗы '!AA27</f>
        <v>0</v>
      </c>
      <c r="L32" s="528">
        <f>'БелАЗы '!V16+'БелАЗы '!X16+'БелАЗы '!Z16+'БелАЗы '!AQ16+'БелАЗы '!AT16+'БелАЗы '!AU16</f>
        <v>0</v>
      </c>
      <c r="M32" s="528">
        <f>'БелАЗы '!V27+'БелАЗы '!X27+'БелАЗы '!Z27+'БелАЗы '!AQ27+'БелАЗы '!AT27+'БелАЗы '!AU27</f>
        <v>0</v>
      </c>
      <c r="N32" s="528">
        <f>'БелАЗы '!Z16</f>
        <v>0</v>
      </c>
      <c r="O32" s="528">
        <f>'БелАЗы '!Z27</f>
        <v>0</v>
      </c>
    </row>
    <row r="33" spans="1:17" ht="16.5" hidden="1" thickBot="1" x14ac:dyDescent="0.25">
      <c r="A33" s="1582"/>
      <c r="B33" s="658" t="s">
        <v>480</v>
      </c>
      <c r="C33" s="545" t="s">
        <v>200</v>
      </c>
      <c r="D33" s="1144"/>
      <c r="E33" s="1138">
        <f>D33*P2</f>
        <v>0</v>
      </c>
      <c r="F33" s="629"/>
      <c r="G33" s="644"/>
      <c r="H33" s="542"/>
      <c r="I33" s="528"/>
      <c r="J33" s="528"/>
      <c r="K33" s="528"/>
      <c r="L33" s="528"/>
      <c r="M33" s="528"/>
      <c r="N33" s="528"/>
      <c r="O33" s="528"/>
    </row>
    <row r="34" spans="1:17" ht="16.5" hidden="1" thickBot="1" x14ac:dyDescent="0.25">
      <c r="A34" s="1577"/>
      <c r="B34" s="648" t="s">
        <v>276</v>
      </c>
      <c r="C34" s="649" t="s">
        <v>198</v>
      </c>
      <c r="D34" s="639"/>
      <c r="E34" s="984">
        <f>ROUND(Экскаваторы!I50*P1,0)</f>
        <v>0</v>
      </c>
      <c r="F34" s="639"/>
      <c r="G34" s="640"/>
      <c r="H34" s="906"/>
      <c r="I34" s="4"/>
      <c r="J34" s="4"/>
      <c r="K34" s="4"/>
      <c r="L34" s="4"/>
      <c r="M34" s="4"/>
      <c r="N34" s="4"/>
      <c r="O34" s="4"/>
    </row>
    <row r="35" spans="1:17" ht="13.5" hidden="1" thickBot="1" x14ac:dyDescent="0.25">
      <c r="A35" s="692">
        <v>5</v>
      </c>
      <c r="B35" s="696" t="s">
        <v>129</v>
      </c>
      <c r="C35" s="659" t="s">
        <v>130</v>
      </c>
      <c r="D35" s="660"/>
      <c r="E35" s="661">
        <v>0</v>
      </c>
      <c r="F35" s="632"/>
      <c r="G35" s="1157"/>
      <c r="H35" s="906"/>
      <c r="I35" s="4"/>
      <c r="J35" s="4"/>
      <c r="K35" s="4"/>
      <c r="L35" s="4"/>
      <c r="M35" s="4"/>
      <c r="N35" s="4"/>
      <c r="O35" s="4"/>
    </row>
    <row r="36" spans="1:17" hidden="1" x14ac:dyDescent="0.2">
      <c r="A36" s="1580">
        <v>6</v>
      </c>
      <c r="B36" s="1574" t="s">
        <v>326</v>
      </c>
      <c r="C36" s="662" t="s">
        <v>46</v>
      </c>
      <c r="D36" s="1158"/>
      <c r="E36" s="663"/>
      <c r="F36" s="636"/>
      <c r="G36" s="637"/>
      <c r="H36" s="906"/>
      <c r="I36" s="4"/>
      <c r="J36" s="4"/>
      <c r="K36" s="4"/>
      <c r="L36" s="4"/>
      <c r="M36" s="4"/>
      <c r="N36" s="4"/>
      <c r="O36" s="4"/>
    </row>
    <row r="37" spans="1:17" ht="16.5" hidden="1" thickBot="1" x14ac:dyDescent="0.25">
      <c r="A37" s="1580"/>
      <c r="B37" s="1575"/>
      <c r="C37" s="238" t="s">
        <v>198</v>
      </c>
      <c r="D37" s="1159"/>
      <c r="E37" s="30"/>
      <c r="F37" s="8"/>
      <c r="G37" s="638"/>
      <c r="H37" s="906"/>
      <c r="I37" s="4"/>
      <c r="J37" s="4"/>
      <c r="K37" s="4"/>
      <c r="L37" s="4"/>
      <c r="M37" s="4"/>
      <c r="N37" s="4"/>
      <c r="O37" s="4"/>
    </row>
    <row r="38" spans="1:17" x14ac:dyDescent="0.2">
      <c r="A38" s="1578" t="s">
        <v>457</v>
      </c>
      <c r="B38" s="656" t="s">
        <v>45</v>
      </c>
      <c r="C38" s="635" t="s">
        <v>46</v>
      </c>
      <c r="D38" s="636"/>
      <c r="E38" s="910">
        <f>SUM(E39:E42)</f>
        <v>0</v>
      </c>
      <c r="F38" s="636"/>
      <c r="G38" s="637"/>
      <c r="H38" s="906"/>
      <c r="I38" s="4"/>
      <c r="J38" s="4"/>
      <c r="K38" s="4"/>
      <c r="L38" s="4"/>
      <c r="M38" s="4"/>
      <c r="N38" s="4"/>
      <c r="O38" s="4"/>
    </row>
    <row r="39" spans="1:17" x14ac:dyDescent="0.2">
      <c r="A39" s="1579"/>
      <c r="B39" s="647" t="s">
        <v>224</v>
      </c>
      <c r="C39" s="545" t="s">
        <v>46</v>
      </c>
      <c r="D39" s="8"/>
      <c r="E39" s="686">
        <f>D90+D91+D103+D104</f>
        <v>0</v>
      </c>
      <c r="F39" s="8"/>
      <c r="G39" s="638"/>
      <c r="H39" s="906"/>
      <c r="I39" s="4"/>
      <c r="J39" s="4"/>
      <c r="K39" s="4"/>
      <c r="L39" s="4"/>
      <c r="M39" s="4"/>
      <c r="N39" s="4"/>
      <c r="O39" s="4"/>
    </row>
    <row r="40" spans="1:17" x14ac:dyDescent="0.2">
      <c r="A40" s="1579"/>
      <c r="B40" s="647" t="s">
        <v>134</v>
      </c>
      <c r="C40" s="545" t="s">
        <v>46</v>
      </c>
      <c r="D40" s="8"/>
      <c r="E40" s="686">
        <f>D86+D87+D99+D100</f>
        <v>0</v>
      </c>
      <c r="F40" s="8"/>
      <c r="G40" s="638"/>
      <c r="H40" s="906"/>
      <c r="I40" s="4"/>
      <c r="J40" s="4"/>
      <c r="K40" s="4"/>
      <c r="L40" s="4"/>
      <c r="M40" s="4"/>
      <c r="N40" s="4"/>
      <c r="O40" s="4"/>
    </row>
    <row r="41" spans="1:17" x14ac:dyDescent="0.2">
      <c r="A41" s="1579"/>
      <c r="B41" s="647" t="s">
        <v>479</v>
      </c>
      <c r="C41" s="545" t="s">
        <v>46</v>
      </c>
      <c r="D41" s="1078">
        <f>E41/1.8</f>
        <v>0</v>
      </c>
      <c r="E41" s="686">
        <f>D89+D88+D101+D102</f>
        <v>0</v>
      </c>
      <c r="F41" s="8"/>
      <c r="G41" s="638"/>
      <c r="H41" s="907"/>
      <c r="I41" s="1141"/>
      <c r="J41" s="1141"/>
      <c r="K41" s="1141"/>
      <c r="L41" s="1141"/>
      <c r="M41" s="1141"/>
      <c r="N41" s="1141"/>
      <c r="O41" s="1141"/>
    </row>
    <row r="42" spans="1:17" ht="13.5" thickBot="1" x14ac:dyDescent="0.25">
      <c r="A42" s="1579"/>
      <c r="B42" s="647" t="s">
        <v>465</v>
      </c>
      <c r="C42" s="545" t="s">
        <v>46</v>
      </c>
      <c r="D42" s="8"/>
      <c r="E42" s="686">
        <f>D92+D93+D105+D106+D94+D95</f>
        <v>0</v>
      </c>
      <c r="F42" s="8"/>
      <c r="G42" s="638"/>
      <c r="H42" s="907"/>
      <c r="I42" s="1111"/>
      <c r="J42" s="1111"/>
      <c r="K42" s="1111"/>
      <c r="L42" s="1111"/>
      <c r="M42" s="1111"/>
      <c r="N42" s="1111"/>
      <c r="O42" s="1111"/>
    </row>
    <row r="43" spans="1:17" hidden="1" x14ac:dyDescent="0.2">
      <c r="A43" s="1583" t="s">
        <v>458</v>
      </c>
      <c r="B43" s="1572" t="s">
        <v>47</v>
      </c>
      <c r="C43" s="635" t="s">
        <v>48</v>
      </c>
      <c r="D43" s="636"/>
      <c r="E43" s="530">
        <f>Бурение!D21</f>
        <v>0</v>
      </c>
      <c r="F43" s="636"/>
      <c r="G43" s="637"/>
      <c r="H43" s="906"/>
      <c r="I43" s="4"/>
      <c r="J43" s="4"/>
      <c r="K43" s="4"/>
      <c r="L43" s="4"/>
      <c r="M43" s="4"/>
      <c r="N43" s="4"/>
      <c r="O43" s="4"/>
      <c r="Q43" s="2"/>
    </row>
    <row r="44" spans="1:17" ht="15.75" hidden="1" x14ac:dyDescent="0.2">
      <c r="A44" s="1583"/>
      <c r="B44" s="1573"/>
      <c r="C44" s="627" t="s">
        <v>345</v>
      </c>
      <c r="D44" s="11"/>
      <c r="E44" s="686">
        <f>'Суточный рапорт'!C83</f>
        <v>0</v>
      </c>
      <c r="F44" s="8"/>
      <c r="G44" s="638"/>
      <c r="H44" s="906"/>
      <c r="I44" s="4"/>
      <c r="J44" s="4"/>
      <c r="K44" s="4"/>
      <c r="L44" s="4"/>
      <c r="M44" s="4"/>
      <c r="N44" s="4"/>
      <c r="O44" s="4"/>
      <c r="Q44" s="2"/>
    </row>
    <row r="45" spans="1:17" ht="13.5" hidden="1" thickBot="1" x14ac:dyDescent="0.25">
      <c r="A45" s="1583"/>
      <c r="B45" s="647" t="s">
        <v>410</v>
      </c>
      <c r="C45" s="545" t="s">
        <v>411</v>
      </c>
      <c r="D45" s="8"/>
      <c r="E45" s="686">
        <f>'Суточный рапорт'!B83</f>
        <v>0</v>
      </c>
      <c r="F45" s="8"/>
      <c r="G45" s="638"/>
      <c r="H45" s="906"/>
      <c r="I45" s="4"/>
      <c r="J45" s="4"/>
      <c r="K45" s="4"/>
      <c r="L45" s="4"/>
      <c r="M45" s="4"/>
      <c r="N45" s="4"/>
      <c r="O45" s="4"/>
      <c r="Q45" s="2"/>
    </row>
    <row r="46" spans="1:17" s="27" customFormat="1" hidden="1" x14ac:dyDescent="0.2">
      <c r="A46" s="1584" t="s">
        <v>277</v>
      </c>
      <c r="B46" s="1124" t="s">
        <v>346</v>
      </c>
      <c r="C46" s="635" t="s">
        <v>48</v>
      </c>
      <c r="D46" s="636"/>
      <c r="E46" s="910">
        <f>E48+E49+E47</f>
        <v>0</v>
      </c>
      <c r="F46" s="636"/>
      <c r="G46" s="637"/>
      <c r="H46" s="542"/>
      <c r="I46" s="528"/>
      <c r="J46" s="528"/>
      <c r="K46" s="528"/>
      <c r="L46" s="528"/>
      <c r="M46" s="528"/>
      <c r="N46" s="528"/>
      <c r="O46" s="528"/>
    </row>
    <row r="47" spans="1:17" s="27" customFormat="1" hidden="1" x14ac:dyDescent="0.2">
      <c r="A47" s="1579"/>
      <c r="B47" s="1125" t="s">
        <v>461</v>
      </c>
      <c r="C47" s="888" t="s">
        <v>48</v>
      </c>
      <c r="D47" s="889"/>
      <c r="E47" s="686">
        <f>Бурение!G32+Бурение!G33</f>
        <v>0</v>
      </c>
      <c r="F47" s="889"/>
      <c r="G47" s="890"/>
      <c r="H47" s="542"/>
      <c r="I47" s="528"/>
      <c r="J47" s="528"/>
      <c r="K47" s="528"/>
      <c r="L47" s="528"/>
      <c r="M47" s="528"/>
      <c r="N47" s="528"/>
      <c r="O47" s="528"/>
    </row>
    <row r="48" spans="1:17" s="27" customFormat="1" hidden="1" x14ac:dyDescent="0.2">
      <c r="A48" s="1579"/>
      <c r="B48" s="1125" t="s">
        <v>408</v>
      </c>
      <c r="C48" s="645" t="s">
        <v>48</v>
      </c>
      <c r="D48" s="889"/>
      <c r="E48" s="911">
        <f>Бурение!G31+Бурение!G44</f>
        <v>0</v>
      </c>
      <c r="F48" s="889"/>
      <c r="G48" s="890"/>
      <c r="H48" s="542"/>
      <c r="I48" s="528"/>
      <c r="J48" s="528"/>
      <c r="K48" s="528"/>
      <c r="L48" s="528"/>
      <c r="M48" s="528"/>
      <c r="N48" s="528"/>
      <c r="O48" s="528"/>
    </row>
    <row r="49" spans="1:93" s="27" customFormat="1" ht="13.5" hidden="1" thickBot="1" x14ac:dyDescent="0.25">
      <c r="A49" s="1585"/>
      <c r="B49" s="1126" t="s">
        <v>409</v>
      </c>
      <c r="C49" s="645" t="s">
        <v>48</v>
      </c>
      <c r="D49" s="629"/>
      <c r="E49" s="912">
        <f>SUM(Бурение!G34:G43)</f>
        <v>0</v>
      </c>
      <c r="F49" s="629"/>
      <c r="G49" s="644"/>
      <c r="H49" s="542"/>
      <c r="I49" s="528"/>
      <c r="J49" s="528"/>
      <c r="K49" s="528"/>
      <c r="L49" s="528"/>
      <c r="M49" s="528"/>
      <c r="N49" s="528"/>
      <c r="O49" s="528"/>
    </row>
    <row r="50" spans="1:93" ht="16.5" thickBot="1" x14ac:dyDescent="0.25">
      <c r="A50" s="1586">
        <v>10</v>
      </c>
      <c r="B50" s="664" t="s">
        <v>264</v>
      </c>
      <c r="C50" s="635" t="s">
        <v>345</v>
      </c>
      <c r="D50" s="636"/>
      <c r="E50" s="910">
        <f>Экскаваторы!J40</f>
        <v>0</v>
      </c>
      <c r="F50" s="636"/>
      <c r="G50" s="637"/>
      <c r="H50" s="542">
        <f>Экскаваторы!U10</f>
        <v>0</v>
      </c>
      <c r="I50" s="528">
        <f>Экскаваторы!U25</f>
        <v>0</v>
      </c>
      <c r="J50" s="528">
        <f>Экскаваторы!AQ10+Экскаваторы!AG10+Экскаваторы!AF10</f>
        <v>0</v>
      </c>
      <c r="K50" s="528">
        <f>Экскаваторы!AQ25+Экскаваторы!AG25+Экскаваторы!AF25</f>
        <v>0</v>
      </c>
      <c r="L50" s="528">
        <f>Экскаваторы!AA10+Экскаваторы!AC10+Экскаваторы!AE10+Экскаваторы!AW10+Экскаваторы!AZ10+Экскаваторы!BA10</f>
        <v>0</v>
      </c>
      <c r="M50" s="528">
        <f>Экскаваторы!AA25+Экскаваторы!AC25+Экскаваторы!AE25+Экскаваторы!AW25+Экскаваторы!AZ25+Экскаваторы!BA25</f>
        <v>0</v>
      </c>
      <c r="N50" s="528">
        <f>Экскаваторы!AE10</f>
        <v>0</v>
      </c>
      <c r="O50" s="528">
        <f>Экскаваторы!AE25</f>
        <v>0</v>
      </c>
    </row>
    <row r="51" spans="1:93" hidden="1" x14ac:dyDescent="0.2">
      <c r="A51" s="1587"/>
      <c r="B51" s="697" t="s">
        <v>227</v>
      </c>
      <c r="C51" s="672" t="s">
        <v>46</v>
      </c>
      <c r="D51" s="4"/>
      <c r="E51" s="308"/>
      <c r="F51" s="8"/>
      <c r="G51" s="638"/>
      <c r="H51" s="643"/>
      <c r="I51" s="235"/>
      <c r="J51" s="235"/>
      <c r="K51" s="235"/>
      <c r="L51" s="235"/>
      <c r="M51" s="235"/>
      <c r="N51" s="235"/>
      <c r="O51" s="23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</row>
    <row r="52" spans="1:93" hidden="1" x14ac:dyDescent="0.2">
      <c r="A52" s="1587"/>
      <c r="B52" s="1134" t="s">
        <v>466</v>
      </c>
      <c r="C52" s="308" t="s">
        <v>46</v>
      </c>
      <c r="D52" s="1132"/>
      <c r="E52" s="308">
        <f>E51</f>
        <v>0</v>
      </c>
      <c r="F52" s="8"/>
      <c r="G52" s="638"/>
      <c r="H52" s="643"/>
      <c r="I52" s="235"/>
      <c r="J52" s="235"/>
      <c r="K52" s="235"/>
      <c r="L52" s="235"/>
      <c r="M52" s="235"/>
      <c r="N52" s="235"/>
      <c r="O52" s="23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</row>
    <row r="53" spans="1:93" hidden="1" x14ac:dyDescent="0.2">
      <c r="A53" s="1587"/>
      <c r="B53" s="1134" t="s">
        <v>467</v>
      </c>
      <c r="C53" s="308" t="s">
        <v>46</v>
      </c>
      <c r="D53" s="1132"/>
      <c r="E53" s="308"/>
      <c r="F53" s="8"/>
      <c r="G53" s="638"/>
      <c r="H53" s="643"/>
      <c r="I53" s="235"/>
      <c r="J53" s="235"/>
      <c r="K53" s="235"/>
      <c r="L53" s="235"/>
      <c r="M53" s="235"/>
      <c r="N53" s="235"/>
      <c r="O53" s="23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</row>
    <row r="54" spans="1:93" hidden="1" x14ac:dyDescent="0.2">
      <c r="A54" s="1587"/>
      <c r="B54" s="697" t="s">
        <v>413</v>
      </c>
      <c r="C54" s="672" t="s">
        <v>414</v>
      </c>
      <c r="D54" s="928"/>
      <c r="E54" s="308"/>
      <c r="F54" s="8"/>
      <c r="G54" s="638"/>
      <c r="H54" s="643"/>
      <c r="I54" s="235"/>
      <c r="J54" s="235"/>
      <c r="K54" s="235"/>
      <c r="L54" s="235"/>
      <c r="M54" s="235"/>
      <c r="N54" s="235"/>
      <c r="O54" s="23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</row>
    <row r="55" spans="1:93" hidden="1" x14ac:dyDescent="0.2">
      <c r="A55" s="1587"/>
      <c r="B55" s="697" t="s">
        <v>415</v>
      </c>
      <c r="C55" s="672" t="s">
        <v>416</v>
      </c>
      <c r="D55" s="928"/>
      <c r="E55" s="308" t="e">
        <f>E51/E54</f>
        <v>#DIV/0!</v>
      </c>
      <c r="F55" s="8"/>
      <c r="G55" s="638"/>
      <c r="H55" s="643"/>
      <c r="I55" s="235"/>
      <c r="J55" s="235"/>
      <c r="K55" s="235"/>
      <c r="L55" s="235"/>
      <c r="M55" s="235"/>
      <c r="N55" s="235"/>
      <c r="O55" s="23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</row>
    <row r="56" spans="1:93" hidden="1" x14ac:dyDescent="0.2">
      <c r="A56" s="1587"/>
      <c r="B56" s="698" t="s">
        <v>349</v>
      </c>
      <c r="C56" s="793" t="s">
        <v>49</v>
      </c>
      <c r="D56" s="8"/>
      <c r="E56" s="308"/>
      <c r="F56" s="9"/>
      <c r="G56" s="638"/>
      <c r="H56" s="439"/>
      <c r="I56" s="26"/>
      <c r="J56" s="26"/>
      <c r="K56" s="26"/>
      <c r="L56" s="26"/>
      <c r="M56" s="26"/>
      <c r="N56" s="26"/>
      <c r="O56" s="26"/>
    </row>
    <row r="57" spans="1:93" hidden="1" x14ac:dyDescent="0.2">
      <c r="A57" s="1587"/>
      <c r="B57" s="698" t="s">
        <v>381</v>
      </c>
      <c r="C57" s="793" t="s">
        <v>49</v>
      </c>
      <c r="D57" s="8"/>
      <c r="E57" s="308"/>
      <c r="F57" s="9"/>
      <c r="G57" s="638"/>
      <c r="H57" s="439"/>
      <c r="I57" s="26"/>
      <c r="J57" s="26"/>
      <c r="K57" s="26"/>
      <c r="L57" s="26"/>
      <c r="M57" s="26"/>
      <c r="N57" s="26"/>
      <c r="O57" s="26"/>
    </row>
    <row r="58" spans="1:93" hidden="1" x14ac:dyDescent="0.2">
      <c r="A58" s="1587"/>
      <c r="B58" s="927" t="s">
        <v>412</v>
      </c>
      <c r="C58" s="793" t="s">
        <v>49</v>
      </c>
      <c r="D58" s="629"/>
      <c r="E58" s="706"/>
      <c r="F58" s="628"/>
      <c r="G58" s="644"/>
      <c r="H58" s="439"/>
      <c r="I58" s="26"/>
      <c r="J58" s="26"/>
      <c r="K58" s="26"/>
      <c r="L58" s="26"/>
      <c r="M58" s="26"/>
      <c r="N58" s="26"/>
      <c r="O58" s="26"/>
    </row>
    <row r="59" spans="1:93" ht="13.5" hidden="1" thickBot="1" x14ac:dyDescent="0.25">
      <c r="A59" s="1588"/>
      <c r="B59" s="699" t="s">
        <v>382</v>
      </c>
      <c r="C59" s="794" t="s">
        <v>49</v>
      </c>
      <c r="D59" s="639"/>
      <c r="E59" s="665">
        <f>SUM(E56:E58)</f>
        <v>0</v>
      </c>
      <c r="F59" s="795"/>
      <c r="G59" s="640"/>
      <c r="H59" s="439"/>
      <c r="I59" s="26"/>
      <c r="J59" s="26"/>
      <c r="K59" s="26"/>
      <c r="L59" s="26"/>
      <c r="M59" s="26"/>
      <c r="N59" s="26"/>
      <c r="O59" s="26"/>
    </row>
    <row r="60" spans="1:93" hidden="1" x14ac:dyDescent="0.2">
      <c r="A60" s="1351">
        <v>11</v>
      </c>
      <c r="B60" s="789" t="s">
        <v>230</v>
      </c>
      <c r="C60" s="790" t="s">
        <v>46</v>
      </c>
      <c r="D60" s="791"/>
      <c r="E60" s="792"/>
      <c r="F60" s="700"/>
      <c r="G60" s="701"/>
      <c r="H60" s="439"/>
      <c r="I60" s="26"/>
      <c r="J60" s="26"/>
      <c r="K60" s="26"/>
      <c r="L60" s="26"/>
      <c r="M60" s="26"/>
      <c r="N60" s="26"/>
      <c r="O60" s="26"/>
    </row>
    <row r="61" spans="1:93" ht="13.5" hidden="1" thickBot="1" x14ac:dyDescent="0.25">
      <c r="A61" s="1581"/>
      <c r="B61" s="670" t="s">
        <v>231</v>
      </c>
      <c r="C61" s="666" t="s">
        <v>46</v>
      </c>
      <c r="D61" s="667"/>
      <c r="E61" s="665"/>
      <c r="F61" s="639"/>
      <c r="G61" s="668"/>
      <c r="H61" s="643"/>
      <c r="I61" s="235"/>
      <c r="J61" s="235"/>
      <c r="K61" s="235"/>
      <c r="L61" s="235"/>
      <c r="M61" s="235"/>
      <c r="N61" s="235"/>
      <c r="O61" s="235"/>
    </row>
    <row r="62" spans="1:93" x14ac:dyDescent="0.2">
      <c r="A62" s="1576" t="s">
        <v>459</v>
      </c>
      <c r="B62" s="671" t="s">
        <v>337</v>
      </c>
      <c r="C62" s="646" t="s">
        <v>46</v>
      </c>
      <c r="D62" s="636"/>
      <c r="E62" s="669"/>
      <c r="F62" s="636"/>
      <c r="G62" s="637"/>
      <c r="H62" s="643"/>
      <c r="I62" s="235"/>
      <c r="J62" s="235"/>
      <c r="K62" s="235"/>
      <c r="L62" s="235"/>
      <c r="M62" s="235"/>
      <c r="N62" s="235"/>
      <c r="O62" s="235"/>
    </row>
    <row r="63" spans="1:93" ht="13.5" thickBot="1" x14ac:dyDescent="0.25">
      <c r="A63" s="1577"/>
      <c r="B63" s="764" t="s">
        <v>229</v>
      </c>
      <c r="C63" s="649" t="s">
        <v>46</v>
      </c>
      <c r="D63" s="639"/>
      <c r="E63" s="984">
        <f>'Суточный рапорт'!CS33+'Суточный рапорт'!AX33</f>
        <v>0</v>
      </c>
      <c r="F63" s="639"/>
      <c r="G63" s="640"/>
      <c r="H63" s="643"/>
      <c r="I63" s="235"/>
      <c r="J63" s="235"/>
      <c r="K63" s="235"/>
      <c r="L63" s="235"/>
      <c r="M63" s="235"/>
      <c r="N63" s="235"/>
      <c r="O63" s="235"/>
    </row>
    <row r="64" spans="1:93" ht="18.75" x14ac:dyDescent="0.25">
      <c r="B64" s="129"/>
      <c r="C64" s="32"/>
      <c r="E64" s="788"/>
      <c r="F64" s="773"/>
      <c r="G64" s="773"/>
      <c r="H64" s="773"/>
      <c r="I64" s="773"/>
      <c r="J64" s="773"/>
      <c r="K64" s="773"/>
      <c r="L64" s="773"/>
      <c r="M64" s="773"/>
      <c r="N64" s="773"/>
      <c r="O64" s="773"/>
      <c r="P64" s="27"/>
      <c r="Q64" s="27"/>
      <c r="R64" s="27"/>
    </row>
    <row r="65" spans="1:20" ht="38.25" x14ac:dyDescent="0.2">
      <c r="A65" s="1299" t="s">
        <v>357</v>
      </c>
      <c r="B65" s="1378" t="s">
        <v>358</v>
      </c>
      <c r="C65" s="1378" t="s">
        <v>40</v>
      </c>
      <c r="D65" s="1378"/>
      <c r="E65" s="1299" t="s">
        <v>41</v>
      </c>
      <c r="F65" s="1299"/>
      <c r="G65" s="1299" t="s">
        <v>73</v>
      </c>
      <c r="H65" s="1299"/>
      <c r="I65" s="1378" t="s">
        <v>359</v>
      </c>
      <c r="J65" s="935" t="s">
        <v>360</v>
      </c>
      <c r="S65" s="27"/>
      <c r="T65" s="27"/>
    </row>
    <row r="66" spans="1:20" ht="26.25" customHeight="1" x14ac:dyDescent="0.2">
      <c r="A66" s="1299"/>
      <c r="B66" s="1378"/>
      <c r="C66" s="935" t="s">
        <v>361</v>
      </c>
      <c r="D66" s="935" t="s">
        <v>362</v>
      </c>
      <c r="E66" s="935" t="s">
        <v>361</v>
      </c>
      <c r="F66" s="935" t="s">
        <v>362</v>
      </c>
      <c r="G66" s="935" t="s">
        <v>361</v>
      </c>
      <c r="H66" s="935" t="s">
        <v>362</v>
      </c>
      <c r="I66" s="1378"/>
      <c r="J66" s="935" t="s">
        <v>363</v>
      </c>
      <c r="K66" s="1071" t="s">
        <v>445</v>
      </c>
      <c r="S66" s="27"/>
      <c r="T66" s="27"/>
    </row>
    <row r="67" spans="1:20" x14ac:dyDescent="0.2">
      <c r="A67" s="1098">
        <v>1</v>
      </c>
      <c r="B67" s="547" t="str">
        <f>'Суточный рапорт'!A107</f>
        <v>Скважина №28</v>
      </c>
      <c r="C67" s="929">
        <f>'Суточный рапорт'!AX107</f>
        <v>0</v>
      </c>
      <c r="D67" s="929">
        <f>'Суточный рапорт'!AX108</f>
        <v>0</v>
      </c>
      <c r="E67" s="929">
        <f>'Суточный рапорт'!CS107</f>
        <v>0</v>
      </c>
      <c r="F67" s="929">
        <f>'Суточный рапорт'!CS108</f>
        <v>0</v>
      </c>
      <c r="G67" s="929">
        <f t="shared" ref="G67:G71" si="0">E67+C67</f>
        <v>0</v>
      </c>
      <c r="H67" s="422">
        <f t="shared" ref="H67:H71" si="1">F67+D67</f>
        <v>0</v>
      </c>
      <c r="I67" s="929">
        <f>'Суточный рапорт'!CT107</f>
        <v>0</v>
      </c>
      <c r="J67" s="307"/>
      <c r="K67" s="1069">
        <f>'Суточный рапорт'!C107</f>
        <v>25</v>
      </c>
    </row>
    <row r="68" spans="1:20" x14ac:dyDescent="0.2">
      <c r="A68" s="1098">
        <v>2</v>
      </c>
      <c r="B68" s="547" t="str">
        <f>'Суточный рапорт'!A110</f>
        <v>Скважина №29</v>
      </c>
      <c r="C68" s="929">
        <f>'Суточный рапорт'!AX110</f>
        <v>0</v>
      </c>
      <c r="D68" s="929">
        <f>'Суточный рапорт'!AX111</f>
        <v>0</v>
      </c>
      <c r="E68" s="929">
        <f>'Суточный рапорт'!CS110</f>
        <v>0</v>
      </c>
      <c r="F68" s="929">
        <f>'Суточный рапорт'!CS111</f>
        <v>0</v>
      </c>
      <c r="G68" s="929">
        <f t="shared" si="0"/>
        <v>0</v>
      </c>
      <c r="H68" s="422">
        <f t="shared" si="1"/>
        <v>0</v>
      </c>
      <c r="I68" s="929">
        <f>'Суточный рапорт'!CT110</f>
        <v>0</v>
      </c>
      <c r="J68" s="307"/>
      <c r="K68" s="1069">
        <f>'Суточный рапорт'!C110</f>
        <v>25</v>
      </c>
    </row>
    <row r="69" spans="1:20" x14ac:dyDescent="0.2">
      <c r="A69" s="1137">
        <v>3</v>
      </c>
      <c r="B69" s="547" t="str">
        <f>'Суточный рапорт'!A113</f>
        <v>Скважина №39</v>
      </c>
      <c r="C69" s="929">
        <f>'Суточный рапорт'!AX113</f>
        <v>0</v>
      </c>
      <c r="D69" s="929">
        <f>'Суточный рапорт'!AX114</f>
        <v>0</v>
      </c>
      <c r="E69" s="929">
        <f>'Суточный рапорт'!CS113</f>
        <v>0</v>
      </c>
      <c r="F69" s="929">
        <f>'Суточный рапорт'!CS114</f>
        <v>0</v>
      </c>
      <c r="G69" s="929">
        <f t="shared" si="0"/>
        <v>0</v>
      </c>
      <c r="H69" s="422">
        <f t="shared" si="1"/>
        <v>0</v>
      </c>
      <c r="I69" s="929">
        <f>'Суточный рапорт'!CT113</f>
        <v>0</v>
      </c>
      <c r="J69" s="307"/>
      <c r="K69" s="1069">
        <f>'Суточный рапорт'!C113</f>
        <v>37</v>
      </c>
    </row>
    <row r="70" spans="1:20" x14ac:dyDescent="0.2">
      <c r="A70" s="1137">
        <v>4</v>
      </c>
      <c r="B70" s="547" t="str">
        <f>'Суточный рапорт'!A116</f>
        <v>Скважина №100</v>
      </c>
      <c r="C70" s="929">
        <f>'Суточный рапорт'!AX116</f>
        <v>0</v>
      </c>
      <c r="D70" s="929">
        <f>'Суточный рапорт'!AX117</f>
        <v>0</v>
      </c>
      <c r="E70" s="929">
        <f>'Суточный рапорт'!CS116</f>
        <v>0</v>
      </c>
      <c r="F70" s="929">
        <f>'Суточный рапорт'!CS117</f>
        <v>0</v>
      </c>
      <c r="G70" s="929">
        <f t="shared" si="0"/>
        <v>0</v>
      </c>
      <c r="H70" s="422">
        <f t="shared" si="1"/>
        <v>0</v>
      </c>
      <c r="I70" s="929">
        <f>'Суточный рапорт'!CT116</f>
        <v>0</v>
      </c>
      <c r="J70" s="307"/>
      <c r="K70" s="1069">
        <f>'Суточный рапорт'!C116</f>
        <v>25</v>
      </c>
    </row>
    <row r="71" spans="1:20" x14ac:dyDescent="0.2">
      <c r="A71" s="1137">
        <v>5</v>
      </c>
      <c r="B71" s="547" t="str">
        <f>'Суточный рапорт'!A125</f>
        <v>Зумпф №8 ЮВК</v>
      </c>
      <c r="C71" s="929">
        <f>'Суточный рапорт'!AX125</f>
        <v>0</v>
      </c>
      <c r="D71" s="929">
        <f>'Суточный рапорт'!AX126</f>
        <v>0</v>
      </c>
      <c r="E71" s="929">
        <f>'Суточный рапорт'!CS125</f>
        <v>0</v>
      </c>
      <c r="F71" s="929">
        <f>'Суточный рапорт'!CS126</f>
        <v>0</v>
      </c>
      <c r="G71" s="929">
        <f t="shared" si="0"/>
        <v>0</v>
      </c>
      <c r="H71" s="422">
        <f t="shared" si="1"/>
        <v>0</v>
      </c>
      <c r="I71" s="929">
        <f>'Суточный рапорт'!CT125</f>
        <v>0</v>
      </c>
      <c r="J71" s="307"/>
      <c r="K71" s="1136">
        <f>'Суточный рапорт'!C125</f>
        <v>300</v>
      </c>
    </row>
    <row r="72" spans="1:20" x14ac:dyDescent="0.2">
      <c r="A72" s="1137">
        <v>6</v>
      </c>
      <c r="B72" s="547" t="str">
        <f>'Суточный рапорт'!A128</f>
        <v>Зумпф №1 СВК С</v>
      </c>
      <c r="C72" s="929">
        <f>'Суточный рапорт'!AX128</f>
        <v>0</v>
      </c>
      <c r="D72" s="929">
        <f>'Суточный рапорт'!AX129</f>
        <v>0</v>
      </c>
      <c r="E72" s="929">
        <f>'Суточный рапорт'!CS128</f>
        <v>0</v>
      </c>
      <c r="F72" s="929">
        <f>'Суточный рапорт'!CS129</f>
        <v>0</v>
      </c>
      <c r="G72" s="929">
        <f t="shared" ref="G72" si="2">E72+C72</f>
        <v>0</v>
      </c>
      <c r="H72" s="422">
        <f t="shared" ref="H72" si="3">F72+D72</f>
        <v>0</v>
      </c>
      <c r="I72" s="929">
        <f>'Суточный рапорт'!CT128</f>
        <v>0</v>
      </c>
      <c r="J72" s="307"/>
      <c r="K72" s="1133">
        <f>'Суточный рапорт'!C128</f>
        <v>180</v>
      </c>
    </row>
    <row r="73" spans="1:20" x14ac:dyDescent="0.2">
      <c r="A73" s="1137">
        <v>7</v>
      </c>
      <c r="B73" s="547" t="str">
        <f>'Суточный рапорт'!A137</f>
        <v>Зумпф №1 СВК Ю</v>
      </c>
      <c r="C73" s="929">
        <f>'Суточный рапорт'!AX137</f>
        <v>0</v>
      </c>
      <c r="D73" s="929">
        <f>'Суточный рапорт'!AX138</f>
        <v>0</v>
      </c>
      <c r="E73" s="929">
        <f>'Суточный рапорт'!CS137</f>
        <v>0</v>
      </c>
      <c r="F73" s="929">
        <f>'Суточный рапорт'!CS138</f>
        <v>0</v>
      </c>
      <c r="G73" s="929">
        <f t="shared" ref="G73" si="4">E73+C73</f>
        <v>0</v>
      </c>
      <c r="H73" s="422">
        <f t="shared" ref="H73" si="5">F73+D73</f>
        <v>0</v>
      </c>
      <c r="I73" s="929">
        <f>'Суточный рапорт'!CT137</f>
        <v>0</v>
      </c>
      <c r="J73" s="307"/>
      <c r="K73" s="1095">
        <f>'Суточный рапорт'!C137</f>
        <v>300</v>
      </c>
    </row>
    <row r="74" spans="1:20" x14ac:dyDescent="0.2">
      <c r="A74" s="1137">
        <v>8</v>
      </c>
      <c r="B74" s="547" t="str">
        <f>'Суточный рапорт'!A143</f>
        <v>Пруд накопитель №1 ЮВК (Насосная №3)</v>
      </c>
      <c r="C74" s="929">
        <f>'Суточный рапорт'!AX143</f>
        <v>0</v>
      </c>
      <c r="D74" s="929">
        <f>'Суточный рапорт'!AX144</f>
        <v>0</v>
      </c>
      <c r="E74" s="929">
        <f>'Суточный рапорт'!CS143</f>
        <v>0</v>
      </c>
      <c r="F74" s="929">
        <f>'Суточный рапорт'!CS144</f>
        <v>0</v>
      </c>
      <c r="G74" s="929">
        <f t="shared" ref="G74" si="6">E74+C74</f>
        <v>0</v>
      </c>
      <c r="H74" s="422">
        <f t="shared" ref="H74" si="7">F74+D74</f>
        <v>0</v>
      </c>
      <c r="I74" s="929">
        <f>'Суточный рапорт'!CT143</f>
        <v>0</v>
      </c>
      <c r="J74" s="307"/>
      <c r="K74" s="1135">
        <f>'Суточный рапорт'!C143</f>
        <v>300</v>
      </c>
    </row>
    <row r="75" spans="1:20" x14ac:dyDescent="0.2">
      <c r="A75" s="958"/>
      <c r="B75" s="938" t="s">
        <v>434</v>
      </c>
      <c r="C75" s="981">
        <f>C67+C68+C69+C70+C71+C73</f>
        <v>0</v>
      </c>
      <c r="D75" s="981">
        <f t="shared" ref="D75:H75" si="8">D67+D68+D69+D70+D71+D73</f>
        <v>0</v>
      </c>
      <c r="E75" s="981">
        <f t="shared" si="8"/>
        <v>0</v>
      </c>
      <c r="F75" s="981">
        <f t="shared" si="8"/>
        <v>0</v>
      </c>
      <c r="G75" s="981">
        <f t="shared" si="8"/>
        <v>0</v>
      </c>
      <c r="H75" s="981">
        <f t="shared" si="8"/>
        <v>0</v>
      </c>
      <c r="I75" s="958"/>
      <c r="J75" s="10"/>
    </row>
    <row r="76" spans="1:20" x14ac:dyDescent="0.2">
      <c r="A76" s="958">
        <v>1</v>
      </c>
      <c r="B76" s="547" t="str">
        <f>'Суточный рапорт'!A119</f>
        <v>Насос на ЗИФ УВП (В-11 карьер)</v>
      </c>
      <c r="C76" s="929">
        <f>'Суточный рапорт'!AX119</f>
        <v>0</v>
      </c>
      <c r="D76" s="422">
        <f>'Суточный рапорт'!AX120</f>
        <v>0</v>
      </c>
      <c r="E76" s="929">
        <f>'Суточный рапорт'!CS119</f>
        <v>0</v>
      </c>
      <c r="F76" s="422">
        <f>'Суточный рапорт'!CS120</f>
        <v>0</v>
      </c>
      <c r="G76" s="929">
        <f>E76+C76</f>
        <v>0</v>
      </c>
      <c r="H76" s="422">
        <f>F76+D76</f>
        <v>0</v>
      </c>
      <c r="I76" s="934">
        <f>'Суточный рапорт'!CT120</f>
        <v>0</v>
      </c>
      <c r="J76" s="307"/>
    </row>
    <row r="77" spans="1:20" x14ac:dyDescent="0.2">
      <c r="A77" s="939">
        <v>2</v>
      </c>
      <c r="B77" s="547" t="str">
        <f>'Суточный рапорт'!A122</f>
        <v>Насос на ЗИФ УВП (В-11 ОС промплощадки)</v>
      </c>
      <c r="C77" s="929">
        <f>'Суточный рапорт'!AX122</f>
        <v>0</v>
      </c>
      <c r="D77" s="422">
        <f>'Суточный рапорт'!AX123</f>
        <v>0</v>
      </c>
      <c r="E77" s="929">
        <f>'Суточный рапорт'!CS122</f>
        <v>0</v>
      </c>
      <c r="F77" s="422">
        <f>'Суточный рапорт'!CS123</f>
        <v>0</v>
      </c>
      <c r="G77" s="929">
        <f>E77+C77</f>
        <v>0</v>
      </c>
      <c r="H77" s="422">
        <f>F77+D77</f>
        <v>0</v>
      </c>
      <c r="I77" s="1016">
        <f>'Суточный рапорт'!CT123</f>
        <v>0</v>
      </c>
      <c r="J77" s="307"/>
    </row>
    <row r="78" spans="1:20" x14ac:dyDescent="0.2">
      <c r="A78" s="10"/>
      <c r="B78" s="1081" t="s">
        <v>435</v>
      </c>
      <c r="C78" s="1082">
        <f>SUM(C76:C77)</f>
        <v>0</v>
      </c>
      <c r="D78" s="441">
        <f t="shared" ref="D78:H78" si="9">SUM(D76:D77)</f>
        <v>0</v>
      </c>
      <c r="E78" s="1082">
        <f t="shared" si="9"/>
        <v>0</v>
      </c>
      <c r="F78" s="441">
        <f t="shared" si="9"/>
        <v>0</v>
      </c>
      <c r="G78" s="1082">
        <f t="shared" si="9"/>
        <v>0</v>
      </c>
      <c r="H78" s="441">
        <f t="shared" si="9"/>
        <v>0</v>
      </c>
      <c r="I78" s="1083"/>
      <c r="J78" s="7"/>
    </row>
    <row r="79" spans="1:20" x14ac:dyDescent="0.2">
      <c r="B79" s="1084" t="s">
        <v>486</v>
      </c>
      <c r="C79" s="10"/>
      <c r="D79" s="10"/>
      <c r="E79" s="10"/>
      <c r="F79" s="10"/>
      <c r="G79" s="981">
        <f>G67+G68+G69+G70</f>
        <v>0</v>
      </c>
      <c r="H79" s="10"/>
      <c r="I79" s="7"/>
    </row>
    <row r="80" spans="1:20" x14ac:dyDescent="0.2">
      <c r="B80" s="1084" t="s">
        <v>487</v>
      </c>
      <c r="C80" s="10"/>
      <c r="D80" s="10"/>
      <c r="E80" s="10"/>
      <c r="F80" s="10"/>
      <c r="G80" s="981">
        <f>G73</f>
        <v>0</v>
      </c>
      <c r="H80" s="10"/>
      <c r="I80" s="7"/>
    </row>
    <row r="81" spans="2:10" x14ac:dyDescent="0.2">
      <c r="B81" s="1084" t="s">
        <v>462</v>
      </c>
      <c r="C81" s="10"/>
      <c r="D81" s="10"/>
      <c r="E81" s="10"/>
      <c r="F81" s="10"/>
      <c r="G81" s="981">
        <f>G71</f>
        <v>0</v>
      </c>
      <c r="H81" s="10"/>
      <c r="I81" s="7"/>
    </row>
    <row r="83" spans="2:10" ht="15" x14ac:dyDescent="0.25">
      <c r="B83" s="1"/>
      <c r="C83" s="705" t="s">
        <v>278</v>
      </c>
      <c r="D83" s="705"/>
      <c r="E83" s="705"/>
      <c r="F83" s="705"/>
      <c r="G83" s="705"/>
      <c r="H83" s="705"/>
      <c r="I83" s="705"/>
    </row>
    <row r="84" spans="2:10" x14ac:dyDescent="0.2">
      <c r="B84" s="1"/>
      <c r="C84" s="1299" t="s">
        <v>137</v>
      </c>
      <c r="D84" s="1299" t="s">
        <v>138</v>
      </c>
      <c r="E84" s="1299" t="s">
        <v>127</v>
      </c>
      <c r="F84" s="1299" t="s">
        <v>139</v>
      </c>
      <c r="G84" s="1538" t="s">
        <v>140</v>
      </c>
      <c r="H84" s="1538"/>
      <c r="I84" s="1538"/>
    </row>
    <row r="85" spans="2:10" ht="63.75" x14ac:dyDescent="0.2">
      <c r="B85" s="1"/>
      <c r="C85" s="1299"/>
      <c r="D85" s="1299"/>
      <c r="E85" s="1299"/>
      <c r="F85" s="1299"/>
      <c r="G85" s="936" t="s">
        <v>141</v>
      </c>
      <c r="H85" s="936" t="s">
        <v>142</v>
      </c>
      <c r="I85" s="936" t="s">
        <v>143</v>
      </c>
    </row>
    <row r="86" spans="2:10" x14ac:dyDescent="0.2">
      <c r="B86" s="1571" t="s">
        <v>145</v>
      </c>
      <c r="C86" s="937" t="s">
        <v>40</v>
      </c>
      <c r="D86" s="308"/>
      <c r="E86" s="308"/>
      <c r="F86" s="308"/>
      <c r="G86" s="926" t="str">
        <f t="shared" ref="G86:G87" si="10">IF(D86=0," ",E86/F86/10)</f>
        <v xml:space="preserve"> </v>
      </c>
      <c r="H86" s="926" t="str">
        <f t="shared" ref="H86:H87" si="11">IF(D86=0," ",D86/E86)</f>
        <v xml:space="preserve"> </v>
      </c>
      <c r="I86" s="926" t="str">
        <f t="shared" ref="I86:I87" si="12">IF(D86=0," ",E86/F86)</f>
        <v xml:space="preserve"> </v>
      </c>
    </row>
    <row r="87" spans="2:10" x14ac:dyDescent="0.2">
      <c r="B87" s="1571"/>
      <c r="C87" s="937" t="s">
        <v>41</v>
      </c>
      <c r="D87" s="308"/>
      <c r="E87" s="308"/>
      <c r="F87" s="308"/>
      <c r="G87" s="926" t="str">
        <f t="shared" si="10"/>
        <v xml:space="preserve"> </v>
      </c>
      <c r="H87" s="926" t="str">
        <f t="shared" si="11"/>
        <v xml:space="preserve"> </v>
      </c>
      <c r="I87" s="926" t="str">
        <f t="shared" si="12"/>
        <v xml:space="preserve"> </v>
      </c>
    </row>
    <row r="88" spans="2:10" x14ac:dyDescent="0.2">
      <c r="B88" s="1571" t="s">
        <v>478</v>
      </c>
      <c r="C88" s="1141" t="s">
        <v>40</v>
      </c>
      <c r="D88" s="308"/>
      <c r="E88" s="308"/>
      <c r="F88" s="308"/>
      <c r="G88" s="926" t="str">
        <f t="shared" ref="G88:G89" si="13">IF(D88=0," ",E88/F88/10)</f>
        <v xml:space="preserve"> </v>
      </c>
      <c r="H88" s="926" t="str">
        <f t="shared" ref="H88:H89" si="14">IF(D88=0," ",D88/E88)</f>
        <v xml:space="preserve"> </v>
      </c>
      <c r="I88" s="926" t="str">
        <f t="shared" ref="I88:I89" si="15">IF(D88=0," ",E88/F88)</f>
        <v xml:space="preserve"> </v>
      </c>
    </row>
    <row r="89" spans="2:10" x14ac:dyDescent="0.2">
      <c r="B89" s="1571"/>
      <c r="C89" s="1141" t="s">
        <v>41</v>
      </c>
      <c r="D89" s="308"/>
      <c r="E89" s="308"/>
      <c r="F89" s="308"/>
      <c r="G89" s="926" t="str">
        <f t="shared" si="13"/>
        <v xml:space="preserve"> </v>
      </c>
      <c r="H89" s="926" t="str">
        <f t="shared" si="14"/>
        <v xml:space="preserve"> </v>
      </c>
      <c r="I89" s="926" t="str">
        <f t="shared" si="15"/>
        <v xml:space="preserve"> </v>
      </c>
    </row>
    <row r="90" spans="2:10" x14ac:dyDescent="0.2">
      <c r="B90" s="1571" t="s">
        <v>146</v>
      </c>
      <c r="C90" s="1111" t="s">
        <v>40</v>
      </c>
      <c r="D90" s="308"/>
      <c r="E90" s="308"/>
      <c r="F90" s="308"/>
      <c r="G90" s="926" t="str">
        <f t="shared" ref="G90:G91" si="16">IF(D90=0," ",E90/F90/10)</f>
        <v xml:space="preserve"> </v>
      </c>
      <c r="H90" s="926" t="str">
        <f t="shared" ref="H90:H91" si="17">IF(D90=0," ",D90/E90)</f>
        <v xml:space="preserve"> </v>
      </c>
      <c r="I90" s="926" t="str">
        <f t="shared" ref="I90:I91" si="18">IF(D90=0," ",E90/F90)</f>
        <v xml:space="preserve"> </v>
      </c>
      <c r="J90" s="1" t="s">
        <v>464</v>
      </c>
    </row>
    <row r="91" spans="2:10" x14ac:dyDescent="0.2">
      <c r="B91" s="1571"/>
      <c r="C91" s="1111" t="s">
        <v>41</v>
      </c>
      <c r="D91" s="308"/>
      <c r="E91" s="308"/>
      <c r="F91" s="308"/>
      <c r="G91" s="926" t="str">
        <f t="shared" si="16"/>
        <v xml:space="preserve"> </v>
      </c>
      <c r="H91" s="926" t="str">
        <f t="shared" si="17"/>
        <v xml:space="preserve"> </v>
      </c>
      <c r="I91" s="926" t="str">
        <f t="shared" si="18"/>
        <v xml:space="preserve"> </v>
      </c>
      <c r="J91" s="1" t="s">
        <v>464</v>
      </c>
    </row>
    <row r="92" spans="2:10" x14ac:dyDescent="0.2">
      <c r="B92" s="1571" t="s">
        <v>146</v>
      </c>
      <c r="C92" s="937" t="s">
        <v>40</v>
      </c>
      <c r="D92" s="308"/>
      <c r="E92" s="308"/>
      <c r="F92" s="308"/>
      <c r="G92" s="926" t="str">
        <f t="shared" ref="G92:G93" si="19">IF(D92=0," ",E92/F92/10)</f>
        <v xml:space="preserve"> </v>
      </c>
      <c r="H92" s="926" t="str">
        <f t="shared" ref="H92:H93" si="20">IF(D92=0," ",D92/E92)</f>
        <v xml:space="preserve"> </v>
      </c>
      <c r="I92" s="926" t="str">
        <f t="shared" ref="I92:I93" si="21">IF(D92=0," ",E92/F92)</f>
        <v xml:space="preserve"> </v>
      </c>
      <c r="J92" s="1" t="s">
        <v>463</v>
      </c>
    </row>
    <row r="93" spans="2:10" x14ac:dyDescent="0.2">
      <c r="B93" s="1571"/>
      <c r="C93" s="937" t="s">
        <v>41</v>
      </c>
      <c r="D93" s="308"/>
      <c r="E93" s="308"/>
      <c r="F93" s="308"/>
      <c r="G93" s="926" t="str">
        <f t="shared" si="19"/>
        <v xml:space="preserve"> </v>
      </c>
      <c r="H93" s="926" t="str">
        <f t="shared" si="20"/>
        <v xml:space="preserve"> </v>
      </c>
      <c r="I93" s="926" t="str">
        <f t="shared" si="21"/>
        <v xml:space="preserve"> </v>
      </c>
      <c r="J93" s="1" t="s">
        <v>463</v>
      </c>
    </row>
    <row r="94" spans="2:10" x14ac:dyDescent="0.2">
      <c r="B94" s="1571" t="s">
        <v>488</v>
      </c>
      <c r="C94" s="1156" t="s">
        <v>40</v>
      </c>
      <c r="D94" s="308"/>
      <c r="E94" s="308"/>
      <c r="F94" s="308"/>
      <c r="G94" s="926"/>
      <c r="H94" s="926"/>
      <c r="I94" s="926"/>
      <c r="J94" s="1" t="s">
        <v>463</v>
      </c>
    </row>
    <row r="95" spans="2:10" x14ac:dyDescent="0.2">
      <c r="B95" s="1571"/>
      <c r="C95" s="1156" t="s">
        <v>41</v>
      </c>
      <c r="D95" s="308"/>
      <c r="E95" s="308"/>
      <c r="F95" s="308"/>
      <c r="G95" s="926"/>
      <c r="H95" s="926"/>
      <c r="I95" s="926"/>
      <c r="J95" s="1" t="s">
        <v>463</v>
      </c>
    </row>
    <row r="96" spans="2:10" x14ac:dyDescent="0.2">
      <c r="B96" s="1"/>
      <c r="C96" s="937" t="s">
        <v>11</v>
      </c>
      <c r="D96" s="546">
        <f>SUM(D86:D95)</f>
        <v>0</v>
      </c>
      <c r="E96" s="546">
        <f>SUM(E86:E95)</f>
        <v>0</v>
      </c>
      <c r="F96" s="546" t="e">
        <f>AVERAGEIF(F86:F95,"&gt;0")</f>
        <v>#DIV/0!</v>
      </c>
      <c r="G96" s="926" t="e">
        <f>AVERAGEIF(G86:G95,"&gt;0")</f>
        <v>#DIV/0!</v>
      </c>
      <c r="H96" s="926" t="e">
        <f t="shared" ref="H96" si="22">D96/E96</f>
        <v>#DIV/0!</v>
      </c>
      <c r="I96" s="926" t="e">
        <f>AVERAGEIF(I86:I95,"&gt;0")</f>
        <v>#DIV/0!</v>
      </c>
    </row>
    <row r="97" spans="2:8" x14ac:dyDescent="0.2">
      <c r="B97" s="1"/>
      <c r="C97" s="1"/>
      <c r="D97" s="1"/>
      <c r="E97" s="1"/>
      <c r="F97" s="1"/>
      <c r="G97" s="1"/>
      <c r="H97" s="1"/>
    </row>
    <row r="98" spans="2:8" x14ac:dyDescent="0.2">
      <c r="B98" s="1"/>
      <c r="C98" s="1605" t="s">
        <v>418</v>
      </c>
      <c r="D98" s="1605"/>
      <c r="E98" s="1605"/>
      <c r="F98" s="1"/>
      <c r="G98" s="1"/>
      <c r="H98" s="1"/>
    </row>
    <row r="99" spans="2:8" x14ac:dyDescent="0.2">
      <c r="B99" s="1571" t="s">
        <v>145</v>
      </c>
      <c r="C99" s="937" t="s">
        <v>40</v>
      </c>
      <c r="D99" s="307"/>
      <c r="E99" s="307"/>
      <c r="F99" s="1"/>
      <c r="G99" s="1"/>
      <c r="H99" s="1"/>
    </row>
    <row r="100" spans="2:8" x14ac:dyDescent="0.2">
      <c r="B100" s="1571"/>
      <c r="C100" s="937" t="s">
        <v>41</v>
      </c>
      <c r="D100" s="307"/>
      <c r="E100" s="307"/>
      <c r="F100" s="1"/>
      <c r="G100" s="1"/>
      <c r="H100" s="1"/>
    </row>
    <row r="101" spans="2:8" x14ac:dyDescent="0.2">
      <c r="B101" s="1571" t="s">
        <v>478</v>
      </c>
      <c r="C101" s="1141" t="s">
        <v>40</v>
      </c>
      <c r="D101" s="307"/>
      <c r="E101" s="307"/>
      <c r="F101" s="1"/>
      <c r="G101" s="1"/>
      <c r="H101" s="1"/>
    </row>
    <row r="102" spans="2:8" x14ac:dyDescent="0.2">
      <c r="B102" s="1571"/>
      <c r="C102" s="1141" t="s">
        <v>41</v>
      </c>
      <c r="D102" s="307"/>
      <c r="E102" s="307"/>
      <c r="F102" s="1"/>
      <c r="G102" s="1"/>
      <c r="H102" s="1"/>
    </row>
    <row r="103" spans="2:8" x14ac:dyDescent="0.2">
      <c r="B103" s="1571" t="s">
        <v>146</v>
      </c>
      <c r="C103" s="1111" t="s">
        <v>40</v>
      </c>
      <c r="D103" s="307"/>
      <c r="E103" s="307"/>
      <c r="F103" s="1" t="s">
        <v>464</v>
      </c>
      <c r="G103" s="1"/>
      <c r="H103" s="1"/>
    </row>
    <row r="104" spans="2:8" x14ac:dyDescent="0.2">
      <c r="B104" s="1571"/>
      <c r="C104" s="1111" t="s">
        <v>41</v>
      </c>
      <c r="D104" s="307"/>
      <c r="E104" s="307"/>
      <c r="F104" s="1" t="s">
        <v>464</v>
      </c>
      <c r="G104" s="1"/>
      <c r="H104" s="1"/>
    </row>
    <row r="105" spans="2:8" x14ac:dyDescent="0.2">
      <c r="B105" s="1571" t="s">
        <v>146</v>
      </c>
      <c r="C105" s="937" t="s">
        <v>40</v>
      </c>
      <c r="D105" s="307"/>
      <c r="E105" s="307"/>
      <c r="F105" s="1" t="s">
        <v>463</v>
      </c>
      <c r="G105" s="1"/>
      <c r="H105" s="1"/>
    </row>
    <row r="106" spans="2:8" x14ac:dyDescent="0.2">
      <c r="B106" s="1571"/>
      <c r="C106" s="937" t="s">
        <v>41</v>
      </c>
      <c r="D106" s="307"/>
      <c r="E106" s="307"/>
      <c r="F106" s="1" t="s">
        <v>463</v>
      </c>
      <c r="G106" s="1"/>
      <c r="H106" s="1"/>
    </row>
    <row r="107" spans="2:8" x14ac:dyDescent="0.2">
      <c r="B107" s="1"/>
      <c r="C107" s="937" t="s">
        <v>11</v>
      </c>
      <c r="D107" s="546">
        <f>SUM(D99:D106)</f>
        <v>0</v>
      </c>
      <c r="E107" s="546">
        <f>SUM(E99:E106)</f>
        <v>0</v>
      </c>
      <c r="F107" s="1"/>
      <c r="G107" s="1"/>
      <c r="H107" s="1"/>
    </row>
    <row r="109" spans="2:8" x14ac:dyDescent="0.2">
      <c r="C109" s="1603" t="s">
        <v>498</v>
      </c>
      <c r="D109" s="1603"/>
      <c r="E109" s="1603"/>
    </row>
    <row r="110" spans="2:8" x14ac:dyDescent="0.2">
      <c r="B110" s="1604" t="s">
        <v>137</v>
      </c>
      <c r="C110" s="1229" t="s">
        <v>40</v>
      </c>
      <c r="D110" s="307"/>
      <c r="E110" s="307"/>
    </row>
    <row r="111" spans="2:8" x14ac:dyDescent="0.2">
      <c r="B111" s="1604"/>
      <c r="C111" s="1229" t="s">
        <v>41</v>
      </c>
      <c r="D111" s="307"/>
      <c r="E111" s="307"/>
    </row>
    <row r="112" spans="2:8" x14ac:dyDescent="0.2">
      <c r="C112" s="1229" t="s">
        <v>11</v>
      </c>
      <c r="D112" s="546">
        <f>D110+D111</f>
        <v>0</v>
      </c>
      <c r="E112" s="546">
        <f>E110+E111</f>
        <v>0</v>
      </c>
    </row>
    <row r="114" spans="2:8" ht="12.75" customHeight="1" x14ac:dyDescent="0.2">
      <c r="C114" s="1603" t="s">
        <v>532</v>
      </c>
      <c r="D114" s="1603"/>
      <c r="E114" s="1603"/>
      <c r="F114" s="1"/>
      <c r="G114" s="1"/>
      <c r="H114" s="1"/>
    </row>
    <row r="115" spans="2:8" x14ac:dyDescent="0.2">
      <c r="B115" s="1604" t="s">
        <v>137</v>
      </c>
      <c r="C115" s="1183" t="s">
        <v>40</v>
      </c>
      <c r="D115" s="307"/>
      <c r="E115" s="307"/>
      <c r="F115" s="1"/>
      <c r="G115" s="1"/>
      <c r="H115" s="1"/>
    </row>
    <row r="116" spans="2:8" x14ac:dyDescent="0.2">
      <c r="B116" s="1604"/>
      <c r="C116" s="1183" t="s">
        <v>41</v>
      </c>
      <c r="D116" s="307"/>
      <c r="E116" s="307"/>
      <c r="F116" s="1"/>
      <c r="G116" s="1"/>
      <c r="H116" s="1"/>
    </row>
    <row r="117" spans="2:8" x14ac:dyDescent="0.2">
      <c r="C117" s="1183" t="s">
        <v>11</v>
      </c>
      <c r="D117" s="546">
        <f>D115+D116</f>
        <v>0</v>
      </c>
      <c r="E117" s="546">
        <f>E115+E116</f>
        <v>0</v>
      </c>
    </row>
    <row r="118" spans="2:8" x14ac:dyDescent="0.2">
      <c r="F118" s="27" t="s">
        <v>530</v>
      </c>
      <c r="G118" s="27" t="s">
        <v>531</v>
      </c>
      <c r="H118" s="27" t="s">
        <v>529</v>
      </c>
    </row>
    <row r="119" spans="2:8" x14ac:dyDescent="0.2">
      <c r="B119" s="1570" t="s">
        <v>517</v>
      </c>
      <c r="C119" s="1218" t="s">
        <v>40</v>
      </c>
      <c r="D119" s="307"/>
      <c r="E119" s="307"/>
      <c r="F119" s="1"/>
      <c r="G119" s="1"/>
      <c r="H119" s="1"/>
    </row>
    <row r="120" spans="2:8" x14ac:dyDescent="0.2">
      <c r="B120" s="1570"/>
      <c r="C120" s="1218" t="s">
        <v>41</v>
      </c>
      <c r="D120" s="307"/>
      <c r="E120" s="307"/>
      <c r="F120" s="1"/>
      <c r="G120" s="1"/>
      <c r="H120" s="1"/>
    </row>
    <row r="121" spans="2:8" x14ac:dyDescent="0.2">
      <c r="B121" s="1571" t="s">
        <v>518</v>
      </c>
      <c r="C121" s="1218" t="s">
        <v>40</v>
      </c>
      <c r="D121" s="307"/>
      <c r="E121" s="307"/>
      <c r="F121" s="1"/>
      <c r="G121" s="1"/>
      <c r="H121" s="1"/>
    </row>
    <row r="122" spans="2:8" x14ac:dyDescent="0.2">
      <c r="B122" s="1571"/>
      <c r="C122" s="1218" t="s">
        <v>41</v>
      </c>
      <c r="D122" s="307"/>
      <c r="E122" s="307"/>
      <c r="F122" s="1"/>
      <c r="G122" s="1"/>
      <c r="H122" s="1"/>
    </row>
    <row r="123" spans="2:8" x14ac:dyDescent="0.2">
      <c r="B123" s="1571" t="s">
        <v>519</v>
      </c>
      <c r="C123" s="1218" t="s">
        <v>40</v>
      </c>
      <c r="D123" s="307"/>
      <c r="E123" s="307"/>
      <c r="F123" s="1181"/>
      <c r="G123" s="1181"/>
      <c r="H123" s="1181"/>
    </row>
    <row r="124" spans="2:8" x14ac:dyDescent="0.2">
      <c r="B124" s="1571"/>
      <c r="C124" s="1218" t="s">
        <v>41</v>
      </c>
      <c r="D124" s="307"/>
      <c r="E124" s="307"/>
      <c r="F124" s="1181"/>
      <c r="G124" s="1181"/>
      <c r="H124" s="1181"/>
    </row>
    <row r="125" spans="2:8" x14ac:dyDescent="0.2">
      <c r="B125" s="1571" t="s">
        <v>520</v>
      </c>
      <c r="C125" s="1218" t="s">
        <v>40</v>
      </c>
      <c r="D125" s="307"/>
      <c r="E125" s="307"/>
      <c r="F125" s="1"/>
      <c r="G125" s="1"/>
      <c r="H125" s="1"/>
    </row>
    <row r="126" spans="2:8" x14ac:dyDescent="0.2">
      <c r="B126" s="1571"/>
      <c r="C126" s="1218" t="s">
        <v>41</v>
      </c>
      <c r="D126" s="307"/>
      <c r="E126" s="307"/>
      <c r="F126" s="1"/>
      <c r="G126" s="1"/>
      <c r="H126" s="1"/>
    </row>
    <row r="127" spans="2:8" x14ac:dyDescent="0.2">
      <c r="B127" s="1219" t="s">
        <v>521</v>
      </c>
      <c r="C127" s="1218" t="s">
        <v>11</v>
      </c>
      <c r="D127" s="546">
        <f>SUM(D119:D126)</f>
        <v>0</v>
      </c>
      <c r="E127" s="546">
        <f>SUM(E119:E126)</f>
        <v>0</v>
      </c>
      <c r="F127" s="1"/>
      <c r="G127" s="1"/>
      <c r="H127" s="1"/>
    </row>
    <row r="128" spans="2:8" x14ac:dyDescent="0.2">
      <c r="F128" s="1"/>
      <c r="G128" s="1"/>
      <c r="H128" s="1"/>
    </row>
    <row r="129" spans="6:8" x14ac:dyDescent="0.2">
      <c r="F129" s="1"/>
      <c r="G129" s="1"/>
      <c r="H129" s="1"/>
    </row>
    <row r="130" spans="6:8" x14ac:dyDescent="0.2">
      <c r="F130" s="1"/>
      <c r="G130" s="1"/>
      <c r="H130" s="1"/>
    </row>
    <row r="131" spans="6:8" x14ac:dyDescent="0.2">
      <c r="F131" s="1"/>
      <c r="G131" s="1"/>
      <c r="H131" s="1"/>
    </row>
    <row r="132" spans="6:8" x14ac:dyDescent="0.2">
      <c r="F132" s="1"/>
      <c r="G132" s="1"/>
      <c r="H132" s="1"/>
    </row>
    <row r="133" spans="6:8" x14ac:dyDescent="0.2">
      <c r="F133" s="1"/>
      <c r="G133" s="1"/>
      <c r="H133" s="1"/>
    </row>
    <row r="134" spans="6:8" x14ac:dyDescent="0.2">
      <c r="F134" s="1"/>
      <c r="G134" s="1"/>
      <c r="H134" s="1"/>
    </row>
  </sheetData>
  <customSheetViews>
    <customSheetView guid="{3F312A0E-DF4A-4A92-9F0F-6B2059264CC1}" showPageBreaks="1" printArea="1" showRuler="0">
      <pane xSplit="4" ySplit="10" topLeftCell="E59" activePane="bottomRight" state="frozen"/>
      <selection pane="bottomRight"/>
      <pageMargins left="0.28000000000000003" right="0.18" top="0.32" bottom="0.66" header="0.23" footer="0.56999999999999995"/>
      <pageSetup paperSize="9" scale="38" orientation="portrait" verticalDpi="300" r:id="rId1"/>
      <headerFooter alignWithMargins="0"/>
    </customSheetView>
  </customSheetViews>
  <mergeCells count="54">
    <mergeCell ref="C114:E114"/>
    <mergeCell ref="B115:B116"/>
    <mergeCell ref="B99:B100"/>
    <mergeCell ref="B105:B106"/>
    <mergeCell ref="B92:B93"/>
    <mergeCell ref="C98:E98"/>
    <mergeCell ref="C109:E109"/>
    <mergeCell ref="B110:B111"/>
    <mergeCell ref="G84:I84"/>
    <mergeCell ref="E84:E85"/>
    <mergeCell ref="G65:H65"/>
    <mergeCell ref="C84:C85"/>
    <mergeCell ref="F84:F85"/>
    <mergeCell ref="D84:D85"/>
    <mergeCell ref="I65:I66"/>
    <mergeCell ref="A1:O1"/>
    <mergeCell ref="A2:O2"/>
    <mergeCell ref="H3:O3"/>
    <mergeCell ref="B3:B5"/>
    <mergeCell ref="A8:A14"/>
    <mergeCell ref="H4:I4"/>
    <mergeCell ref="L4:M4"/>
    <mergeCell ref="N4:O4"/>
    <mergeCell ref="D4:D5"/>
    <mergeCell ref="C3:C5"/>
    <mergeCell ref="J4:K4"/>
    <mergeCell ref="F4:F5"/>
    <mergeCell ref="G4:G5"/>
    <mergeCell ref="E4:E5"/>
    <mergeCell ref="A15:A29"/>
    <mergeCell ref="A36:A37"/>
    <mergeCell ref="A65:A66"/>
    <mergeCell ref="A60:A61"/>
    <mergeCell ref="A30:A34"/>
    <mergeCell ref="A43:A45"/>
    <mergeCell ref="A46:A49"/>
    <mergeCell ref="A50:A59"/>
    <mergeCell ref="B36:B37"/>
    <mergeCell ref="E65:F65"/>
    <mergeCell ref="A62:A63"/>
    <mergeCell ref="B65:B66"/>
    <mergeCell ref="C65:D65"/>
    <mergeCell ref="A38:A42"/>
    <mergeCell ref="B119:B120"/>
    <mergeCell ref="B121:B122"/>
    <mergeCell ref="B123:B124"/>
    <mergeCell ref="B125:B126"/>
    <mergeCell ref="B43:B44"/>
    <mergeCell ref="B86:B87"/>
    <mergeCell ref="B90:B91"/>
    <mergeCell ref="B103:B104"/>
    <mergeCell ref="B88:B89"/>
    <mergeCell ref="B101:B102"/>
    <mergeCell ref="B94:B95"/>
  </mergeCells>
  <phoneticPr fontId="2" type="noConversion"/>
  <pageMargins left="0.28000000000000003" right="0.18" top="0.32" bottom="0.66" header="0.23" footer="0.56999999999999995"/>
  <pageSetup paperSize="9" scale="38" orientation="portrait" verticalDpi="300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tabColor rgb="FF00B050"/>
    <pageSetUpPr fitToPage="1"/>
  </sheetPr>
  <dimension ref="A1:DQ1943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" sqref="C2"/>
    </sheetView>
  </sheetViews>
  <sheetFormatPr defaultRowHeight="18.75" x14ac:dyDescent="0.3"/>
  <cols>
    <col min="1" max="1" width="42.85546875" style="219" customWidth="1"/>
    <col min="2" max="2" width="13" style="197" customWidth="1"/>
    <col min="3" max="3" width="22.85546875" style="550" customWidth="1"/>
    <col min="4" max="49" width="2.7109375" style="197" customWidth="1"/>
    <col min="50" max="50" width="15.42578125" style="221" customWidth="1"/>
    <col min="51" max="82" width="2.7109375" style="197" customWidth="1"/>
    <col min="83" max="83" width="2.7109375" style="382" customWidth="1"/>
    <col min="84" max="96" width="2.7109375" style="197" customWidth="1"/>
    <col min="97" max="97" width="16.85546875" style="221" customWidth="1"/>
    <col min="98" max="104" width="5.7109375" style="36" customWidth="1"/>
    <col min="105" max="105" width="6.85546875" style="197" hidden="1" customWidth="1"/>
    <col min="106" max="117" width="9.140625" style="197"/>
    <col min="118" max="118" width="9.140625" style="197" customWidth="1"/>
    <col min="119" max="16384" width="9.140625" style="197"/>
  </cols>
  <sheetData>
    <row r="1" spans="1:105" ht="19.5" thickBot="1" x14ac:dyDescent="0.35">
      <c r="A1" s="1715" t="s">
        <v>147</v>
      </c>
      <c r="B1" s="1716"/>
      <c r="C1" s="1716"/>
      <c r="D1" s="1716"/>
      <c r="E1" s="1716"/>
      <c r="F1" s="1716"/>
      <c r="G1" s="1716"/>
      <c r="H1" s="1716"/>
      <c r="I1" s="1716"/>
      <c r="J1" s="1716"/>
      <c r="K1" s="1716"/>
      <c r="L1" s="1716"/>
      <c r="M1" s="1716"/>
      <c r="N1" s="1716"/>
      <c r="O1" s="1716"/>
      <c r="P1" s="1716"/>
      <c r="Q1" s="1716"/>
      <c r="R1" s="1716"/>
      <c r="S1" s="1716"/>
      <c r="T1" s="1716"/>
      <c r="U1" s="1716"/>
      <c r="V1" s="1716"/>
      <c r="W1" s="1716"/>
      <c r="X1" s="1716"/>
      <c r="Y1" s="1716"/>
      <c r="Z1" s="1716"/>
      <c r="AA1" s="1716"/>
      <c r="AB1" s="1716"/>
      <c r="AC1" s="1716"/>
      <c r="AD1" s="1716"/>
      <c r="AE1" s="1716"/>
      <c r="AF1" s="1716"/>
      <c r="AG1" s="1716"/>
      <c r="AH1" s="1716"/>
      <c r="AI1" s="1716"/>
      <c r="AJ1" s="1716"/>
      <c r="AK1" s="1716"/>
      <c r="AL1" s="1716"/>
      <c r="AM1" s="1716"/>
      <c r="AN1" s="1716"/>
      <c r="AO1" s="1716"/>
      <c r="AP1" s="1716"/>
      <c r="AQ1" s="1716"/>
      <c r="AR1" s="1716"/>
      <c r="AS1" s="1716"/>
      <c r="AT1" s="1716"/>
      <c r="AU1" s="1716"/>
      <c r="AV1" s="1716"/>
      <c r="AW1" s="1716"/>
      <c r="AX1" s="1716"/>
      <c r="AY1" s="1716"/>
      <c r="AZ1" s="1716"/>
      <c r="BA1" s="1716"/>
      <c r="BB1" s="1716"/>
      <c r="BC1" s="1716"/>
      <c r="BD1" s="1716"/>
      <c r="BE1" s="1716"/>
      <c r="BF1" s="1716"/>
      <c r="BG1" s="1716"/>
      <c r="BH1" s="1716"/>
      <c r="BI1" s="1716"/>
      <c r="BJ1" s="1716"/>
      <c r="BK1" s="1716"/>
      <c r="BL1" s="1716"/>
      <c r="BM1" s="1716"/>
      <c r="BN1" s="1716"/>
      <c r="BO1" s="1716"/>
      <c r="BP1" s="1716"/>
      <c r="BQ1" s="1716"/>
      <c r="BR1" s="1716"/>
      <c r="BS1" s="1716"/>
      <c r="BT1" s="1716"/>
      <c r="BU1" s="1716"/>
      <c r="BV1" s="1716"/>
      <c r="BW1" s="1716"/>
      <c r="BX1" s="1716"/>
      <c r="BY1" s="1716"/>
      <c r="BZ1" s="1716"/>
      <c r="CA1" s="1716"/>
      <c r="CB1" s="1716"/>
      <c r="CC1" s="1716"/>
      <c r="CD1" s="1716"/>
      <c r="CE1" s="1716"/>
      <c r="CF1" s="1716"/>
      <c r="CG1" s="1716"/>
      <c r="CH1" s="1716"/>
      <c r="CI1" s="1716"/>
      <c r="CJ1" s="1716"/>
      <c r="CK1" s="1716"/>
      <c r="CL1" s="1716"/>
      <c r="CM1" s="1716"/>
      <c r="CN1" s="1716"/>
      <c r="CO1" s="1716"/>
      <c r="CP1" s="1716"/>
      <c r="CQ1" s="1716"/>
      <c r="CR1" s="1716"/>
      <c r="CS1" s="1701"/>
      <c r="CT1" s="1701"/>
      <c r="CU1" s="1701"/>
      <c r="CV1" s="1701"/>
      <c r="CW1" s="1701"/>
      <c r="CX1" s="1701"/>
      <c r="CY1" s="1701"/>
      <c r="CZ1" s="1702"/>
    </row>
    <row r="2" spans="1:105" ht="19.5" thickBot="1" x14ac:dyDescent="0.35">
      <c r="A2" s="556"/>
      <c r="B2" s="557"/>
      <c r="C2" s="688">
        <f>'рапорт БелАЗ'!C2</f>
        <v>45898</v>
      </c>
      <c r="D2" s="1678" t="s">
        <v>272</v>
      </c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80"/>
      <c r="T2" s="1675">
        <f>'рапорт БелАЗ'!P2</f>
        <v>0</v>
      </c>
      <c r="U2" s="1676"/>
      <c r="V2" s="1676"/>
      <c r="W2" s="1676"/>
      <c r="X2" s="1676"/>
      <c r="Y2" s="1676"/>
      <c r="Z2" s="1676"/>
      <c r="AA2" s="1676"/>
      <c r="AB2" s="1676"/>
      <c r="AC2" s="1676"/>
      <c r="AD2" s="1677"/>
      <c r="AE2" s="1672" t="s">
        <v>71</v>
      </c>
      <c r="AF2" s="1673"/>
      <c r="AG2" s="1673"/>
      <c r="AH2" s="1673"/>
      <c r="AI2" s="1673"/>
      <c r="AJ2" s="1674"/>
      <c r="AK2" s="1686">
        <f>'рапорт БелАЗ'!AH2</f>
        <v>0</v>
      </c>
      <c r="AL2" s="1687"/>
      <c r="AM2" s="1687"/>
      <c r="AN2" s="1687"/>
      <c r="AO2" s="1687"/>
      <c r="AP2" s="1687"/>
      <c r="AQ2" s="1687"/>
      <c r="AR2" s="1687"/>
      <c r="AS2" s="1687"/>
      <c r="AT2" s="1687"/>
      <c r="AU2" s="1687"/>
      <c r="AV2" s="1687"/>
      <c r="AW2" s="1687"/>
      <c r="AX2" s="1688"/>
      <c r="AY2" s="1678" t="s">
        <v>180</v>
      </c>
      <c r="AZ2" s="1679"/>
      <c r="BA2" s="1679"/>
      <c r="BB2" s="1679"/>
      <c r="BC2" s="1679"/>
      <c r="BD2" s="1679"/>
      <c r="BE2" s="1679"/>
      <c r="BF2" s="1679"/>
      <c r="BG2" s="1679"/>
      <c r="BH2" s="1679"/>
      <c r="BI2" s="1679"/>
      <c r="BJ2" s="1679"/>
      <c r="BK2" s="1679"/>
      <c r="BL2" s="1679"/>
      <c r="BM2" s="1679"/>
      <c r="BN2" s="1679"/>
      <c r="BO2" s="1675">
        <f>'рапорт БелАЗ'!BL2</f>
        <v>0</v>
      </c>
      <c r="BP2" s="1676"/>
      <c r="BQ2" s="1676"/>
      <c r="BR2" s="1676"/>
      <c r="BS2" s="1676"/>
      <c r="BT2" s="1676"/>
      <c r="BU2" s="1676"/>
      <c r="BV2" s="1676"/>
      <c r="BW2" s="1676"/>
      <c r="BX2" s="1676"/>
      <c r="BY2" s="1677"/>
      <c r="BZ2" s="1672" t="s">
        <v>71</v>
      </c>
      <c r="CA2" s="1673"/>
      <c r="CB2" s="1673"/>
      <c r="CC2" s="1673"/>
      <c r="CD2" s="1673"/>
      <c r="CE2" s="1673"/>
      <c r="CF2" s="1674"/>
      <c r="CG2" s="1686">
        <f>'рапорт БелАЗ'!CA2</f>
        <v>0</v>
      </c>
      <c r="CH2" s="1687"/>
      <c r="CI2" s="1687"/>
      <c r="CJ2" s="1687"/>
      <c r="CK2" s="1687"/>
      <c r="CL2" s="1687"/>
      <c r="CM2" s="1687"/>
      <c r="CN2" s="1687"/>
      <c r="CO2" s="1687"/>
      <c r="CP2" s="1687"/>
      <c r="CQ2" s="1687"/>
      <c r="CR2" s="1687"/>
      <c r="CS2" s="1688"/>
      <c r="CT2" s="1690"/>
      <c r="CU2" s="1691"/>
      <c r="CV2" s="1691"/>
      <c r="CW2" s="1691"/>
      <c r="CX2" s="1691"/>
      <c r="CY2" s="1691"/>
      <c r="CZ2" s="1692"/>
    </row>
    <row r="3" spans="1:105" s="561" customFormat="1" ht="40.5" customHeight="1" thickBot="1" x14ac:dyDescent="0.35">
      <c r="A3" s="558" t="s">
        <v>148</v>
      </c>
      <c r="B3" s="1719" t="s">
        <v>149</v>
      </c>
      <c r="C3" s="1720"/>
      <c r="D3" s="1684" t="s">
        <v>302</v>
      </c>
      <c r="E3" s="1682"/>
      <c r="F3" s="1682"/>
      <c r="G3" s="1683"/>
      <c r="H3" s="1681" t="s">
        <v>303</v>
      </c>
      <c r="I3" s="1682"/>
      <c r="J3" s="1682"/>
      <c r="K3" s="1683"/>
      <c r="L3" s="1681" t="s">
        <v>304</v>
      </c>
      <c r="M3" s="1682"/>
      <c r="N3" s="1682"/>
      <c r="O3" s="1683"/>
      <c r="P3" s="1681" t="s">
        <v>305</v>
      </c>
      <c r="Q3" s="1682"/>
      <c r="R3" s="1682"/>
      <c r="S3" s="1683"/>
      <c r="T3" s="1681" t="s">
        <v>150</v>
      </c>
      <c r="U3" s="1682"/>
      <c r="V3" s="1683"/>
      <c r="W3" s="1681" t="s">
        <v>306</v>
      </c>
      <c r="X3" s="1682"/>
      <c r="Y3" s="1682"/>
      <c r="Z3" s="1683"/>
      <c r="AA3" s="1681" t="s">
        <v>307</v>
      </c>
      <c r="AB3" s="1682"/>
      <c r="AC3" s="1682"/>
      <c r="AD3" s="1683"/>
      <c r="AE3" s="1681" t="s">
        <v>308</v>
      </c>
      <c r="AF3" s="1682"/>
      <c r="AG3" s="1682"/>
      <c r="AH3" s="1683"/>
      <c r="AI3" s="1681" t="s">
        <v>309</v>
      </c>
      <c r="AJ3" s="1682"/>
      <c r="AK3" s="1683"/>
      <c r="AL3" s="1681" t="s">
        <v>310</v>
      </c>
      <c r="AM3" s="1682"/>
      <c r="AN3" s="1682"/>
      <c r="AO3" s="1683"/>
      <c r="AP3" s="1681" t="s">
        <v>311</v>
      </c>
      <c r="AQ3" s="1682"/>
      <c r="AR3" s="1682"/>
      <c r="AS3" s="1683"/>
      <c r="AT3" s="1681" t="s">
        <v>312</v>
      </c>
      <c r="AU3" s="1682"/>
      <c r="AV3" s="1682"/>
      <c r="AW3" s="1685"/>
      <c r="AX3" s="559" t="s">
        <v>151</v>
      </c>
      <c r="AY3" s="1684" t="s">
        <v>313</v>
      </c>
      <c r="AZ3" s="1682"/>
      <c r="BA3" s="1682"/>
      <c r="BB3" s="1685"/>
      <c r="BC3" s="1684" t="s">
        <v>314</v>
      </c>
      <c r="BD3" s="1682"/>
      <c r="BE3" s="1682"/>
      <c r="BF3" s="1685"/>
      <c r="BG3" s="1684" t="s">
        <v>316</v>
      </c>
      <c r="BH3" s="1682"/>
      <c r="BI3" s="1682"/>
      <c r="BJ3" s="1685"/>
      <c r="BK3" s="1684" t="s">
        <v>152</v>
      </c>
      <c r="BL3" s="1682"/>
      <c r="BM3" s="1682"/>
      <c r="BN3" s="1685"/>
      <c r="BO3" s="1684" t="s">
        <v>315</v>
      </c>
      <c r="BP3" s="1682"/>
      <c r="BQ3" s="1685"/>
      <c r="BR3" s="1684" t="s">
        <v>317</v>
      </c>
      <c r="BS3" s="1682"/>
      <c r="BT3" s="1682"/>
      <c r="BU3" s="1685"/>
      <c r="BV3" s="1684" t="s">
        <v>318</v>
      </c>
      <c r="BW3" s="1682"/>
      <c r="BX3" s="1682"/>
      <c r="BY3" s="1685"/>
      <c r="BZ3" s="1684" t="s">
        <v>319</v>
      </c>
      <c r="CA3" s="1682"/>
      <c r="CB3" s="1682"/>
      <c r="CC3" s="1685"/>
      <c r="CD3" s="1684" t="s">
        <v>320</v>
      </c>
      <c r="CE3" s="1682"/>
      <c r="CF3" s="1685"/>
      <c r="CG3" s="1684" t="s">
        <v>321</v>
      </c>
      <c r="CH3" s="1682"/>
      <c r="CI3" s="1682"/>
      <c r="CJ3" s="1685"/>
      <c r="CK3" s="1684" t="s">
        <v>322</v>
      </c>
      <c r="CL3" s="1682"/>
      <c r="CM3" s="1682"/>
      <c r="CN3" s="1685"/>
      <c r="CO3" s="1684" t="s">
        <v>323</v>
      </c>
      <c r="CP3" s="1682"/>
      <c r="CQ3" s="1682"/>
      <c r="CR3" s="1685"/>
      <c r="CS3" s="560" t="s">
        <v>151</v>
      </c>
      <c r="CT3" s="1698" t="s">
        <v>153</v>
      </c>
      <c r="CU3" s="1699"/>
      <c r="CV3" s="1699"/>
      <c r="CW3" s="1699"/>
      <c r="CX3" s="1699"/>
      <c r="CY3" s="1699"/>
      <c r="CZ3" s="1700"/>
    </row>
    <row r="4" spans="1:105" ht="18" customHeight="1" thickBot="1" x14ac:dyDescent="0.35">
      <c r="A4" s="922" t="s">
        <v>23</v>
      </c>
      <c r="B4" s="554"/>
      <c r="C4" s="555"/>
      <c r="D4" s="1697"/>
      <c r="E4" s="1689"/>
      <c r="F4" s="1689"/>
      <c r="G4" s="1689"/>
      <c r="H4" s="1689"/>
      <c r="I4" s="1689"/>
      <c r="J4" s="1689"/>
      <c r="K4" s="1689"/>
      <c r="L4" s="1689"/>
      <c r="M4" s="1689"/>
      <c r="N4" s="1689"/>
      <c r="O4" s="1689"/>
      <c r="P4" s="1689"/>
      <c r="Q4" s="1689"/>
      <c r="R4" s="1689"/>
      <c r="S4" s="1689"/>
      <c r="T4" s="1689"/>
      <c r="U4" s="1689"/>
      <c r="V4" s="1689"/>
      <c r="W4" s="1689"/>
      <c r="X4" s="1689"/>
      <c r="Y4" s="1689"/>
      <c r="Z4" s="1689"/>
      <c r="AA4" s="1689"/>
      <c r="AB4" s="1689"/>
      <c r="AC4" s="1689"/>
      <c r="AD4" s="1689"/>
      <c r="AE4" s="1689"/>
      <c r="AF4" s="1689"/>
      <c r="AG4" s="1689"/>
      <c r="AH4" s="1689"/>
      <c r="AI4" s="1689"/>
      <c r="AJ4" s="1689"/>
      <c r="AK4" s="1689"/>
      <c r="AL4" s="1689"/>
      <c r="AM4" s="1689"/>
      <c r="AN4" s="1689"/>
      <c r="AO4" s="1689"/>
      <c r="AP4" s="1689"/>
      <c r="AQ4" s="1689"/>
      <c r="AR4" s="1689"/>
      <c r="AS4" s="1689"/>
      <c r="AT4" s="1689"/>
      <c r="AU4" s="1689"/>
      <c r="AV4" s="1689"/>
      <c r="AW4" s="1696"/>
      <c r="AX4" s="940" t="e">
        <f>AVERAGE(D4:AW4)</f>
        <v>#DIV/0!</v>
      </c>
      <c r="AY4" s="1697"/>
      <c r="AZ4" s="1689"/>
      <c r="BA4" s="1689"/>
      <c r="BB4" s="1689"/>
      <c r="BC4" s="1689"/>
      <c r="BD4" s="1689"/>
      <c r="BE4" s="1689"/>
      <c r="BF4" s="1689"/>
      <c r="BG4" s="1689"/>
      <c r="BH4" s="1689"/>
      <c r="BI4" s="1689"/>
      <c r="BJ4" s="1689"/>
      <c r="BK4" s="1689"/>
      <c r="BL4" s="1689"/>
      <c r="BM4" s="1689"/>
      <c r="BN4" s="1689"/>
      <c r="BO4" s="1689"/>
      <c r="BP4" s="1689"/>
      <c r="BQ4" s="1689"/>
      <c r="BR4" s="1689"/>
      <c r="BS4" s="1689"/>
      <c r="BT4" s="1689"/>
      <c r="BU4" s="1689"/>
      <c r="BV4" s="1689"/>
      <c r="BW4" s="1689"/>
      <c r="BX4" s="1689"/>
      <c r="BY4" s="1689"/>
      <c r="BZ4" s="1689"/>
      <c r="CA4" s="1689"/>
      <c r="CB4" s="1689"/>
      <c r="CC4" s="1689"/>
      <c r="CD4" s="1689"/>
      <c r="CE4" s="1689"/>
      <c r="CF4" s="1689"/>
      <c r="CG4" s="1689"/>
      <c r="CH4" s="1689"/>
      <c r="CI4" s="1689"/>
      <c r="CJ4" s="1689"/>
      <c r="CK4" s="1689"/>
      <c r="CL4" s="1689"/>
      <c r="CM4" s="1689"/>
      <c r="CN4" s="1689"/>
      <c r="CO4" s="1689"/>
      <c r="CP4" s="1689"/>
      <c r="CQ4" s="1689"/>
      <c r="CR4" s="1696"/>
      <c r="CS4" s="940" t="e">
        <f>AVERAGE(AY4:CR4)</f>
        <v>#DIV/0!</v>
      </c>
      <c r="CT4" s="1701"/>
      <c r="CU4" s="1701"/>
      <c r="CV4" s="1701"/>
      <c r="CW4" s="1701"/>
      <c r="CX4" s="1701"/>
      <c r="CY4" s="1701"/>
      <c r="CZ4" s="1702"/>
    </row>
    <row r="5" spans="1:105" ht="15.75" hidden="1" customHeight="1" x14ac:dyDescent="0.3">
      <c r="A5" s="1722" t="s">
        <v>425</v>
      </c>
      <c r="B5" s="591" t="s">
        <v>154</v>
      </c>
      <c r="C5" s="1711"/>
      <c r="D5" s="328"/>
      <c r="E5" s="1112"/>
      <c r="F5" s="1113"/>
      <c r="G5" s="1114"/>
      <c r="H5" s="1115"/>
      <c r="I5" s="328"/>
      <c r="J5" s="328"/>
      <c r="K5" s="1114"/>
      <c r="L5" s="1115"/>
      <c r="M5" s="328"/>
      <c r="N5" s="328"/>
      <c r="O5" s="1114"/>
      <c r="P5" s="1115"/>
      <c r="Q5" s="328"/>
      <c r="R5" s="328"/>
      <c r="S5" s="1114"/>
      <c r="T5" s="1115"/>
      <c r="U5" s="328"/>
      <c r="V5" s="1114"/>
      <c r="W5" s="1115"/>
      <c r="X5" s="328"/>
      <c r="Y5" s="328"/>
      <c r="Z5" s="1114"/>
      <c r="AA5" s="1115"/>
      <c r="AB5" s="328"/>
      <c r="AC5" s="328"/>
      <c r="AD5" s="1114"/>
      <c r="AE5" s="1115"/>
      <c r="AF5" s="328"/>
      <c r="AG5" s="328"/>
      <c r="AH5" s="1114"/>
      <c r="AI5" s="1115"/>
      <c r="AJ5" s="328"/>
      <c r="AK5" s="1114"/>
      <c r="AL5" s="1115"/>
      <c r="AM5" s="328"/>
      <c r="AN5" s="328"/>
      <c r="AO5" s="1114"/>
      <c r="AP5" s="1115"/>
      <c r="AQ5" s="328"/>
      <c r="AR5" s="328"/>
      <c r="AS5" s="1114"/>
      <c r="AT5" s="1115"/>
      <c r="AU5" s="328"/>
      <c r="AV5" s="328"/>
      <c r="AW5" s="1114"/>
      <c r="AX5" s="592">
        <f>ROUND(Экскаваторы!J6*'Сводка внутр.'!$P$1,0)</f>
        <v>0</v>
      </c>
      <c r="AY5" s="1115"/>
      <c r="AZ5" s="1112"/>
      <c r="BA5" s="1113"/>
      <c r="BB5" s="1114"/>
      <c r="BC5" s="1115"/>
      <c r="BD5" s="328"/>
      <c r="BE5" s="328"/>
      <c r="BF5" s="1114"/>
      <c r="BG5" s="1115"/>
      <c r="BH5" s="328"/>
      <c r="BI5" s="328"/>
      <c r="BJ5" s="1114"/>
      <c r="BK5" s="1115"/>
      <c r="BL5" s="328"/>
      <c r="BM5" s="328"/>
      <c r="BN5" s="1114"/>
      <c r="BO5" s="1115"/>
      <c r="BP5" s="328"/>
      <c r="BQ5" s="1114"/>
      <c r="BR5" s="1115"/>
      <c r="BS5" s="328"/>
      <c r="BT5" s="328"/>
      <c r="BU5" s="1114"/>
      <c r="BV5" s="1115"/>
      <c r="BW5" s="328"/>
      <c r="BX5" s="328"/>
      <c r="BY5" s="1114"/>
      <c r="BZ5" s="1115"/>
      <c r="CA5" s="328"/>
      <c r="CB5" s="328"/>
      <c r="CC5" s="1114"/>
      <c r="CD5" s="1115"/>
      <c r="CE5" s="328"/>
      <c r="CF5" s="1114"/>
      <c r="CG5" s="1115"/>
      <c r="CH5" s="328"/>
      <c r="CI5" s="328"/>
      <c r="CJ5" s="1114"/>
      <c r="CK5" s="1115"/>
      <c r="CL5" s="328"/>
      <c r="CM5" s="328"/>
      <c r="CN5" s="1114"/>
      <c r="CO5" s="1115"/>
      <c r="CP5" s="328"/>
      <c r="CQ5" s="328"/>
      <c r="CR5" s="1114"/>
      <c r="CS5" s="848">
        <f>ROUND(Экскаваторы!J21*'Сводка внутр.'!$P$1,0)</f>
        <v>0</v>
      </c>
      <c r="CT5" s="1628">
        <f>Экскаваторы!BE6</f>
        <v>0</v>
      </c>
      <c r="CU5" s="1629"/>
      <c r="CV5" s="1629"/>
      <c r="CW5" s="1629"/>
      <c r="CX5" s="1629"/>
      <c r="CY5" s="1629"/>
      <c r="CZ5" s="1630"/>
      <c r="DA5" s="1766">
        <v>66</v>
      </c>
    </row>
    <row r="6" spans="1:105" ht="3" hidden="1" customHeight="1" x14ac:dyDescent="0.3">
      <c r="A6" s="1723"/>
      <c r="B6" s="1712" t="s">
        <v>155</v>
      </c>
      <c r="C6" s="1670"/>
      <c r="D6" s="354"/>
      <c r="E6" s="797"/>
      <c r="F6" s="797"/>
      <c r="G6" s="798"/>
      <c r="H6" s="799"/>
      <c r="I6" s="354"/>
      <c r="J6" s="354"/>
      <c r="K6" s="798"/>
      <c r="L6" s="799"/>
      <c r="M6" s="354"/>
      <c r="N6" s="354"/>
      <c r="O6" s="798"/>
      <c r="P6" s="799"/>
      <c r="Q6" s="354"/>
      <c r="R6" s="354"/>
      <c r="S6" s="800"/>
      <c r="T6" s="1116"/>
      <c r="U6" s="1117"/>
      <c r="V6" s="798"/>
      <c r="W6" s="799"/>
      <c r="X6" s="354"/>
      <c r="Y6" s="354"/>
      <c r="Z6" s="798"/>
      <c r="AA6" s="799"/>
      <c r="AB6" s="354"/>
      <c r="AC6" s="354"/>
      <c r="AD6" s="798"/>
      <c r="AE6" s="799"/>
      <c r="AF6" s="354"/>
      <c r="AG6" s="354"/>
      <c r="AH6" s="800"/>
      <c r="AI6" s="336"/>
      <c r="AJ6" s="354"/>
      <c r="AK6" s="798"/>
      <c r="AL6" s="799"/>
      <c r="AM6" s="354"/>
      <c r="AN6" s="354"/>
      <c r="AO6" s="798"/>
      <c r="AP6" s="799"/>
      <c r="AQ6" s="354"/>
      <c r="AR6" s="354"/>
      <c r="AS6" s="798"/>
      <c r="AT6" s="799"/>
      <c r="AU6" s="354"/>
      <c r="AV6" s="354"/>
      <c r="AW6" s="797"/>
      <c r="AX6" s="1626">
        <f>ROUND(Экскаваторы!U6,1)</f>
        <v>0</v>
      </c>
      <c r="AY6" s="354"/>
      <c r="AZ6" s="797"/>
      <c r="BA6" s="797"/>
      <c r="BB6" s="798"/>
      <c r="BC6" s="799"/>
      <c r="BD6" s="354"/>
      <c r="BE6" s="354"/>
      <c r="BF6" s="798"/>
      <c r="BG6" s="799"/>
      <c r="BH6" s="354"/>
      <c r="BI6" s="354"/>
      <c r="BJ6" s="798"/>
      <c r="BK6" s="799"/>
      <c r="BL6" s="354"/>
      <c r="BM6" s="354"/>
      <c r="BN6" s="800"/>
      <c r="BO6" s="1116"/>
      <c r="BP6" s="1117"/>
      <c r="BQ6" s="798"/>
      <c r="BR6" s="799"/>
      <c r="BS6" s="354"/>
      <c r="BT6" s="354"/>
      <c r="BU6" s="798"/>
      <c r="BV6" s="799"/>
      <c r="BW6" s="354"/>
      <c r="BX6" s="354"/>
      <c r="BY6" s="798"/>
      <c r="BZ6" s="799"/>
      <c r="CA6" s="354"/>
      <c r="CB6" s="354"/>
      <c r="CC6" s="800"/>
      <c r="CD6" s="336"/>
      <c r="CE6" s="354"/>
      <c r="CF6" s="798"/>
      <c r="CG6" s="799"/>
      <c r="CH6" s="354"/>
      <c r="CI6" s="354"/>
      <c r="CJ6" s="798"/>
      <c r="CK6" s="799"/>
      <c r="CL6" s="354"/>
      <c r="CM6" s="354"/>
      <c r="CN6" s="798"/>
      <c r="CO6" s="799"/>
      <c r="CP6" s="354"/>
      <c r="CQ6" s="354"/>
      <c r="CR6" s="797"/>
      <c r="CS6" s="1626">
        <f>ROUND(Экскаваторы!U21,1)</f>
        <v>0</v>
      </c>
      <c r="CT6" s="1637">
        <f>Экскаваторы!BE21</f>
        <v>0</v>
      </c>
      <c r="CU6" s="1638"/>
      <c r="CV6" s="1638"/>
      <c r="CW6" s="1638"/>
      <c r="CX6" s="1638"/>
      <c r="CY6" s="1638"/>
      <c r="CZ6" s="1639"/>
      <c r="DA6" s="1766"/>
    </row>
    <row r="7" spans="1:105" ht="15.75" hidden="1" customHeight="1" thickBot="1" x14ac:dyDescent="0.35">
      <c r="A7" s="1724"/>
      <c r="B7" s="1713"/>
      <c r="C7" s="919"/>
      <c r="D7" s="344"/>
      <c r="E7" s="1118"/>
      <c r="F7" s="1119"/>
      <c r="G7" s="1120"/>
      <c r="H7" s="1121"/>
      <c r="I7" s="344"/>
      <c r="J7" s="344"/>
      <c r="K7" s="1120"/>
      <c r="L7" s="1121"/>
      <c r="M7" s="344"/>
      <c r="N7" s="344"/>
      <c r="O7" s="1120"/>
      <c r="P7" s="1121"/>
      <c r="Q7" s="344"/>
      <c r="R7" s="344"/>
      <c r="S7" s="1120"/>
      <c r="T7" s="1121"/>
      <c r="U7" s="344"/>
      <c r="V7" s="1120"/>
      <c r="W7" s="1121"/>
      <c r="X7" s="344"/>
      <c r="Y7" s="344"/>
      <c r="Z7" s="1120"/>
      <c r="AA7" s="1121"/>
      <c r="AB7" s="344"/>
      <c r="AC7" s="344"/>
      <c r="AD7" s="1120"/>
      <c r="AE7" s="1121"/>
      <c r="AF7" s="344"/>
      <c r="AG7" s="344"/>
      <c r="AH7" s="1120"/>
      <c r="AI7" s="1121"/>
      <c r="AJ7" s="344"/>
      <c r="AK7" s="1120"/>
      <c r="AL7" s="1121"/>
      <c r="AM7" s="344"/>
      <c r="AN7" s="344"/>
      <c r="AO7" s="1120"/>
      <c r="AP7" s="1121"/>
      <c r="AQ7" s="344"/>
      <c r="AR7" s="344"/>
      <c r="AS7" s="1120"/>
      <c r="AT7" s="1121"/>
      <c r="AU7" s="344"/>
      <c r="AV7" s="344"/>
      <c r="AW7" s="1120"/>
      <c r="AX7" s="1627"/>
      <c r="AY7" s="1121"/>
      <c r="AZ7" s="1118"/>
      <c r="BA7" s="1119"/>
      <c r="BB7" s="1120"/>
      <c r="BC7" s="1116"/>
      <c r="BD7" s="336"/>
      <c r="BE7" s="336"/>
      <c r="BF7" s="1122"/>
      <c r="BG7" s="1116"/>
      <c r="BH7" s="336"/>
      <c r="BI7" s="336"/>
      <c r="BJ7" s="1122"/>
      <c r="BK7" s="1116"/>
      <c r="BL7" s="336"/>
      <c r="BM7" s="336"/>
      <c r="BN7" s="1122"/>
      <c r="BO7" s="1121"/>
      <c r="BP7" s="344"/>
      <c r="BQ7" s="1120"/>
      <c r="BR7" s="1121"/>
      <c r="BS7" s="344"/>
      <c r="BT7" s="344"/>
      <c r="BU7" s="1120"/>
      <c r="BV7" s="1121"/>
      <c r="BW7" s="344"/>
      <c r="BX7" s="344"/>
      <c r="BY7" s="1120"/>
      <c r="BZ7" s="1121"/>
      <c r="CA7" s="344"/>
      <c r="CB7" s="344"/>
      <c r="CC7" s="1120"/>
      <c r="CD7" s="1121"/>
      <c r="CE7" s="344"/>
      <c r="CF7" s="1120"/>
      <c r="CG7" s="1121"/>
      <c r="CH7" s="344"/>
      <c r="CI7" s="344"/>
      <c r="CJ7" s="1120"/>
      <c r="CK7" s="1121"/>
      <c r="CL7" s="344"/>
      <c r="CM7" s="344"/>
      <c r="CN7" s="1120"/>
      <c r="CO7" s="1121"/>
      <c r="CP7" s="344"/>
      <c r="CQ7" s="344"/>
      <c r="CR7" s="1120"/>
      <c r="CS7" s="1627"/>
      <c r="CT7" s="1640"/>
      <c r="CU7" s="1641"/>
      <c r="CV7" s="1641"/>
      <c r="CW7" s="1641"/>
      <c r="CX7" s="1641"/>
      <c r="CY7" s="1641"/>
      <c r="CZ7" s="1642"/>
      <c r="DA7" s="1766"/>
    </row>
    <row r="8" spans="1:105" ht="15.75" hidden="1" customHeight="1" x14ac:dyDescent="0.3">
      <c r="A8" s="1722" t="s">
        <v>426</v>
      </c>
      <c r="B8" s="591" t="s">
        <v>154</v>
      </c>
      <c r="C8" s="1711"/>
      <c r="D8" s="328"/>
      <c r="E8" s="1112"/>
      <c r="F8" s="1113"/>
      <c r="G8" s="1114"/>
      <c r="H8" s="1115"/>
      <c r="I8" s="328"/>
      <c r="J8" s="328"/>
      <c r="K8" s="1114"/>
      <c r="L8" s="1115"/>
      <c r="M8" s="328"/>
      <c r="N8" s="328"/>
      <c r="O8" s="1114"/>
      <c r="P8" s="1115"/>
      <c r="Q8" s="328"/>
      <c r="R8" s="328"/>
      <c r="S8" s="1114"/>
      <c r="T8" s="1115"/>
      <c r="U8" s="328"/>
      <c r="V8" s="1114"/>
      <c r="W8" s="1115"/>
      <c r="X8" s="328"/>
      <c r="Y8" s="328"/>
      <c r="Z8" s="1114"/>
      <c r="AA8" s="1115"/>
      <c r="AB8" s="328"/>
      <c r="AC8" s="328"/>
      <c r="AD8" s="1114"/>
      <c r="AE8" s="1115"/>
      <c r="AF8" s="328"/>
      <c r="AG8" s="328"/>
      <c r="AH8" s="1114"/>
      <c r="AI8" s="1115"/>
      <c r="AJ8" s="328"/>
      <c r="AK8" s="1114"/>
      <c r="AL8" s="1115"/>
      <c r="AM8" s="328"/>
      <c r="AN8" s="328"/>
      <c r="AO8" s="1114"/>
      <c r="AP8" s="1115"/>
      <c r="AQ8" s="328"/>
      <c r="AR8" s="328"/>
      <c r="AS8" s="1114"/>
      <c r="AT8" s="1115"/>
      <c r="AU8" s="328"/>
      <c r="AV8" s="328"/>
      <c r="AW8" s="1114"/>
      <c r="AX8" s="592">
        <f>ROUND(Экскаваторы!J7*'Сводка внутр.'!$P$1,0)</f>
        <v>0</v>
      </c>
      <c r="AY8" s="1115"/>
      <c r="AZ8" s="1112"/>
      <c r="BA8" s="1113"/>
      <c r="BB8" s="1114"/>
      <c r="BC8" s="1115"/>
      <c r="BD8" s="328"/>
      <c r="BE8" s="328"/>
      <c r="BF8" s="1114"/>
      <c r="BG8" s="1115"/>
      <c r="BH8" s="328"/>
      <c r="BI8" s="328"/>
      <c r="BJ8" s="1114"/>
      <c r="BK8" s="1115"/>
      <c r="BL8" s="328"/>
      <c r="BM8" s="328"/>
      <c r="BN8" s="1114"/>
      <c r="BO8" s="1115"/>
      <c r="BP8" s="328"/>
      <c r="BQ8" s="1114"/>
      <c r="BR8" s="1115"/>
      <c r="BS8" s="328"/>
      <c r="BT8" s="328"/>
      <c r="BU8" s="1114"/>
      <c r="BV8" s="1115"/>
      <c r="BW8" s="328"/>
      <c r="BX8" s="328"/>
      <c r="BY8" s="1114"/>
      <c r="BZ8" s="1115"/>
      <c r="CA8" s="328"/>
      <c r="CB8" s="328"/>
      <c r="CC8" s="1114"/>
      <c r="CD8" s="1115"/>
      <c r="CE8" s="328"/>
      <c r="CF8" s="1114"/>
      <c r="CG8" s="1115"/>
      <c r="CH8" s="328"/>
      <c r="CI8" s="328"/>
      <c r="CJ8" s="1114"/>
      <c r="CK8" s="1115"/>
      <c r="CL8" s="328"/>
      <c r="CM8" s="328"/>
      <c r="CN8" s="1114"/>
      <c r="CO8" s="1115"/>
      <c r="CP8" s="328"/>
      <c r="CQ8" s="328"/>
      <c r="CR8" s="1114"/>
      <c r="CS8" s="848">
        <f>ROUND(Экскаваторы!J22*'Сводка внутр.'!$P$1,0)</f>
        <v>0</v>
      </c>
      <c r="CT8" s="1628">
        <f>Экскаваторы!BE7</f>
        <v>0</v>
      </c>
      <c r="CU8" s="1629"/>
      <c r="CV8" s="1629"/>
      <c r="CW8" s="1629"/>
      <c r="CX8" s="1629"/>
      <c r="CY8" s="1629"/>
      <c r="CZ8" s="1630"/>
      <c r="DA8" s="1766">
        <v>89</v>
      </c>
    </row>
    <row r="9" spans="1:105" ht="3" hidden="1" customHeight="1" x14ac:dyDescent="0.3">
      <c r="A9" s="1723"/>
      <c r="B9" s="1712" t="s">
        <v>155</v>
      </c>
      <c r="C9" s="1670"/>
      <c r="D9" s="354"/>
      <c r="E9" s="797"/>
      <c r="F9" s="797"/>
      <c r="G9" s="798"/>
      <c r="H9" s="799"/>
      <c r="I9" s="354"/>
      <c r="J9" s="354"/>
      <c r="K9" s="798"/>
      <c r="L9" s="799"/>
      <c r="M9" s="354"/>
      <c r="N9" s="354"/>
      <c r="O9" s="798"/>
      <c r="P9" s="799"/>
      <c r="Q9" s="354"/>
      <c r="R9" s="354"/>
      <c r="S9" s="800"/>
      <c r="T9" s="1116"/>
      <c r="U9" s="1117"/>
      <c r="V9" s="798"/>
      <c r="W9" s="799"/>
      <c r="X9" s="354"/>
      <c r="Y9" s="354"/>
      <c r="Z9" s="798"/>
      <c r="AA9" s="799"/>
      <c r="AB9" s="354"/>
      <c r="AC9" s="354"/>
      <c r="AD9" s="798"/>
      <c r="AE9" s="799"/>
      <c r="AF9" s="354"/>
      <c r="AG9" s="354"/>
      <c r="AH9" s="800"/>
      <c r="AI9" s="336"/>
      <c r="AJ9" s="354"/>
      <c r="AK9" s="798"/>
      <c r="AL9" s="799"/>
      <c r="AM9" s="354"/>
      <c r="AN9" s="354"/>
      <c r="AO9" s="798"/>
      <c r="AP9" s="799"/>
      <c r="AQ9" s="354"/>
      <c r="AR9" s="354"/>
      <c r="AS9" s="798"/>
      <c r="AT9" s="799"/>
      <c r="AU9" s="354"/>
      <c r="AV9" s="354"/>
      <c r="AW9" s="797"/>
      <c r="AX9" s="1626">
        <f>ROUND(Экскаваторы!U7,1)</f>
        <v>0</v>
      </c>
      <c r="AY9" s="354"/>
      <c r="AZ9" s="797"/>
      <c r="BA9" s="797"/>
      <c r="BB9" s="798"/>
      <c r="BC9" s="799"/>
      <c r="BD9" s="354"/>
      <c r="BE9" s="354"/>
      <c r="BF9" s="798"/>
      <c r="BG9" s="799"/>
      <c r="BH9" s="354"/>
      <c r="BI9" s="354"/>
      <c r="BJ9" s="798"/>
      <c r="BK9" s="799"/>
      <c r="BL9" s="354"/>
      <c r="BM9" s="354"/>
      <c r="BN9" s="800"/>
      <c r="BO9" s="1116"/>
      <c r="BP9" s="1117"/>
      <c r="BQ9" s="798"/>
      <c r="BR9" s="799"/>
      <c r="BS9" s="354"/>
      <c r="BT9" s="354"/>
      <c r="BU9" s="798"/>
      <c r="BV9" s="799"/>
      <c r="BW9" s="354"/>
      <c r="BX9" s="354"/>
      <c r="BY9" s="798"/>
      <c r="BZ9" s="799"/>
      <c r="CA9" s="354"/>
      <c r="CB9" s="354"/>
      <c r="CC9" s="800"/>
      <c r="CD9" s="336"/>
      <c r="CE9" s="354"/>
      <c r="CF9" s="798"/>
      <c r="CG9" s="799"/>
      <c r="CH9" s="354"/>
      <c r="CI9" s="354"/>
      <c r="CJ9" s="798"/>
      <c r="CK9" s="799"/>
      <c r="CL9" s="354"/>
      <c r="CM9" s="354"/>
      <c r="CN9" s="798"/>
      <c r="CO9" s="799"/>
      <c r="CP9" s="354"/>
      <c r="CQ9" s="354"/>
      <c r="CR9" s="797"/>
      <c r="CS9" s="1626">
        <f>ROUND(Экскаваторы!U22,1)</f>
        <v>0</v>
      </c>
      <c r="CT9" s="1637">
        <f>Экскаваторы!BE22</f>
        <v>0</v>
      </c>
      <c r="CU9" s="1638"/>
      <c r="CV9" s="1638"/>
      <c r="CW9" s="1638"/>
      <c r="CX9" s="1638"/>
      <c r="CY9" s="1638"/>
      <c r="CZ9" s="1639"/>
      <c r="DA9" s="1766"/>
    </row>
    <row r="10" spans="1:105" ht="15.75" hidden="1" customHeight="1" thickBot="1" x14ac:dyDescent="0.35">
      <c r="A10" s="1724"/>
      <c r="B10" s="1713"/>
      <c r="C10" s="919"/>
      <c r="D10" s="344"/>
      <c r="E10" s="1118"/>
      <c r="F10" s="1119"/>
      <c r="G10" s="1120"/>
      <c r="H10" s="1121"/>
      <c r="I10" s="344"/>
      <c r="J10" s="344"/>
      <c r="K10" s="1120"/>
      <c r="L10" s="1121"/>
      <c r="M10" s="344"/>
      <c r="N10" s="344"/>
      <c r="O10" s="1120"/>
      <c r="P10" s="1121"/>
      <c r="Q10" s="344"/>
      <c r="R10" s="344"/>
      <c r="S10" s="1120"/>
      <c r="T10" s="1121"/>
      <c r="U10" s="344"/>
      <c r="V10" s="1120"/>
      <c r="W10" s="1121"/>
      <c r="X10" s="344"/>
      <c r="Y10" s="344"/>
      <c r="Z10" s="1120"/>
      <c r="AA10" s="1121"/>
      <c r="AB10" s="344"/>
      <c r="AC10" s="344"/>
      <c r="AD10" s="1120"/>
      <c r="AE10" s="1121"/>
      <c r="AF10" s="344"/>
      <c r="AG10" s="344"/>
      <c r="AH10" s="1120"/>
      <c r="AI10" s="1121"/>
      <c r="AJ10" s="344"/>
      <c r="AK10" s="1120"/>
      <c r="AL10" s="1121"/>
      <c r="AM10" s="344"/>
      <c r="AN10" s="344"/>
      <c r="AO10" s="1120"/>
      <c r="AP10" s="1121"/>
      <c r="AQ10" s="344"/>
      <c r="AR10" s="344"/>
      <c r="AS10" s="1120"/>
      <c r="AT10" s="1121"/>
      <c r="AU10" s="344"/>
      <c r="AV10" s="344"/>
      <c r="AW10" s="1120"/>
      <c r="AX10" s="1627"/>
      <c r="AY10" s="1121"/>
      <c r="AZ10" s="1118"/>
      <c r="BA10" s="1119"/>
      <c r="BB10" s="1120"/>
      <c r="BC10" s="1116"/>
      <c r="BD10" s="336"/>
      <c r="BE10" s="336"/>
      <c r="BF10" s="1122"/>
      <c r="BG10" s="1116"/>
      <c r="BH10" s="336"/>
      <c r="BI10" s="336"/>
      <c r="BJ10" s="1122"/>
      <c r="BK10" s="1116"/>
      <c r="BL10" s="336"/>
      <c r="BM10" s="336"/>
      <c r="BN10" s="1122"/>
      <c r="BO10" s="1121"/>
      <c r="BP10" s="344"/>
      <c r="BQ10" s="1120"/>
      <c r="BR10" s="1121"/>
      <c r="BS10" s="344"/>
      <c r="BT10" s="344"/>
      <c r="BU10" s="1120"/>
      <c r="BV10" s="1121"/>
      <c r="BW10" s="344"/>
      <c r="BX10" s="344"/>
      <c r="BY10" s="1120"/>
      <c r="BZ10" s="1121"/>
      <c r="CA10" s="344"/>
      <c r="CB10" s="344"/>
      <c r="CC10" s="1120"/>
      <c r="CD10" s="1121"/>
      <c r="CE10" s="344"/>
      <c r="CF10" s="1120"/>
      <c r="CG10" s="1121"/>
      <c r="CH10" s="344"/>
      <c r="CI10" s="344"/>
      <c r="CJ10" s="1120"/>
      <c r="CK10" s="1121"/>
      <c r="CL10" s="344"/>
      <c r="CM10" s="344"/>
      <c r="CN10" s="1120"/>
      <c r="CO10" s="1121"/>
      <c r="CP10" s="344"/>
      <c r="CQ10" s="344"/>
      <c r="CR10" s="1120"/>
      <c r="CS10" s="1627"/>
      <c r="CT10" s="1640"/>
      <c r="CU10" s="1641"/>
      <c r="CV10" s="1641"/>
      <c r="CW10" s="1641"/>
      <c r="CX10" s="1641"/>
      <c r="CY10" s="1641"/>
      <c r="CZ10" s="1642"/>
      <c r="DA10" s="1766"/>
    </row>
    <row r="11" spans="1:105" ht="15.75" hidden="1" customHeight="1" x14ac:dyDescent="0.3">
      <c r="A11" s="1708" t="s">
        <v>427</v>
      </c>
      <c r="B11" s="591" t="s">
        <v>154</v>
      </c>
      <c r="C11" s="1711"/>
      <c r="D11" s="325"/>
      <c r="E11" s="322"/>
      <c r="F11" s="323"/>
      <c r="G11" s="324"/>
      <c r="H11" s="321"/>
      <c r="I11" s="325"/>
      <c r="J11" s="325"/>
      <c r="K11" s="324"/>
      <c r="L11" s="321"/>
      <c r="M11" s="325"/>
      <c r="N11" s="325"/>
      <c r="O11" s="324"/>
      <c r="P11" s="321"/>
      <c r="Q11" s="325"/>
      <c r="R11" s="325"/>
      <c r="S11" s="324"/>
      <c r="T11" s="326"/>
      <c r="U11" s="327"/>
      <c r="V11" s="324"/>
      <c r="W11" s="321"/>
      <c r="X11" s="325"/>
      <c r="Y11" s="325"/>
      <c r="Z11" s="324"/>
      <c r="AA11" s="321"/>
      <c r="AB11" s="325"/>
      <c r="AC11" s="325"/>
      <c r="AD11" s="324"/>
      <c r="AE11" s="321"/>
      <c r="AF11" s="325"/>
      <c r="AG11" s="325"/>
      <c r="AH11" s="324"/>
      <c r="AI11" s="326"/>
      <c r="AJ11" s="328"/>
      <c r="AK11" s="324"/>
      <c r="AL11" s="321"/>
      <c r="AM11" s="325"/>
      <c r="AN11" s="325"/>
      <c r="AO11" s="324"/>
      <c r="AP11" s="321"/>
      <c r="AQ11" s="325"/>
      <c r="AR11" s="325"/>
      <c r="AS11" s="324"/>
      <c r="AT11" s="321"/>
      <c r="AU11" s="325"/>
      <c r="AV11" s="325"/>
      <c r="AW11" s="322"/>
      <c r="AX11" s="592">
        <f>ROUND(Экскаваторы!J8*'Сводка внутр.'!$P$1,0)</f>
        <v>0</v>
      </c>
      <c r="AY11" s="321"/>
      <c r="AZ11" s="322"/>
      <c r="BA11" s="323"/>
      <c r="BB11" s="324"/>
      <c r="BC11" s="321"/>
      <c r="BD11" s="325"/>
      <c r="BE11" s="325"/>
      <c r="BF11" s="324"/>
      <c r="BG11" s="321"/>
      <c r="BH11" s="325"/>
      <c r="BI11" s="325"/>
      <c r="BJ11" s="324"/>
      <c r="BK11" s="321"/>
      <c r="BL11" s="325"/>
      <c r="BM11" s="325"/>
      <c r="BN11" s="324"/>
      <c r="BO11" s="326"/>
      <c r="BP11" s="327"/>
      <c r="BQ11" s="324"/>
      <c r="BR11" s="321"/>
      <c r="BS11" s="325"/>
      <c r="BT11" s="325"/>
      <c r="BU11" s="324"/>
      <c r="BV11" s="321"/>
      <c r="BW11" s="325"/>
      <c r="BX11" s="325"/>
      <c r="BY11" s="324"/>
      <c r="BZ11" s="321"/>
      <c r="CA11" s="325"/>
      <c r="CB11" s="325"/>
      <c r="CC11" s="324"/>
      <c r="CD11" s="326"/>
      <c r="CE11" s="593"/>
      <c r="CF11" s="324"/>
      <c r="CG11" s="321"/>
      <c r="CH11" s="325"/>
      <c r="CI11" s="325"/>
      <c r="CJ11" s="324"/>
      <c r="CK11" s="321"/>
      <c r="CL11" s="325"/>
      <c r="CM11" s="325"/>
      <c r="CN11" s="324"/>
      <c r="CO11" s="321"/>
      <c r="CP11" s="325"/>
      <c r="CQ11" s="325"/>
      <c r="CR11" s="324"/>
      <c r="CS11" s="848">
        <f>ROUND(Экскаваторы!J23*'Сводка внутр.'!$P$1,0)</f>
        <v>0</v>
      </c>
      <c r="CT11" s="1703" t="e">
        <f>Экскаваторы!#REF!</f>
        <v>#REF!</v>
      </c>
      <c r="CU11" s="1704"/>
      <c r="CV11" s="1704"/>
      <c r="CW11" s="1704"/>
      <c r="CX11" s="1704"/>
      <c r="CY11" s="1704"/>
      <c r="CZ11" s="1705"/>
      <c r="DA11" s="1766">
        <v>191</v>
      </c>
    </row>
    <row r="12" spans="1:105" ht="3" hidden="1" customHeight="1" x14ac:dyDescent="0.3">
      <c r="A12" s="1709"/>
      <c r="B12" s="1712" t="s">
        <v>155</v>
      </c>
      <c r="C12" s="1670"/>
      <c r="D12" s="345"/>
      <c r="E12" s="346"/>
      <c r="F12" s="347"/>
      <c r="G12" s="348"/>
      <c r="H12" s="349"/>
      <c r="I12" s="350"/>
      <c r="J12" s="350"/>
      <c r="K12" s="348"/>
      <c r="L12" s="349"/>
      <c r="M12" s="350"/>
      <c r="N12" s="350"/>
      <c r="O12" s="348"/>
      <c r="P12" s="349"/>
      <c r="Q12" s="350"/>
      <c r="R12" s="350"/>
      <c r="S12" s="348"/>
      <c r="T12" s="334"/>
      <c r="U12" s="352"/>
      <c r="V12" s="348"/>
      <c r="W12" s="349"/>
      <c r="X12" s="350"/>
      <c r="Y12" s="350"/>
      <c r="Z12" s="348"/>
      <c r="AA12" s="349"/>
      <c r="AB12" s="350"/>
      <c r="AC12" s="350"/>
      <c r="AD12" s="348"/>
      <c r="AE12" s="349"/>
      <c r="AF12" s="350"/>
      <c r="AG12" s="350"/>
      <c r="AH12" s="351"/>
      <c r="AI12" s="335"/>
      <c r="AJ12" s="350"/>
      <c r="AK12" s="348"/>
      <c r="AL12" s="349"/>
      <c r="AM12" s="350"/>
      <c r="AN12" s="350"/>
      <c r="AO12" s="348"/>
      <c r="AP12" s="349"/>
      <c r="AQ12" s="350"/>
      <c r="AR12" s="350"/>
      <c r="AS12" s="348"/>
      <c r="AT12" s="353"/>
      <c r="AU12" s="345"/>
      <c r="AV12" s="345"/>
      <c r="AW12" s="346"/>
      <c r="AX12" s="1626">
        <f>ROUND(Экскаваторы!U8,1)</f>
        <v>0</v>
      </c>
      <c r="AY12" s="345"/>
      <c r="AZ12" s="346"/>
      <c r="BA12" s="347"/>
      <c r="BB12" s="348"/>
      <c r="BC12" s="349"/>
      <c r="BD12" s="350"/>
      <c r="BE12" s="350"/>
      <c r="BF12" s="348"/>
      <c r="BG12" s="349"/>
      <c r="BH12" s="350"/>
      <c r="BI12" s="350"/>
      <c r="BJ12" s="348"/>
      <c r="BK12" s="349"/>
      <c r="BL12" s="350"/>
      <c r="BM12" s="350"/>
      <c r="BN12" s="351"/>
      <c r="BO12" s="334"/>
      <c r="BP12" s="352"/>
      <c r="BQ12" s="348"/>
      <c r="BR12" s="349"/>
      <c r="BS12" s="350"/>
      <c r="BT12" s="350"/>
      <c r="BU12" s="348"/>
      <c r="BV12" s="349"/>
      <c r="BW12" s="350"/>
      <c r="BX12" s="350"/>
      <c r="BY12" s="348"/>
      <c r="BZ12" s="349"/>
      <c r="CA12" s="350"/>
      <c r="CB12" s="350"/>
      <c r="CC12" s="351"/>
      <c r="CD12" s="335"/>
      <c r="CE12" s="350"/>
      <c r="CF12" s="348"/>
      <c r="CG12" s="349"/>
      <c r="CH12" s="350"/>
      <c r="CI12" s="350"/>
      <c r="CJ12" s="348"/>
      <c r="CK12" s="349"/>
      <c r="CL12" s="350"/>
      <c r="CM12" s="350"/>
      <c r="CN12" s="348"/>
      <c r="CO12" s="353"/>
      <c r="CP12" s="345"/>
      <c r="CQ12" s="345"/>
      <c r="CR12" s="346"/>
      <c r="CS12" s="1626">
        <f>ROUND(Экскаваторы!U23,1)</f>
        <v>0</v>
      </c>
      <c r="CT12" s="1637" t="e">
        <f>Экскаваторы!#REF!</f>
        <v>#REF!</v>
      </c>
      <c r="CU12" s="1638"/>
      <c r="CV12" s="1638"/>
      <c r="CW12" s="1638"/>
      <c r="CX12" s="1638"/>
      <c r="CY12" s="1638"/>
      <c r="CZ12" s="1639"/>
      <c r="DA12" s="1766"/>
    </row>
    <row r="13" spans="1:105" ht="15.75" hidden="1" customHeight="1" thickBot="1" x14ac:dyDescent="0.35">
      <c r="A13" s="1710"/>
      <c r="B13" s="1713"/>
      <c r="C13" s="596"/>
      <c r="D13" s="341"/>
      <c r="E13" s="338"/>
      <c r="F13" s="339"/>
      <c r="G13" s="340"/>
      <c r="H13" s="337"/>
      <c r="I13" s="341"/>
      <c r="J13" s="341"/>
      <c r="K13" s="340"/>
      <c r="L13" s="337"/>
      <c r="M13" s="341"/>
      <c r="N13" s="341"/>
      <c r="O13" s="340"/>
      <c r="P13" s="337"/>
      <c r="Q13" s="341"/>
      <c r="R13" s="341"/>
      <c r="S13" s="340"/>
      <c r="T13" s="342"/>
      <c r="U13" s="343"/>
      <c r="V13" s="340"/>
      <c r="W13" s="337"/>
      <c r="X13" s="341"/>
      <c r="Y13" s="341"/>
      <c r="Z13" s="340"/>
      <c r="AA13" s="337"/>
      <c r="AB13" s="341"/>
      <c r="AC13" s="341"/>
      <c r="AD13" s="340"/>
      <c r="AE13" s="337"/>
      <c r="AF13" s="341"/>
      <c r="AG13" s="341"/>
      <c r="AH13" s="340"/>
      <c r="AI13" s="342"/>
      <c r="AJ13" s="344"/>
      <c r="AK13" s="340"/>
      <c r="AL13" s="337"/>
      <c r="AM13" s="341"/>
      <c r="AN13" s="341"/>
      <c r="AO13" s="340"/>
      <c r="AP13" s="337"/>
      <c r="AQ13" s="341"/>
      <c r="AR13" s="341"/>
      <c r="AS13" s="340"/>
      <c r="AT13" s="337"/>
      <c r="AU13" s="341"/>
      <c r="AV13" s="341"/>
      <c r="AW13" s="338"/>
      <c r="AX13" s="1627"/>
      <c r="AY13" s="337"/>
      <c r="AZ13" s="338"/>
      <c r="BA13" s="339"/>
      <c r="BB13" s="340"/>
      <c r="BC13" s="337"/>
      <c r="BD13" s="341"/>
      <c r="BE13" s="341"/>
      <c r="BF13" s="340"/>
      <c r="BG13" s="337"/>
      <c r="BH13" s="341"/>
      <c r="BI13" s="341"/>
      <c r="BJ13" s="340"/>
      <c r="BK13" s="337"/>
      <c r="BL13" s="341"/>
      <c r="BM13" s="341"/>
      <c r="BN13" s="340"/>
      <c r="BO13" s="342"/>
      <c r="BP13" s="343"/>
      <c r="BQ13" s="340"/>
      <c r="BR13" s="337"/>
      <c r="BS13" s="341"/>
      <c r="BT13" s="341"/>
      <c r="BU13" s="340"/>
      <c r="BV13" s="337"/>
      <c r="BW13" s="341"/>
      <c r="BX13" s="341"/>
      <c r="BY13" s="340"/>
      <c r="BZ13" s="337"/>
      <c r="CA13" s="341"/>
      <c r="CB13" s="341"/>
      <c r="CC13" s="340"/>
      <c r="CD13" s="342"/>
      <c r="CE13" s="594"/>
      <c r="CF13" s="340"/>
      <c r="CG13" s="337"/>
      <c r="CH13" s="341"/>
      <c r="CI13" s="341"/>
      <c r="CJ13" s="340"/>
      <c r="CK13" s="337"/>
      <c r="CL13" s="341"/>
      <c r="CM13" s="341"/>
      <c r="CN13" s="340"/>
      <c r="CO13" s="337"/>
      <c r="CP13" s="341"/>
      <c r="CQ13" s="341"/>
      <c r="CR13" s="340"/>
      <c r="CS13" s="1627"/>
      <c r="CT13" s="1640"/>
      <c r="CU13" s="1641"/>
      <c r="CV13" s="1641"/>
      <c r="CW13" s="1641"/>
      <c r="CX13" s="1641"/>
      <c r="CY13" s="1641"/>
      <c r="CZ13" s="1642"/>
      <c r="DA13" s="1766"/>
    </row>
    <row r="14" spans="1:105" ht="15.75" hidden="1" customHeight="1" x14ac:dyDescent="0.3">
      <c r="A14" s="1708" t="s">
        <v>423</v>
      </c>
      <c r="B14" s="591" t="s">
        <v>154</v>
      </c>
      <c r="C14" s="1711"/>
      <c r="D14" s="321"/>
      <c r="E14" s="322"/>
      <c r="F14" s="323"/>
      <c r="G14" s="324"/>
      <c r="H14" s="321"/>
      <c r="I14" s="325"/>
      <c r="J14" s="325"/>
      <c r="K14" s="324"/>
      <c r="L14" s="321"/>
      <c r="M14" s="325"/>
      <c r="N14" s="325"/>
      <c r="O14" s="324"/>
      <c r="P14" s="321"/>
      <c r="Q14" s="322"/>
      <c r="R14" s="323"/>
      <c r="S14" s="324"/>
      <c r="T14" s="326"/>
      <c r="U14" s="327"/>
      <c r="V14" s="324"/>
      <c r="W14" s="321"/>
      <c r="X14" s="325"/>
      <c r="Y14" s="325"/>
      <c r="Z14" s="324"/>
      <c r="AA14" s="321"/>
      <c r="AB14" s="325"/>
      <c r="AC14" s="325"/>
      <c r="AD14" s="324"/>
      <c r="AE14" s="321"/>
      <c r="AF14" s="325"/>
      <c r="AG14" s="325"/>
      <c r="AH14" s="322"/>
      <c r="AI14" s="326"/>
      <c r="AJ14" s="328"/>
      <c r="AK14" s="324"/>
      <c r="AL14" s="321"/>
      <c r="AM14" s="325"/>
      <c r="AN14" s="325"/>
      <c r="AO14" s="324"/>
      <c r="AP14" s="321"/>
      <c r="AQ14" s="325"/>
      <c r="AR14" s="325"/>
      <c r="AS14" s="324"/>
      <c r="AT14" s="321"/>
      <c r="AU14" s="325"/>
      <c r="AV14" s="325"/>
      <c r="AW14" s="324"/>
      <c r="AX14" s="916">
        <f>ROUND(Экскаваторы!J9*'Сводка внутр.'!$P$1,0)</f>
        <v>0</v>
      </c>
      <c r="AY14" s="321"/>
      <c r="AZ14" s="322"/>
      <c r="BA14" s="323"/>
      <c r="BB14" s="324"/>
      <c r="BC14" s="321"/>
      <c r="BD14" s="325"/>
      <c r="BE14" s="325"/>
      <c r="BF14" s="324"/>
      <c r="BG14" s="321"/>
      <c r="BH14" s="325"/>
      <c r="BI14" s="325"/>
      <c r="BJ14" s="324"/>
      <c r="BK14" s="321"/>
      <c r="BL14" s="322"/>
      <c r="BM14" s="323"/>
      <c r="BN14" s="324"/>
      <c r="BO14" s="326"/>
      <c r="BP14" s="327"/>
      <c r="BQ14" s="324"/>
      <c r="BR14" s="321"/>
      <c r="BS14" s="325"/>
      <c r="BT14" s="325"/>
      <c r="BU14" s="324"/>
      <c r="BV14" s="321"/>
      <c r="BW14" s="325"/>
      <c r="BX14" s="325"/>
      <c r="BY14" s="324"/>
      <c r="BZ14" s="321"/>
      <c r="CA14" s="325"/>
      <c r="CB14" s="325"/>
      <c r="CC14" s="322"/>
      <c r="CD14" s="326"/>
      <c r="CE14" s="328"/>
      <c r="CF14" s="324"/>
      <c r="CG14" s="321"/>
      <c r="CH14" s="325"/>
      <c r="CI14" s="325"/>
      <c r="CJ14" s="324"/>
      <c r="CK14" s="321"/>
      <c r="CL14" s="325"/>
      <c r="CM14" s="325"/>
      <c r="CN14" s="324"/>
      <c r="CO14" s="321"/>
      <c r="CP14" s="325"/>
      <c r="CQ14" s="325"/>
      <c r="CR14" s="324"/>
      <c r="CS14" s="848">
        <f>ROUND(Экскаваторы!J24*'Сводка внутр.'!$P$1,0)</f>
        <v>0</v>
      </c>
      <c r="CT14" s="1628">
        <f>Экскаваторы!BE9</f>
        <v>0</v>
      </c>
      <c r="CU14" s="1629"/>
      <c r="CV14" s="1629"/>
      <c r="CW14" s="1629"/>
      <c r="CX14" s="1629"/>
      <c r="CY14" s="1629"/>
      <c r="CZ14" s="1630"/>
      <c r="DA14" s="1766">
        <v>150</v>
      </c>
    </row>
    <row r="15" spans="1:105" ht="3" hidden="1" customHeight="1" x14ac:dyDescent="0.3">
      <c r="A15" s="1709"/>
      <c r="B15" s="1712" t="s">
        <v>155</v>
      </c>
      <c r="C15" s="1670"/>
      <c r="D15" s="345"/>
      <c r="E15" s="346"/>
      <c r="F15" s="347"/>
      <c r="G15" s="348"/>
      <c r="H15" s="349"/>
      <c r="I15" s="350"/>
      <c r="J15" s="350"/>
      <c r="K15" s="348"/>
      <c r="L15" s="349"/>
      <c r="M15" s="350"/>
      <c r="N15" s="350"/>
      <c r="O15" s="348"/>
      <c r="P15" s="349"/>
      <c r="Q15" s="350"/>
      <c r="R15" s="350"/>
      <c r="S15" s="348"/>
      <c r="T15" s="334"/>
      <c r="U15" s="352"/>
      <c r="V15" s="348"/>
      <c r="W15" s="349"/>
      <c r="X15" s="350"/>
      <c r="Y15" s="350"/>
      <c r="Z15" s="348"/>
      <c r="AA15" s="349"/>
      <c r="AB15" s="350"/>
      <c r="AC15" s="350"/>
      <c r="AD15" s="348"/>
      <c r="AE15" s="349"/>
      <c r="AF15" s="350"/>
      <c r="AG15" s="350"/>
      <c r="AH15" s="351"/>
      <c r="AI15" s="335"/>
      <c r="AJ15" s="350"/>
      <c r="AK15" s="348"/>
      <c r="AL15" s="349"/>
      <c r="AM15" s="350"/>
      <c r="AN15" s="350"/>
      <c r="AO15" s="348"/>
      <c r="AP15" s="349"/>
      <c r="AQ15" s="350"/>
      <c r="AR15" s="350"/>
      <c r="AS15" s="348"/>
      <c r="AT15" s="353"/>
      <c r="AU15" s="345"/>
      <c r="AV15" s="345"/>
      <c r="AW15" s="346"/>
      <c r="AX15" s="1626">
        <f>ROUND(Экскаваторы!U9,1)</f>
        <v>0</v>
      </c>
      <c r="AY15" s="345"/>
      <c r="AZ15" s="346"/>
      <c r="BA15" s="347"/>
      <c r="BB15" s="348"/>
      <c r="BC15" s="349"/>
      <c r="BD15" s="350"/>
      <c r="BE15" s="350"/>
      <c r="BF15" s="348"/>
      <c r="BG15" s="349"/>
      <c r="BH15" s="350"/>
      <c r="BI15" s="350"/>
      <c r="BJ15" s="348"/>
      <c r="BK15" s="349"/>
      <c r="BL15" s="350"/>
      <c r="BM15" s="350"/>
      <c r="BN15" s="348"/>
      <c r="BO15" s="334"/>
      <c r="BP15" s="352"/>
      <c r="BQ15" s="348"/>
      <c r="BR15" s="349"/>
      <c r="BS15" s="350"/>
      <c r="BT15" s="350"/>
      <c r="BU15" s="348"/>
      <c r="BV15" s="349"/>
      <c r="BW15" s="350"/>
      <c r="BX15" s="350"/>
      <c r="BY15" s="348"/>
      <c r="BZ15" s="349"/>
      <c r="CA15" s="350"/>
      <c r="CB15" s="350"/>
      <c r="CC15" s="351"/>
      <c r="CD15" s="335"/>
      <c r="CE15" s="350"/>
      <c r="CF15" s="348"/>
      <c r="CG15" s="349"/>
      <c r="CH15" s="350"/>
      <c r="CI15" s="350"/>
      <c r="CJ15" s="348"/>
      <c r="CK15" s="349"/>
      <c r="CL15" s="350"/>
      <c r="CM15" s="350"/>
      <c r="CN15" s="348"/>
      <c r="CO15" s="353"/>
      <c r="CP15" s="345"/>
      <c r="CQ15" s="345"/>
      <c r="CR15" s="346"/>
      <c r="CS15" s="1626">
        <f>ROUND(Экскаваторы!U24,1)</f>
        <v>0</v>
      </c>
      <c r="CT15" s="1637">
        <f>Экскаваторы!BE24</f>
        <v>0</v>
      </c>
      <c r="CU15" s="1638"/>
      <c r="CV15" s="1638"/>
      <c r="CW15" s="1638"/>
      <c r="CX15" s="1638"/>
      <c r="CY15" s="1638"/>
      <c r="CZ15" s="1639"/>
      <c r="DA15" s="1766"/>
    </row>
    <row r="16" spans="1:105" ht="15.75" hidden="1" customHeight="1" thickBot="1" x14ac:dyDescent="0.35">
      <c r="A16" s="1710"/>
      <c r="B16" s="1713"/>
      <c r="C16" s="596"/>
      <c r="D16" s="337"/>
      <c r="E16" s="338"/>
      <c r="F16" s="339"/>
      <c r="G16" s="340"/>
      <c r="H16" s="337"/>
      <c r="I16" s="341"/>
      <c r="J16" s="341"/>
      <c r="K16" s="340"/>
      <c r="L16" s="337"/>
      <c r="M16" s="341"/>
      <c r="N16" s="341"/>
      <c r="O16" s="340"/>
      <c r="P16" s="337"/>
      <c r="Q16" s="341"/>
      <c r="R16" s="341"/>
      <c r="S16" s="340"/>
      <c r="T16" s="342"/>
      <c r="U16" s="343"/>
      <c r="V16" s="340"/>
      <c r="W16" s="337"/>
      <c r="X16" s="341"/>
      <c r="Y16" s="341"/>
      <c r="Z16" s="340"/>
      <c r="AA16" s="337"/>
      <c r="AB16" s="341"/>
      <c r="AC16" s="341"/>
      <c r="AD16" s="340"/>
      <c r="AE16" s="337"/>
      <c r="AF16" s="341"/>
      <c r="AG16" s="341"/>
      <c r="AH16" s="338"/>
      <c r="AI16" s="342"/>
      <c r="AJ16" s="344"/>
      <c r="AK16" s="340"/>
      <c r="AL16" s="337"/>
      <c r="AM16" s="341"/>
      <c r="AN16" s="341"/>
      <c r="AO16" s="340"/>
      <c r="AP16" s="337"/>
      <c r="AQ16" s="341"/>
      <c r="AR16" s="341"/>
      <c r="AS16" s="340"/>
      <c r="AT16" s="337"/>
      <c r="AU16" s="341"/>
      <c r="AV16" s="341"/>
      <c r="AW16" s="340"/>
      <c r="AX16" s="1627"/>
      <c r="AY16" s="337"/>
      <c r="AZ16" s="338"/>
      <c r="BA16" s="339"/>
      <c r="BB16" s="340"/>
      <c r="BC16" s="337"/>
      <c r="BD16" s="341"/>
      <c r="BE16" s="341"/>
      <c r="BF16" s="340"/>
      <c r="BG16" s="337"/>
      <c r="BH16" s="341"/>
      <c r="BI16" s="341"/>
      <c r="BJ16" s="340"/>
      <c r="BK16" s="337"/>
      <c r="BL16" s="341"/>
      <c r="BM16" s="341"/>
      <c r="BN16" s="340"/>
      <c r="BO16" s="342"/>
      <c r="BP16" s="343"/>
      <c r="BQ16" s="340"/>
      <c r="BR16" s="337"/>
      <c r="BS16" s="341"/>
      <c r="BT16" s="341"/>
      <c r="BU16" s="340"/>
      <c r="BV16" s="337"/>
      <c r="BW16" s="341"/>
      <c r="BX16" s="341"/>
      <c r="BY16" s="340"/>
      <c r="BZ16" s="337"/>
      <c r="CA16" s="341"/>
      <c r="CB16" s="341"/>
      <c r="CC16" s="338"/>
      <c r="CD16" s="342"/>
      <c r="CE16" s="344"/>
      <c r="CF16" s="340"/>
      <c r="CG16" s="337"/>
      <c r="CH16" s="341"/>
      <c r="CI16" s="341"/>
      <c r="CJ16" s="340"/>
      <c r="CK16" s="337"/>
      <c r="CL16" s="341"/>
      <c r="CM16" s="341"/>
      <c r="CN16" s="340"/>
      <c r="CO16" s="337"/>
      <c r="CP16" s="341"/>
      <c r="CQ16" s="341"/>
      <c r="CR16" s="340"/>
      <c r="CS16" s="1627"/>
      <c r="CT16" s="1640"/>
      <c r="CU16" s="1641"/>
      <c r="CV16" s="1641"/>
      <c r="CW16" s="1641"/>
      <c r="CX16" s="1641"/>
      <c r="CY16" s="1641"/>
      <c r="CZ16" s="1642"/>
      <c r="DA16" s="1766"/>
    </row>
    <row r="17" spans="1:105" ht="15.75" hidden="1" customHeight="1" x14ac:dyDescent="0.3">
      <c r="A17" s="1708" t="s">
        <v>424</v>
      </c>
      <c r="B17" s="591" t="s">
        <v>154</v>
      </c>
      <c r="C17" s="1669"/>
      <c r="D17" s="407"/>
      <c r="E17" s="891"/>
      <c r="F17" s="930"/>
      <c r="G17" s="931"/>
      <c r="H17" s="407"/>
      <c r="I17" s="408"/>
      <c r="J17" s="408"/>
      <c r="K17" s="931"/>
      <c r="L17" s="407"/>
      <c r="M17" s="408"/>
      <c r="N17" s="408"/>
      <c r="O17" s="931"/>
      <c r="P17" s="407"/>
      <c r="Q17" s="891"/>
      <c r="R17" s="930"/>
      <c r="S17" s="931"/>
      <c r="T17" s="932"/>
      <c r="U17" s="933"/>
      <c r="V17" s="931"/>
      <c r="W17" s="407"/>
      <c r="X17" s="408"/>
      <c r="Y17" s="408"/>
      <c r="Z17" s="931"/>
      <c r="AA17" s="407"/>
      <c r="AB17" s="408"/>
      <c r="AC17" s="408"/>
      <c r="AD17" s="931"/>
      <c r="AE17" s="407"/>
      <c r="AF17" s="408"/>
      <c r="AG17" s="408"/>
      <c r="AH17" s="891"/>
      <c r="AI17" s="932"/>
      <c r="AJ17" s="408"/>
      <c r="AK17" s="931"/>
      <c r="AL17" s="407"/>
      <c r="AM17" s="408"/>
      <c r="AN17" s="408"/>
      <c r="AO17" s="931"/>
      <c r="AP17" s="407"/>
      <c r="AQ17" s="408"/>
      <c r="AR17" s="408"/>
      <c r="AS17" s="931"/>
      <c r="AT17" s="407"/>
      <c r="AU17" s="408"/>
      <c r="AV17" s="408"/>
      <c r="AW17" s="931"/>
      <c r="AX17" s="914" t="e">
        <f>ROUND(Экскаваторы!#REF!,0)</f>
        <v>#REF!</v>
      </c>
      <c r="AY17" s="407"/>
      <c r="AZ17" s="891"/>
      <c r="BA17" s="930"/>
      <c r="BB17" s="931"/>
      <c r="BC17" s="407"/>
      <c r="BD17" s="408"/>
      <c r="BE17" s="408"/>
      <c r="BF17" s="931"/>
      <c r="BG17" s="407"/>
      <c r="BH17" s="408"/>
      <c r="BI17" s="408"/>
      <c r="BJ17" s="931"/>
      <c r="BK17" s="407"/>
      <c r="BL17" s="891"/>
      <c r="BM17" s="930"/>
      <c r="BN17" s="931"/>
      <c r="BO17" s="932"/>
      <c r="BP17" s="933"/>
      <c r="BQ17" s="931"/>
      <c r="BR17" s="407"/>
      <c r="BS17" s="408"/>
      <c r="BT17" s="408"/>
      <c r="BU17" s="931"/>
      <c r="BV17" s="407"/>
      <c r="BW17" s="408"/>
      <c r="BX17" s="408"/>
      <c r="BY17" s="931"/>
      <c r="BZ17" s="407"/>
      <c r="CA17" s="408"/>
      <c r="CB17" s="408"/>
      <c r="CC17" s="891"/>
      <c r="CD17" s="932"/>
      <c r="CE17" s="408"/>
      <c r="CF17" s="931"/>
      <c r="CG17" s="407"/>
      <c r="CH17" s="408"/>
      <c r="CI17" s="408"/>
      <c r="CJ17" s="931"/>
      <c r="CK17" s="407"/>
      <c r="CL17" s="408"/>
      <c r="CM17" s="408"/>
      <c r="CN17" s="931"/>
      <c r="CO17" s="407"/>
      <c r="CP17" s="408"/>
      <c r="CQ17" s="408"/>
      <c r="CR17" s="931"/>
      <c r="CS17" s="592" t="e">
        <f>ROUND(Экскаваторы!#REF!,0)</f>
        <v>#REF!</v>
      </c>
      <c r="CT17" s="1628" t="e">
        <f>Экскаваторы!#REF!</f>
        <v>#REF!</v>
      </c>
      <c r="CU17" s="1629"/>
      <c r="CV17" s="1629"/>
      <c r="CW17" s="1629"/>
      <c r="CX17" s="1629"/>
      <c r="CY17" s="1629"/>
      <c r="CZ17" s="1630"/>
      <c r="DA17" s="1766" t="s">
        <v>330</v>
      </c>
    </row>
    <row r="18" spans="1:105" ht="3" hidden="1" customHeight="1" x14ac:dyDescent="0.3">
      <c r="A18" s="1709"/>
      <c r="B18" s="1712" t="s">
        <v>155</v>
      </c>
      <c r="C18" s="1670"/>
      <c r="D18" s="375"/>
      <c r="E18" s="376"/>
      <c r="F18" s="376"/>
      <c r="G18" s="377"/>
      <c r="H18" s="378"/>
      <c r="I18" s="375"/>
      <c r="J18" s="375"/>
      <c r="K18" s="377"/>
      <c r="L18" s="378"/>
      <c r="M18" s="375"/>
      <c r="N18" s="375"/>
      <c r="O18" s="377"/>
      <c r="P18" s="378"/>
      <c r="Q18" s="375"/>
      <c r="R18" s="375"/>
      <c r="S18" s="377"/>
      <c r="T18" s="562"/>
      <c r="U18" s="563"/>
      <c r="V18" s="377"/>
      <c r="W18" s="378"/>
      <c r="X18" s="375"/>
      <c r="Y18" s="375"/>
      <c r="Z18" s="377"/>
      <c r="AA18" s="378"/>
      <c r="AB18" s="375"/>
      <c r="AC18" s="375"/>
      <c r="AD18" s="377"/>
      <c r="AE18" s="378"/>
      <c r="AF18" s="375"/>
      <c r="AG18" s="375"/>
      <c r="AH18" s="379"/>
      <c r="AI18" s="564"/>
      <c r="AJ18" s="375"/>
      <c r="AK18" s="377"/>
      <c r="AL18" s="378"/>
      <c r="AM18" s="375"/>
      <c r="AN18" s="375"/>
      <c r="AO18" s="377"/>
      <c r="AP18" s="378"/>
      <c r="AQ18" s="375"/>
      <c r="AR18" s="375"/>
      <c r="AS18" s="377"/>
      <c r="AT18" s="378"/>
      <c r="AU18" s="375"/>
      <c r="AV18" s="375"/>
      <c r="AW18" s="376"/>
      <c r="AX18" s="1626" t="e">
        <f>ROUND(Экскаваторы!#REF!,1)</f>
        <v>#REF!</v>
      </c>
      <c r="AY18" s="375"/>
      <c r="AZ18" s="376"/>
      <c r="BA18" s="376"/>
      <c r="BB18" s="377"/>
      <c r="BC18" s="378"/>
      <c r="BD18" s="375"/>
      <c r="BE18" s="375"/>
      <c r="BF18" s="377"/>
      <c r="BG18" s="378"/>
      <c r="BH18" s="375"/>
      <c r="BI18" s="375"/>
      <c r="BJ18" s="377"/>
      <c r="BK18" s="378"/>
      <c r="BL18" s="375"/>
      <c r="BM18" s="375"/>
      <c r="BN18" s="377"/>
      <c r="BO18" s="562"/>
      <c r="BP18" s="563"/>
      <c r="BQ18" s="377"/>
      <c r="BR18" s="378"/>
      <c r="BS18" s="375"/>
      <c r="BT18" s="375"/>
      <c r="BU18" s="377"/>
      <c r="BV18" s="378"/>
      <c r="BW18" s="375"/>
      <c r="BX18" s="375"/>
      <c r="BY18" s="377"/>
      <c r="BZ18" s="378"/>
      <c r="CA18" s="375"/>
      <c r="CB18" s="375"/>
      <c r="CC18" s="379"/>
      <c r="CD18" s="564"/>
      <c r="CE18" s="375"/>
      <c r="CF18" s="377"/>
      <c r="CG18" s="378"/>
      <c r="CH18" s="375"/>
      <c r="CI18" s="375"/>
      <c r="CJ18" s="377"/>
      <c r="CK18" s="378"/>
      <c r="CL18" s="375"/>
      <c r="CM18" s="375"/>
      <c r="CN18" s="377"/>
      <c r="CO18" s="378"/>
      <c r="CP18" s="375"/>
      <c r="CQ18" s="375"/>
      <c r="CR18" s="376"/>
      <c r="CS18" s="1626" t="e">
        <f>ROUND(Экскаваторы!#REF!,1)</f>
        <v>#REF!</v>
      </c>
      <c r="CT18" s="1637" t="e">
        <f>Экскаваторы!#REF!</f>
        <v>#REF!</v>
      </c>
      <c r="CU18" s="1638"/>
      <c r="CV18" s="1638"/>
      <c r="CW18" s="1638"/>
      <c r="CX18" s="1638"/>
      <c r="CY18" s="1638"/>
      <c r="CZ18" s="1639"/>
      <c r="DA18" s="1766"/>
    </row>
    <row r="19" spans="1:105" ht="15.75" hidden="1" customHeight="1" thickBot="1" x14ac:dyDescent="0.35">
      <c r="A19" s="1710"/>
      <c r="B19" s="1713"/>
      <c r="C19" s="596"/>
      <c r="D19" s="337"/>
      <c r="E19" s="338"/>
      <c r="F19" s="339"/>
      <c r="G19" s="340"/>
      <c r="H19" s="337"/>
      <c r="I19" s="341"/>
      <c r="J19" s="341"/>
      <c r="K19" s="340"/>
      <c r="L19" s="337"/>
      <c r="M19" s="341"/>
      <c r="N19" s="341"/>
      <c r="O19" s="340"/>
      <c r="P19" s="337"/>
      <c r="Q19" s="341"/>
      <c r="R19" s="341"/>
      <c r="S19" s="340"/>
      <c r="T19" s="342"/>
      <c r="U19" s="343"/>
      <c r="V19" s="340"/>
      <c r="W19" s="337"/>
      <c r="X19" s="341"/>
      <c r="Y19" s="341"/>
      <c r="Z19" s="340"/>
      <c r="AA19" s="337"/>
      <c r="AB19" s="341"/>
      <c r="AC19" s="341"/>
      <c r="AD19" s="340"/>
      <c r="AE19" s="337"/>
      <c r="AF19" s="341"/>
      <c r="AG19" s="341"/>
      <c r="AH19" s="338"/>
      <c r="AI19" s="342"/>
      <c r="AJ19" s="344"/>
      <c r="AK19" s="340"/>
      <c r="AL19" s="337"/>
      <c r="AM19" s="341"/>
      <c r="AN19" s="341"/>
      <c r="AO19" s="340"/>
      <c r="AP19" s="337"/>
      <c r="AQ19" s="341"/>
      <c r="AR19" s="341"/>
      <c r="AS19" s="340"/>
      <c r="AT19" s="337"/>
      <c r="AU19" s="341"/>
      <c r="AV19" s="341"/>
      <c r="AW19" s="340"/>
      <c r="AX19" s="1627"/>
      <c r="AY19" s="337"/>
      <c r="AZ19" s="338"/>
      <c r="BA19" s="339"/>
      <c r="BB19" s="340"/>
      <c r="BC19" s="337"/>
      <c r="BD19" s="341"/>
      <c r="BE19" s="341"/>
      <c r="BF19" s="340"/>
      <c r="BG19" s="337"/>
      <c r="BH19" s="341"/>
      <c r="BI19" s="341"/>
      <c r="BJ19" s="340"/>
      <c r="BK19" s="337"/>
      <c r="BL19" s="341"/>
      <c r="BM19" s="341"/>
      <c r="BN19" s="340"/>
      <c r="BO19" s="342"/>
      <c r="BP19" s="343"/>
      <c r="BQ19" s="340"/>
      <c r="BR19" s="337"/>
      <c r="BS19" s="341"/>
      <c r="BT19" s="341"/>
      <c r="BU19" s="340"/>
      <c r="BV19" s="337"/>
      <c r="BW19" s="341"/>
      <c r="BX19" s="341"/>
      <c r="BY19" s="340"/>
      <c r="BZ19" s="337"/>
      <c r="CA19" s="341"/>
      <c r="CB19" s="341"/>
      <c r="CC19" s="338"/>
      <c r="CD19" s="342"/>
      <c r="CE19" s="344"/>
      <c r="CF19" s="340"/>
      <c r="CG19" s="337"/>
      <c r="CH19" s="341"/>
      <c r="CI19" s="341"/>
      <c r="CJ19" s="340"/>
      <c r="CK19" s="337"/>
      <c r="CL19" s="341"/>
      <c r="CM19" s="341"/>
      <c r="CN19" s="340"/>
      <c r="CO19" s="337"/>
      <c r="CP19" s="341"/>
      <c r="CQ19" s="341"/>
      <c r="CR19" s="340"/>
      <c r="CS19" s="1627"/>
      <c r="CT19" s="1640"/>
      <c r="CU19" s="1641"/>
      <c r="CV19" s="1641"/>
      <c r="CW19" s="1641"/>
      <c r="CX19" s="1641"/>
      <c r="CY19" s="1641"/>
      <c r="CZ19" s="1642"/>
      <c r="DA19" s="1766"/>
    </row>
    <row r="20" spans="1:105" ht="15.75" customHeight="1" x14ac:dyDescent="0.3">
      <c r="A20" s="1708" t="s">
        <v>217</v>
      </c>
      <c r="B20" s="591" t="s">
        <v>154</v>
      </c>
      <c r="C20" s="1733"/>
      <c r="D20" s="333"/>
      <c r="E20" s="330"/>
      <c r="F20" s="331"/>
      <c r="G20" s="332"/>
      <c r="H20" s="329"/>
      <c r="I20" s="333"/>
      <c r="J20" s="333"/>
      <c r="K20" s="332"/>
      <c r="L20" s="329"/>
      <c r="M20" s="333"/>
      <c r="N20" s="333"/>
      <c r="O20" s="332"/>
      <c r="P20" s="329"/>
      <c r="Q20" s="330"/>
      <c r="R20" s="331"/>
      <c r="S20" s="332"/>
      <c r="T20" s="335"/>
      <c r="U20" s="335"/>
      <c r="V20" s="332"/>
      <c r="W20" s="329"/>
      <c r="X20" s="333"/>
      <c r="Y20" s="333"/>
      <c r="Z20" s="332"/>
      <c r="AA20" s="329"/>
      <c r="AB20" s="333"/>
      <c r="AC20" s="333"/>
      <c r="AD20" s="332"/>
      <c r="AE20" s="329"/>
      <c r="AF20" s="333"/>
      <c r="AG20" s="333"/>
      <c r="AH20" s="332"/>
      <c r="AI20" s="334"/>
      <c r="AJ20" s="336"/>
      <c r="AK20" s="332"/>
      <c r="AL20" s="329"/>
      <c r="AM20" s="333"/>
      <c r="AN20" s="333"/>
      <c r="AO20" s="332"/>
      <c r="AP20" s="329"/>
      <c r="AQ20" s="333"/>
      <c r="AR20" s="333"/>
      <c r="AS20" s="332"/>
      <c r="AT20" s="321"/>
      <c r="AU20" s="325"/>
      <c r="AV20" s="333"/>
      <c r="AW20" s="332"/>
      <c r="AX20" s="962">
        <f>ROUND(Экскаваторы!J10,0)</f>
        <v>0</v>
      </c>
      <c r="AY20" s="321"/>
      <c r="AZ20" s="322"/>
      <c r="BA20" s="323"/>
      <c r="BB20" s="324"/>
      <c r="BC20" s="321"/>
      <c r="BD20" s="325"/>
      <c r="BE20" s="325"/>
      <c r="BF20" s="324"/>
      <c r="BG20" s="321"/>
      <c r="BH20" s="325"/>
      <c r="BI20" s="325"/>
      <c r="BJ20" s="324"/>
      <c r="BK20" s="321"/>
      <c r="BL20" s="325"/>
      <c r="BM20" s="325"/>
      <c r="BN20" s="324"/>
      <c r="BO20" s="334"/>
      <c r="BP20" s="335"/>
      <c r="BQ20" s="332"/>
      <c r="BR20" s="329"/>
      <c r="BS20" s="333"/>
      <c r="BT20" s="333"/>
      <c r="BU20" s="332"/>
      <c r="BV20" s="329"/>
      <c r="BW20" s="333"/>
      <c r="BX20" s="333"/>
      <c r="BY20" s="332"/>
      <c r="BZ20" s="329"/>
      <c r="CA20" s="333"/>
      <c r="CB20" s="333"/>
      <c r="CC20" s="332"/>
      <c r="CD20" s="334"/>
      <c r="CE20" s="595"/>
      <c r="CF20" s="332"/>
      <c r="CG20" s="329"/>
      <c r="CH20" s="333"/>
      <c r="CI20" s="333"/>
      <c r="CJ20" s="332"/>
      <c r="CK20" s="329"/>
      <c r="CL20" s="333"/>
      <c r="CM20" s="333"/>
      <c r="CN20" s="332"/>
      <c r="CO20" s="329"/>
      <c r="CP20" s="333"/>
      <c r="CQ20" s="333"/>
      <c r="CR20" s="332"/>
      <c r="CS20" s="962">
        <f>ROUND(Экскаваторы!J25,0)</f>
        <v>0</v>
      </c>
      <c r="CT20" s="1628">
        <f>Экскаваторы!BE10</f>
        <v>0</v>
      </c>
      <c r="CU20" s="1629"/>
      <c r="CV20" s="1629"/>
      <c r="CW20" s="1629"/>
      <c r="CX20" s="1629"/>
      <c r="CY20" s="1629"/>
      <c r="CZ20" s="1630"/>
      <c r="DA20" s="1766"/>
    </row>
    <row r="21" spans="1:105" ht="3" customHeight="1" x14ac:dyDescent="0.3">
      <c r="A21" s="1709"/>
      <c r="B21" s="1712" t="s">
        <v>155</v>
      </c>
      <c r="C21" s="1734"/>
      <c r="D21" s="345"/>
      <c r="E21" s="346"/>
      <c r="F21" s="347"/>
      <c r="G21" s="348"/>
      <c r="H21" s="349"/>
      <c r="I21" s="350"/>
      <c r="J21" s="350"/>
      <c r="K21" s="348"/>
      <c r="L21" s="349"/>
      <c r="M21" s="350"/>
      <c r="N21" s="350"/>
      <c r="O21" s="348"/>
      <c r="P21" s="349"/>
      <c r="Q21" s="350"/>
      <c r="R21" s="350"/>
      <c r="S21" s="348"/>
      <c r="T21" s="335"/>
      <c r="U21" s="352"/>
      <c r="V21" s="348"/>
      <c r="W21" s="349"/>
      <c r="X21" s="350"/>
      <c r="Y21" s="350"/>
      <c r="Z21" s="348"/>
      <c r="AA21" s="349"/>
      <c r="AB21" s="350"/>
      <c r="AC21" s="350"/>
      <c r="AD21" s="348"/>
      <c r="AE21" s="349"/>
      <c r="AF21" s="350"/>
      <c r="AG21" s="350"/>
      <c r="AH21" s="351"/>
      <c r="AI21" s="335"/>
      <c r="AJ21" s="350"/>
      <c r="AK21" s="348"/>
      <c r="AL21" s="349"/>
      <c r="AM21" s="350"/>
      <c r="AN21" s="350"/>
      <c r="AO21" s="348"/>
      <c r="AP21" s="349"/>
      <c r="AQ21" s="350"/>
      <c r="AR21" s="345"/>
      <c r="AS21" s="1096"/>
      <c r="AT21" s="353"/>
      <c r="AU21" s="345"/>
      <c r="AV21" s="345"/>
      <c r="AW21" s="346"/>
      <c r="AX21" s="1626">
        <f>ROUND(Экскаваторы!U10,1)</f>
        <v>0</v>
      </c>
      <c r="AY21" s="345"/>
      <c r="AZ21" s="346"/>
      <c r="BA21" s="347"/>
      <c r="BB21" s="348"/>
      <c r="BC21" s="349"/>
      <c r="BD21" s="350"/>
      <c r="BE21" s="350"/>
      <c r="BF21" s="348"/>
      <c r="BG21" s="349"/>
      <c r="BH21" s="350"/>
      <c r="BI21" s="350"/>
      <c r="BJ21" s="348"/>
      <c r="BK21" s="349"/>
      <c r="BL21" s="350"/>
      <c r="BM21" s="350"/>
      <c r="BN21" s="351"/>
      <c r="BO21" s="334"/>
      <c r="BP21" s="352"/>
      <c r="BQ21" s="348"/>
      <c r="BR21" s="349"/>
      <c r="BS21" s="350"/>
      <c r="BT21" s="350"/>
      <c r="BU21" s="348"/>
      <c r="BV21" s="349"/>
      <c r="BW21" s="350"/>
      <c r="BX21" s="350"/>
      <c r="BY21" s="348"/>
      <c r="BZ21" s="349"/>
      <c r="CA21" s="350"/>
      <c r="CB21" s="350"/>
      <c r="CC21" s="351"/>
      <c r="CD21" s="335"/>
      <c r="CE21" s="350"/>
      <c r="CF21" s="348"/>
      <c r="CG21" s="349"/>
      <c r="CH21" s="350"/>
      <c r="CI21" s="350"/>
      <c r="CJ21" s="348"/>
      <c r="CK21" s="349"/>
      <c r="CL21" s="350"/>
      <c r="CM21" s="345"/>
      <c r="CN21" s="1096"/>
      <c r="CO21" s="353"/>
      <c r="CP21" s="345"/>
      <c r="CQ21" s="345"/>
      <c r="CR21" s="346"/>
      <c r="CS21" s="1626">
        <f>ROUND(Экскаваторы!U25,1)</f>
        <v>0</v>
      </c>
      <c r="CT21" s="1637">
        <f>Экскаваторы!BE25</f>
        <v>0</v>
      </c>
      <c r="CU21" s="1638"/>
      <c r="CV21" s="1638"/>
      <c r="CW21" s="1638"/>
      <c r="CX21" s="1638"/>
      <c r="CY21" s="1638"/>
      <c r="CZ21" s="1639"/>
      <c r="DA21" s="1766"/>
    </row>
    <row r="22" spans="1:105" ht="15.75" customHeight="1" thickBot="1" x14ac:dyDescent="0.35">
      <c r="A22" s="1710"/>
      <c r="B22" s="1713"/>
      <c r="C22" s="597"/>
      <c r="D22" s="341"/>
      <c r="E22" s="338"/>
      <c r="F22" s="339" t="s">
        <v>108</v>
      </c>
      <c r="G22" s="340"/>
      <c r="H22" s="337"/>
      <c r="I22" s="341"/>
      <c r="J22" s="341"/>
      <c r="K22" s="340"/>
      <c r="L22" s="337"/>
      <c r="M22" s="341"/>
      <c r="N22" s="341"/>
      <c r="O22" s="340"/>
      <c r="P22" s="337"/>
      <c r="Q22" s="341"/>
      <c r="R22" s="341"/>
      <c r="S22" s="340"/>
      <c r="T22" s="343"/>
      <c r="U22" s="343"/>
      <c r="V22" s="340"/>
      <c r="W22" s="337"/>
      <c r="X22" s="341"/>
      <c r="Y22" s="341"/>
      <c r="Z22" s="340"/>
      <c r="AA22" s="337"/>
      <c r="AB22" s="341"/>
      <c r="AC22" s="341"/>
      <c r="AD22" s="340"/>
      <c r="AE22" s="337"/>
      <c r="AF22" s="341"/>
      <c r="AG22" s="341"/>
      <c r="AH22" s="340"/>
      <c r="AI22" s="342"/>
      <c r="AJ22" s="344"/>
      <c r="AK22" s="340"/>
      <c r="AL22" s="337"/>
      <c r="AM22" s="341"/>
      <c r="AN22" s="341"/>
      <c r="AO22" s="340"/>
      <c r="AP22" s="337"/>
      <c r="AQ22" s="341"/>
      <c r="AR22" s="341"/>
      <c r="AS22" s="340"/>
      <c r="AT22" s="337"/>
      <c r="AU22" s="341"/>
      <c r="AV22" s="341"/>
      <c r="AW22" s="340"/>
      <c r="AX22" s="1627"/>
      <c r="AY22" s="337"/>
      <c r="AZ22" s="338"/>
      <c r="BA22" s="339" t="s">
        <v>108</v>
      </c>
      <c r="BB22" s="340"/>
      <c r="BC22" s="329"/>
      <c r="BD22" s="333"/>
      <c r="BE22" s="333"/>
      <c r="BF22" s="332"/>
      <c r="BG22" s="329"/>
      <c r="BH22" s="333"/>
      <c r="BI22" s="333"/>
      <c r="BJ22" s="332"/>
      <c r="BK22" s="329"/>
      <c r="BL22" s="333"/>
      <c r="BM22" s="333"/>
      <c r="BN22" s="332"/>
      <c r="BO22" s="342"/>
      <c r="BP22" s="343"/>
      <c r="BQ22" s="340"/>
      <c r="BR22" s="337"/>
      <c r="BS22" s="341"/>
      <c r="BT22" s="341"/>
      <c r="BU22" s="340"/>
      <c r="BV22" s="337"/>
      <c r="BW22" s="341"/>
      <c r="BX22" s="341"/>
      <c r="BY22" s="340"/>
      <c r="BZ22" s="337"/>
      <c r="CA22" s="341"/>
      <c r="CB22" s="341"/>
      <c r="CC22" s="340"/>
      <c r="CD22" s="342"/>
      <c r="CE22" s="594"/>
      <c r="CF22" s="340"/>
      <c r="CG22" s="337"/>
      <c r="CH22" s="341"/>
      <c r="CI22" s="341"/>
      <c r="CJ22" s="340"/>
      <c r="CK22" s="337"/>
      <c r="CL22" s="341"/>
      <c r="CM22" s="341"/>
      <c r="CN22" s="340"/>
      <c r="CO22" s="337"/>
      <c r="CP22" s="341"/>
      <c r="CQ22" s="341"/>
      <c r="CR22" s="340"/>
      <c r="CS22" s="1627"/>
      <c r="CT22" s="1640"/>
      <c r="CU22" s="1641"/>
      <c r="CV22" s="1641"/>
      <c r="CW22" s="1641"/>
      <c r="CX22" s="1641"/>
      <c r="CY22" s="1641"/>
      <c r="CZ22" s="1642"/>
      <c r="DA22" s="1766"/>
    </row>
    <row r="23" spans="1:105" ht="21" customHeight="1" thickBot="1" x14ac:dyDescent="0.35">
      <c r="A23" s="223" t="s">
        <v>156</v>
      </c>
      <c r="B23" s="1662"/>
      <c r="C23" s="1740"/>
      <c r="D23" s="1663"/>
      <c r="E23" s="1663"/>
      <c r="F23" s="1663"/>
      <c r="G23" s="1663"/>
      <c r="H23" s="1663"/>
      <c r="I23" s="1663"/>
      <c r="J23" s="1663"/>
      <c r="K23" s="1663"/>
      <c r="L23" s="1663"/>
      <c r="M23" s="1663"/>
      <c r="N23" s="1663"/>
      <c r="O23" s="1663"/>
      <c r="P23" s="1663"/>
      <c r="Q23" s="1663"/>
      <c r="R23" s="1663"/>
      <c r="S23" s="1663"/>
      <c r="T23" s="1663"/>
      <c r="U23" s="1663"/>
      <c r="V23" s="1663"/>
      <c r="W23" s="1663"/>
      <c r="X23" s="1663"/>
      <c r="Y23" s="1663"/>
      <c r="Z23" s="1663"/>
      <c r="AA23" s="1663"/>
      <c r="AB23" s="1663"/>
      <c r="AC23" s="1663"/>
      <c r="AD23" s="1663"/>
      <c r="AE23" s="1663"/>
      <c r="AF23" s="1663"/>
      <c r="AG23" s="1663"/>
      <c r="AH23" s="1663"/>
      <c r="AI23" s="1663"/>
      <c r="AJ23" s="1663"/>
      <c r="AK23" s="1663"/>
      <c r="AL23" s="1663"/>
      <c r="AM23" s="1663"/>
      <c r="AN23" s="1663"/>
      <c r="AO23" s="1663"/>
      <c r="AP23" s="1663"/>
      <c r="AQ23" s="1663"/>
      <c r="AR23" s="1663"/>
      <c r="AS23" s="1663"/>
      <c r="AT23" s="1663"/>
      <c r="AU23" s="1663"/>
      <c r="AV23" s="1663"/>
      <c r="AW23" s="1663"/>
      <c r="AX23" s="1663"/>
      <c r="AY23" s="1663"/>
      <c r="AZ23" s="1663"/>
      <c r="BA23" s="1663"/>
      <c r="BB23" s="1663"/>
      <c r="BC23" s="1663"/>
      <c r="BD23" s="1663"/>
      <c r="BE23" s="1663"/>
      <c r="BF23" s="1663"/>
      <c r="BG23" s="1663"/>
      <c r="BH23" s="1663"/>
      <c r="BI23" s="1663"/>
      <c r="BJ23" s="1663"/>
      <c r="BK23" s="1663"/>
      <c r="BL23" s="1663"/>
      <c r="BM23" s="1663"/>
      <c r="BN23" s="1663"/>
      <c r="BO23" s="1663"/>
      <c r="BP23" s="1663"/>
      <c r="BQ23" s="1663"/>
      <c r="BR23" s="1663"/>
      <c r="BS23" s="1663"/>
      <c r="BT23" s="1663"/>
      <c r="BU23" s="1663"/>
      <c r="BV23" s="1663"/>
      <c r="BW23" s="1663"/>
      <c r="BX23" s="1663"/>
      <c r="BY23" s="1663"/>
      <c r="BZ23" s="1663"/>
      <c r="CA23" s="1663"/>
      <c r="CB23" s="1663"/>
      <c r="CC23" s="1663"/>
      <c r="CD23" s="1663"/>
      <c r="CE23" s="1663"/>
      <c r="CF23" s="1663"/>
      <c r="CG23" s="1663"/>
      <c r="CH23" s="1663"/>
      <c r="CI23" s="1663"/>
      <c r="CJ23" s="1663"/>
      <c r="CK23" s="1663"/>
      <c r="CL23" s="1663"/>
      <c r="CM23" s="1663"/>
      <c r="CN23" s="1663"/>
      <c r="CO23" s="1663"/>
      <c r="CP23" s="1663"/>
      <c r="CQ23" s="1663"/>
      <c r="CR23" s="1663"/>
      <c r="CS23" s="1663"/>
      <c r="CT23" s="1663"/>
      <c r="CU23" s="1663"/>
      <c r="CV23" s="1663"/>
      <c r="CW23" s="1663"/>
      <c r="CX23" s="1663"/>
      <c r="CY23" s="1663"/>
      <c r="CZ23" s="1664"/>
    </row>
    <row r="24" spans="1:105" ht="17.25" customHeight="1" x14ac:dyDescent="0.3">
      <c r="A24" s="1717" t="s">
        <v>513</v>
      </c>
      <c r="B24" s="598" t="s">
        <v>154</v>
      </c>
      <c r="C24" s="599"/>
      <c r="D24" s="407"/>
      <c r="E24" s="891"/>
      <c r="F24" s="1102"/>
      <c r="G24" s="1103"/>
      <c r="H24" s="1104"/>
      <c r="I24" s="1105"/>
      <c r="J24" s="1105"/>
      <c r="K24" s="1103"/>
      <c r="L24" s="1104"/>
      <c r="M24" s="1105"/>
      <c r="N24" s="1105"/>
      <c r="O24" s="1103"/>
      <c r="P24" s="1104"/>
      <c r="Q24" s="1106"/>
      <c r="R24" s="1102"/>
      <c r="S24" s="1106"/>
      <c r="T24" s="1107"/>
      <c r="U24" s="1108"/>
      <c r="V24" s="1103"/>
      <c r="W24" s="1104"/>
      <c r="X24" s="1105"/>
      <c r="Y24" s="1105"/>
      <c r="Z24" s="1103"/>
      <c r="AA24" s="1104"/>
      <c r="AB24" s="1105"/>
      <c r="AC24" s="1105"/>
      <c r="AD24" s="1103"/>
      <c r="AE24" s="1104"/>
      <c r="AF24" s="1105"/>
      <c r="AG24" s="1105"/>
      <c r="AH24" s="1103"/>
      <c r="AI24" s="1107"/>
      <c r="AJ24" s="1105"/>
      <c r="AK24" s="1103"/>
      <c r="AL24" s="1104"/>
      <c r="AM24" s="1105"/>
      <c r="AN24" s="1105"/>
      <c r="AO24" s="1103"/>
      <c r="AP24" s="1104"/>
      <c r="AQ24" s="1105"/>
      <c r="AR24" s="1105"/>
      <c r="AS24" s="1103"/>
      <c r="AT24" s="407"/>
      <c r="AU24" s="408"/>
      <c r="AV24" s="408"/>
      <c r="AW24" s="891"/>
      <c r="AX24" s="592">
        <f>'Сводка внутр.'!D92</f>
        <v>0</v>
      </c>
      <c r="AY24" s="407"/>
      <c r="AZ24" s="891"/>
      <c r="BA24" s="1102"/>
      <c r="BB24" s="1103"/>
      <c r="BC24" s="1104"/>
      <c r="BD24" s="1105"/>
      <c r="BE24" s="1105"/>
      <c r="BF24" s="1103"/>
      <c r="BG24" s="1104"/>
      <c r="BH24" s="1105"/>
      <c r="BI24" s="1105"/>
      <c r="BJ24" s="1103"/>
      <c r="BK24" s="1104"/>
      <c r="BL24" s="1106"/>
      <c r="BM24" s="1102"/>
      <c r="BN24" s="1106"/>
      <c r="BO24" s="1107"/>
      <c r="BP24" s="1108"/>
      <c r="BQ24" s="1103"/>
      <c r="BR24" s="1104"/>
      <c r="BS24" s="1105"/>
      <c r="BT24" s="1105"/>
      <c r="BU24" s="1103"/>
      <c r="BV24" s="1104"/>
      <c r="BW24" s="1105"/>
      <c r="BX24" s="1105"/>
      <c r="BY24" s="1103"/>
      <c r="BZ24" s="1104"/>
      <c r="CA24" s="1105"/>
      <c r="CB24" s="1105"/>
      <c r="CC24" s="1103"/>
      <c r="CD24" s="1107"/>
      <c r="CE24" s="1105"/>
      <c r="CF24" s="1103"/>
      <c r="CG24" s="1104"/>
      <c r="CH24" s="1105"/>
      <c r="CI24" s="1105"/>
      <c r="CJ24" s="1103"/>
      <c r="CK24" s="1104"/>
      <c r="CL24" s="1105"/>
      <c r="CM24" s="1105"/>
      <c r="CN24" s="1103"/>
      <c r="CO24" s="407"/>
      <c r="CP24" s="408"/>
      <c r="CQ24" s="408"/>
      <c r="CR24" s="891"/>
      <c r="CS24" s="592">
        <f>'Сводка внутр.'!D93</f>
        <v>0</v>
      </c>
      <c r="CT24" s="1628"/>
      <c r="CU24" s="1629"/>
      <c r="CV24" s="1629"/>
      <c r="CW24" s="1629"/>
      <c r="CX24" s="1629"/>
      <c r="CY24" s="1629"/>
      <c r="CZ24" s="1630"/>
    </row>
    <row r="25" spans="1:105" ht="3" customHeight="1" x14ac:dyDescent="0.3">
      <c r="A25" s="1718"/>
      <c r="B25" s="1665" t="s">
        <v>155</v>
      </c>
      <c r="C25" s="1706"/>
      <c r="D25" s="378"/>
      <c r="E25" s="1109"/>
      <c r="F25" s="376"/>
      <c r="G25" s="377"/>
      <c r="H25" s="378"/>
      <c r="I25" s="375"/>
      <c r="J25" s="1110"/>
      <c r="K25" s="377"/>
      <c r="L25" s="378"/>
      <c r="M25" s="1110"/>
      <c r="N25" s="375"/>
      <c r="O25" s="377"/>
      <c r="P25" s="378"/>
      <c r="Q25" s="375"/>
      <c r="R25" s="375"/>
      <c r="S25" s="377"/>
      <c r="T25" s="564"/>
      <c r="U25" s="563"/>
      <c r="V25" s="377"/>
      <c r="W25" s="378"/>
      <c r="X25" s="375"/>
      <c r="Y25" s="375"/>
      <c r="Z25" s="377"/>
      <c r="AA25" s="378"/>
      <c r="AB25" s="375"/>
      <c r="AC25" s="375"/>
      <c r="AD25" s="377"/>
      <c r="AE25" s="378"/>
      <c r="AF25" s="375"/>
      <c r="AG25" s="375"/>
      <c r="AH25" s="379"/>
      <c r="AI25" s="564"/>
      <c r="AJ25" s="375"/>
      <c r="AK25" s="377"/>
      <c r="AL25" s="378"/>
      <c r="AM25" s="375"/>
      <c r="AN25" s="375"/>
      <c r="AO25" s="377"/>
      <c r="AP25" s="378"/>
      <c r="AQ25" s="375"/>
      <c r="AR25" s="375"/>
      <c r="AS25" s="377"/>
      <c r="AT25" s="378"/>
      <c r="AU25" s="375"/>
      <c r="AV25" s="375"/>
      <c r="AW25" s="376"/>
      <c r="AX25" s="1338"/>
      <c r="AY25" s="378"/>
      <c r="AZ25" s="1109"/>
      <c r="BA25" s="376"/>
      <c r="BB25" s="377"/>
      <c r="BC25" s="378"/>
      <c r="BD25" s="375"/>
      <c r="BE25" s="1110"/>
      <c r="BF25" s="377"/>
      <c r="BG25" s="378"/>
      <c r="BH25" s="1110"/>
      <c r="BI25" s="375"/>
      <c r="BJ25" s="377"/>
      <c r="BK25" s="378"/>
      <c r="BL25" s="375"/>
      <c r="BM25" s="375"/>
      <c r="BN25" s="377"/>
      <c r="BO25" s="564"/>
      <c r="BP25" s="563"/>
      <c r="BQ25" s="377"/>
      <c r="BR25" s="378"/>
      <c r="BS25" s="375"/>
      <c r="BT25" s="375"/>
      <c r="BU25" s="377"/>
      <c r="BV25" s="378"/>
      <c r="BW25" s="375"/>
      <c r="BX25" s="375"/>
      <c r="BY25" s="377"/>
      <c r="BZ25" s="378"/>
      <c r="CA25" s="375"/>
      <c r="CB25" s="375"/>
      <c r="CC25" s="379"/>
      <c r="CD25" s="564"/>
      <c r="CE25" s="375"/>
      <c r="CF25" s="377"/>
      <c r="CG25" s="378"/>
      <c r="CH25" s="375"/>
      <c r="CI25" s="375"/>
      <c r="CJ25" s="377"/>
      <c r="CK25" s="378"/>
      <c r="CL25" s="375"/>
      <c r="CM25" s="375"/>
      <c r="CN25" s="377"/>
      <c r="CO25" s="378"/>
      <c r="CP25" s="375"/>
      <c r="CQ25" s="375"/>
      <c r="CR25" s="376"/>
      <c r="CS25" s="1338"/>
      <c r="CT25" s="1637"/>
      <c r="CU25" s="1638"/>
      <c r="CV25" s="1638"/>
      <c r="CW25" s="1638"/>
      <c r="CX25" s="1638"/>
      <c r="CY25" s="1638"/>
      <c r="CZ25" s="1639"/>
    </row>
    <row r="26" spans="1:105" ht="15" customHeight="1" thickBot="1" x14ac:dyDescent="0.35">
      <c r="A26" s="1725"/>
      <c r="B26" s="1666"/>
      <c r="C26" s="1707"/>
      <c r="D26" s="409"/>
      <c r="E26" s="892"/>
      <c r="F26" s="893"/>
      <c r="G26" s="411"/>
      <c r="H26" s="409"/>
      <c r="I26" s="410"/>
      <c r="J26" s="410"/>
      <c r="K26" s="411"/>
      <c r="L26" s="409"/>
      <c r="M26" s="410"/>
      <c r="N26" s="410"/>
      <c r="O26" s="411"/>
      <c r="P26" s="409"/>
      <c r="Q26" s="410"/>
      <c r="R26" s="410"/>
      <c r="S26" s="411"/>
      <c r="T26" s="564"/>
      <c r="U26" s="564"/>
      <c r="V26" s="896"/>
      <c r="W26" s="897"/>
      <c r="X26" s="898"/>
      <c r="Y26" s="898"/>
      <c r="Z26" s="896"/>
      <c r="AA26" s="897"/>
      <c r="AB26" s="898"/>
      <c r="AC26" s="898"/>
      <c r="AD26" s="896"/>
      <c r="AE26" s="897"/>
      <c r="AF26" s="898"/>
      <c r="AG26" s="898"/>
      <c r="AH26" s="899"/>
      <c r="AI26" s="894"/>
      <c r="AJ26" s="410"/>
      <c r="AK26" s="411"/>
      <c r="AL26" s="897"/>
      <c r="AM26" s="898"/>
      <c r="AN26" s="898"/>
      <c r="AO26" s="896"/>
      <c r="AP26" s="897"/>
      <c r="AQ26" s="898"/>
      <c r="AR26" s="898"/>
      <c r="AS26" s="896"/>
      <c r="AT26" s="897"/>
      <c r="AU26" s="898"/>
      <c r="AV26" s="898"/>
      <c r="AW26" s="899"/>
      <c r="AX26" s="1339"/>
      <c r="AY26" s="409"/>
      <c r="AZ26" s="892"/>
      <c r="BA26" s="893"/>
      <c r="BB26" s="411"/>
      <c r="BC26" s="409"/>
      <c r="BD26" s="410"/>
      <c r="BE26" s="410"/>
      <c r="BF26" s="411"/>
      <c r="BG26" s="409"/>
      <c r="BH26" s="410"/>
      <c r="BI26" s="410"/>
      <c r="BJ26" s="411"/>
      <c r="BK26" s="409"/>
      <c r="BL26" s="410"/>
      <c r="BM26" s="410"/>
      <c r="BN26" s="411"/>
      <c r="BO26" s="564"/>
      <c r="BP26" s="564"/>
      <c r="BQ26" s="896"/>
      <c r="BR26" s="897"/>
      <c r="BS26" s="898"/>
      <c r="BT26" s="898"/>
      <c r="BU26" s="896"/>
      <c r="BV26" s="897"/>
      <c r="BW26" s="898"/>
      <c r="BX26" s="898"/>
      <c r="BY26" s="896"/>
      <c r="BZ26" s="897"/>
      <c r="CA26" s="898"/>
      <c r="CB26" s="898"/>
      <c r="CC26" s="899"/>
      <c r="CD26" s="894"/>
      <c r="CE26" s="410"/>
      <c r="CF26" s="411"/>
      <c r="CG26" s="897"/>
      <c r="CH26" s="898"/>
      <c r="CI26" s="898"/>
      <c r="CJ26" s="896"/>
      <c r="CK26" s="897"/>
      <c r="CL26" s="898"/>
      <c r="CM26" s="898"/>
      <c r="CN26" s="896"/>
      <c r="CO26" s="897"/>
      <c r="CP26" s="898"/>
      <c r="CQ26" s="898"/>
      <c r="CR26" s="899"/>
      <c r="CS26" s="1339"/>
      <c r="CT26" s="1640"/>
      <c r="CU26" s="1641"/>
      <c r="CV26" s="1641"/>
      <c r="CW26" s="1641"/>
      <c r="CX26" s="1641"/>
      <c r="CY26" s="1641"/>
      <c r="CZ26" s="1642"/>
    </row>
    <row r="27" spans="1:105" ht="15.75" customHeight="1" x14ac:dyDescent="0.3">
      <c r="A27" s="1717" t="s">
        <v>514</v>
      </c>
      <c r="B27" s="598" t="s">
        <v>154</v>
      </c>
      <c r="C27" s="917"/>
      <c r="D27" s="321"/>
      <c r="E27" s="322"/>
      <c r="F27" s="323"/>
      <c r="G27" s="324"/>
      <c r="H27" s="321"/>
      <c r="I27" s="325"/>
      <c r="J27" s="325"/>
      <c r="K27" s="324"/>
      <c r="L27" s="321"/>
      <c r="M27" s="325"/>
      <c r="N27" s="325"/>
      <c r="O27" s="324"/>
      <c r="P27" s="321"/>
      <c r="Q27" s="322"/>
      <c r="R27" s="323"/>
      <c r="S27" s="324"/>
      <c r="T27" s="335"/>
      <c r="U27" s="335"/>
      <c r="V27" s="332"/>
      <c r="W27" s="329"/>
      <c r="X27" s="333"/>
      <c r="Y27" s="333"/>
      <c r="Z27" s="332"/>
      <c r="AA27" s="329"/>
      <c r="AB27" s="333"/>
      <c r="AC27" s="333"/>
      <c r="AD27" s="332"/>
      <c r="AE27" s="329"/>
      <c r="AF27" s="333"/>
      <c r="AG27" s="333"/>
      <c r="AH27" s="332"/>
      <c r="AI27" s="334"/>
      <c r="AJ27" s="336"/>
      <c r="AK27" s="332"/>
      <c r="AL27" s="329"/>
      <c r="AM27" s="333"/>
      <c r="AN27" s="333"/>
      <c r="AO27" s="332"/>
      <c r="AP27" s="329"/>
      <c r="AQ27" s="333"/>
      <c r="AR27" s="333"/>
      <c r="AS27" s="332"/>
      <c r="AT27" s="329"/>
      <c r="AU27" s="333"/>
      <c r="AV27" s="333"/>
      <c r="AW27" s="330"/>
      <c r="AX27" s="962"/>
      <c r="AY27" s="321"/>
      <c r="AZ27" s="322"/>
      <c r="BA27" s="865"/>
      <c r="BB27" s="866"/>
      <c r="BC27" s="867"/>
      <c r="BD27" s="868"/>
      <c r="BE27" s="868"/>
      <c r="BF27" s="866"/>
      <c r="BG27" s="867"/>
      <c r="BH27" s="868"/>
      <c r="BI27" s="868"/>
      <c r="BJ27" s="866"/>
      <c r="BK27" s="867"/>
      <c r="BL27" s="869"/>
      <c r="BM27" s="865"/>
      <c r="BN27" s="869"/>
      <c r="BO27" s="870"/>
      <c r="BP27" s="871"/>
      <c r="BQ27" s="866"/>
      <c r="BR27" s="867"/>
      <c r="BS27" s="868"/>
      <c r="BT27" s="868"/>
      <c r="BU27" s="866"/>
      <c r="BV27" s="867"/>
      <c r="BW27" s="868"/>
      <c r="BX27" s="868"/>
      <c r="BY27" s="866"/>
      <c r="BZ27" s="867"/>
      <c r="CA27" s="868"/>
      <c r="CB27" s="868"/>
      <c r="CC27" s="866"/>
      <c r="CD27" s="870"/>
      <c r="CE27" s="872"/>
      <c r="CF27" s="866"/>
      <c r="CG27" s="867"/>
      <c r="CH27" s="868"/>
      <c r="CI27" s="868"/>
      <c r="CJ27" s="866"/>
      <c r="CK27" s="867"/>
      <c r="CL27" s="868"/>
      <c r="CM27" s="868"/>
      <c r="CN27" s="866"/>
      <c r="CO27" s="321"/>
      <c r="CP27" s="325"/>
      <c r="CQ27" s="325"/>
      <c r="CR27" s="322"/>
      <c r="CS27" s="962" t="e">
        <f>'Сводка внутр.'!#REF!</f>
        <v>#REF!</v>
      </c>
      <c r="CT27" s="1628"/>
      <c r="CU27" s="1629"/>
      <c r="CV27" s="1629"/>
      <c r="CW27" s="1629"/>
      <c r="CX27" s="1629"/>
      <c r="CY27" s="1629"/>
      <c r="CZ27" s="1630"/>
    </row>
    <row r="28" spans="1:105" ht="3" customHeight="1" x14ac:dyDescent="0.3">
      <c r="A28" s="1718"/>
      <c r="B28" s="1665" t="s">
        <v>155</v>
      </c>
      <c r="C28" s="1735"/>
      <c r="D28" s="353"/>
      <c r="E28" s="373"/>
      <c r="F28" s="347"/>
      <c r="G28" s="348"/>
      <c r="H28" s="349"/>
      <c r="I28" s="350"/>
      <c r="J28" s="374"/>
      <c r="K28" s="348"/>
      <c r="L28" s="349"/>
      <c r="M28" s="374"/>
      <c r="N28" s="350"/>
      <c r="O28" s="348"/>
      <c r="P28" s="349"/>
      <c r="Q28" s="350"/>
      <c r="R28" s="350"/>
      <c r="S28" s="348"/>
      <c r="T28" s="335"/>
      <c r="U28" s="352"/>
      <c r="V28" s="348"/>
      <c r="W28" s="349"/>
      <c r="X28" s="350"/>
      <c r="Y28" s="350"/>
      <c r="Z28" s="348"/>
      <c r="AA28" s="349"/>
      <c r="AB28" s="350"/>
      <c r="AC28" s="350"/>
      <c r="AD28" s="348"/>
      <c r="AE28" s="349"/>
      <c r="AF28" s="350"/>
      <c r="AG28" s="350"/>
      <c r="AH28" s="351"/>
      <c r="AI28" s="335"/>
      <c r="AJ28" s="350"/>
      <c r="AK28" s="348"/>
      <c r="AL28" s="349"/>
      <c r="AM28" s="350"/>
      <c r="AN28" s="350"/>
      <c r="AO28" s="348"/>
      <c r="AP28" s="349"/>
      <c r="AQ28" s="350"/>
      <c r="AR28" s="350"/>
      <c r="AS28" s="348"/>
      <c r="AT28" s="349"/>
      <c r="AU28" s="350"/>
      <c r="AV28" s="345"/>
      <c r="AW28" s="346"/>
      <c r="AX28" s="1338"/>
      <c r="AY28" s="353"/>
      <c r="AZ28" s="373"/>
      <c r="BA28" s="347"/>
      <c r="BB28" s="348"/>
      <c r="BC28" s="349"/>
      <c r="BD28" s="350"/>
      <c r="BE28" s="374"/>
      <c r="BF28" s="348"/>
      <c r="BG28" s="349"/>
      <c r="BH28" s="374"/>
      <c r="BI28" s="350"/>
      <c r="BJ28" s="348"/>
      <c r="BK28" s="349"/>
      <c r="BL28" s="350"/>
      <c r="BM28" s="350"/>
      <c r="BN28" s="348"/>
      <c r="BO28" s="335"/>
      <c r="BP28" s="352"/>
      <c r="BQ28" s="348"/>
      <c r="BR28" s="349"/>
      <c r="BS28" s="350"/>
      <c r="BT28" s="350"/>
      <c r="BU28" s="348"/>
      <c r="BV28" s="349"/>
      <c r="BW28" s="350"/>
      <c r="BX28" s="350"/>
      <c r="BY28" s="348"/>
      <c r="BZ28" s="349"/>
      <c r="CA28" s="350"/>
      <c r="CB28" s="350"/>
      <c r="CC28" s="351"/>
      <c r="CD28" s="335"/>
      <c r="CE28" s="350"/>
      <c r="CF28" s="348"/>
      <c r="CG28" s="349"/>
      <c r="CH28" s="350"/>
      <c r="CI28" s="350"/>
      <c r="CJ28" s="348"/>
      <c r="CK28" s="349"/>
      <c r="CL28" s="350"/>
      <c r="CM28" s="350"/>
      <c r="CN28" s="348"/>
      <c r="CO28" s="349"/>
      <c r="CP28" s="350"/>
      <c r="CQ28" s="345"/>
      <c r="CR28" s="346"/>
      <c r="CS28" s="1338"/>
      <c r="CT28" s="1637"/>
      <c r="CU28" s="1638"/>
      <c r="CV28" s="1638"/>
      <c r="CW28" s="1638"/>
      <c r="CX28" s="1638"/>
      <c r="CY28" s="1638"/>
      <c r="CZ28" s="1639"/>
    </row>
    <row r="29" spans="1:105" ht="15.75" customHeight="1" thickBot="1" x14ac:dyDescent="0.35">
      <c r="A29" s="1725"/>
      <c r="B29" s="1666"/>
      <c r="C29" s="1736"/>
      <c r="D29" s="337"/>
      <c r="E29" s="338"/>
      <c r="F29" s="339"/>
      <c r="G29" s="340"/>
      <c r="H29" s="337"/>
      <c r="I29" s="341"/>
      <c r="J29" s="341"/>
      <c r="K29" s="340"/>
      <c r="L29" s="337"/>
      <c r="M29" s="341"/>
      <c r="N29" s="341"/>
      <c r="O29" s="340"/>
      <c r="P29" s="337"/>
      <c r="Q29" s="341"/>
      <c r="R29" s="341"/>
      <c r="S29" s="340"/>
      <c r="T29" s="335"/>
      <c r="U29" s="335"/>
      <c r="V29" s="340"/>
      <c r="W29" s="337"/>
      <c r="X29" s="338"/>
      <c r="Y29" s="339"/>
      <c r="Z29" s="340"/>
      <c r="AA29" s="337"/>
      <c r="AB29" s="338"/>
      <c r="AC29" s="339"/>
      <c r="AD29" s="340"/>
      <c r="AE29" s="337"/>
      <c r="AF29" s="338"/>
      <c r="AG29" s="339"/>
      <c r="AH29" s="340"/>
      <c r="AI29" s="334"/>
      <c r="AJ29" s="339"/>
      <c r="AK29" s="340"/>
      <c r="AL29" s="337"/>
      <c r="AM29" s="338"/>
      <c r="AN29" s="339"/>
      <c r="AO29" s="340"/>
      <c r="AP29" s="337"/>
      <c r="AQ29" s="338"/>
      <c r="AR29" s="339"/>
      <c r="AS29" s="340"/>
      <c r="AT29" s="337"/>
      <c r="AU29" s="338"/>
      <c r="AV29" s="339"/>
      <c r="AW29" s="340"/>
      <c r="AX29" s="1741"/>
      <c r="AY29" s="409"/>
      <c r="AZ29" s="892"/>
      <c r="BA29" s="893"/>
      <c r="BB29" s="411"/>
      <c r="BC29" s="409"/>
      <c r="BD29" s="410"/>
      <c r="BE29" s="410"/>
      <c r="BF29" s="411"/>
      <c r="BG29" s="409"/>
      <c r="BH29" s="410"/>
      <c r="BI29" s="410"/>
      <c r="BJ29" s="411"/>
      <c r="BK29" s="409"/>
      <c r="BL29" s="410"/>
      <c r="BM29" s="410"/>
      <c r="BN29" s="411"/>
      <c r="BO29" s="564"/>
      <c r="BP29" s="564"/>
      <c r="BQ29" s="896"/>
      <c r="BR29" s="897"/>
      <c r="BS29" s="898"/>
      <c r="BT29" s="898"/>
      <c r="BU29" s="896"/>
      <c r="BV29" s="897"/>
      <c r="BW29" s="898"/>
      <c r="BX29" s="898"/>
      <c r="BY29" s="896"/>
      <c r="BZ29" s="897"/>
      <c r="CA29" s="898"/>
      <c r="CB29" s="898"/>
      <c r="CC29" s="899"/>
      <c r="CD29" s="894"/>
      <c r="CE29" s="410"/>
      <c r="CF29" s="411"/>
      <c r="CG29" s="897"/>
      <c r="CH29" s="898"/>
      <c r="CI29" s="898"/>
      <c r="CJ29" s="896"/>
      <c r="CK29" s="897"/>
      <c r="CL29" s="898"/>
      <c r="CM29" s="898"/>
      <c r="CN29" s="896"/>
      <c r="CO29" s="897"/>
      <c r="CP29" s="898"/>
      <c r="CQ29" s="898"/>
      <c r="CR29" s="899"/>
      <c r="CS29" s="1741"/>
      <c r="CT29" s="1640"/>
      <c r="CU29" s="1641"/>
      <c r="CV29" s="1641"/>
      <c r="CW29" s="1641"/>
      <c r="CX29" s="1641"/>
      <c r="CY29" s="1641"/>
      <c r="CZ29" s="1642"/>
    </row>
    <row r="30" spans="1:105" ht="15.75" hidden="1" customHeight="1" x14ac:dyDescent="0.3">
      <c r="A30" s="1717" t="s">
        <v>515</v>
      </c>
      <c r="B30" s="598" t="s">
        <v>154</v>
      </c>
      <c r="C30" s="599"/>
      <c r="D30" s="321"/>
      <c r="E30" s="322"/>
      <c r="F30" s="865"/>
      <c r="G30" s="866"/>
      <c r="H30" s="867"/>
      <c r="I30" s="868"/>
      <c r="J30" s="868"/>
      <c r="K30" s="866"/>
      <c r="L30" s="867"/>
      <c r="M30" s="868"/>
      <c r="N30" s="868"/>
      <c r="O30" s="866"/>
      <c r="P30" s="867"/>
      <c r="Q30" s="869"/>
      <c r="R30" s="865"/>
      <c r="S30" s="869"/>
      <c r="T30" s="870"/>
      <c r="U30" s="871"/>
      <c r="V30" s="866"/>
      <c r="W30" s="867"/>
      <c r="X30" s="868"/>
      <c r="Y30" s="868"/>
      <c r="Z30" s="866"/>
      <c r="AA30" s="867"/>
      <c r="AB30" s="868"/>
      <c r="AC30" s="868"/>
      <c r="AD30" s="866"/>
      <c r="AE30" s="867"/>
      <c r="AF30" s="868"/>
      <c r="AG30" s="868"/>
      <c r="AH30" s="866"/>
      <c r="AI30" s="870"/>
      <c r="AJ30" s="872"/>
      <c r="AK30" s="866"/>
      <c r="AL30" s="867"/>
      <c r="AM30" s="868"/>
      <c r="AN30" s="868"/>
      <c r="AO30" s="866"/>
      <c r="AP30" s="867"/>
      <c r="AQ30" s="868"/>
      <c r="AR30" s="868"/>
      <c r="AS30" s="866"/>
      <c r="AT30" s="321"/>
      <c r="AU30" s="325"/>
      <c r="AV30" s="325"/>
      <c r="AW30" s="322"/>
      <c r="AX30" s="962"/>
      <c r="AY30" s="321"/>
      <c r="AZ30" s="322"/>
      <c r="BA30" s="865"/>
      <c r="BB30" s="866"/>
      <c r="BC30" s="867"/>
      <c r="BD30" s="868"/>
      <c r="BE30" s="868"/>
      <c r="BF30" s="866"/>
      <c r="BG30" s="867"/>
      <c r="BH30" s="868"/>
      <c r="BI30" s="868"/>
      <c r="BJ30" s="866"/>
      <c r="BK30" s="867"/>
      <c r="BL30" s="869"/>
      <c r="BM30" s="865"/>
      <c r="BN30" s="869"/>
      <c r="BO30" s="870"/>
      <c r="BP30" s="871"/>
      <c r="BQ30" s="866"/>
      <c r="BR30" s="867"/>
      <c r="BS30" s="868"/>
      <c r="BT30" s="868"/>
      <c r="BU30" s="866"/>
      <c r="BV30" s="867"/>
      <c r="BW30" s="868"/>
      <c r="BX30" s="868"/>
      <c r="BY30" s="866"/>
      <c r="BZ30" s="867"/>
      <c r="CA30" s="868"/>
      <c r="CB30" s="868"/>
      <c r="CC30" s="866"/>
      <c r="CD30" s="870"/>
      <c r="CE30" s="872"/>
      <c r="CF30" s="866"/>
      <c r="CG30" s="867"/>
      <c r="CH30" s="868"/>
      <c r="CI30" s="868"/>
      <c r="CJ30" s="866"/>
      <c r="CK30" s="867"/>
      <c r="CL30" s="868"/>
      <c r="CM30" s="868"/>
      <c r="CN30" s="866"/>
      <c r="CO30" s="321"/>
      <c r="CP30" s="325"/>
      <c r="CQ30" s="325"/>
      <c r="CR30" s="322"/>
      <c r="CS30" s="962">
        <f>'Сводка внутр.'!D87</f>
        <v>0</v>
      </c>
      <c r="CT30" s="1714"/>
      <c r="CU30" s="1629"/>
      <c r="CV30" s="1629"/>
      <c r="CW30" s="1629"/>
      <c r="CX30" s="1629"/>
      <c r="CY30" s="1629"/>
      <c r="CZ30" s="1630"/>
    </row>
    <row r="31" spans="1:105" ht="3" hidden="1" customHeight="1" x14ac:dyDescent="0.3">
      <c r="A31" s="1718"/>
      <c r="B31" s="1665" t="s">
        <v>155</v>
      </c>
      <c r="C31" s="1706"/>
      <c r="D31" s="353"/>
      <c r="E31" s="373"/>
      <c r="F31" s="347"/>
      <c r="G31" s="348"/>
      <c r="H31" s="349"/>
      <c r="I31" s="350"/>
      <c r="J31" s="374"/>
      <c r="K31" s="348"/>
      <c r="L31" s="349"/>
      <c r="M31" s="374"/>
      <c r="N31" s="350"/>
      <c r="O31" s="348"/>
      <c r="P31" s="349"/>
      <c r="Q31" s="350"/>
      <c r="R31" s="350"/>
      <c r="S31" s="348"/>
      <c r="T31" s="335"/>
      <c r="U31" s="352"/>
      <c r="V31" s="348"/>
      <c r="W31" s="349"/>
      <c r="X31" s="350"/>
      <c r="Y31" s="350"/>
      <c r="Z31" s="348"/>
      <c r="AA31" s="349"/>
      <c r="AB31" s="350"/>
      <c r="AC31" s="350"/>
      <c r="AD31" s="348"/>
      <c r="AE31" s="349"/>
      <c r="AF31" s="350"/>
      <c r="AG31" s="350"/>
      <c r="AH31" s="351"/>
      <c r="AI31" s="335"/>
      <c r="AJ31" s="350"/>
      <c r="AK31" s="348"/>
      <c r="AL31" s="349"/>
      <c r="AM31" s="350"/>
      <c r="AN31" s="350"/>
      <c r="AO31" s="348"/>
      <c r="AP31" s="349"/>
      <c r="AQ31" s="350"/>
      <c r="AR31" s="350"/>
      <c r="AS31" s="348"/>
      <c r="AT31" s="349"/>
      <c r="AU31" s="350"/>
      <c r="AV31" s="345"/>
      <c r="AW31" s="346"/>
      <c r="AX31" s="1731"/>
      <c r="AY31" s="353"/>
      <c r="AZ31" s="373"/>
      <c r="BA31" s="347"/>
      <c r="BB31" s="348"/>
      <c r="BC31" s="349"/>
      <c r="BD31" s="350"/>
      <c r="BE31" s="374"/>
      <c r="BF31" s="348"/>
      <c r="BG31" s="349"/>
      <c r="BH31" s="374"/>
      <c r="BI31" s="350"/>
      <c r="BJ31" s="348"/>
      <c r="BK31" s="349"/>
      <c r="BL31" s="350"/>
      <c r="BM31" s="350"/>
      <c r="BN31" s="348"/>
      <c r="BO31" s="335"/>
      <c r="BP31" s="352"/>
      <c r="BQ31" s="348"/>
      <c r="BR31" s="349"/>
      <c r="BS31" s="350"/>
      <c r="BT31" s="350"/>
      <c r="BU31" s="348"/>
      <c r="BV31" s="349"/>
      <c r="BW31" s="350"/>
      <c r="BX31" s="350"/>
      <c r="BY31" s="348"/>
      <c r="BZ31" s="349"/>
      <c r="CA31" s="350"/>
      <c r="CB31" s="350"/>
      <c r="CC31" s="351"/>
      <c r="CD31" s="335"/>
      <c r="CE31" s="350"/>
      <c r="CF31" s="348"/>
      <c r="CG31" s="349"/>
      <c r="CH31" s="350"/>
      <c r="CI31" s="350"/>
      <c r="CJ31" s="348"/>
      <c r="CK31" s="349"/>
      <c r="CL31" s="350"/>
      <c r="CM31" s="350"/>
      <c r="CN31" s="348"/>
      <c r="CO31" s="349"/>
      <c r="CP31" s="350"/>
      <c r="CQ31" s="345"/>
      <c r="CR31" s="346"/>
      <c r="CS31" s="1769"/>
      <c r="CT31" s="1638"/>
      <c r="CU31" s="1638"/>
      <c r="CV31" s="1638"/>
      <c r="CW31" s="1638"/>
      <c r="CX31" s="1638"/>
      <c r="CY31" s="1638"/>
      <c r="CZ31" s="1639"/>
    </row>
    <row r="32" spans="1:105" ht="15.75" hidden="1" customHeight="1" thickBot="1" x14ac:dyDescent="0.35">
      <c r="A32" s="1718"/>
      <c r="B32" s="1666"/>
      <c r="C32" s="1707"/>
      <c r="D32" s="337"/>
      <c r="E32" s="338"/>
      <c r="F32" s="339"/>
      <c r="G32" s="340"/>
      <c r="H32" s="337"/>
      <c r="I32" s="341"/>
      <c r="J32" s="341"/>
      <c r="K32" s="340"/>
      <c r="L32" s="337"/>
      <c r="M32" s="341"/>
      <c r="N32" s="341"/>
      <c r="O32" s="340"/>
      <c r="P32" s="337"/>
      <c r="Q32" s="341"/>
      <c r="R32" s="341"/>
      <c r="S32" s="340"/>
      <c r="T32" s="342"/>
      <c r="U32" s="343"/>
      <c r="V32" s="340"/>
      <c r="W32" s="337"/>
      <c r="X32" s="341"/>
      <c r="Y32" s="341"/>
      <c r="Z32" s="340"/>
      <c r="AA32" s="337"/>
      <c r="AB32" s="341"/>
      <c r="AC32" s="341"/>
      <c r="AD32" s="340"/>
      <c r="AE32" s="337"/>
      <c r="AF32" s="341"/>
      <c r="AG32" s="341"/>
      <c r="AH32" s="340"/>
      <c r="AI32" s="342"/>
      <c r="AJ32" s="344"/>
      <c r="AK32" s="340"/>
      <c r="AL32" s="337"/>
      <c r="AM32" s="341"/>
      <c r="AN32" s="341"/>
      <c r="AO32" s="340"/>
      <c r="AP32" s="337"/>
      <c r="AQ32" s="341"/>
      <c r="AR32" s="341"/>
      <c r="AS32" s="340"/>
      <c r="AT32" s="337"/>
      <c r="AU32" s="341"/>
      <c r="AV32" s="341"/>
      <c r="AW32" s="338"/>
      <c r="AX32" s="1732"/>
      <c r="AY32" s="409"/>
      <c r="AZ32" s="892"/>
      <c r="BA32" s="893"/>
      <c r="BB32" s="411"/>
      <c r="BC32" s="409"/>
      <c r="BD32" s="410"/>
      <c r="BE32" s="410"/>
      <c r="BF32" s="411"/>
      <c r="BG32" s="409"/>
      <c r="BH32" s="410"/>
      <c r="BI32" s="410"/>
      <c r="BJ32" s="411"/>
      <c r="BK32" s="409"/>
      <c r="BL32" s="410"/>
      <c r="BM32" s="410"/>
      <c r="BN32" s="411"/>
      <c r="BO32" s="564"/>
      <c r="BP32" s="564"/>
      <c r="BQ32" s="896"/>
      <c r="BR32" s="897"/>
      <c r="BS32" s="898"/>
      <c r="BT32" s="898"/>
      <c r="BU32" s="896"/>
      <c r="BV32" s="897"/>
      <c r="BW32" s="898"/>
      <c r="BX32" s="898"/>
      <c r="BY32" s="896"/>
      <c r="BZ32" s="897"/>
      <c r="CA32" s="898"/>
      <c r="CB32" s="898"/>
      <c r="CC32" s="899"/>
      <c r="CD32" s="894"/>
      <c r="CE32" s="410"/>
      <c r="CF32" s="411"/>
      <c r="CG32" s="897"/>
      <c r="CH32" s="898"/>
      <c r="CI32" s="898"/>
      <c r="CJ32" s="896"/>
      <c r="CK32" s="897"/>
      <c r="CL32" s="898"/>
      <c r="CM32" s="898"/>
      <c r="CN32" s="896"/>
      <c r="CO32" s="897"/>
      <c r="CP32" s="898"/>
      <c r="CQ32" s="898"/>
      <c r="CR32" s="899"/>
      <c r="CS32" s="1770"/>
      <c r="CT32" s="1641"/>
      <c r="CU32" s="1641"/>
      <c r="CV32" s="1641"/>
      <c r="CW32" s="1641"/>
      <c r="CX32" s="1641"/>
      <c r="CY32" s="1641"/>
      <c r="CZ32" s="1642"/>
    </row>
    <row r="33" spans="1:105" ht="15" customHeight="1" x14ac:dyDescent="0.3">
      <c r="A33" s="1708" t="s">
        <v>493</v>
      </c>
      <c r="B33" s="598" t="s">
        <v>154</v>
      </c>
      <c r="C33" s="599"/>
      <c r="D33" s="321"/>
      <c r="E33" s="322"/>
      <c r="F33" s="323"/>
      <c r="G33" s="324"/>
      <c r="H33" s="321"/>
      <c r="I33" s="325"/>
      <c r="J33" s="325"/>
      <c r="K33" s="324"/>
      <c r="L33" s="321"/>
      <c r="M33" s="325"/>
      <c r="N33" s="325"/>
      <c r="O33" s="324"/>
      <c r="P33" s="321"/>
      <c r="Q33" s="322"/>
      <c r="R33" s="323"/>
      <c r="S33" s="324"/>
      <c r="T33" s="335"/>
      <c r="U33" s="335"/>
      <c r="V33" s="332"/>
      <c r="W33" s="329"/>
      <c r="X33" s="333"/>
      <c r="Y33" s="333"/>
      <c r="Z33" s="332"/>
      <c r="AA33" s="329"/>
      <c r="AB33" s="333"/>
      <c r="AC33" s="333"/>
      <c r="AD33" s="332"/>
      <c r="AE33" s="329"/>
      <c r="AF33" s="333"/>
      <c r="AG33" s="333"/>
      <c r="AH33" s="332"/>
      <c r="AI33" s="334"/>
      <c r="AJ33" s="336"/>
      <c r="AK33" s="332"/>
      <c r="AL33" s="329"/>
      <c r="AM33" s="333"/>
      <c r="AN33" s="333"/>
      <c r="AO33" s="332"/>
      <c r="AP33" s="329"/>
      <c r="AQ33" s="333"/>
      <c r="AR33" s="333"/>
      <c r="AS33" s="332"/>
      <c r="AT33" s="329"/>
      <c r="AU33" s="333"/>
      <c r="AV33" s="333"/>
      <c r="AW33" s="330"/>
      <c r="AX33" s="600"/>
      <c r="AY33" s="321"/>
      <c r="AZ33" s="322"/>
      <c r="BA33" s="323"/>
      <c r="BB33" s="324"/>
      <c r="BC33" s="321"/>
      <c r="BD33" s="325"/>
      <c r="BE33" s="325"/>
      <c r="BF33" s="324"/>
      <c r="BG33" s="321"/>
      <c r="BH33" s="325"/>
      <c r="BI33" s="325"/>
      <c r="BJ33" s="324"/>
      <c r="BK33" s="321"/>
      <c r="BL33" s="325"/>
      <c r="BM33" s="325"/>
      <c r="BN33" s="324"/>
      <c r="BO33" s="334"/>
      <c r="BP33" s="335"/>
      <c r="BQ33" s="332"/>
      <c r="BR33" s="329"/>
      <c r="BS33" s="333"/>
      <c r="BT33" s="333"/>
      <c r="BU33" s="332"/>
      <c r="BV33" s="329"/>
      <c r="BW33" s="333"/>
      <c r="BX33" s="333"/>
      <c r="BY33" s="332"/>
      <c r="BZ33" s="329"/>
      <c r="CA33" s="333"/>
      <c r="CB33" s="333"/>
      <c r="CC33" s="332"/>
      <c r="CD33" s="334"/>
      <c r="CE33" s="595"/>
      <c r="CF33" s="332"/>
      <c r="CG33" s="329"/>
      <c r="CH33" s="333"/>
      <c r="CI33" s="333"/>
      <c r="CJ33" s="332"/>
      <c r="CK33" s="329"/>
      <c r="CL33" s="333"/>
      <c r="CM33" s="333"/>
      <c r="CN33" s="332"/>
      <c r="CO33" s="329"/>
      <c r="CP33" s="333"/>
      <c r="CQ33" s="333"/>
      <c r="CR33" s="332"/>
      <c r="CS33" s="600"/>
      <c r="CT33" s="1628"/>
      <c r="CU33" s="1629"/>
      <c r="CV33" s="1629"/>
      <c r="CW33" s="1629"/>
      <c r="CX33" s="1629"/>
      <c r="CY33" s="1629"/>
      <c r="CZ33" s="1630"/>
    </row>
    <row r="34" spans="1:105" ht="3" customHeight="1" x14ac:dyDescent="0.3">
      <c r="A34" s="1709"/>
      <c r="B34" s="1665" t="s">
        <v>155</v>
      </c>
      <c r="C34" s="1706"/>
      <c r="D34" s="353"/>
      <c r="E34" s="373"/>
      <c r="F34" s="347"/>
      <c r="G34" s="348"/>
      <c r="H34" s="349"/>
      <c r="I34" s="350"/>
      <c r="J34" s="374"/>
      <c r="K34" s="348"/>
      <c r="L34" s="349"/>
      <c r="M34" s="374"/>
      <c r="N34" s="350"/>
      <c r="O34" s="348"/>
      <c r="P34" s="349"/>
      <c r="Q34" s="350"/>
      <c r="R34" s="350"/>
      <c r="S34" s="348"/>
      <c r="T34" s="335"/>
      <c r="U34" s="352"/>
      <c r="V34" s="348"/>
      <c r="W34" s="349"/>
      <c r="X34" s="350"/>
      <c r="Y34" s="350"/>
      <c r="Z34" s="348"/>
      <c r="AA34" s="349"/>
      <c r="AB34" s="350"/>
      <c r="AC34" s="350"/>
      <c r="AD34" s="348"/>
      <c r="AE34" s="349"/>
      <c r="AF34" s="350"/>
      <c r="AG34" s="350"/>
      <c r="AH34" s="351"/>
      <c r="AI34" s="335"/>
      <c r="AJ34" s="350"/>
      <c r="AK34" s="348"/>
      <c r="AL34" s="349"/>
      <c r="AM34" s="350"/>
      <c r="AN34" s="350"/>
      <c r="AO34" s="348"/>
      <c r="AP34" s="349"/>
      <c r="AQ34" s="350"/>
      <c r="AR34" s="350"/>
      <c r="AS34" s="348"/>
      <c r="AT34" s="349"/>
      <c r="AU34" s="350"/>
      <c r="AV34" s="345"/>
      <c r="AW34" s="346"/>
      <c r="AX34" s="1727"/>
      <c r="AY34" s="345"/>
      <c r="AZ34" s="346"/>
      <c r="BA34" s="347"/>
      <c r="BB34" s="348"/>
      <c r="BC34" s="349"/>
      <c r="BD34" s="350"/>
      <c r="BE34" s="350"/>
      <c r="BF34" s="348"/>
      <c r="BG34" s="349"/>
      <c r="BH34" s="350"/>
      <c r="BI34" s="350"/>
      <c r="BJ34" s="348"/>
      <c r="BK34" s="349"/>
      <c r="BL34" s="350"/>
      <c r="BM34" s="350"/>
      <c r="BN34" s="351"/>
      <c r="BO34" s="335"/>
      <c r="BP34" s="352"/>
      <c r="BQ34" s="348"/>
      <c r="BR34" s="349"/>
      <c r="BS34" s="350"/>
      <c r="BT34" s="350"/>
      <c r="BU34" s="348"/>
      <c r="BV34" s="349"/>
      <c r="BW34" s="350"/>
      <c r="BX34" s="350"/>
      <c r="BY34" s="348"/>
      <c r="BZ34" s="349"/>
      <c r="CA34" s="350"/>
      <c r="CB34" s="350"/>
      <c r="CC34" s="351"/>
      <c r="CD34" s="335"/>
      <c r="CE34" s="350"/>
      <c r="CF34" s="348"/>
      <c r="CG34" s="349"/>
      <c r="CH34" s="350"/>
      <c r="CI34" s="350"/>
      <c r="CJ34" s="348"/>
      <c r="CK34" s="349"/>
      <c r="CL34" s="350"/>
      <c r="CM34" s="350"/>
      <c r="CN34" s="348"/>
      <c r="CO34" s="349"/>
      <c r="CP34" s="350"/>
      <c r="CQ34" s="345"/>
      <c r="CR34" s="346"/>
      <c r="CS34" s="1338"/>
      <c r="CT34" s="1637"/>
      <c r="CU34" s="1638"/>
      <c r="CV34" s="1638"/>
      <c r="CW34" s="1638"/>
      <c r="CX34" s="1638"/>
      <c r="CY34" s="1638"/>
      <c r="CZ34" s="1639"/>
    </row>
    <row r="35" spans="1:105" ht="15" customHeight="1" thickBot="1" x14ac:dyDescent="0.35">
      <c r="A35" s="1710"/>
      <c r="B35" s="1666"/>
      <c r="C35" s="1707"/>
      <c r="D35" s="337"/>
      <c r="E35" s="338"/>
      <c r="F35" s="339"/>
      <c r="G35" s="340"/>
      <c r="H35" s="337"/>
      <c r="I35" s="341"/>
      <c r="J35" s="341"/>
      <c r="K35" s="340"/>
      <c r="L35" s="337"/>
      <c r="M35" s="341"/>
      <c r="N35" s="341"/>
      <c r="O35" s="340"/>
      <c r="P35" s="337"/>
      <c r="Q35" s="341"/>
      <c r="R35" s="341"/>
      <c r="S35" s="340"/>
      <c r="T35" s="335"/>
      <c r="U35" s="335"/>
      <c r="V35" s="332"/>
      <c r="W35" s="329"/>
      <c r="X35" s="333"/>
      <c r="Y35" s="333"/>
      <c r="Z35" s="332"/>
      <c r="AA35" s="329"/>
      <c r="AB35" s="333"/>
      <c r="AC35" s="333"/>
      <c r="AD35" s="332"/>
      <c r="AE35" s="329"/>
      <c r="AF35" s="333"/>
      <c r="AG35" s="333"/>
      <c r="AH35" s="332"/>
      <c r="AI35" s="334"/>
      <c r="AJ35" s="336"/>
      <c r="AK35" s="332"/>
      <c r="AL35" s="329"/>
      <c r="AM35" s="333"/>
      <c r="AN35" s="333"/>
      <c r="AO35" s="332"/>
      <c r="AP35" s="329"/>
      <c r="AQ35" s="333"/>
      <c r="AR35" s="333"/>
      <c r="AS35" s="332"/>
      <c r="AT35" s="329"/>
      <c r="AU35" s="333"/>
      <c r="AV35" s="333"/>
      <c r="AW35" s="330"/>
      <c r="AX35" s="1728"/>
      <c r="AY35" s="337"/>
      <c r="AZ35" s="338"/>
      <c r="BA35" s="339"/>
      <c r="BB35" s="340"/>
      <c r="BC35" s="329"/>
      <c r="BD35" s="333"/>
      <c r="BE35" s="333"/>
      <c r="BF35" s="332"/>
      <c r="BG35" s="329"/>
      <c r="BH35" s="333"/>
      <c r="BI35" s="333"/>
      <c r="BJ35" s="332"/>
      <c r="BK35" s="329"/>
      <c r="BL35" s="333"/>
      <c r="BM35" s="333"/>
      <c r="BN35" s="332"/>
      <c r="BO35" s="334"/>
      <c r="BP35" s="335"/>
      <c r="BQ35" s="332"/>
      <c r="BR35" s="329"/>
      <c r="BS35" s="333"/>
      <c r="BT35" s="333"/>
      <c r="BU35" s="332"/>
      <c r="BV35" s="329"/>
      <c r="BW35" s="333"/>
      <c r="BX35" s="333"/>
      <c r="BY35" s="332"/>
      <c r="BZ35" s="329"/>
      <c r="CA35" s="333"/>
      <c r="CB35" s="333"/>
      <c r="CC35" s="332"/>
      <c r="CD35" s="334"/>
      <c r="CE35" s="595"/>
      <c r="CF35" s="332"/>
      <c r="CG35" s="329"/>
      <c r="CH35" s="333"/>
      <c r="CI35" s="333"/>
      <c r="CJ35" s="332"/>
      <c r="CK35" s="329"/>
      <c r="CL35" s="333"/>
      <c r="CM35" s="333"/>
      <c r="CN35" s="332"/>
      <c r="CO35" s="329"/>
      <c r="CP35" s="333"/>
      <c r="CQ35" s="333"/>
      <c r="CR35" s="332"/>
      <c r="CS35" s="1339"/>
      <c r="CT35" s="1640"/>
      <c r="CU35" s="1641"/>
      <c r="CV35" s="1641"/>
      <c r="CW35" s="1641"/>
      <c r="CX35" s="1641"/>
      <c r="CY35" s="1641"/>
      <c r="CZ35" s="1642"/>
    </row>
    <row r="36" spans="1:105" ht="15" hidden="1" customHeight="1" x14ac:dyDescent="0.3">
      <c r="A36" s="1717" t="s">
        <v>516</v>
      </c>
      <c r="B36" s="598" t="s">
        <v>154</v>
      </c>
      <c r="C36" s="917"/>
      <c r="D36" s="329"/>
      <c r="E36" s="330"/>
      <c r="F36" s="331"/>
      <c r="G36" s="332"/>
      <c r="H36" s="329"/>
      <c r="I36" s="333"/>
      <c r="J36" s="333"/>
      <c r="K36" s="332"/>
      <c r="L36" s="329"/>
      <c r="M36" s="333"/>
      <c r="N36" s="333"/>
      <c r="O36" s="332"/>
      <c r="P36" s="329"/>
      <c r="Q36" s="330"/>
      <c r="R36" s="331"/>
      <c r="S36" s="332"/>
      <c r="T36" s="326"/>
      <c r="U36" s="327"/>
      <c r="V36" s="324"/>
      <c r="W36" s="321"/>
      <c r="X36" s="325"/>
      <c r="Y36" s="325"/>
      <c r="Z36" s="324"/>
      <c r="AA36" s="321"/>
      <c r="AB36" s="325"/>
      <c r="AC36" s="325"/>
      <c r="AD36" s="324"/>
      <c r="AE36" s="321"/>
      <c r="AF36" s="325"/>
      <c r="AG36" s="325"/>
      <c r="AH36" s="324"/>
      <c r="AI36" s="326"/>
      <c r="AJ36" s="328"/>
      <c r="AK36" s="324"/>
      <c r="AL36" s="321"/>
      <c r="AM36" s="325"/>
      <c r="AN36" s="325"/>
      <c r="AO36" s="324"/>
      <c r="AP36" s="321"/>
      <c r="AQ36" s="325"/>
      <c r="AR36" s="325"/>
      <c r="AS36" s="324"/>
      <c r="AT36" s="321"/>
      <c r="AU36" s="325"/>
      <c r="AV36" s="325"/>
      <c r="AW36" s="324"/>
      <c r="AX36" s="601"/>
      <c r="AY36" s="321"/>
      <c r="AZ36" s="322"/>
      <c r="BA36" s="323"/>
      <c r="BB36" s="324"/>
      <c r="BC36" s="321"/>
      <c r="BD36" s="325"/>
      <c r="BE36" s="325"/>
      <c r="BF36" s="324"/>
      <c r="BG36" s="321"/>
      <c r="BH36" s="325"/>
      <c r="BI36" s="325"/>
      <c r="BJ36" s="324"/>
      <c r="BK36" s="321"/>
      <c r="BL36" s="325"/>
      <c r="BM36" s="325"/>
      <c r="BN36" s="324"/>
      <c r="BO36" s="326"/>
      <c r="BP36" s="327"/>
      <c r="BQ36" s="324"/>
      <c r="BR36" s="321"/>
      <c r="BS36" s="325"/>
      <c r="BT36" s="325"/>
      <c r="BU36" s="324"/>
      <c r="BV36" s="321"/>
      <c r="BW36" s="325"/>
      <c r="BX36" s="325"/>
      <c r="BY36" s="324"/>
      <c r="BZ36" s="321"/>
      <c r="CA36" s="325"/>
      <c r="CB36" s="325"/>
      <c r="CC36" s="324"/>
      <c r="CD36" s="326"/>
      <c r="CE36" s="328"/>
      <c r="CF36" s="324"/>
      <c r="CG36" s="321"/>
      <c r="CH36" s="325"/>
      <c r="CI36" s="325"/>
      <c r="CJ36" s="324"/>
      <c r="CK36" s="321"/>
      <c r="CL36" s="325"/>
      <c r="CM36" s="325"/>
      <c r="CN36" s="324"/>
      <c r="CO36" s="321"/>
      <c r="CP36" s="325"/>
      <c r="CQ36" s="325"/>
      <c r="CR36" s="324"/>
      <c r="CS36" s="601"/>
      <c r="CT36" s="1628"/>
      <c r="CU36" s="1629"/>
      <c r="CV36" s="1629"/>
      <c r="CW36" s="1629"/>
      <c r="CX36" s="1629"/>
      <c r="CY36" s="1629"/>
      <c r="CZ36" s="1630"/>
    </row>
    <row r="37" spans="1:105" ht="3" hidden="1" customHeight="1" x14ac:dyDescent="0.3">
      <c r="A37" s="1718"/>
      <c r="B37" s="1665" t="s">
        <v>155</v>
      </c>
      <c r="C37" s="1735"/>
      <c r="D37" s="353"/>
      <c r="E37" s="346"/>
      <c r="F37" s="347"/>
      <c r="G37" s="348"/>
      <c r="H37" s="349"/>
      <c r="I37" s="350"/>
      <c r="J37" s="350"/>
      <c r="K37" s="348"/>
      <c r="L37" s="349"/>
      <c r="M37" s="350"/>
      <c r="N37" s="350"/>
      <c r="O37" s="348"/>
      <c r="P37" s="349"/>
      <c r="Q37" s="350"/>
      <c r="R37" s="350"/>
      <c r="S37" s="348"/>
      <c r="T37" s="334"/>
      <c r="U37" s="352"/>
      <c r="V37" s="348"/>
      <c r="W37" s="349"/>
      <c r="X37" s="350"/>
      <c r="Y37" s="350"/>
      <c r="Z37" s="348"/>
      <c r="AA37" s="349"/>
      <c r="AB37" s="350"/>
      <c r="AC37" s="350"/>
      <c r="AD37" s="348"/>
      <c r="AE37" s="349"/>
      <c r="AF37" s="350"/>
      <c r="AG37" s="350"/>
      <c r="AH37" s="351"/>
      <c r="AI37" s="335"/>
      <c r="AJ37" s="350"/>
      <c r="AK37" s="348"/>
      <c r="AL37" s="349"/>
      <c r="AM37" s="350"/>
      <c r="AN37" s="350"/>
      <c r="AO37" s="348"/>
      <c r="AP37" s="349"/>
      <c r="AQ37" s="350"/>
      <c r="AR37" s="350"/>
      <c r="AS37" s="348"/>
      <c r="AT37" s="349"/>
      <c r="AU37" s="350"/>
      <c r="AV37" s="345"/>
      <c r="AW37" s="346"/>
      <c r="AX37" s="1727"/>
      <c r="AY37" s="368"/>
      <c r="AZ37" s="369"/>
      <c r="BA37" s="369"/>
      <c r="BB37" s="370"/>
      <c r="BC37" s="371"/>
      <c r="BD37" s="368"/>
      <c r="BE37" s="368"/>
      <c r="BF37" s="370"/>
      <c r="BG37" s="371"/>
      <c r="BH37" s="368"/>
      <c r="BI37" s="368"/>
      <c r="BJ37" s="370"/>
      <c r="BK37" s="371"/>
      <c r="BL37" s="368"/>
      <c r="BM37" s="368"/>
      <c r="BN37" s="372"/>
      <c r="BO37" s="334"/>
      <c r="BP37" s="352"/>
      <c r="BQ37" s="370"/>
      <c r="BR37" s="371"/>
      <c r="BS37" s="368"/>
      <c r="BT37" s="368"/>
      <c r="BU37" s="370"/>
      <c r="BV37" s="371"/>
      <c r="BW37" s="368"/>
      <c r="BX37" s="368"/>
      <c r="BY37" s="370"/>
      <c r="BZ37" s="371"/>
      <c r="CA37" s="368"/>
      <c r="CB37" s="368"/>
      <c r="CC37" s="372"/>
      <c r="CD37" s="335"/>
      <c r="CE37" s="368"/>
      <c r="CF37" s="370"/>
      <c r="CG37" s="371"/>
      <c r="CH37" s="368"/>
      <c r="CI37" s="368"/>
      <c r="CJ37" s="370"/>
      <c r="CK37" s="371"/>
      <c r="CL37" s="368"/>
      <c r="CM37" s="368"/>
      <c r="CN37" s="370"/>
      <c r="CO37" s="371"/>
      <c r="CP37" s="368"/>
      <c r="CQ37" s="368"/>
      <c r="CR37" s="369"/>
      <c r="CS37" s="1338"/>
      <c r="CT37" s="1637"/>
      <c r="CU37" s="1638"/>
      <c r="CV37" s="1638"/>
      <c r="CW37" s="1638"/>
      <c r="CX37" s="1638"/>
      <c r="CY37" s="1638"/>
      <c r="CZ37" s="1639"/>
    </row>
    <row r="38" spans="1:105" ht="15" hidden="1" customHeight="1" thickBot="1" x14ac:dyDescent="0.35">
      <c r="A38" s="1718"/>
      <c r="B38" s="1666"/>
      <c r="C38" s="1736"/>
      <c r="D38" s="341"/>
      <c r="E38" s="338"/>
      <c r="F38" s="339"/>
      <c r="G38" s="340"/>
      <c r="H38" s="337"/>
      <c r="I38" s="341"/>
      <c r="J38" s="341"/>
      <c r="K38" s="340"/>
      <c r="L38" s="337"/>
      <c r="M38" s="341"/>
      <c r="N38" s="341"/>
      <c r="O38" s="340"/>
      <c r="P38" s="337"/>
      <c r="Q38" s="341"/>
      <c r="R38" s="341"/>
      <c r="S38" s="340"/>
      <c r="T38" s="342"/>
      <c r="U38" s="343"/>
      <c r="V38" s="340"/>
      <c r="W38" s="337"/>
      <c r="X38" s="341"/>
      <c r="Y38" s="341"/>
      <c r="Z38" s="340"/>
      <c r="AA38" s="337"/>
      <c r="AB38" s="341"/>
      <c r="AC38" s="341"/>
      <c r="AD38" s="340"/>
      <c r="AE38" s="337"/>
      <c r="AF38" s="341"/>
      <c r="AG38" s="341"/>
      <c r="AH38" s="340"/>
      <c r="AI38" s="342"/>
      <c r="AJ38" s="344"/>
      <c r="AK38" s="340"/>
      <c r="AL38" s="337"/>
      <c r="AM38" s="341"/>
      <c r="AN38" s="341"/>
      <c r="AO38" s="340"/>
      <c r="AP38" s="337"/>
      <c r="AQ38" s="341"/>
      <c r="AR38" s="341"/>
      <c r="AS38" s="340"/>
      <c r="AT38" s="337"/>
      <c r="AU38" s="341"/>
      <c r="AV38" s="341"/>
      <c r="AW38" s="340"/>
      <c r="AX38" s="1728"/>
      <c r="AY38" s="337"/>
      <c r="AZ38" s="338"/>
      <c r="BA38" s="339"/>
      <c r="BB38" s="340"/>
      <c r="BC38" s="337"/>
      <c r="BD38" s="341"/>
      <c r="BE38" s="341"/>
      <c r="BF38" s="340"/>
      <c r="BG38" s="337"/>
      <c r="BH38" s="341"/>
      <c r="BI38" s="341"/>
      <c r="BJ38" s="340"/>
      <c r="BK38" s="337"/>
      <c r="BL38" s="341"/>
      <c r="BM38" s="341"/>
      <c r="BN38" s="340"/>
      <c r="BO38" s="342"/>
      <c r="BP38" s="343"/>
      <c r="BQ38" s="340"/>
      <c r="BR38" s="337"/>
      <c r="BS38" s="341"/>
      <c r="BT38" s="341"/>
      <c r="BU38" s="340"/>
      <c r="BV38" s="337"/>
      <c r="BW38" s="341"/>
      <c r="BX38" s="341"/>
      <c r="BY38" s="340"/>
      <c r="BZ38" s="337"/>
      <c r="CA38" s="341"/>
      <c r="CB38" s="341"/>
      <c r="CC38" s="340"/>
      <c r="CD38" s="342"/>
      <c r="CE38" s="344"/>
      <c r="CF38" s="340"/>
      <c r="CG38" s="337"/>
      <c r="CH38" s="341"/>
      <c r="CI38" s="341"/>
      <c r="CJ38" s="340"/>
      <c r="CK38" s="337"/>
      <c r="CL38" s="341"/>
      <c r="CM38" s="341"/>
      <c r="CN38" s="340"/>
      <c r="CO38" s="337"/>
      <c r="CP38" s="341"/>
      <c r="CQ38" s="341"/>
      <c r="CR38" s="340"/>
      <c r="CS38" s="1339"/>
      <c r="CT38" s="1640"/>
      <c r="CU38" s="1641"/>
      <c r="CV38" s="1641"/>
      <c r="CW38" s="1641"/>
      <c r="CX38" s="1641"/>
      <c r="CY38" s="1641"/>
      <c r="CZ38" s="1642"/>
    </row>
    <row r="39" spans="1:105" ht="15.75" customHeight="1" thickBot="1" x14ac:dyDescent="0.35">
      <c r="A39" s="218" t="s">
        <v>24</v>
      </c>
      <c r="B39" s="1767"/>
      <c r="C39" s="1768"/>
      <c r="D39" s="1663"/>
      <c r="E39" s="1663"/>
      <c r="F39" s="1663"/>
      <c r="G39" s="1663"/>
      <c r="H39" s="1663"/>
      <c r="I39" s="1663"/>
      <c r="J39" s="1663"/>
      <c r="K39" s="1663"/>
      <c r="L39" s="1663"/>
      <c r="M39" s="1663"/>
      <c r="N39" s="1663"/>
      <c r="O39" s="1663"/>
      <c r="P39" s="1663"/>
      <c r="Q39" s="1663"/>
      <c r="R39" s="1663"/>
      <c r="S39" s="1663"/>
      <c r="T39" s="1663"/>
      <c r="U39" s="1663"/>
      <c r="V39" s="1663"/>
      <c r="W39" s="1663"/>
      <c r="X39" s="1663"/>
      <c r="Y39" s="1663"/>
      <c r="Z39" s="1663"/>
      <c r="AA39" s="1663"/>
      <c r="AB39" s="1663"/>
      <c r="AC39" s="1663"/>
      <c r="AD39" s="1663"/>
      <c r="AE39" s="1663"/>
      <c r="AF39" s="1663"/>
      <c r="AG39" s="1663"/>
      <c r="AH39" s="1663"/>
      <c r="AI39" s="1663"/>
      <c r="AJ39" s="1663"/>
      <c r="AK39" s="1663"/>
      <c r="AL39" s="1663"/>
      <c r="AM39" s="1663"/>
      <c r="AN39" s="1663"/>
      <c r="AO39" s="1663"/>
      <c r="AP39" s="1663"/>
      <c r="AQ39" s="1663"/>
      <c r="AR39" s="1663"/>
      <c r="AS39" s="1663"/>
      <c r="AT39" s="1663"/>
      <c r="AU39" s="1663"/>
      <c r="AV39" s="1663"/>
      <c r="AW39" s="1663"/>
      <c r="AX39" s="1663"/>
      <c r="AY39" s="1663"/>
      <c r="AZ39" s="1663"/>
      <c r="BA39" s="1663"/>
      <c r="BB39" s="1663"/>
      <c r="BC39" s="1663"/>
      <c r="BD39" s="1663"/>
      <c r="BE39" s="1663"/>
      <c r="BF39" s="1663"/>
      <c r="BG39" s="1663"/>
      <c r="BH39" s="1663"/>
      <c r="BI39" s="1663"/>
      <c r="BJ39" s="1663"/>
      <c r="BK39" s="1663"/>
      <c r="BL39" s="1663"/>
      <c r="BM39" s="1663"/>
      <c r="BN39" s="1663"/>
      <c r="BO39" s="1663"/>
      <c r="BP39" s="1663"/>
      <c r="BQ39" s="1663"/>
      <c r="BR39" s="1663"/>
      <c r="BS39" s="1663"/>
      <c r="BT39" s="1663"/>
      <c r="BU39" s="1663"/>
      <c r="BV39" s="1663"/>
      <c r="BW39" s="1663"/>
      <c r="BX39" s="1663"/>
      <c r="BY39" s="1663"/>
      <c r="BZ39" s="1663"/>
      <c r="CA39" s="1663"/>
      <c r="CB39" s="1663"/>
      <c r="CC39" s="1663"/>
      <c r="CD39" s="1663"/>
      <c r="CE39" s="1663"/>
      <c r="CF39" s="1663"/>
      <c r="CG39" s="1663"/>
      <c r="CH39" s="1663"/>
      <c r="CI39" s="1663"/>
      <c r="CJ39" s="1663"/>
      <c r="CK39" s="1663"/>
      <c r="CL39" s="1663"/>
      <c r="CM39" s="1663"/>
      <c r="CN39" s="1663"/>
      <c r="CO39" s="1663"/>
      <c r="CP39" s="1663"/>
      <c r="CQ39" s="1663"/>
      <c r="CR39" s="1663"/>
      <c r="CS39" s="1663"/>
      <c r="CT39" s="1663"/>
      <c r="CU39" s="1663"/>
      <c r="CV39" s="1663"/>
      <c r="CW39" s="1663"/>
      <c r="CX39" s="1663"/>
      <c r="CY39" s="1663"/>
      <c r="CZ39" s="1664"/>
    </row>
    <row r="40" spans="1:105" x14ac:dyDescent="0.3">
      <c r="A40" s="1631" t="s">
        <v>216</v>
      </c>
      <c r="B40" s="591" t="s">
        <v>154</v>
      </c>
      <c r="C40" s="1711"/>
      <c r="D40" s="325"/>
      <c r="E40" s="322"/>
      <c r="F40" s="323"/>
      <c r="G40" s="324"/>
      <c r="H40" s="321"/>
      <c r="I40" s="325"/>
      <c r="J40" s="325"/>
      <c r="K40" s="324"/>
      <c r="L40" s="321"/>
      <c r="M40" s="325"/>
      <c r="N40" s="325"/>
      <c r="O40" s="324"/>
      <c r="P40" s="321"/>
      <c r="Q40" s="325"/>
      <c r="R40" s="325"/>
      <c r="S40" s="324"/>
      <c r="T40" s="326"/>
      <c r="U40" s="327"/>
      <c r="V40" s="324"/>
      <c r="W40" s="321"/>
      <c r="X40" s="325"/>
      <c r="Y40" s="325"/>
      <c r="Z40" s="324"/>
      <c r="AA40" s="321"/>
      <c r="AB40" s="325"/>
      <c r="AC40" s="325"/>
      <c r="AD40" s="324"/>
      <c r="AE40" s="321"/>
      <c r="AF40" s="325"/>
      <c r="AG40" s="325"/>
      <c r="AH40" s="324"/>
      <c r="AI40" s="326"/>
      <c r="AJ40" s="328"/>
      <c r="AK40" s="324"/>
      <c r="AL40" s="321"/>
      <c r="AM40" s="325"/>
      <c r="AN40" s="325"/>
      <c r="AO40" s="324"/>
      <c r="AP40" s="321"/>
      <c r="AQ40" s="325"/>
      <c r="AR40" s="325"/>
      <c r="AS40" s="324"/>
      <c r="AT40" s="329"/>
      <c r="AU40" s="325"/>
      <c r="AV40" s="325"/>
      <c r="AW40" s="324"/>
      <c r="AX40" s="592">
        <f>ROUND(Экскаваторы!J14*'Сводка внутр.'!$P$1,0)</f>
        <v>0</v>
      </c>
      <c r="AY40" s="321"/>
      <c r="AZ40" s="322"/>
      <c r="BA40" s="323"/>
      <c r="BB40" s="324"/>
      <c r="BC40" s="321"/>
      <c r="BD40" s="325"/>
      <c r="BE40" s="325"/>
      <c r="BF40" s="324"/>
      <c r="BG40" s="321"/>
      <c r="BH40" s="325"/>
      <c r="BI40" s="325"/>
      <c r="BJ40" s="324"/>
      <c r="BK40" s="321"/>
      <c r="BL40" s="325"/>
      <c r="BM40" s="325"/>
      <c r="BN40" s="324"/>
      <c r="BO40" s="326"/>
      <c r="BP40" s="327"/>
      <c r="BQ40" s="324"/>
      <c r="BR40" s="321"/>
      <c r="BS40" s="325"/>
      <c r="BT40" s="325"/>
      <c r="BU40" s="324"/>
      <c r="BV40" s="321"/>
      <c r="BW40" s="325"/>
      <c r="BX40" s="325"/>
      <c r="BY40" s="324"/>
      <c r="BZ40" s="321"/>
      <c r="CA40" s="325"/>
      <c r="CB40" s="325"/>
      <c r="CC40" s="324"/>
      <c r="CD40" s="326"/>
      <c r="CE40" s="328"/>
      <c r="CF40" s="324"/>
      <c r="CG40" s="321"/>
      <c r="CH40" s="325"/>
      <c r="CI40" s="325"/>
      <c r="CJ40" s="324"/>
      <c r="CK40" s="321"/>
      <c r="CL40" s="325"/>
      <c r="CM40" s="325"/>
      <c r="CN40" s="324"/>
      <c r="CO40" s="321"/>
      <c r="CP40" s="325"/>
      <c r="CQ40" s="325"/>
      <c r="CR40" s="324"/>
      <c r="CS40" s="848">
        <f>ROUND(Экскаваторы!J29*'Сводка внутр.'!$P$1,0)</f>
        <v>0</v>
      </c>
      <c r="CT40" s="1628">
        <f>Экскаваторы!BE14</f>
        <v>0</v>
      </c>
      <c r="CU40" s="1629"/>
      <c r="CV40" s="1629"/>
      <c r="CW40" s="1629"/>
      <c r="CX40" s="1629"/>
      <c r="CY40" s="1629"/>
      <c r="CZ40" s="1630"/>
      <c r="DA40" s="1766">
        <v>43</v>
      </c>
    </row>
    <row r="41" spans="1:105" ht="3" customHeight="1" x14ac:dyDescent="0.3">
      <c r="A41" s="1632"/>
      <c r="B41" s="1667" t="s">
        <v>155</v>
      </c>
      <c r="C41" s="1670"/>
      <c r="D41" s="345"/>
      <c r="E41" s="346"/>
      <c r="F41" s="347"/>
      <c r="G41" s="348"/>
      <c r="H41" s="349"/>
      <c r="I41" s="350"/>
      <c r="J41" s="350"/>
      <c r="K41" s="348"/>
      <c r="L41" s="349"/>
      <c r="M41" s="350"/>
      <c r="N41" s="350"/>
      <c r="O41" s="348"/>
      <c r="P41" s="349"/>
      <c r="Q41" s="350"/>
      <c r="R41" s="350"/>
      <c r="S41" s="348"/>
      <c r="T41" s="334"/>
      <c r="U41" s="352"/>
      <c r="V41" s="348"/>
      <c r="W41" s="349"/>
      <c r="X41" s="350"/>
      <c r="Y41" s="350"/>
      <c r="Z41" s="348"/>
      <c r="AA41" s="349"/>
      <c r="AB41" s="350"/>
      <c r="AC41" s="350"/>
      <c r="AD41" s="348"/>
      <c r="AE41" s="349"/>
      <c r="AF41" s="350"/>
      <c r="AG41" s="350"/>
      <c r="AH41" s="351"/>
      <c r="AI41" s="335"/>
      <c r="AJ41" s="350"/>
      <c r="AK41" s="348"/>
      <c r="AL41" s="349"/>
      <c r="AM41" s="350"/>
      <c r="AN41" s="350"/>
      <c r="AO41" s="348"/>
      <c r="AP41" s="349"/>
      <c r="AQ41" s="350"/>
      <c r="AR41" s="350"/>
      <c r="AS41" s="348"/>
      <c r="AT41" s="349"/>
      <c r="AU41" s="345"/>
      <c r="AV41" s="345"/>
      <c r="AW41" s="346"/>
      <c r="AX41" s="1626">
        <f>ROUND(Экскаваторы!U14,1)</f>
        <v>0</v>
      </c>
      <c r="AY41" s="345"/>
      <c r="AZ41" s="346"/>
      <c r="BA41" s="347"/>
      <c r="BB41" s="348"/>
      <c r="BC41" s="349"/>
      <c r="BD41" s="350"/>
      <c r="BE41" s="350"/>
      <c r="BF41" s="348"/>
      <c r="BG41" s="349"/>
      <c r="BH41" s="350"/>
      <c r="BI41" s="350"/>
      <c r="BJ41" s="348"/>
      <c r="BK41" s="349"/>
      <c r="BL41" s="350"/>
      <c r="BM41" s="350"/>
      <c r="BN41" s="351"/>
      <c r="BO41" s="334"/>
      <c r="BP41" s="352"/>
      <c r="BQ41" s="348"/>
      <c r="BR41" s="349"/>
      <c r="BS41" s="350"/>
      <c r="BT41" s="350"/>
      <c r="BU41" s="348"/>
      <c r="BV41" s="349"/>
      <c r="BW41" s="350"/>
      <c r="BX41" s="350"/>
      <c r="BY41" s="348"/>
      <c r="BZ41" s="349"/>
      <c r="CA41" s="350"/>
      <c r="CB41" s="350"/>
      <c r="CC41" s="351"/>
      <c r="CD41" s="335"/>
      <c r="CE41" s="350"/>
      <c r="CF41" s="348"/>
      <c r="CG41" s="349"/>
      <c r="CH41" s="350"/>
      <c r="CI41" s="350"/>
      <c r="CJ41" s="348"/>
      <c r="CK41" s="349"/>
      <c r="CL41" s="350"/>
      <c r="CM41" s="350"/>
      <c r="CN41" s="348"/>
      <c r="CO41" s="349"/>
      <c r="CP41" s="345"/>
      <c r="CQ41" s="345"/>
      <c r="CR41" s="346"/>
      <c r="CS41" s="1626">
        <f>ROUND(Экскаваторы!U29,1)</f>
        <v>0</v>
      </c>
      <c r="CT41" s="1637">
        <f>Экскаваторы!BE29</f>
        <v>0</v>
      </c>
      <c r="CU41" s="1638"/>
      <c r="CV41" s="1638"/>
      <c r="CW41" s="1638"/>
      <c r="CX41" s="1638"/>
      <c r="CY41" s="1638"/>
      <c r="CZ41" s="1639"/>
      <c r="DA41" s="1766"/>
    </row>
    <row r="42" spans="1:105" ht="15.75" customHeight="1" thickBot="1" x14ac:dyDescent="0.35">
      <c r="A42" s="1721"/>
      <c r="B42" s="1668"/>
      <c r="C42" s="596"/>
      <c r="D42" s="341"/>
      <c r="E42" s="338"/>
      <c r="F42" s="339"/>
      <c r="G42" s="340"/>
      <c r="H42" s="337"/>
      <c r="I42" s="341"/>
      <c r="J42" s="341"/>
      <c r="K42" s="340"/>
      <c r="L42" s="337"/>
      <c r="M42" s="341"/>
      <c r="N42" s="341"/>
      <c r="O42" s="340"/>
      <c r="P42" s="337"/>
      <c r="Q42" s="341"/>
      <c r="R42" s="341"/>
      <c r="S42" s="340"/>
      <c r="T42" s="342"/>
      <c r="U42" s="343"/>
      <c r="V42" s="340"/>
      <c r="W42" s="337"/>
      <c r="X42" s="341"/>
      <c r="Y42" s="341"/>
      <c r="Z42" s="340"/>
      <c r="AA42" s="337"/>
      <c r="AB42" s="341"/>
      <c r="AC42" s="341"/>
      <c r="AD42" s="340"/>
      <c r="AE42" s="337"/>
      <c r="AF42" s="341"/>
      <c r="AG42" s="341"/>
      <c r="AH42" s="340"/>
      <c r="AI42" s="342"/>
      <c r="AJ42" s="344"/>
      <c r="AK42" s="340"/>
      <c r="AL42" s="337"/>
      <c r="AM42" s="341"/>
      <c r="AN42" s="341"/>
      <c r="AO42" s="340"/>
      <c r="AP42" s="337"/>
      <c r="AQ42" s="341"/>
      <c r="AR42" s="341"/>
      <c r="AS42" s="340"/>
      <c r="AT42" s="337"/>
      <c r="AU42" s="341"/>
      <c r="AV42" s="341"/>
      <c r="AW42" s="340"/>
      <c r="AX42" s="1627"/>
      <c r="AY42" s="337"/>
      <c r="AZ42" s="338"/>
      <c r="BA42" s="339"/>
      <c r="BB42" s="340"/>
      <c r="BC42" s="329"/>
      <c r="BD42" s="333"/>
      <c r="BE42" s="333"/>
      <c r="BF42" s="332"/>
      <c r="BG42" s="329"/>
      <c r="BH42" s="333"/>
      <c r="BI42" s="333"/>
      <c r="BJ42" s="332"/>
      <c r="BK42" s="329"/>
      <c r="BL42" s="333"/>
      <c r="BM42" s="333"/>
      <c r="BN42" s="332"/>
      <c r="BO42" s="342"/>
      <c r="BP42" s="343"/>
      <c r="BQ42" s="340"/>
      <c r="BR42" s="337"/>
      <c r="BS42" s="341"/>
      <c r="BT42" s="341"/>
      <c r="BU42" s="340"/>
      <c r="BV42" s="337"/>
      <c r="BW42" s="341"/>
      <c r="BX42" s="341"/>
      <c r="BY42" s="340"/>
      <c r="BZ42" s="337"/>
      <c r="CA42" s="341"/>
      <c r="CB42" s="341"/>
      <c r="CC42" s="340"/>
      <c r="CD42" s="342"/>
      <c r="CE42" s="344"/>
      <c r="CF42" s="340"/>
      <c r="CG42" s="337"/>
      <c r="CH42" s="341"/>
      <c r="CI42" s="341"/>
      <c r="CJ42" s="340"/>
      <c r="CK42" s="337"/>
      <c r="CL42" s="341"/>
      <c r="CM42" s="341"/>
      <c r="CN42" s="340"/>
      <c r="CO42" s="337"/>
      <c r="CP42" s="341"/>
      <c r="CQ42" s="341"/>
      <c r="CR42" s="340"/>
      <c r="CS42" s="1627"/>
      <c r="CT42" s="1640"/>
      <c r="CU42" s="1641"/>
      <c r="CV42" s="1641"/>
      <c r="CW42" s="1641"/>
      <c r="CX42" s="1641"/>
      <c r="CY42" s="1641"/>
      <c r="CZ42" s="1642"/>
      <c r="DA42" s="1766"/>
    </row>
    <row r="43" spans="1:105" ht="16.5" customHeight="1" x14ac:dyDescent="0.3">
      <c r="A43" s="1632" t="s">
        <v>157</v>
      </c>
      <c r="B43" s="591" t="s">
        <v>154</v>
      </c>
      <c r="C43" s="1711"/>
      <c r="D43" s="321"/>
      <c r="E43" s="322"/>
      <c r="F43" s="323"/>
      <c r="G43" s="324"/>
      <c r="H43" s="321"/>
      <c r="I43" s="325"/>
      <c r="J43" s="325"/>
      <c r="K43" s="324"/>
      <c r="L43" s="321"/>
      <c r="M43" s="325"/>
      <c r="N43" s="325"/>
      <c r="O43" s="324"/>
      <c r="P43" s="321"/>
      <c r="Q43" s="325"/>
      <c r="R43" s="325"/>
      <c r="S43" s="324"/>
      <c r="T43" s="326"/>
      <c r="U43" s="327"/>
      <c r="V43" s="324"/>
      <c r="W43" s="321"/>
      <c r="X43" s="325"/>
      <c r="Y43" s="325"/>
      <c r="Z43" s="324"/>
      <c r="AA43" s="321"/>
      <c r="AB43" s="325"/>
      <c r="AC43" s="325"/>
      <c r="AD43" s="324"/>
      <c r="AE43" s="321"/>
      <c r="AF43" s="325"/>
      <c r="AG43" s="325"/>
      <c r="AH43" s="324"/>
      <c r="AI43" s="326"/>
      <c r="AJ43" s="328"/>
      <c r="AK43" s="324"/>
      <c r="AL43" s="321"/>
      <c r="AM43" s="325"/>
      <c r="AN43" s="325"/>
      <c r="AO43" s="324"/>
      <c r="AP43" s="321"/>
      <c r="AQ43" s="325"/>
      <c r="AR43" s="325"/>
      <c r="AS43" s="324"/>
      <c r="AT43" s="321"/>
      <c r="AU43" s="325"/>
      <c r="AV43" s="325"/>
      <c r="AW43" s="324"/>
      <c r="AX43" s="592">
        <f>ROUND(Экскаваторы!J13*'Сводка внутр.'!$P$1,0)</f>
        <v>0</v>
      </c>
      <c r="AY43" s="321"/>
      <c r="AZ43" s="322"/>
      <c r="BA43" s="323"/>
      <c r="BB43" s="324"/>
      <c r="BC43" s="321"/>
      <c r="BD43" s="325"/>
      <c r="BE43" s="325"/>
      <c r="BF43" s="324"/>
      <c r="BG43" s="321"/>
      <c r="BH43" s="325"/>
      <c r="BI43" s="325"/>
      <c r="BJ43" s="324"/>
      <c r="BK43" s="321"/>
      <c r="BL43" s="325"/>
      <c r="BM43" s="325"/>
      <c r="BN43" s="324"/>
      <c r="BO43" s="326"/>
      <c r="BP43" s="327"/>
      <c r="BQ43" s="324"/>
      <c r="BR43" s="321"/>
      <c r="BS43" s="325"/>
      <c r="BT43" s="325"/>
      <c r="BU43" s="324"/>
      <c r="BV43" s="321"/>
      <c r="BW43" s="325"/>
      <c r="BX43" s="325"/>
      <c r="BY43" s="324"/>
      <c r="BZ43" s="321"/>
      <c r="CA43" s="325"/>
      <c r="CB43" s="325"/>
      <c r="CC43" s="324"/>
      <c r="CD43" s="326"/>
      <c r="CE43" s="328"/>
      <c r="CF43" s="324"/>
      <c r="CG43" s="321"/>
      <c r="CH43" s="325"/>
      <c r="CI43" s="325"/>
      <c r="CJ43" s="324"/>
      <c r="CK43" s="321"/>
      <c r="CL43" s="325"/>
      <c r="CM43" s="325"/>
      <c r="CN43" s="324"/>
      <c r="CO43" s="321"/>
      <c r="CP43" s="325"/>
      <c r="CQ43" s="325"/>
      <c r="CR43" s="324"/>
      <c r="CS43" s="848">
        <f>ROUND(Экскаваторы!J28*'Сводка внутр.'!$P$1,0)</f>
        <v>0</v>
      </c>
      <c r="CT43" s="1628">
        <f>Экскаваторы!BE13</f>
        <v>0</v>
      </c>
      <c r="CU43" s="1629"/>
      <c r="CV43" s="1629"/>
      <c r="CW43" s="1629"/>
      <c r="CX43" s="1629"/>
      <c r="CY43" s="1629"/>
      <c r="CZ43" s="1630"/>
      <c r="DA43" s="1766">
        <v>58</v>
      </c>
    </row>
    <row r="44" spans="1:105" ht="3" customHeight="1" x14ac:dyDescent="0.3">
      <c r="A44" s="1632"/>
      <c r="B44" s="1667" t="s">
        <v>155</v>
      </c>
      <c r="C44" s="1670"/>
      <c r="D44" s="456"/>
      <c r="E44" s="457"/>
      <c r="F44" s="457"/>
      <c r="G44" s="458"/>
      <c r="H44" s="456"/>
      <c r="I44" s="459"/>
      <c r="J44" s="459"/>
      <c r="K44" s="458"/>
      <c r="L44" s="456"/>
      <c r="M44" s="459"/>
      <c r="N44" s="459"/>
      <c r="O44" s="458"/>
      <c r="P44" s="456"/>
      <c r="Q44" s="459"/>
      <c r="R44" s="459"/>
      <c r="S44" s="458"/>
      <c r="T44" s="941"/>
      <c r="U44" s="942"/>
      <c r="V44" s="458"/>
      <c r="W44" s="456"/>
      <c r="X44" s="459"/>
      <c r="Y44" s="459"/>
      <c r="Z44" s="458"/>
      <c r="AA44" s="456"/>
      <c r="AB44" s="459"/>
      <c r="AC44" s="459"/>
      <c r="AD44" s="458"/>
      <c r="AE44" s="456"/>
      <c r="AF44" s="459"/>
      <c r="AG44" s="459"/>
      <c r="AH44" s="460"/>
      <c r="AI44" s="943"/>
      <c r="AJ44" s="459"/>
      <c r="AK44" s="458"/>
      <c r="AL44" s="456"/>
      <c r="AM44" s="459"/>
      <c r="AN44" s="459"/>
      <c r="AO44" s="458"/>
      <c r="AP44" s="456"/>
      <c r="AQ44" s="459"/>
      <c r="AR44" s="459"/>
      <c r="AS44" s="458"/>
      <c r="AT44" s="456"/>
      <c r="AU44" s="459"/>
      <c r="AV44" s="459"/>
      <c r="AW44" s="457"/>
      <c r="AX44" s="1626">
        <f>ROUND(Экскаваторы!U13,1)</f>
        <v>0</v>
      </c>
      <c r="AY44" s="456"/>
      <c r="AZ44" s="457"/>
      <c r="BA44" s="457"/>
      <c r="BB44" s="458"/>
      <c r="BC44" s="456"/>
      <c r="BD44" s="459"/>
      <c r="BE44" s="459"/>
      <c r="BF44" s="458"/>
      <c r="BG44" s="456"/>
      <c r="BH44" s="459"/>
      <c r="BI44" s="459"/>
      <c r="BJ44" s="458"/>
      <c r="BK44" s="456"/>
      <c r="BL44" s="459"/>
      <c r="BM44" s="459"/>
      <c r="BN44" s="458"/>
      <c r="BO44" s="941"/>
      <c r="BP44" s="942"/>
      <c r="BQ44" s="458"/>
      <c r="BR44" s="456"/>
      <c r="BS44" s="459"/>
      <c r="BT44" s="459"/>
      <c r="BU44" s="458"/>
      <c r="BV44" s="456"/>
      <c r="BW44" s="459"/>
      <c r="BX44" s="459"/>
      <c r="BY44" s="458"/>
      <c r="BZ44" s="456"/>
      <c r="CA44" s="459"/>
      <c r="CB44" s="459"/>
      <c r="CC44" s="460"/>
      <c r="CD44" s="943"/>
      <c r="CE44" s="459"/>
      <c r="CF44" s="458"/>
      <c r="CG44" s="456"/>
      <c r="CH44" s="459"/>
      <c r="CI44" s="459"/>
      <c r="CJ44" s="458"/>
      <c r="CK44" s="456"/>
      <c r="CL44" s="459"/>
      <c r="CM44" s="459"/>
      <c r="CN44" s="458"/>
      <c r="CO44" s="456"/>
      <c r="CP44" s="459"/>
      <c r="CQ44" s="459"/>
      <c r="CR44" s="457"/>
      <c r="CS44" s="1626">
        <f>ROUND(Экскаваторы!U28,1)</f>
        <v>0</v>
      </c>
      <c r="CT44" s="1637">
        <f>Экскаваторы!BE28</f>
        <v>0</v>
      </c>
      <c r="CU44" s="1638"/>
      <c r="CV44" s="1638"/>
      <c r="CW44" s="1638"/>
      <c r="CX44" s="1638"/>
      <c r="CY44" s="1638"/>
      <c r="CZ44" s="1639"/>
      <c r="DA44" s="1766"/>
    </row>
    <row r="45" spans="1:105" ht="15.75" customHeight="1" thickBot="1" x14ac:dyDescent="0.35">
      <c r="A45" s="1721"/>
      <c r="B45" s="1668"/>
      <c r="C45" s="596"/>
      <c r="D45" s="341"/>
      <c r="E45" s="338"/>
      <c r="F45" s="339"/>
      <c r="G45" s="340"/>
      <c r="H45" s="337"/>
      <c r="I45" s="341"/>
      <c r="J45" s="341"/>
      <c r="K45" s="340"/>
      <c r="L45" s="337"/>
      <c r="M45" s="341"/>
      <c r="N45" s="341"/>
      <c r="O45" s="340"/>
      <c r="P45" s="337"/>
      <c r="Q45" s="341"/>
      <c r="R45" s="341"/>
      <c r="S45" s="340"/>
      <c r="T45" s="342"/>
      <c r="U45" s="343"/>
      <c r="V45" s="340"/>
      <c r="W45" s="337"/>
      <c r="X45" s="341"/>
      <c r="Y45" s="341"/>
      <c r="Z45" s="340"/>
      <c r="AA45" s="337"/>
      <c r="AB45" s="341"/>
      <c r="AC45" s="341"/>
      <c r="AD45" s="340"/>
      <c r="AE45" s="337"/>
      <c r="AF45" s="341"/>
      <c r="AG45" s="341"/>
      <c r="AH45" s="340"/>
      <c r="AI45" s="342"/>
      <c r="AJ45" s="344"/>
      <c r="AK45" s="340"/>
      <c r="AL45" s="337"/>
      <c r="AM45" s="341"/>
      <c r="AN45" s="341"/>
      <c r="AO45" s="340"/>
      <c r="AP45" s="337"/>
      <c r="AQ45" s="341"/>
      <c r="AR45" s="341"/>
      <c r="AS45" s="340"/>
      <c r="AT45" s="337"/>
      <c r="AU45" s="341"/>
      <c r="AV45" s="341"/>
      <c r="AW45" s="340"/>
      <c r="AX45" s="1627"/>
      <c r="AY45" s="337"/>
      <c r="AZ45" s="338"/>
      <c r="BA45" s="339"/>
      <c r="BB45" s="340"/>
      <c r="BC45" s="329"/>
      <c r="BD45" s="333"/>
      <c r="BE45" s="333"/>
      <c r="BF45" s="332"/>
      <c r="BG45" s="329"/>
      <c r="BH45" s="333"/>
      <c r="BI45" s="333"/>
      <c r="BJ45" s="332"/>
      <c r="BK45" s="329"/>
      <c r="BL45" s="333"/>
      <c r="BM45" s="333"/>
      <c r="BN45" s="332"/>
      <c r="BO45" s="342"/>
      <c r="BP45" s="343"/>
      <c r="BQ45" s="340"/>
      <c r="BR45" s="337"/>
      <c r="BS45" s="341"/>
      <c r="BT45" s="341"/>
      <c r="BU45" s="340"/>
      <c r="BV45" s="337"/>
      <c r="BW45" s="341"/>
      <c r="BX45" s="341"/>
      <c r="BY45" s="340"/>
      <c r="BZ45" s="337"/>
      <c r="CA45" s="341"/>
      <c r="CB45" s="341"/>
      <c r="CC45" s="340"/>
      <c r="CD45" s="342"/>
      <c r="CE45" s="344"/>
      <c r="CF45" s="340"/>
      <c r="CG45" s="337"/>
      <c r="CH45" s="341"/>
      <c r="CI45" s="341"/>
      <c r="CJ45" s="340"/>
      <c r="CK45" s="337"/>
      <c r="CL45" s="341"/>
      <c r="CM45" s="341"/>
      <c r="CN45" s="340"/>
      <c r="CO45" s="337"/>
      <c r="CP45" s="341"/>
      <c r="CQ45" s="341"/>
      <c r="CR45" s="340"/>
      <c r="CS45" s="1627"/>
      <c r="CT45" s="1640"/>
      <c r="CU45" s="1641"/>
      <c r="CV45" s="1641"/>
      <c r="CW45" s="1641"/>
      <c r="CX45" s="1641"/>
      <c r="CY45" s="1641"/>
      <c r="CZ45" s="1642"/>
      <c r="DA45" s="1766"/>
    </row>
    <row r="46" spans="1:105" ht="15.75" customHeight="1" x14ac:dyDescent="0.3">
      <c r="A46" s="1632" t="s">
        <v>524</v>
      </c>
      <c r="B46" s="598" t="s">
        <v>154</v>
      </c>
      <c r="C46" s="1669"/>
      <c r="D46" s="325"/>
      <c r="E46" s="322"/>
      <c r="F46" s="323"/>
      <c r="G46" s="324"/>
      <c r="H46" s="321"/>
      <c r="I46" s="325"/>
      <c r="J46" s="325"/>
      <c r="K46" s="324"/>
      <c r="L46" s="321"/>
      <c r="M46" s="325"/>
      <c r="N46" s="325"/>
      <c r="O46" s="324"/>
      <c r="P46" s="321"/>
      <c r="Q46" s="325"/>
      <c r="R46" s="325"/>
      <c r="S46" s="324"/>
      <c r="T46" s="326"/>
      <c r="U46" s="327"/>
      <c r="V46" s="324"/>
      <c r="W46" s="321"/>
      <c r="X46" s="325"/>
      <c r="Y46" s="325"/>
      <c r="Z46" s="324"/>
      <c r="AA46" s="321"/>
      <c r="AB46" s="325"/>
      <c r="AC46" s="325"/>
      <c r="AD46" s="324"/>
      <c r="AE46" s="321"/>
      <c r="AF46" s="325"/>
      <c r="AG46" s="325"/>
      <c r="AH46" s="324"/>
      <c r="AI46" s="326"/>
      <c r="AJ46" s="328"/>
      <c r="AK46" s="324"/>
      <c r="AL46" s="321"/>
      <c r="AM46" s="325"/>
      <c r="AN46" s="325"/>
      <c r="AO46" s="324"/>
      <c r="AP46" s="321"/>
      <c r="AQ46" s="325"/>
      <c r="AR46" s="325"/>
      <c r="AS46" s="324"/>
      <c r="AT46" s="321"/>
      <c r="AU46" s="325"/>
      <c r="AV46" s="325"/>
      <c r="AW46" s="324"/>
      <c r="AX46" s="916">
        <f>ROUND(Экскаваторы!J11*'Сводка внутр.'!$P$1,0)</f>
        <v>0</v>
      </c>
      <c r="AY46" s="325"/>
      <c r="AZ46" s="322"/>
      <c r="BA46" s="323"/>
      <c r="BB46" s="324"/>
      <c r="BC46" s="321"/>
      <c r="BD46" s="325"/>
      <c r="BE46" s="325"/>
      <c r="BF46" s="324"/>
      <c r="BG46" s="321"/>
      <c r="BH46" s="325"/>
      <c r="BI46" s="325"/>
      <c r="BJ46" s="324"/>
      <c r="BK46" s="321"/>
      <c r="BL46" s="325"/>
      <c r="BM46" s="325"/>
      <c r="BN46" s="324"/>
      <c r="BO46" s="326"/>
      <c r="BP46" s="327"/>
      <c r="BQ46" s="324"/>
      <c r="BR46" s="321"/>
      <c r="BS46" s="325"/>
      <c r="BT46" s="325"/>
      <c r="BU46" s="324"/>
      <c r="BV46" s="321"/>
      <c r="BW46" s="322"/>
      <c r="BX46" s="323"/>
      <c r="BY46" s="324"/>
      <c r="BZ46" s="321"/>
      <c r="CA46" s="325"/>
      <c r="CB46" s="325"/>
      <c r="CC46" s="324"/>
      <c r="CD46" s="326"/>
      <c r="CE46" s="328"/>
      <c r="CF46" s="324"/>
      <c r="CG46" s="321"/>
      <c r="CH46" s="325"/>
      <c r="CI46" s="325"/>
      <c r="CJ46" s="324"/>
      <c r="CK46" s="321"/>
      <c r="CL46" s="325"/>
      <c r="CM46" s="325"/>
      <c r="CN46" s="324"/>
      <c r="CO46" s="321"/>
      <c r="CP46" s="325"/>
      <c r="CQ46" s="325"/>
      <c r="CR46" s="322"/>
      <c r="CS46" s="848">
        <f>ROUND(Экскаваторы!J26*'Сводка внутр.'!$P$1,0)</f>
        <v>0</v>
      </c>
      <c r="CT46" s="1693">
        <f>Экскаваторы!BE11</f>
        <v>0</v>
      </c>
      <c r="CU46" s="1694"/>
      <c r="CV46" s="1694"/>
      <c r="CW46" s="1694"/>
      <c r="CX46" s="1694"/>
      <c r="CY46" s="1694"/>
      <c r="CZ46" s="1695"/>
      <c r="DA46" s="1766">
        <v>183</v>
      </c>
    </row>
    <row r="47" spans="1:105" ht="3" customHeight="1" x14ac:dyDescent="0.3">
      <c r="A47" s="1632"/>
      <c r="B47" s="1667" t="s">
        <v>155</v>
      </c>
      <c r="C47" s="1670"/>
      <c r="D47" s="345"/>
      <c r="E47" s="346"/>
      <c r="F47" s="347"/>
      <c r="G47" s="348"/>
      <c r="H47" s="349"/>
      <c r="I47" s="350"/>
      <c r="J47" s="350"/>
      <c r="K47" s="348"/>
      <c r="L47" s="349"/>
      <c r="M47" s="350"/>
      <c r="N47" s="350"/>
      <c r="O47" s="348"/>
      <c r="P47" s="349"/>
      <c r="Q47" s="350"/>
      <c r="R47" s="350"/>
      <c r="S47" s="348"/>
      <c r="T47" s="334"/>
      <c r="U47" s="352"/>
      <c r="V47" s="348"/>
      <c r="W47" s="349"/>
      <c r="X47" s="350"/>
      <c r="Y47" s="350"/>
      <c r="Z47" s="348"/>
      <c r="AA47" s="349"/>
      <c r="AB47" s="350"/>
      <c r="AC47" s="350"/>
      <c r="AD47" s="348"/>
      <c r="AE47" s="349"/>
      <c r="AF47" s="350"/>
      <c r="AG47" s="350"/>
      <c r="AH47" s="351"/>
      <c r="AI47" s="335"/>
      <c r="AJ47" s="350"/>
      <c r="AK47" s="348"/>
      <c r="AL47" s="349"/>
      <c r="AM47" s="350"/>
      <c r="AN47" s="350"/>
      <c r="AO47" s="348"/>
      <c r="AP47" s="349"/>
      <c r="AQ47" s="350"/>
      <c r="AR47" s="350"/>
      <c r="AS47" s="348"/>
      <c r="AT47" s="349"/>
      <c r="AU47" s="350"/>
      <c r="AV47" s="345"/>
      <c r="AW47" s="346"/>
      <c r="AX47" s="1626">
        <f>ROUND(Экскаваторы!U11,1)</f>
        <v>0</v>
      </c>
      <c r="AY47" s="345"/>
      <c r="AZ47" s="346"/>
      <c r="BA47" s="347"/>
      <c r="BB47" s="348"/>
      <c r="BC47" s="349"/>
      <c r="BD47" s="350"/>
      <c r="BE47" s="350"/>
      <c r="BF47" s="348"/>
      <c r="BG47" s="349"/>
      <c r="BH47" s="350"/>
      <c r="BI47" s="350"/>
      <c r="BJ47" s="348"/>
      <c r="BK47" s="349"/>
      <c r="BL47" s="350"/>
      <c r="BM47" s="350"/>
      <c r="BN47" s="348"/>
      <c r="BO47" s="334"/>
      <c r="BP47" s="352"/>
      <c r="BQ47" s="348"/>
      <c r="BR47" s="349"/>
      <c r="BS47" s="350"/>
      <c r="BT47" s="350"/>
      <c r="BU47" s="348"/>
      <c r="BV47" s="349"/>
      <c r="BW47" s="350"/>
      <c r="BX47" s="350"/>
      <c r="BY47" s="348"/>
      <c r="BZ47" s="349"/>
      <c r="CA47" s="350"/>
      <c r="CB47" s="350"/>
      <c r="CC47" s="351"/>
      <c r="CD47" s="335"/>
      <c r="CE47" s="350"/>
      <c r="CF47" s="348"/>
      <c r="CG47" s="349"/>
      <c r="CH47" s="350"/>
      <c r="CI47" s="350"/>
      <c r="CJ47" s="348"/>
      <c r="CK47" s="349"/>
      <c r="CL47" s="350"/>
      <c r="CM47" s="350"/>
      <c r="CN47" s="348"/>
      <c r="CO47" s="349"/>
      <c r="CP47" s="350"/>
      <c r="CQ47" s="345"/>
      <c r="CR47" s="346"/>
      <c r="CS47" s="1626">
        <f>ROUND(Экскаваторы!U26,1)</f>
        <v>0</v>
      </c>
      <c r="CT47" s="1637">
        <f>Экскаваторы!BE26</f>
        <v>0</v>
      </c>
      <c r="CU47" s="1638"/>
      <c r="CV47" s="1638"/>
      <c r="CW47" s="1638"/>
      <c r="CX47" s="1638"/>
      <c r="CY47" s="1638"/>
      <c r="CZ47" s="1639"/>
      <c r="DA47" s="1766"/>
    </row>
    <row r="48" spans="1:105" ht="15" customHeight="1" thickBot="1" x14ac:dyDescent="0.35">
      <c r="A48" s="1721"/>
      <c r="B48" s="1668"/>
      <c r="C48" s="919"/>
      <c r="D48" s="341"/>
      <c r="E48" s="338"/>
      <c r="F48" s="339"/>
      <c r="G48" s="340"/>
      <c r="H48" s="337"/>
      <c r="I48" s="341"/>
      <c r="J48" s="341"/>
      <c r="K48" s="340"/>
      <c r="L48" s="337"/>
      <c r="M48" s="341"/>
      <c r="N48" s="341"/>
      <c r="O48" s="340"/>
      <c r="P48" s="337"/>
      <c r="Q48" s="341"/>
      <c r="R48" s="341"/>
      <c r="S48" s="340"/>
      <c r="T48" s="342"/>
      <c r="U48" s="343"/>
      <c r="V48" s="340"/>
      <c r="W48" s="337"/>
      <c r="X48" s="341"/>
      <c r="Y48" s="341"/>
      <c r="Z48" s="340"/>
      <c r="AA48" s="337"/>
      <c r="AB48" s="341"/>
      <c r="AC48" s="341"/>
      <c r="AD48" s="340"/>
      <c r="AE48" s="337"/>
      <c r="AF48" s="341"/>
      <c r="AG48" s="341"/>
      <c r="AH48" s="340"/>
      <c r="AI48" s="342"/>
      <c r="AJ48" s="344"/>
      <c r="AK48" s="340"/>
      <c r="AL48" s="337"/>
      <c r="AM48" s="341"/>
      <c r="AN48" s="341"/>
      <c r="AO48" s="340"/>
      <c r="AP48" s="337"/>
      <c r="AQ48" s="341"/>
      <c r="AR48" s="341"/>
      <c r="AS48" s="340"/>
      <c r="AT48" s="337"/>
      <c r="AU48" s="341"/>
      <c r="AV48" s="341"/>
      <c r="AW48" s="340"/>
      <c r="AX48" s="1627"/>
      <c r="AY48" s="337"/>
      <c r="AZ48" s="338"/>
      <c r="BA48" s="339"/>
      <c r="BB48" s="340"/>
      <c r="BC48" s="329"/>
      <c r="BD48" s="333"/>
      <c r="BE48" s="333"/>
      <c r="BF48" s="332"/>
      <c r="BG48" s="329"/>
      <c r="BH48" s="333"/>
      <c r="BI48" s="333"/>
      <c r="BJ48" s="332"/>
      <c r="BK48" s="329"/>
      <c r="BL48" s="333"/>
      <c r="BM48" s="333"/>
      <c r="BN48" s="332"/>
      <c r="BO48" s="342"/>
      <c r="BP48" s="343"/>
      <c r="BQ48" s="340"/>
      <c r="BR48" s="337"/>
      <c r="BS48" s="341"/>
      <c r="BT48" s="341"/>
      <c r="BU48" s="340"/>
      <c r="BV48" s="337"/>
      <c r="BW48" s="341"/>
      <c r="BX48" s="341"/>
      <c r="BY48" s="340"/>
      <c r="BZ48" s="337"/>
      <c r="CA48" s="341"/>
      <c r="CB48" s="341"/>
      <c r="CC48" s="340"/>
      <c r="CD48" s="342"/>
      <c r="CE48" s="344"/>
      <c r="CF48" s="340"/>
      <c r="CG48" s="337"/>
      <c r="CH48" s="341"/>
      <c r="CI48" s="341"/>
      <c r="CJ48" s="340"/>
      <c r="CK48" s="337"/>
      <c r="CL48" s="341"/>
      <c r="CM48" s="341"/>
      <c r="CN48" s="340"/>
      <c r="CO48" s="337"/>
      <c r="CP48" s="341"/>
      <c r="CQ48" s="341"/>
      <c r="CR48" s="340"/>
      <c r="CS48" s="1627"/>
      <c r="CT48" s="1640"/>
      <c r="CU48" s="1641"/>
      <c r="CV48" s="1641"/>
      <c r="CW48" s="1641"/>
      <c r="CX48" s="1641"/>
      <c r="CY48" s="1641"/>
      <c r="CZ48" s="1642"/>
      <c r="DA48" s="1766"/>
    </row>
    <row r="49" spans="1:105" ht="15.75" customHeight="1" x14ac:dyDescent="0.3">
      <c r="A49" s="1631" t="s">
        <v>507</v>
      </c>
      <c r="B49" s="1729" t="s">
        <v>154</v>
      </c>
      <c r="C49" s="1737"/>
      <c r="D49" s="325"/>
      <c r="E49" s="322"/>
      <c r="F49" s="323"/>
      <c r="G49" s="324"/>
      <c r="H49" s="321"/>
      <c r="I49" s="325"/>
      <c r="J49" s="325"/>
      <c r="K49" s="324"/>
      <c r="L49" s="321"/>
      <c r="M49" s="325"/>
      <c r="N49" s="325"/>
      <c r="O49" s="324"/>
      <c r="P49" s="321"/>
      <c r="Q49" s="325"/>
      <c r="R49" s="325"/>
      <c r="S49" s="324"/>
      <c r="T49" s="326"/>
      <c r="U49" s="327"/>
      <c r="V49" s="324"/>
      <c r="W49" s="321"/>
      <c r="X49" s="325"/>
      <c r="Y49" s="325"/>
      <c r="Z49" s="324"/>
      <c r="AA49" s="321"/>
      <c r="AB49" s="325"/>
      <c r="AC49" s="325"/>
      <c r="AD49" s="324"/>
      <c r="AE49" s="321"/>
      <c r="AF49" s="325"/>
      <c r="AG49" s="325"/>
      <c r="AH49" s="324"/>
      <c r="AI49" s="326"/>
      <c r="AJ49" s="328"/>
      <c r="AK49" s="324"/>
      <c r="AL49" s="321"/>
      <c r="AM49" s="325"/>
      <c r="AN49" s="325"/>
      <c r="AO49" s="324"/>
      <c r="AP49" s="321"/>
      <c r="AQ49" s="325"/>
      <c r="AR49" s="325"/>
      <c r="AS49" s="324"/>
      <c r="AT49" s="321"/>
      <c r="AU49" s="325"/>
      <c r="AV49" s="325"/>
      <c r="AW49" s="324"/>
      <c r="AX49" s="916">
        <f>ROUND(Экскаваторы!J12*'Сводка внутр.'!$P$1,0)</f>
        <v>0</v>
      </c>
      <c r="AY49" s="325"/>
      <c r="AZ49" s="322"/>
      <c r="BA49" s="323"/>
      <c r="BB49" s="324"/>
      <c r="BC49" s="321"/>
      <c r="BD49" s="325"/>
      <c r="BE49" s="325"/>
      <c r="BF49" s="324"/>
      <c r="BG49" s="321"/>
      <c r="BH49" s="325"/>
      <c r="BI49" s="325"/>
      <c r="BJ49" s="324"/>
      <c r="BK49" s="321"/>
      <c r="BL49" s="325"/>
      <c r="BM49" s="325"/>
      <c r="BN49" s="324"/>
      <c r="BO49" s="326"/>
      <c r="BP49" s="327"/>
      <c r="BQ49" s="324"/>
      <c r="BR49" s="321"/>
      <c r="BS49" s="325"/>
      <c r="BT49" s="325"/>
      <c r="BU49" s="324"/>
      <c r="BV49" s="321"/>
      <c r="BW49" s="325"/>
      <c r="BX49" s="325"/>
      <c r="BY49" s="324"/>
      <c r="BZ49" s="321"/>
      <c r="CA49" s="325"/>
      <c r="CB49" s="325"/>
      <c r="CC49" s="324"/>
      <c r="CD49" s="326"/>
      <c r="CE49" s="328"/>
      <c r="CF49" s="324"/>
      <c r="CG49" s="321"/>
      <c r="CH49" s="325"/>
      <c r="CI49" s="325"/>
      <c r="CJ49" s="324"/>
      <c r="CK49" s="321"/>
      <c r="CL49" s="325"/>
      <c r="CM49" s="325"/>
      <c r="CN49" s="324"/>
      <c r="CO49" s="321"/>
      <c r="CP49" s="325"/>
      <c r="CQ49" s="325"/>
      <c r="CR49" s="324"/>
      <c r="CS49" s="848">
        <f>ROUND(Экскаваторы!J27*'Сводка внутр.'!$P$1,0)</f>
        <v>0</v>
      </c>
      <c r="CT49" s="1693">
        <f>Экскаваторы!BE12</f>
        <v>0</v>
      </c>
      <c r="CU49" s="1694"/>
      <c r="CV49" s="1694"/>
      <c r="CW49" s="1694"/>
      <c r="CX49" s="1694"/>
      <c r="CY49" s="1694"/>
      <c r="CZ49" s="1695"/>
      <c r="DA49" s="1766">
        <v>283</v>
      </c>
    </row>
    <row r="50" spans="1:105" ht="3" customHeight="1" x14ac:dyDescent="0.3">
      <c r="A50" s="1632"/>
      <c r="B50" s="1730"/>
      <c r="C50" s="1738"/>
      <c r="D50" s="345"/>
      <c r="E50" s="346"/>
      <c r="F50" s="457"/>
      <c r="G50" s="458"/>
      <c r="H50" s="456"/>
      <c r="I50" s="459"/>
      <c r="J50" s="459"/>
      <c r="K50" s="458"/>
      <c r="L50" s="456"/>
      <c r="M50" s="459"/>
      <c r="N50" s="459"/>
      <c r="O50" s="458"/>
      <c r="P50" s="456"/>
      <c r="Q50" s="459"/>
      <c r="R50" s="459"/>
      <c r="S50" s="458"/>
      <c r="T50" s="941"/>
      <c r="U50" s="942"/>
      <c r="V50" s="458"/>
      <c r="W50" s="456"/>
      <c r="X50" s="459"/>
      <c r="Y50" s="459"/>
      <c r="Z50" s="458"/>
      <c r="AA50" s="456"/>
      <c r="AB50" s="459"/>
      <c r="AC50" s="459"/>
      <c r="AD50" s="458"/>
      <c r="AE50" s="456"/>
      <c r="AF50" s="459"/>
      <c r="AG50" s="459"/>
      <c r="AH50" s="460"/>
      <c r="AI50" s="943"/>
      <c r="AJ50" s="459"/>
      <c r="AK50" s="458"/>
      <c r="AL50" s="456"/>
      <c r="AM50" s="459"/>
      <c r="AN50" s="459"/>
      <c r="AO50" s="458"/>
      <c r="AP50" s="456"/>
      <c r="AQ50" s="459"/>
      <c r="AR50" s="459"/>
      <c r="AS50" s="458"/>
      <c r="AT50" s="456"/>
      <c r="AU50" s="459"/>
      <c r="AV50" s="345"/>
      <c r="AW50" s="346"/>
      <c r="AX50" s="1626">
        <f>ROUND(Экскаваторы!U12,1)</f>
        <v>0</v>
      </c>
      <c r="AY50" s="345"/>
      <c r="AZ50" s="346"/>
      <c r="BA50" s="457"/>
      <c r="BB50" s="458"/>
      <c r="BC50" s="456"/>
      <c r="BD50" s="459"/>
      <c r="BE50" s="459"/>
      <c r="BF50" s="458"/>
      <c r="BG50" s="456"/>
      <c r="BH50" s="459"/>
      <c r="BI50" s="459"/>
      <c r="BJ50" s="458"/>
      <c r="BK50" s="456"/>
      <c r="BL50" s="459"/>
      <c r="BM50" s="459"/>
      <c r="BN50" s="458"/>
      <c r="BO50" s="941"/>
      <c r="BP50" s="942"/>
      <c r="BQ50" s="458"/>
      <c r="BR50" s="456"/>
      <c r="BS50" s="459"/>
      <c r="BT50" s="459"/>
      <c r="BU50" s="458"/>
      <c r="BV50" s="456"/>
      <c r="BW50" s="459"/>
      <c r="BX50" s="459"/>
      <c r="BY50" s="458"/>
      <c r="BZ50" s="456"/>
      <c r="CA50" s="459"/>
      <c r="CB50" s="459"/>
      <c r="CC50" s="460"/>
      <c r="CD50" s="943"/>
      <c r="CE50" s="459"/>
      <c r="CF50" s="458"/>
      <c r="CG50" s="456"/>
      <c r="CH50" s="459"/>
      <c r="CI50" s="459"/>
      <c r="CJ50" s="458"/>
      <c r="CK50" s="456"/>
      <c r="CL50" s="459"/>
      <c r="CM50" s="459"/>
      <c r="CN50" s="458"/>
      <c r="CO50" s="456"/>
      <c r="CP50" s="459"/>
      <c r="CQ50" s="345"/>
      <c r="CR50" s="346"/>
      <c r="CS50" s="1626">
        <f>ROUND(Экскаваторы!U27,1)</f>
        <v>0</v>
      </c>
      <c r="CT50" s="1637">
        <f>Экскаваторы!BE27</f>
        <v>0</v>
      </c>
      <c r="CU50" s="1638"/>
      <c r="CV50" s="1638"/>
      <c r="CW50" s="1638"/>
      <c r="CX50" s="1638"/>
      <c r="CY50" s="1638"/>
      <c r="CZ50" s="1639"/>
      <c r="DA50" s="1766"/>
    </row>
    <row r="51" spans="1:105" ht="15.75" customHeight="1" thickBot="1" x14ac:dyDescent="0.35">
      <c r="A51" s="1721"/>
      <c r="B51" s="918" t="s">
        <v>155</v>
      </c>
      <c r="C51" s="678"/>
      <c r="D51" s="341"/>
      <c r="E51" s="338"/>
      <c r="F51" s="339"/>
      <c r="G51" s="340"/>
      <c r="H51" s="337"/>
      <c r="I51" s="341"/>
      <c r="J51" s="341"/>
      <c r="K51" s="340"/>
      <c r="L51" s="337"/>
      <c r="M51" s="341"/>
      <c r="N51" s="341"/>
      <c r="O51" s="340"/>
      <c r="P51" s="337"/>
      <c r="Q51" s="341"/>
      <c r="R51" s="341"/>
      <c r="S51" s="340"/>
      <c r="T51" s="342"/>
      <c r="U51" s="343"/>
      <c r="V51" s="340"/>
      <c r="W51" s="337"/>
      <c r="X51" s="341"/>
      <c r="Y51" s="341"/>
      <c r="Z51" s="340"/>
      <c r="AA51" s="337"/>
      <c r="AB51" s="341"/>
      <c r="AC51" s="341"/>
      <c r="AD51" s="340"/>
      <c r="AE51" s="337"/>
      <c r="AF51" s="341"/>
      <c r="AG51" s="341"/>
      <c r="AH51" s="340"/>
      <c r="AI51" s="342"/>
      <c r="AJ51" s="344"/>
      <c r="AK51" s="340"/>
      <c r="AL51" s="337"/>
      <c r="AM51" s="341"/>
      <c r="AN51" s="341"/>
      <c r="AO51" s="340"/>
      <c r="AP51" s="337"/>
      <c r="AQ51" s="341"/>
      <c r="AR51" s="341"/>
      <c r="AS51" s="340"/>
      <c r="AT51" s="337"/>
      <c r="AU51" s="341"/>
      <c r="AV51" s="341"/>
      <c r="AW51" s="340"/>
      <c r="AX51" s="1627"/>
      <c r="AY51" s="341"/>
      <c r="AZ51" s="338"/>
      <c r="BA51" s="339"/>
      <c r="BB51" s="340"/>
      <c r="BC51" s="337"/>
      <c r="BD51" s="341"/>
      <c r="BE51" s="341"/>
      <c r="BF51" s="340"/>
      <c r="BG51" s="337"/>
      <c r="BH51" s="341"/>
      <c r="BI51" s="341"/>
      <c r="BJ51" s="340"/>
      <c r="BK51" s="337"/>
      <c r="BL51" s="341"/>
      <c r="BM51" s="341"/>
      <c r="BN51" s="340"/>
      <c r="BO51" s="342"/>
      <c r="BP51" s="343"/>
      <c r="BQ51" s="340"/>
      <c r="BR51" s="337"/>
      <c r="BS51" s="341"/>
      <c r="BT51" s="341"/>
      <c r="BU51" s="340"/>
      <c r="BV51" s="337"/>
      <c r="BW51" s="341"/>
      <c r="BX51" s="341"/>
      <c r="BY51" s="340"/>
      <c r="BZ51" s="337"/>
      <c r="CA51" s="341"/>
      <c r="CB51" s="341"/>
      <c r="CC51" s="340"/>
      <c r="CD51" s="342"/>
      <c r="CE51" s="344"/>
      <c r="CF51" s="340"/>
      <c r="CG51" s="337"/>
      <c r="CH51" s="341"/>
      <c r="CI51" s="341"/>
      <c r="CJ51" s="340"/>
      <c r="CK51" s="337"/>
      <c r="CL51" s="341"/>
      <c r="CM51" s="341"/>
      <c r="CN51" s="340"/>
      <c r="CO51" s="337"/>
      <c r="CP51" s="341"/>
      <c r="CQ51" s="341"/>
      <c r="CR51" s="340"/>
      <c r="CS51" s="1627"/>
      <c r="CT51" s="1640"/>
      <c r="CU51" s="1641"/>
      <c r="CV51" s="1641"/>
      <c r="CW51" s="1641"/>
      <c r="CX51" s="1641"/>
      <c r="CY51" s="1641"/>
      <c r="CZ51" s="1642"/>
      <c r="DA51" s="1766"/>
    </row>
    <row r="52" spans="1:105" ht="15.75" customHeight="1" x14ac:dyDescent="0.3">
      <c r="A52" s="1631" t="s">
        <v>523</v>
      </c>
      <c r="B52" s="1729" t="s">
        <v>154</v>
      </c>
      <c r="C52" s="1737"/>
      <c r="D52" s="325"/>
      <c r="E52" s="322"/>
      <c r="F52" s="323"/>
      <c r="G52" s="324"/>
      <c r="H52" s="321"/>
      <c r="I52" s="325"/>
      <c r="J52" s="325"/>
      <c r="K52" s="324"/>
      <c r="L52" s="321"/>
      <c r="M52" s="325"/>
      <c r="N52" s="325"/>
      <c r="O52" s="324"/>
      <c r="P52" s="321"/>
      <c r="Q52" s="325"/>
      <c r="R52" s="325"/>
      <c r="S52" s="324"/>
      <c r="T52" s="326"/>
      <c r="U52" s="327"/>
      <c r="V52" s="324"/>
      <c r="W52" s="321"/>
      <c r="X52" s="325"/>
      <c r="Y52" s="325"/>
      <c r="Z52" s="324"/>
      <c r="AA52" s="321"/>
      <c r="AB52" s="325"/>
      <c r="AC52" s="325"/>
      <c r="AD52" s="324"/>
      <c r="AE52" s="321"/>
      <c r="AF52" s="325"/>
      <c r="AG52" s="325"/>
      <c r="AH52" s="324"/>
      <c r="AI52" s="326"/>
      <c r="AJ52" s="328"/>
      <c r="AK52" s="324"/>
      <c r="AL52" s="321"/>
      <c r="AM52" s="325"/>
      <c r="AN52" s="325"/>
      <c r="AO52" s="324"/>
      <c r="AP52" s="321"/>
      <c r="AQ52" s="325"/>
      <c r="AR52" s="325"/>
      <c r="AS52" s="324"/>
      <c r="AT52" s="321"/>
      <c r="AU52" s="325"/>
      <c r="AV52" s="325"/>
      <c r="AW52" s="324"/>
      <c r="AX52" s="1191">
        <f>ROUND(Экскаваторы!J15*'Сводка внутр.'!$P$1,0)</f>
        <v>0</v>
      </c>
      <c r="AY52" s="325"/>
      <c r="AZ52" s="322"/>
      <c r="BA52" s="323"/>
      <c r="BB52" s="324"/>
      <c r="BC52" s="321"/>
      <c r="BD52" s="325"/>
      <c r="BE52" s="325"/>
      <c r="BF52" s="324"/>
      <c r="BG52" s="321"/>
      <c r="BH52" s="325"/>
      <c r="BI52" s="325"/>
      <c r="BJ52" s="324"/>
      <c r="BK52" s="321"/>
      <c r="BL52" s="325"/>
      <c r="BM52" s="325"/>
      <c r="BN52" s="324"/>
      <c r="BO52" s="326"/>
      <c r="BP52" s="327"/>
      <c r="BQ52" s="324"/>
      <c r="BR52" s="321"/>
      <c r="BS52" s="325"/>
      <c r="BT52" s="325"/>
      <c r="BU52" s="324"/>
      <c r="BV52" s="321"/>
      <c r="BW52" s="325"/>
      <c r="BX52" s="325"/>
      <c r="BY52" s="324"/>
      <c r="BZ52" s="321"/>
      <c r="CA52" s="325"/>
      <c r="CB52" s="325"/>
      <c r="CC52" s="324"/>
      <c r="CD52" s="326"/>
      <c r="CE52" s="328"/>
      <c r="CF52" s="324"/>
      <c r="CG52" s="321"/>
      <c r="CH52" s="325"/>
      <c r="CI52" s="325"/>
      <c r="CJ52" s="324"/>
      <c r="CK52" s="321"/>
      <c r="CL52" s="325"/>
      <c r="CM52" s="325"/>
      <c r="CN52" s="324"/>
      <c r="CO52" s="321"/>
      <c r="CP52" s="325"/>
      <c r="CQ52" s="325"/>
      <c r="CR52" s="324"/>
      <c r="CS52" s="848">
        <f>ROUND(Экскаваторы!J30*'Сводка внутр.'!$P$1,0)</f>
        <v>0</v>
      </c>
      <c r="CT52" s="1693">
        <f>Экскаваторы!BE15</f>
        <v>0</v>
      </c>
      <c r="CU52" s="1694"/>
      <c r="CV52" s="1694"/>
      <c r="CW52" s="1694"/>
      <c r="CX52" s="1694"/>
      <c r="CY52" s="1694"/>
      <c r="CZ52" s="1695"/>
      <c r="DA52" s="1766">
        <v>284</v>
      </c>
    </row>
    <row r="53" spans="1:105" ht="3" customHeight="1" x14ac:dyDescent="0.3">
      <c r="A53" s="1632"/>
      <c r="B53" s="1730"/>
      <c r="C53" s="1738"/>
      <c r="D53" s="345"/>
      <c r="E53" s="346"/>
      <c r="F53" s="457"/>
      <c r="G53" s="458"/>
      <c r="H53" s="456"/>
      <c r="I53" s="459"/>
      <c r="J53" s="459"/>
      <c r="K53" s="458"/>
      <c r="L53" s="456"/>
      <c r="M53" s="459"/>
      <c r="N53" s="459"/>
      <c r="O53" s="458"/>
      <c r="P53" s="456"/>
      <c r="Q53" s="459"/>
      <c r="R53" s="459"/>
      <c r="S53" s="458"/>
      <c r="T53" s="941"/>
      <c r="U53" s="942"/>
      <c r="V53" s="458"/>
      <c r="W53" s="456"/>
      <c r="X53" s="459"/>
      <c r="Y53" s="459"/>
      <c r="Z53" s="458"/>
      <c r="AA53" s="456"/>
      <c r="AB53" s="459"/>
      <c r="AC53" s="459"/>
      <c r="AD53" s="458"/>
      <c r="AE53" s="456"/>
      <c r="AF53" s="459"/>
      <c r="AG53" s="459"/>
      <c r="AH53" s="460"/>
      <c r="AI53" s="943"/>
      <c r="AJ53" s="459"/>
      <c r="AK53" s="458"/>
      <c r="AL53" s="456"/>
      <c r="AM53" s="459"/>
      <c r="AN53" s="459"/>
      <c r="AO53" s="458"/>
      <c r="AP53" s="456"/>
      <c r="AQ53" s="459"/>
      <c r="AR53" s="459"/>
      <c r="AS53" s="458"/>
      <c r="AT53" s="456"/>
      <c r="AU53" s="459"/>
      <c r="AV53" s="345"/>
      <c r="AW53" s="346"/>
      <c r="AX53" s="1626">
        <f>ROUND(Экскаваторы!U15,1)</f>
        <v>0</v>
      </c>
      <c r="AY53" s="345"/>
      <c r="AZ53" s="346"/>
      <c r="BA53" s="457"/>
      <c r="BB53" s="458"/>
      <c r="BC53" s="456"/>
      <c r="BD53" s="459"/>
      <c r="BE53" s="459"/>
      <c r="BF53" s="458"/>
      <c r="BG53" s="456"/>
      <c r="BH53" s="459"/>
      <c r="BI53" s="459"/>
      <c r="BJ53" s="458"/>
      <c r="BK53" s="456"/>
      <c r="BL53" s="459"/>
      <c r="BM53" s="459"/>
      <c r="BN53" s="458"/>
      <c r="BO53" s="941"/>
      <c r="BP53" s="942"/>
      <c r="BQ53" s="458"/>
      <c r="BR53" s="456"/>
      <c r="BS53" s="459"/>
      <c r="BT53" s="459"/>
      <c r="BU53" s="458"/>
      <c r="BV53" s="456"/>
      <c r="BW53" s="459"/>
      <c r="BX53" s="459"/>
      <c r="BY53" s="458"/>
      <c r="BZ53" s="456"/>
      <c r="CA53" s="459"/>
      <c r="CB53" s="459"/>
      <c r="CC53" s="460"/>
      <c r="CD53" s="943"/>
      <c r="CE53" s="459"/>
      <c r="CF53" s="458"/>
      <c r="CG53" s="456"/>
      <c r="CH53" s="459"/>
      <c r="CI53" s="459"/>
      <c r="CJ53" s="458"/>
      <c r="CK53" s="456"/>
      <c r="CL53" s="459"/>
      <c r="CM53" s="459"/>
      <c r="CN53" s="458"/>
      <c r="CO53" s="456"/>
      <c r="CP53" s="459"/>
      <c r="CQ53" s="345"/>
      <c r="CR53" s="346"/>
      <c r="CS53" s="1626">
        <f>ROUND(Экскаваторы!U30,1)</f>
        <v>0</v>
      </c>
      <c r="CT53" s="1637">
        <f>Экскаваторы!BE30</f>
        <v>0</v>
      </c>
      <c r="CU53" s="1638"/>
      <c r="CV53" s="1638"/>
      <c r="CW53" s="1638"/>
      <c r="CX53" s="1638"/>
      <c r="CY53" s="1638"/>
      <c r="CZ53" s="1639"/>
      <c r="DA53" s="1766"/>
    </row>
    <row r="54" spans="1:105" ht="15.75" customHeight="1" thickBot="1" x14ac:dyDescent="0.35">
      <c r="A54" s="1721"/>
      <c r="B54" s="918" t="s">
        <v>155</v>
      </c>
      <c r="C54" s="678"/>
      <c r="D54" s="341"/>
      <c r="E54" s="338"/>
      <c r="F54" s="339"/>
      <c r="G54" s="340"/>
      <c r="H54" s="337"/>
      <c r="I54" s="341"/>
      <c r="J54" s="341"/>
      <c r="K54" s="340"/>
      <c r="L54" s="337"/>
      <c r="M54" s="341"/>
      <c r="N54" s="341"/>
      <c r="O54" s="340"/>
      <c r="P54" s="337"/>
      <c r="Q54" s="341"/>
      <c r="R54" s="341"/>
      <c r="S54" s="340"/>
      <c r="T54" s="342"/>
      <c r="U54" s="343"/>
      <c r="V54" s="340"/>
      <c r="W54" s="337"/>
      <c r="X54" s="341"/>
      <c r="Y54" s="341"/>
      <c r="Z54" s="340"/>
      <c r="AA54" s="337"/>
      <c r="AB54" s="341"/>
      <c r="AC54" s="341"/>
      <c r="AD54" s="340"/>
      <c r="AE54" s="337"/>
      <c r="AF54" s="341"/>
      <c r="AG54" s="341"/>
      <c r="AH54" s="340"/>
      <c r="AI54" s="342"/>
      <c r="AJ54" s="344"/>
      <c r="AK54" s="340"/>
      <c r="AL54" s="337"/>
      <c r="AM54" s="341"/>
      <c r="AN54" s="341"/>
      <c r="AO54" s="340"/>
      <c r="AP54" s="337"/>
      <c r="AQ54" s="341"/>
      <c r="AR54" s="341"/>
      <c r="AS54" s="340"/>
      <c r="AT54" s="337"/>
      <c r="AU54" s="341"/>
      <c r="AV54" s="341"/>
      <c r="AW54" s="340"/>
      <c r="AX54" s="1627"/>
      <c r="AY54" s="341"/>
      <c r="AZ54" s="338"/>
      <c r="BA54" s="339"/>
      <c r="BB54" s="340"/>
      <c r="BC54" s="337"/>
      <c r="BD54" s="341"/>
      <c r="BE54" s="341"/>
      <c r="BF54" s="340"/>
      <c r="BG54" s="337"/>
      <c r="BH54" s="341"/>
      <c r="BI54" s="341"/>
      <c r="BJ54" s="340"/>
      <c r="BK54" s="337"/>
      <c r="BL54" s="341"/>
      <c r="BM54" s="341"/>
      <c r="BN54" s="340"/>
      <c r="BO54" s="342"/>
      <c r="BP54" s="343"/>
      <c r="BQ54" s="340"/>
      <c r="BR54" s="337"/>
      <c r="BS54" s="341"/>
      <c r="BT54" s="341"/>
      <c r="BU54" s="340"/>
      <c r="BV54" s="337"/>
      <c r="BW54" s="341"/>
      <c r="BX54" s="341"/>
      <c r="BY54" s="340"/>
      <c r="BZ54" s="337"/>
      <c r="CA54" s="341"/>
      <c r="CB54" s="341"/>
      <c r="CC54" s="340"/>
      <c r="CD54" s="342"/>
      <c r="CE54" s="344"/>
      <c r="CF54" s="340"/>
      <c r="CG54" s="337"/>
      <c r="CH54" s="341"/>
      <c r="CI54" s="341"/>
      <c r="CJ54" s="340"/>
      <c r="CK54" s="337"/>
      <c r="CL54" s="341"/>
      <c r="CM54" s="341"/>
      <c r="CN54" s="340"/>
      <c r="CO54" s="337"/>
      <c r="CP54" s="341"/>
      <c r="CQ54" s="341"/>
      <c r="CR54" s="340"/>
      <c r="CS54" s="1627"/>
      <c r="CT54" s="1640"/>
      <c r="CU54" s="1641"/>
      <c r="CV54" s="1641"/>
      <c r="CW54" s="1641"/>
      <c r="CX54" s="1641"/>
      <c r="CY54" s="1641"/>
      <c r="CZ54" s="1642"/>
      <c r="DA54" s="1766"/>
    </row>
    <row r="55" spans="1:105" ht="15.75" customHeight="1" x14ac:dyDescent="0.3">
      <c r="A55" s="1631" t="s">
        <v>525</v>
      </c>
      <c r="B55" s="1729" t="s">
        <v>154</v>
      </c>
      <c r="C55" s="1737"/>
      <c r="D55" s="325"/>
      <c r="E55" s="322"/>
      <c r="F55" s="323"/>
      <c r="G55" s="324"/>
      <c r="H55" s="321"/>
      <c r="I55" s="325"/>
      <c r="J55" s="325"/>
      <c r="K55" s="324"/>
      <c r="L55" s="321"/>
      <c r="M55" s="325"/>
      <c r="N55" s="325"/>
      <c r="O55" s="324"/>
      <c r="P55" s="321"/>
      <c r="Q55" s="325"/>
      <c r="R55" s="325"/>
      <c r="S55" s="324"/>
      <c r="T55" s="326"/>
      <c r="U55" s="327"/>
      <c r="V55" s="324"/>
      <c r="W55" s="321"/>
      <c r="X55" s="325"/>
      <c r="Y55" s="325"/>
      <c r="Z55" s="324"/>
      <c r="AA55" s="321"/>
      <c r="AB55" s="325"/>
      <c r="AC55" s="325"/>
      <c r="AD55" s="324"/>
      <c r="AE55" s="321"/>
      <c r="AF55" s="325"/>
      <c r="AG55" s="325"/>
      <c r="AH55" s="324"/>
      <c r="AI55" s="326"/>
      <c r="AJ55" s="328"/>
      <c r="AK55" s="324"/>
      <c r="AL55" s="321"/>
      <c r="AM55" s="325"/>
      <c r="AN55" s="325"/>
      <c r="AO55" s="324"/>
      <c r="AP55" s="321"/>
      <c r="AQ55" s="325"/>
      <c r="AR55" s="325"/>
      <c r="AS55" s="324"/>
      <c r="AT55" s="321"/>
      <c r="AU55" s="325"/>
      <c r="AV55" s="325"/>
      <c r="AW55" s="324"/>
      <c r="AX55" s="1220">
        <f>ROUND(Экскаваторы!J20*'Сводка внутр.'!$P$1,0)</f>
        <v>0</v>
      </c>
      <c r="AY55" s="325"/>
      <c r="AZ55" s="322"/>
      <c r="BA55" s="323"/>
      <c r="BB55" s="324"/>
      <c r="BC55" s="321"/>
      <c r="BD55" s="325"/>
      <c r="BE55" s="325"/>
      <c r="BF55" s="324"/>
      <c r="BG55" s="321"/>
      <c r="BH55" s="325"/>
      <c r="BI55" s="325"/>
      <c r="BJ55" s="324"/>
      <c r="BK55" s="321"/>
      <c r="BL55" s="325"/>
      <c r="BM55" s="325"/>
      <c r="BN55" s="324"/>
      <c r="BO55" s="326"/>
      <c r="BP55" s="327"/>
      <c r="BQ55" s="324"/>
      <c r="BR55" s="321"/>
      <c r="BS55" s="325"/>
      <c r="BT55" s="325"/>
      <c r="BU55" s="324"/>
      <c r="BV55" s="321"/>
      <c r="BW55" s="325"/>
      <c r="BX55" s="325"/>
      <c r="BY55" s="324"/>
      <c r="BZ55" s="321"/>
      <c r="CA55" s="325"/>
      <c r="CB55" s="325"/>
      <c r="CC55" s="324"/>
      <c r="CD55" s="326"/>
      <c r="CE55" s="328"/>
      <c r="CF55" s="324"/>
      <c r="CG55" s="321"/>
      <c r="CH55" s="325"/>
      <c r="CI55" s="325"/>
      <c r="CJ55" s="324"/>
      <c r="CK55" s="321"/>
      <c r="CL55" s="325"/>
      <c r="CM55" s="325"/>
      <c r="CN55" s="324"/>
      <c r="CO55" s="321"/>
      <c r="CP55" s="325"/>
      <c r="CQ55" s="325"/>
      <c r="CR55" s="324"/>
      <c r="CS55" s="848">
        <f>ROUND(Экскаваторы!J35*'Сводка внутр.'!$P$1,0)</f>
        <v>0</v>
      </c>
      <c r="CT55" s="1693">
        <f>Экскаваторы!BE20</f>
        <v>0</v>
      </c>
      <c r="CU55" s="1694"/>
      <c r="CV55" s="1694"/>
      <c r="CW55" s="1694"/>
      <c r="CX55" s="1694"/>
      <c r="CY55" s="1694"/>
      <c r="CZ55" s="1695"/>
      <c r="DA55" s="1766">
        <v>286</v>
      </c>
    </row>
    <row r="56" spans="1:105" ht="3" customHeight="1" x14ac:dyDescent="0.3">
      <c r="A56" s="1632"/>
      <c r="B56" s="1730"/>
      <c r="C56" s="1738"/>
      <c r="D56" s="345"/>
      <c r="E56" s="346"/>
      <c r="F56" s="457"/>
      <c r="G56" s="458"/>
      <c r="H56" s="456"/>
      <c r="I56" s="459"/>
      <c r="J56" s="459"/>
      <c r="K56" s="458"/>
      <c r="L56" s="456"/>
      <c r="M56" s="459"/>
      <c r="N56" s="459"/>
      <c r="O56" s="458"/>
      <c r="P56" s="456"/>
      <c r="Q56" s="459"/>
      <c r="R56" s="459"/>
      <c r="S56" s="458"/>
      <c r="T56" s="941"/>
      <c r="U56" s="942"/>
      <c r="V56" s="458"/>
      <c r="W56" s="456"/>
      <c r="X56" s="459"/>
      <c r="Y56" s="459"/>
      <c r="Z56" s="458"/>
      <c r="AA56" s="456"/>
      <c r="AB56" s="459"/>
      <c r="AC56" s="459"/>
      <c r="AD56" s="458"/>
      <c r="AE56" s="456"/>
      <c r="AF56" s="459"/>
      <c r="AG56" s="459"/>
      <c r="AH56" s="460"/>
      <c r="AI56" s="943"/>
      <c r="AJ56" s="459"/>
      <c r="AK56" s="458"/>
      <c r="AL56" s="456"/>
      <c r="AM56" s="459"/>
      <c r="AN56" s="459"/>
      <c r="AO56" s="458"/>
      <c r="AP56" s="456"/>
      <c r="AQ56" s="459"/>
      <c r="AR56" s="459"/>
      <c r="AS56" s="458"/>
      <c r="AT56" s="456"/>
      <c r="AU56" s="459"/>
      <c r="AV56" s="345"/>
      <c r="AW56" s="346"/>
      <c r="AX56" s="1626">
        <f>ROUND(Экскаваторы!U20,1)</f>
        <v>0</v>
      </c>
      <c r="AY56" s="345"/>
      <c r="AZ56" s="346"/>
      <c r="BA56" s="457"/>
      <c r="BB56" s="458"/>
      <c r="BC56" s="456"/>
      <c r="BD56" s="459"/>
      <c r="BE56" s="459"/>
      <c r="BF56" s="458"/>
      <c r="BG56" s="456"/>
      <c r="BH56" s="459"/>
      <c r="BI56" s="459"/>
      <c r="BJ56" s="458"/>
      <c r="BK56" s="456"/>
      <c r="BL56" s="459"/>
      <c r="BM56" s="459"/>
      <c r="BN56" s="458"/>
      <c r="BO56" s="941"/>
      <c r="BP56" s="942"/>
      <c r="BQ56" s="458"/>
      <c r="BR56" s="456"/>
      <c r="BS56" s="459"/>
      <c r="BT56" s="459"/>
      <c r="BU56" s="458"/>
      <c r="BV56" s="456"/>
      <c r="BW56" s="459"/>
      <c r="BX56" s="459"/>
      <c r="BY56" s="458"/>
      <c r="BZ56" s="456"/>
      <c r="CA56" s="459"/>
      <c r="CB56" s="459"/>
      <c r="CC56" s="460"/>
      <c r="CD56" s="943"/>
      <c r="CE56" s="459"/>
      <c r="CF56" s="458"/>
      <c r="CG56" s="456"/>
      <c r="CH56" s="459"/>
      <c r="CI56" s="459"/>
      <c r="CJ56" s="458"/>
      <c r="CK56" s="456"/>
      <c r="CL56" s="459"/>
      <c r="CM56" s="459"/>
      <c r="CN56" s="458"/>
      <c r="CO56" s="456"/>
      <c r="CP56" s="459"/>
      <c r="CQ56" s="345"/>
      <c r="CR56" s="346"/>
      <c r="CS56" s="1626">
        <f>ROUND(Экскаваторы!U35,1)</f>
        <v>0</v>
      </c>
      <c r="CT56" s="1637">
        <f>Экскаваторы!BE35</f>
        <v>0</v>
      </c>
      <c r="CU56" s="1638"/>
      <c r="CV56" s="1638"/>
      <c r="CW56" s="1638"/>
      <c r="CX56" s="1638"/>
      <c r="CY56" s="1638"/>
      <c r="CZ56" s="1639"/>
      <c r="DA56" s="1766"/>
    </row>
    <row r="57" spans="1:105" ht="15.75" customHeight="1" thickBot="1" x14ac:dyDescent="0.35">
      <c r="A57" s="1721"/>
      <c r="B57" s="918" t="s">
        <v>155</v>
      </c>
      <c r="C57" s="678"/>
      <c r="D57" s="341"/>
      <c r="E57" s="338"/>
      <c r="F57" s="339"/>
      <c r="G57" s="340"/>
      <c r="H57" s="337"/>
      <c r="I57" s="341"/>
      <c r="J57" s="341"/>
      <c r="K57" s="340"/>
      <c r="L57" s="337"/>
      <c r="M57" s="341"/>
      <c r="N57" s="341"/>
      <c r="O57" s="340"/>
      <c r="P57" s="337"/>
      <c r="Q57" s="341"/>
      <c r="R57" s="341"/>
      <c r="S57" s="340"/>
      <c r="T57" s="342"/>
      <c r="U57" s="343"/>
      <c r="V57" s="340"/>
      <c r="W57" s="337"/>
      <c r="X57" s="341"/>
      <c r="Y57" s="341"/>
      <c r="Z57" s="340"/>
      <c r="AA57" s="337"/>
      <c r="AB57" s="341"/>
      <c r="AC57" s="341"/>
      <c r="AD57" s="340"/>
      <c r="AE57" s="337"/>
      <c r="AF57" s="341"/>
      <c r="AG57" s="341"/>
      <c r="AH57" s="340"/>
      <c r="AI57" s="342"/>
      <c r="AJ57" s="344"/>
      <c r="AK57" s="340"/>
      <c r="AL57" s="337"/>
      <c r="AM57" s="341"/>
      <c r="AN57" s="341"/>
      <c r="AO57" s="340"/>
      <c r="AP57" s="337"/>
      <c r="AQ57" s="341"/>
      <c r="AR57" s="341"/>
      <c r="AS57" s="340"/>
      <c r="AT57" s="337"/>
      <c r="AU57" s="341"/>
      <c r="AV57" s="341"/>
      <c r="AW57" s="340"/>
      <c r="AX57" s="1627"/>
      <c r="AY57" s="341"/>
      <c r="AZ57" s="338"/>
      <c r="BA57" s="339"/>
      <c r="BB57" s="340"/>
      <c r="BC57" s="337"/>
      <c r="BD57" s="341"/>
      <c r="BE57" s="341"/>
      <c r="BF57" s="340"/>
      <c r="BG57" s="337"/>
      <c r="BH57" s="341"/>
      <c r="BI57" s="341"/>
      <c r="BJ57" s="340"/>
      <c r="BK57" s="337"/>
      <c r="BL57" s="341"/>
      <c r="BM57" s="341"/>
      <c r="BN57" s="340"/>
      <c r="BO57" s="342"/>
      <c r="BP57" s="343"/>
      <c r="BQ57" s="340"/>
      <c r="BR57" s="337"/>
      <c r="BS57" s="341"/>
      <c r="BT57" s="341"/>
      <c r="BU57" s="340"/>
      <c r="BV57" s="337"/>
      <c r="BW57" s="341"/>
      <c r="BX57" s="341"/>
      <c r="BY57" s="340"/>
      <c r="BZ57" s="337"/>
      <c r="CA57" s="341"/>
      <c r="CB57" s="341"/>
      <c r="CC57" s="340"/>
      <c r="CD57" s="342"/>
      <c r="CE57" s="344"/>
      <c r="CF57" s="340"/>
      <c r="CG57" s="337"/>
      <c r="CH57" s="341"/>
      <c r="CI57" s="341"/>
      <c r="CJ57" s="340"/>
      <c r="CK57" s="337"/>
      <c r="CL57" s="341"/>
      <c r="CM57" s="341"/>
      <c r="CN57" s="340"/>
      <c r="CO57" s="337"/>
      <c r="CP57" s="341"/>
      <c r="CQ57" s="341"/>
      <c r="CR57" s="340"/>
      <c r="CS57" s="1627"/>
      <c r="CT57" s="1640"/>
      <c r="CU57" s="1641"/>
      <c r="CV57" s="1641"/>
      <c r="CW57" s="1641"/>
      <c r="CX57" s="1641"/>
      <c r="CY57" s="1641"/>
      <c r="CZ57" s="1642"/>
      <c r="DA57" s="1766"/>
    </row>
    <row r="58" spans="1:105" ht="20.100000000000001" customHeight="1" thickBot="1" x14ac:dyDescent="0.35">
      <c r="A58" s="218" t="s">
        <v>158</v>
      </c>
      <c r="B58" s="1662"/>
      <c r="C58" s="1663"/>
      <c r="D58" s="1663"/>
      <c r="E58" s="1663"/>
      <c r="F58" s="1663"/>
      <c r="G58" s="1663"/>
      <c r="H58" s="1663"/>
      <c r="I58" s="1663"/>
      <c r="J58" s="1663"/>
      <c r="K58" s="1663"/>
      <c r="L58" s="1663"/>
      <c r="M58" s="1663"/>
      <c r="N58" s="1663"/>
      <c r="O58" s="1663"/>
      <c r="P58" s="1663"/>
      <c r="Q58" s="1663"/>
      <c r="R58" s="1663"/>
      <c r="S58" s="1663"/>
      <c r="T58" s="1663"/>
      <c r="U58" s="1663"/>
      <c r="V58" s="1663"/>
      <c r="W58" s="1663"/>
      <c r="X58" s="1663"/>
      <c r="Y58" s="1663"/>
      <c r="Z58" s="1663"/>
      <c r="AA58" s="1663"/>
      <c r="AB58" s="1663"/>
      <c r="AC58" s="1663"/>
      <c r="AD58" s="1663"/>
      <c r="AE58" s="1663"/>
      <c r="AF58" s="1663"/>
      <c r="AG58" s="1663"/>
      <c r="AH58" s="1663"/>
      <c r="AI58" s="1663"/>
      <c r="AJ58" s="1663"/>
      <c r="AK58" s="1663"/>
      <c r="AL58" s="1663"/>
      <c r="AM58" s="1663"/>
      <c r="AN58" s="1663"/>
      <c r="AO58" s="1663"/>
      <c r="AP58" s="1663"/>
      <c r="AQ58" s="1663"/>
      <c r="AR58" s="1663"/>
      <c r="AS58" s="1663"/>
      <c r="AT58" s="1663"/>
      <c r="AU58" s="1663"/>
      <c r="AV58" s="1663"/>
      <c r="AW58" s="1663"/>
      <c r="AX58" s="1663"/>
      <c r="AY58" s="1663"/>
      <c r="AZ58" s="1663"/>
      <c r="BA58" s="1663"/>
      <c r="BB58" s="1663"/>
      <c r="BC58" s="1663"/>
      <c r="BD58" s="1663"/>
      <c r="BE58" s="1663"/>
      <c r="BF58" s="1663"/>
      <c r="BG58" s="1663"/>
      <c r="BH58" s="1663"/>
      <c r="BI58" s="1663"/>
      <c r="BJ58" s="1663"/>
      <c r="BK58" s="1663"/>
      <c r="BL58" s="1663"/>
      <c r="BM58" s="1663"/>
      <c r="BN58" s="1663"/>
      <c r="BO58" s="1663"/>
      <c r="BP58" s="1663"/>
      <c r="BQ58" s="1663"/>
      <c r="BR58" s="1663"/>
      <c r="BS58" s="1663"/>
      <c r="BT58" s="1663"/>
      <c r="BU58" s="1663"/>
      <c r="BV58" s="1663"/>
      <c r="BW58" s="1663"/>
      <c r="BX58" s="1663"/>
      <c r="BY58" s="1663"/>
      <c r="BZ58" s="1663"/>
      <c r="CA58" s="1663"/>
      <c r="CB58" s="1663"/>
      <c r="CC58" s="1663"/>
      <c r="CD58" s="1663"/>
      <c r="CE58" s="1663"/>
      <c r="CF58" s="1663"/>
      <c r="CG58" s="1663"/>
      <c r="CH58" s="1663"/>
      <c r="CI58" s="1663"/>
      <c r="CJ58" s="1663"/>
      <c r="CK58" s="1663"/>
      <c r="CL58" s="1663"/>
      <c r="CM58" s="1663"/>
      <c r="CN58" s="1663"/>
      <c r="CO58" s="1663"/>
      <c r="CP58" s="1663"/>
      <c r="CQ58" s="1663"/>
      <c r="CR58" s="1663"/>
      <c r="CS58" s="1663"/>
      <c r="CT58" s="1663"/>
      <c r="CU58" s="1663"/>
      <c r="CV58" s="1663"/>
      <c r="CW58" s="1663"/>
      <c r="CX58" s="1663"/>
      <c r="CY58" s="1663"/>
      <c r="CZ58" s="1664"/>
    </row>
    <row r="59" spans="1:105" ht="15" customHeight="1" x14ac:dyDescent="0.3">
      <c r="A59" s="1631" t="s">
        <v>503</v>
      </c>
      <c r="B59" s="591" t="s">
        <v>154</v>
      </c>
      <c r="C59" s="1739"/>
      <c r="D59" s="325"/>
      <c r="E59" s="322"/>
      <c r="F59" s="323"/>
      <c r="G59" s="324"/>
      <c r="H59" s="321"/>
      <c r="I59" s="325"/>
      <c r="J59" s="325"/>
      <c r="K59" s="324"/>
      <c r="L59" s="321"/>
      <c r="M59" s="325"/>
      <c r="N59" s="325"/>
      <c r="O59" s="324"/>
      <c r="P59" s="321"/>
      <c r="Q59" s="325"/>
      <c r="R59" s="325"/>
      <c r="S59" s="324"/>
      <c r="T59" s="326"/>
      <c r="U59" s="327"/>
      <c r="V59" s="324"/>
      <c r="W59" s="321"/>
      <c r="X59" s="325"/>
      <c r="Y59" s="325"/>
      <c r="Z59" s="324"/>
      <c r="AA59" s="321"/>
      <c r="AB59" s="322"/>
      <c r="AC59" s="323"/>
      <c r="AD59" s="324"/>
      <c r="AE59" s="321"/>
      <c r="AF59" s="325"/>
      <c r="AG59" s="325"/>
      <c r="AH59" s="324"/>
      <c r="AI59" s="326"/>
      <c r="AJ59" s="328"/>
      <c r="AK59" s="324"/>
      <c r="AL59" s="321"/>
      <c r="AM59" s="325"/>
      <c r="AN59" s="325"/>
      <c r="AO59" s="324"/>
      <c r="AP59" s="321"/>
      <c r="AQ59" s="325"/>
      <c r="AR59" s="325"/>
      <c r="AS59" s="324"/>
      <c r="AT59" s="321"/>
      <c r="AU59" s="325"/>
      <c r="AV59" s="325"/>
      <c r="AW59" s="322"/>
      <c r="AX59" s="602">
        <f>ROUND(Бульдозеры!H7,1)</f>
        <v>0</v>
      </c>
      <c r="AY59" s="325"/>
      <c r="AZ59" s="322"/>
      <c r="BA59" s="323"/>
      <c r="BB59" s="324"/>
      <c r="BC59" s="321"/>
      <c r="BD59" s="325"/>
      <c r="BE59" s="325"/>
      <c r="BF59" s="324"/>
      <c r="BG59" s="321"/>
      <c r="BH59" s="325"/>
      <c r="BI59" s="325"/>
      <c r="BJ59" s="324"/>
      <c r="BK59" s="321"/>
      <c r="BL59" s="325"/>
      <c r="BM59" s="325"/>
      <c r="BN59" s="324"/>
      <c r="BO59" s="326"/>
      <c r="BP59" s="327"/>
      <c r="BQ59" s="324"/>
      <c r="BR59" s="321"/>
      <c r="BS59" s="325"/>
      <c r="BT59" s="325"/>
      <c r="BU59" s="324"/>
      <c r="BV59" s="321"/>
      <c r="BW59" s="322"/>
      <c r="BX59" s="323"/>
      <c r="BY59" s="324"/>
      <c r="BZ59" s="321"/>
      <c r="CA59" s="325"/>
      <c r="CB59" s="325"/>
      <c r="CC59" s="324"/>
      <c r="CD59" s="326"/>
      <c r="CE59" s="328"/>
      <c r="CF59" s="324"/>
      <c r="CG59" s="321"/>
      <c r="CH59" s="325"/>
      <c r="CI59" s="325"/>
      <c r="CJ59" s="324"/>
      <c r="CK59" s="321"/>
      <c r="CL59" s="325"/>
      <c r="CM59" s="325"/>
      <c r="CN59" s="324"/>
      <c r="CO59" s="321"/>
      <c r="CP59" s="325"/>
      <c r="CQ59" s="325"/>
      <c r="CR59" s="322"/>
      <c r="CS59" s="603">
        <f>ROUND(Бульдозеры!H11,1)</f>
        <v>0</v>
      </c>
      <c r="CT59" s="1703">
        <f>Бульдозеры!AS7</f>
        <v>0</v>
      </c>
      <c r="CU59" s="1704"/>
      <c r="CV59" s="1704"/>
      <c r="CW59" s="1704"/>
      <c r="CX59" s="1704"/>
      <c r="CY59" s="1704"/>
      <c r="CZ59" s="1705"/>
      <c r="DA59" s="1766">
        <v>10</v>
      </c>
    </row>
    <row r="60" spans="1:105" ht="3" customHeight="1" x14ac:dyDescent="0.3">
      <c r="A60" s="1632"/>
      <c r="B60" s="1667" t="s">
        <v>155</v>
      </c>
      <c r="C60" s="1669"/>
      <c r="D60" s="345"/>
      <c r="E60" s="346"/>
      <c r="F60" s="347"/>
      <c r="G60" s="348"/>
      <c r="H60" s="349"/>
      <c r="I60" s="350"/>
      <c r="J60" s="350"/>
      <c r="K60" s="348"/>
      <c r="L60" s="349"/>
      <c r="M60" s="350"/>
      <c r="N60" s="350"/>
      <c r="O60" s="348"/>
      <c r="P60" s="349"/>
      <c r="Q60" s="350"/>
      <c r="R60" s="350"/>
      <c r="S60" s="348"/>
      <c r="T60" s="334"/>
      <c r="U60" s="352"/>
      <c r="V60" s="348"/>
      <c r="W60" s="349"/>
      <c r="X60" s="350"/>
      <c r="Y60" s="350"/>
      <c r="Z60" s="348"/>
      <c r="AA60" s="349"/>
      <c r="AB60" s="350"/>
      <c r="AC60" s="350"/>
      <c r="AD60" s="348"/>
      <c r="AE60" s="349"/>
      <c r="AF60" s="350"/>
      <c r="AG60" s="350"/>
      <c r="AH60" s="351"/>
      <c r="AI60" s="335"/>
      <c r="AJ60" s="350"/>
      <c r="AK60" s="348"/>
      <c r="AL60" s="349"/>
      <c r="AM60" s="350"/>
      <c r="AN60" s="350"/>
      <c r="AO60" s="348"/>
      <c r="AP60" s="349"/>
      <c r="AQ60" s="350"/>
      <c r="AR60" s="350"/>
      <c r="AS60" s="348"/>
      <c r="AT60" s="349"/>
      <c r="AU60" s="350"/>
      <c r="AV60" s="345"/>
      <c r="AW60" s="346"/>
      <c r="AX60" s="1626"/>
      <c r="AY60" s="345"/>
      <c r="AZ60" s="346"/>
      <c r="BA60" s="347"/>
      <c r="BB60" s="348"/>
      <c r="BC60" s="349"/>
      <c r="BD60" s="350"/>
      <c r="BE60" s="350"/>
      <c r="BF60" s="348"/>
      <c r="BG60" s="349"/>
      <c r="BH60" s="350"/>
      <c r="BI60" s="350"/>
      <c r="BJ60" s="348"/>
      <c r="BK60" s="349"/>
      <c r="BL60" s="350"/>
      <c r="BM60" s="350"/>
      <c r="BN60" s="348"/>
      <c r="BO60" s="334"/>
      <c r="BP60" s="352"/>
      <c r="BQ60" s="348"/>
      <c r="BR60" s="349"/>
      <c r="BS60" s="350"/>
      <c r="BT60" s="350"/>
      <c r="BU60" s="348"/>
      <c r="BV60" s="349"/>
      <c r="BW60" s="350"/>
      <c r="BX60" s="350"/>
      <c r="BY60" s="348"/>
      <c r="BZ60" s="349"/>
      <c r="CA60" s="350"/>
      <c r="CB60" s="350"/>
      <c r="CC60" s="351"/>
      <c r="CD60" s="335"/>
      <c r="CE60" s="350"/>
      <c r="CF60" s="348"/>
      <c r="CG60" s="349"/>
      <c r="CH60" s="350"/>
      <c r="CI60" s="350"/>
      <c r="CJ60" s="348"/>
      <c r="CK60" s="349"/>
      <c r="CL60" s="350"/>
      <c r="CM60" s="350"/>
      <c r="CN60" s="348"/>
      <c r="CO60" s="349"/>
      <c r="CP60" s="350"/>
      <c r="CQ60" s="345"/>
      <c r="CR60" s="346"/>
      <c r="CS60" s="1626"/>
      <c r="CT60" s="1637">
        <f>Бульдозеры!AS11</f>
        <v>0</v>
      </c>
      <c r="CU60" s="1638"/>
      <c r="CV60" s="1638"/>
      <c r="CW60" s="1638"/>
      <c r="CX60" s="1638"/>
      <c r="CY60" s="1638"/>
      <c r="CZ60" s="1639"/>
      <c r="DA60" s="1766"/>
    </row>
    <row r="61" spans="1:105" ht="15" customHeight="1" thickBot="1" x14ac:dyDescent="0.35">
      <c r="A61" s="1721"/>
      <c r="B61" s="1668"/>
      <c r="C61" s="919"/>
      <c r="D61" s="341"/>
      <c r="E61" s="338"/>
      <c r="F61" s="339"/>
      <c r="G61" s="340"/>
      <c r="H61" s="337"/>
      <c r="I61" s="341"/>
      <c r="J61" s="341"/>
      <c r="K61" s="340"/>
      <c r="L61" s="337"/>
      <c r="M61" s="341"/>
      <c r="N61" s="341"/>
      <c r="O61" s="340"/>
      <c r="P61" s="337"/>
      <c r="Q61" s="341"/>
      <c r="R61" s="341"/>
      <c r="S61" s="340"/>
      <c r="T61" s="342"/>
      <c r="U61" s="343"/>
      <c r="V61" s="340"/>
      <c r="W61" s="337"/>
      <c r="X61" s="341"/>
      <c r="Y61" s="341"/>
      <c r="Z61" s="340"/>
      <c r="AA61" s="337"/>
      <c r="AB61" s="341"/>
      <c r="AC61" s="341"/>
      <c r="AD61" s="340"/>
      <c r="AE61" s="337"/>
      <c r="AF61" s="341"/>
      <c r="AG61" s="341"/>
      <c r="AH61" s="340"/>
      <c r="AI61" s="342"/>
      <c r="AJ61" s="344"/>
      <c r="AK61" s="340"/>
      <c r="AL61" s="337"/>
      <c r="AM61" s="341"/>
      <c r="AN61" s="341"/>
      <c r="AO61" s="340"/>
      <c r="AP61" s="337"/>
      <c r="AQ61" s="341"/>
      <c r="AR61" s="341"/>
      <c r="AS61" s="340"/>
      <c r="AT61" s="337"/>
      <c r="AU61" s="341"/>
      <c r="AV61" s="341"/>
      <c r="AW61" s="338"/>
      <c r="AX61" s="1627"/>
      <c r="AY61" s="337"/>
      <c r="AZ61" s="338"/>
      <c r="BA61" s="339"/>
      <c r="BB61" s="340"/>
      <c r="BC61" s="329"/>
      <c r="BD61" s="333"/>
      <c r="BE61" s="333"/>
      <c r="BF61" s="332"/>
      <c r="BG61" s="329"/>
      <c r="BH61" s="333"/>
      <c r="BI61" s="333"/>
      <c r="BJ61" s="332"/>
      <c r="BK61" s="329"/>
      <c r="BL61" s="333"/>
      <c r="BM61" s="333"/>
      <c r="BN61" s="332"/>
      <c r="BO61" s="342"/>
      <c r="BP61" s="343"/>
      <c r="BQ61" s="340"/>
      <c r="BR61" s="337"/>
      <c r="BS61" s="341"/>
      <c r="BT61" s="341"/>
      <c r="BU61" s="340"/>
      <c r="BV61" s="337"/>
      <c r="BW61" s="341"/>
      <c r="BX61" s="341"/>
      <c r="BY61" s="340"/>
      <c r="BZ61" s="337"/>
      <c r="CA61" s="341"/>
      <c r="CB61" s="341"/>
      <c r="CC61" s="340"/>
      <c r="CD61" s="342"/>
      <c r="CE61" s="344"/>
      <c r="CF61" s="340"/>
      <c r="CG61" s="337"/>
      <c r="CH61" s="341"/>
      <c r="CI61" s="341"/>
      <c r="CJ61" s="340"/>
      <c r="CK61" s="337"/>
      <c r="CL61" s="341"/>
      <c r="CM61" s="341"/>
      <c r="CN61" s="340"/>
      <c r="CO61" s="337"/>
      <c r="CP61" s="341"/>
      <c r="CQ61" s="341"/>
      <c r="CR61" s="338"/>
      <c r="CS61" s="1627"/>
      <c r="CT61" s="1640"/>
      <c r="CU61" s="1641"/>
      <c r="CV61" s="1641"/>
      <c r="CW61" s="1641"/>
      <c r="CX61" s="1641"/>
      <c r="CY61" s="1641"/>
      <c r="CZ61" s="1642"/>
      <c r="DA61" s="1766"/>
    </row>
    <row r="62" spans="1:105" ht="15" hidden="1" customHeight="1" x14ac:dyDescent="0.3">
      <c r="A62" s="1631" t="s">
        <v>404</v>
      </c>
      <c r="B62" s="591" t="s">
        <v>154</v>
      </c>
      <c r="C62" s="1711"/>
      <c r="D62" s="325"/>
      <c r="E62" s="322"/>
      <c r="F62" s="323"/>
      <c r="G62" s="324"/>
      <c r="H62" s="321"/>
      <c r="I62" s="325"/>
      <c r="J62" s="325"/>
      <c r="K62" s="324"/>
      <c r="L62" s="321"/>
      <c r="M62" s="325"/>
      <c r="N62" s="325"/>
      <c r="O62" s="324"/>
      <c r="P62" s="321"/>
      <c r="Q62" s="325"/>
      <c r="R62" s="325"/>
      <c r="S62" s="324"/>
      <c r="T62" s="326"/>
      <c r="U62" s="327"/>
      <c r="V62" s="324"/>
      <c r="W62" s="321"/>
      <c r="X62" s="325"/>
      <c r="Y62" s="325"/>
      <c r="Z62" s="324"/>
      <c r="AA62" s="321"/>
      <c r="AB62" s="322"/>
      <c r="AC62" s="323"/>
      <c r="AD62" s="324"/>
      <c r="AE62" s="321"/>
      <c r="AF62" s="325"/>
      <c r="AG62" s="325"/>
      <c r="AH62" s="324"/>
      <c r="AI62" s="326"/>
      <c r="AJ62" s="328"/>
      <c r="AK62" s="324"/>
      <c r="AL62" s="321"/>
      <c r="AM62" s="325"/>
      <c r="AN62" s="325"/>
      <c r="AO62" s="324"/>
      <c r="AP62" s="321"/>
      <c r="AQ62" s="325"/>
      <c r="AR62" s="325"/>
      <c r="AS62" s="324"/>
      <c r="AT62" s="321"/>
      <c r="AU62" s="325"/>
      <c r="AV62" s="325"/>
      <c r="AW62" s="322"/>
      <c r="AX62" s="602" t="e">
        <f>ROUND(Бульдозеры!#REF!,1)</f>
        <v>#REF!</v>
      </c>
      <c r="AY62" s="321"/>
      <c r="AZ62" s="322"/>
      <c r="BA62" s="323"/>
      <c r="BB62" s="324"/>
      <c r="BC62" s="321"/>
      <c r="BD62" s="325"/>
      <c r="BE62" s="325"/>
      <c r="BF62" s="324"/>
      <c r="BG62" s="321"/>
      <c r="BH62" s="325"/>
      <c r="BI62" s="325"/>
      <c r="BJ62" s="324"/>
      <c r="BK62" s="321"/>
      <c r="BL62" s="325"/>
      <c r="BM62" s="325"/>
      <c r="BN62" s="324"/>
      <c r="BO62" s="326"/>
      <c r="BP62" s="327"/>
      <c r="BQ62" s="324"/>
      <c r="BR62" s="321"/>
      <c r="BS62" s="325"/>
      <c r="BT62" s="325"/>
      <c r="BU62" s="324"/>
      <c r="BV62" s="321"/>
      <c r="BW62" s="325"/>
      <c r="BX62" s="325"/>
      <c r="BY62" s="324"/>
      <c r="BZ62" s="321"/>
      <c r="CA62" s="325"/>
      <c r="CB62" s="325"/>
      <c r="CC62" s="324"/>
      <c r="CD62" s="326"/>
      <c r="CE62" s="328"/>
      <c r="CF62" s="324"/>
      <c r="CG62" s="321"/>
      <c r="CH62" s="325"/>
      <c r="CI62" s="325"/>
      <c r="CJ62" s="324"/>
      <c r="CK62" s="321"/>
      <c r="CL62" s="325"/>
      <c r="CM62" s="325"/>
      <c r="CN62" s="324"/>
      <c r="CO62" s="321"/>
      <c r="CP62" s="325"/>
      <c r="CQ62" s="325"/>
      <c r="CR62" s="324"/>
      <c r="CS62" s="602" t="e">
        <f>Бульдозеры!#REF!</f>
        <v>#REF!</v>
      </c>
      <c r="CT62" s="1628" t="e">
        <f>Бульдозеры!#REF!</f>
        <v>#REF!</v>
      </c>
      <c r="CU62" s="1629"/>
      <c r="CV62" s="1629"/>
      <c r="CW62" s="1629"/>
      <c r="CX62" s="1629"/>
      <c r="CY62" s="1629"/>
      <c r="CZ62" s="1630"/>
      <c r="DA62" s="1766">
        <v>189</v>
      </c>
    </row>
    <row r="63" spans="1:105" ht="3" hidden="1" customHeight="1" x14ac:dyDescent="0.3">
      <c r="A63" s="1632"/>
      <c r="B63" s="1667" t="s">
        <v>155</v>
      </c>
      <c r="C63" s="1670"/>
      <c r="D63" s="459"/>
      <c r="E63" s="457"/>
      <c r="F63" s="457"/>
      <c r="G63" s="458"/>
      <c r="H63" s="456"/>
      <c r="I63" s="459"/>
      <c r="J63" s="459"/>
      <c r="K63" s="458"/>
      <c r="L63" s="456"/>
      <c r="M63" s="459"/>
      <c r="N63" s="459"/>
      <c r="O63" s="458"/>
      <c r="P63" s="456"/>
      <c r="Q63" s="459"/>
      <c r="R63" s="459"/>
      <c r="S63" s="458"/>
      <c r="T63" s="941"/>
      <c r="U63" s="942"/>
      <c r="V63" s="458"/>
      <c r="W63" s="456"/>
      <c r="X63" s="459"/>
      <c r="Y63" s="459"/>
      <c r="Z63" s="458"/>
      <c r="AA63" s="456"/>
      <c r="AB63" s="459"/>
      <c r="AC63" s="459"/>
      <c r="AD63" s="458"/>
      <c r="AE63" s="456"/>
      <c r="AF63" s="459"/>
      <c r="AG63" s="459"/>
      <c r="AH63" s="460"/>
      <c r="AI63" s="943"/>
      <c r="AJ63" s="459"/>
      <c r="AK63" s="458"/>
      <c r="AL63" s="456"/>
      <c r="AM63" s="459"/>
      <c r="AN63" s="459"/>
      <c r="AO63" s="458"/>
      <c r="AP63" s="456"/>
      <c r="AQ63" s="459"/>
      <c r="AR63" s="459"/>
      <c r="AS63" s="458"/>
      <c r="AT63" s="456"/>
      <c r="AU63" s="459"/>
      <c r="AV63" s="459"/>
      <c r="AW63" s="457"/>
      <c r="AX63" s="1626"/>
      <c r="AY63" s="459"/>
      <c r="AZ63" s="457"/>
      <c r="BA63" s="457"/>
      <c r="BB63" s="458"/>
      <c r="BC63" s="456"/>
      <c r="BD63" s="459"/>
      <c r="BE63" s="459"/>
      <c r="BF63" s="458"/>
      <c r="BG63" s="456"/>
      <c r="BH63" s="459"/>
      <c r="BI63" s="459"/>
      <c r="BJ63" s="458"/>
      <c r="BK63" s="456"/>
      <c r="BL63" s="459"/>
      <c r="BM63" s="459"/>
      <c r="BN63" s="460"/>
      <c r="BO63" s="941"/>
      <c r="BP63" s="942"/>
      <c r="BQ63" s="458"/>
      <c r="BR63" s="456"/>
      <c r="BS63" s="459"/>
      <c r="BT63" s="459"/>
      <c r="BU63" s="458"/>
      <c r="BV63" s="456"/>
      <c r="BW63" s="459"/>
      <c r="BX63" s="459"/>
      <c r="BY63" s="458"/>
      <c r="BZ63" s="456"/>
      <c r="CA63" s="459"/>
      <c r="CB63" s="459"/>
      <c r="CC63" s="460"/>
      <c r="CD63" s="943"/>
      <c r="CE63" s="459"/>
      <c r="CF63" s="458"/>
      <c r="CG63" s="456"/>
      <c r="CH63" s="459"/>
      <c r="CI63" s="459"/>
      <c r="CJ63" s="458"/>
      <c r="CK63" s="456"/>
      <c r="CL63" s="459"/>
      <c r="CM63" s="459"/>
      <c r="CN63" s="458"/>
      <c r="CO63" s="456"/>
      <c r="CP63" s="459"/>
      <c r="CQ63" s="459"/>
      <c r="CR63" s="457"/>
      <c r="CS63" s="1626"/>
      <c r="CT63" s="1637" t="e">
        <f>Бульдозеры!#REF!</f>
        <v>#REF!</v>
      </c>
      <c r="CU63" s="1638"/>
      <c r="CV63" s="1638"/>
      <c r="CW63" s="1638"/>
      <c r="CX63" s="1638"/>
      <c r="CY63" s="1638"/>
      <c r="CZ63" s="1639"/>
      <c r="DA63" s="1766"/>
    </row>
    <row r="64" spans="1:105" ht="15" hidden="1" customHeight="1" thickBot="1" x14ac:dyDescent="0.35">
      <c r="A64" s="1721"/>
      <c r="B64" s="1668"/>
      <c r="C64" s="596"/>
      <c r="D64" s="341"/>
      <c r="E64" s="338"/>
      <c r="F64" s="339"/>
      <c r="G64" s="340"/>
      <c r="H64" s="337"/>
      <c r="I64" s="341"/>
      <c r="J64" s="341"/>
      <c r="K64" s="340"/>
      <c r="L64" s="337"/>
      <c r="M64" s="341"/>
      <c r="N64" s="341"/>
      <c r="O64" s="340"/>
      <c r="P64" s="337"/>
      <c r="Q64" s="341"/>
      <c r="R64" s="341"/>
      <c r="S64" s="340"/>
      <c r="T64" s="342"/>
      <c r="U64" s="343"/>
      <c r="V64" s="340"/>
      <c r="W64" s="337"/>
      <c r="X64" s="341"/>
      <c r="Y64" s="341"/>
      <c r="Z64" s="340"/>
      <c r="AA64" s="337"/>
      <c r="AB64" s="341"/>
      <c r="AC64" s="341"/>
      <c r="AD64" s="340"/>
      <c r="AE64" s="337"/>
      <c r="AF64" s="341"/>
      <c r="AG64" s="341"/>
      <c r="AH64" s="340"/>
      <c r="AI64" s="342"/>
      <c r="AJ64" s="344"/>
      <c r="AK64" s="340"/>
      <c r="AL64" s="337"/>
      <c r="AM64" s="341"/>
      <c r="AN64" s="341"/>
      <c r="AO64" s="340"/>
      <c r="AP64" s="337"/>
      <c r="AQ64" s="341"/>
      <c r="AR64" s="341"/>
      <c r="AS64" s="340"/>
      <c r="AT64" s="337"/>
      <c r="AU64" s="341"/>
      <c r="AV64" s="341"/>
      <c r="AW64" s="338"/>
      <c r="AX64" s="1627"/>
      <c r="AY64" s="337"/>
      <c r="AZ64" s="338"/>
      <c r="BA64" s="339"/>
      <c r="BB64" s="340"/>
      <c r="BC64" s="329"/>
      <c r="BD64" s="333"/>
      <c r="BE64" s="333"/>
      <c r="BF64" s="332"/>
      <c r="BG64" s="329"/>
      <c r="BH64" s="333"/>
      <c r="BI64" s="333"/>
      <c r="BJ64" s="332"/>
      <c r="BK64" s="329"/>
      <c r="BL64" s="333"/>
      <c r="BM64" s="333"/>
      <c r="BN64" s="332"/>
      <c r="BO64" s="342"/>
      <c r="BP64" s="343"/>
      <c r="BQ64" s="340"/>
      <c r="BR64" s="337"/>
      <c r="BS64" s="341"/>
      <c r="BT64" s="341"/>
      <c r="BU64" s="340"/>
      <c r="BV64" s="337"/>
      <c r="BW64" s="341"/>
      <c r="BX64" s="341"/>
      <c r="BY64" s="340"/>
      <c r="BZ64" s="337"/>
      <c r="CA64" s="341"/>
      <c r="CB64" s="341"/>
      <c r="CC64" s="340"/>
      <c r="CD64" s="342"/>
      <c r="CE64" s="344"/>
      <c r="CF64" s="340"/>
      <c r="CG64" s="337"/>
      <c r="CH64" s="341"/>
      <c r="CI64" s="341"/>
      <c r="CJ64" s="340"/>
      <c r="CK64" s="337"/>
      <c r="CL64" s="341"/>
      <c r="CM64" s="341"/>
      <c r="CN64" s="340"/>
      <c r="CO64" s="337"/>
      <c r="CP64" s="341"/>
      <c r="CQ64" s="341"/>
      <c r="CR64" s="340"/>
      <c r="CS64" s="1627"/>
      <c r="CT64" s="1640"/>
      <c r="CU64" s="1641"/>
      <c r="CV64" s="1641"/>
      <c r="CW64" s="1641"/>
      <c r="CX64" s="1641"/>
      <c r="CY64" s="1641"/>
      <c r="CZ64" s="1642"/>
      <c r="DA64" s="1766"/>
    </row>
    <row r="65" spans="1:105" ht="15" customHeight="1" x14ac:dyDescent="0.3">
      <c r="A65" s="1631" t="s">
        <v>504</v>
      </c>
      <c r="B65" s="591" t="s">
        <v>154</v>
      </c>
      <c r="C65" s="1711"/>
      <c r="D65" s="325"/>
      <c r="E65" s="322"/>
      <c r="F65" s="323"/>
      <c r="G65" s="324"/>
      <c r="H65" s="321"/>
      <c r="I65" s="325"/>
      <c r="J65" s="325"/>
      <c r="K65" s="324"/>
      <c r="L65" s="321"/>
      <c r="M65" s="325"/>
      <c r="N65" s="325"/>
      <c r="O65" s="324"/>
      <c r="P65" s="321"/>
      <c r="Q65" s="325"/>
      <c r="R65" s="325"/>
      <c r="S65" s="324"/>
      <c r="T65" s="326"/>
      <c r="U65" s="327"/>
      <c r="V65" s="324"/>
      <c r="W65" s="321"/>
      <c r="X65" s="325"/>
      <c r="Y65" s="325"/>
      <c r="Z65" s="324"/>
      <c r="AA65" s="321"/>
      <c r="AB65" s="322"/>
      <c r="AC65" s="323"/>
      <c r="AD65" s="324"/>
      <c r="AE65" s="321"/>
      <c r="AF65" s="325"/>
      <c r="AG65" s="325"/>
      <c r="AH65" s="324"/>
      <c r="AI65" s="326"/>
      <c r="AJ65" s="328"/>
      <c r="AK65" s="324"/>
      <c r="AL65" s="321"/>
      <c r="AM65" s="325"/>
      <c r="AN65" s="325"/>
      <c r="AO65" s="324"/>
      <c r="AP65" s="321"/>
      <c r="AQ65" s="325"/>
      <c r="AR65" s="325"/>
      <c r="AS65" s="324"/>
      <c r="AT65" s="321"/>
      <c r="AU65" s="325"/>
      <c r="AV65" s="325"/>
      <c r="AW65" s="322"/>
      <c r="AX65" s="602">
        <f>ROUND(Бульдозеры!H8,1)</f>
        <v>0</v>
      </c>
      <c r="AY65" s="321"/>
      <c r="AZ65" s="322"/>
      <c r="BA65" s="323"/>
      <c r="BB65" s="324"/>
      <c r="BC65" s="321"/>
      <c r="BD65" s="325"/>
      <c r="BE65" s="325"/>
      <c r="BF65" s="324"/>
      <c r="BG65" s="321"/>
      <c r="BH65" s="325"/>
      <c r="BI65" s="325"/>
      <c r="BJ65" s="324"/>
      <c r="BK65" s="321"/>
      <c r="BL65" s="325"/>
      <c r="BM65" s="325"/>
      <c r="BN65" s="324"/>
      <c r="BO65" s="326"/>
      <c r="BP65" s="327"/>
      <c r="BQ65" s="324"/>
      <c r="BR65" s="321"/>
      <c r="BS65" s="325"/>
      <c r="BT65" s="325"/>
      <c r="BU65" s="324"/>
      <c r="BV65" s="321"/>
      <c r="BW65" s="325"/>
      <c r="BX65" s="325"/>
      <c r="BY65" s="324"/>
      <c r="BZ65" s="321"/>
      <c r="CA65" s="325"/>
      <c r="CB65" s="325"/>
      <c r="CC65" s="324"/>
      <c r="CD65" s="326"/>
      <c r="CE65" s="328"/>
      <c r="CF65" s="324"/>
      <c r="CG65" s="321"/>
      <c r="CH65" s="325"/>
      <c r="CI65" s="325"/>
      <c r="CJ65" s="324"/>
      <c r="CK65" s="321"/>
      <c r="CL65" s="325"/>
      <c r="CM65" s="325"/>
      <c r="CN65" s="324"/>
      <c r="CO65" s="321"/>
      <c r="CP65" s="325"/>
      <c r="CQ65" s="325"/>
      <c r="CR65" s="324"/>
      <c r="CS65" s="603">
        <f>ROUND(Бульдозеры!H12,1)</f>
        <v>0</v>
      </c>
      <c r="CT65" s="1628">
        <f>Бульдозеры!AS8</f>
        <v>0</v>
      </c>
      <c r="CU65" s="1629"/>
      <c r="CV65" s="1629"/>
      <c r="CW65" s="1629"/>
      <c r="CX65" s="1629"/>
      <c r="CY65" s="1629"/>
      <c r="CZ65" s="1630"/>
      <c r="DA65" s="1766">
        <v>9</v>
      </c>
    </row>
    <row r="66" spans="1:105" ht="3" customHeight="1" x14ac:dyDescent="0.3">
      <c r="A66" s="1632"/>
      <c r="B66" s="1667" t="s">
        <v>155</v>
      </c>
      <c r="C66" s="1670"/>
      <c r="D66" s="345"/>
      <c r="E66" s="346"/>
      <c r="F66" s="347"/>
      <c r="G66" s="348"/>
      <c r="H66" s="349"/>
      <c r="I66" s="350"/>
      <c r="J66" s="350"/>
      <c r="K66" s="348"/>
      <c r="L66" s="349"/>
      <c r="M66" s="350"/>
      <c r="N66" s="350"/>
      <c r="O66" s="348"/>
      <c r="P66" s="349"/>
      <c r="Q66" s="350"/>
      <c r="R66" s="350"/>
      <c r="S66" s="348"/>
      <c r="T66" s="334"/>
      <c r="U66" s="352"/>
      <c r="V66" s="348"/>
      <c r="W66" s="349"/>
      <c r="X66" s="350"/>
      <c r="Y66" s="350"/>
      <c r="Z66" s="348"/>
      <c r="AA66" s="349"/>
      <c r="AB66" s="350"/>
      <c r="AC66" s="350"/>
      <c r="AD66" s="348"/>
      <c r="AE66" s="349"/>
      <c r="AF66" s="350"/>
      <c r="AG66" s="350"/>
      <c r="AH66" s="351"/>
      <c r="AI66" s="335"/>
      <c r="AJ66" s="350"/>
      <c r="AK66" s="348"/>
      <c r="AL66" s="349"/>
      <c r="AM66" s="350"/>
      <c r="AN66" s="350"/>
      <c r="AO66" s="348"/>
      <c r="AP66" s="349"/>
      <c r="AQ66" s="350"/>
      <c r="AR66" s="350"/>
      <c r="AS66" s="348"/>
      <c r="AT66" s="349"/>
      <c r="AU66" s="350"/>
      <c r="AV66" s="345"/>
      <c r="AW66" s="346"/>
      <c r="AX66" s="1626"/>
      <c r="AY66" s="456"/>
      <c r="AZ66" s="457"/>
      <c r="BA66" s="457"/>
      <c r="BB66" s="458"/>
      <c r="BC66" s="456"/>
      <c r="BD66" s="459"/>
      <c r="BE66" s="459"/>
      <c r="BF66" s="458"/>
      <c r="BG66" s="456"/>
      <c r="BH66" s="459"/>
      <c r="BI66" s="459"/>
      <c r="BJ66" s="458"/>
      <c r="BK66" s="456"/>
      <c r="BL66" s="459"/>
      <c r="BM66" s="459"/>
      <c r="BN66" s="458"/>
      <c r="BO66" s="941"/>
      <c r="BP66" s="942"/>
      <c r="BQ66" s="458"/>
      <c r="BR66" s="456"/>
      <c r="BS66" s="459"/>
      <c r="BT66" s="459"/>
      <c r="BU66" s="458"/>
      <c r="BV66" s="456"/>
      <c r="BW66" s="459"/>
      <c r="BX66" s="459"/>
      <c r="BY66" s="458"/>
      <c r="BZ66" s="456"/>
      <c r="CA66" s="459"/>
      <c r="CB66" s="459"/>
      <c r="CC66" s="460"/>
      <c r="CD66" s="943"/>
      <c r="CE66" s="459"/>
      <c r="CF66" s="458"/>
      <c r="CG66" s="456"/>
      <c r="CH66" s="459"/>
      <c r="CI66" s="459"/>
      <c r="CJ66" s="458"/>
      <c r="CK66" s="456"/>
      <c r="CL66" s="459"/>
      <c r="CM66" s="459"/>
      <c r="CN66" s="458"/>
      <c r="CO66" s="456"/>
      <c r="CP66" s="459"/>
      <c r="CQ66" s="459"/>
      <c r="CR66" s="457"/>
      <c r="CS66" s="1626"/>
      <c r="CT66" s="1637">
        <f>Бульдозеры!AS12</f>
        <v>0</v>
      </c>
      <c r="CU66" s="1638"/>
      <c r="CV66" s="1638"/>
      <c r="CW66" s="1638"/>
      <c r="CX66" s="1638"/>
      <c r="CY66" s="1638"/>
      <c r="CZ66" s="1639"/>
      <c r="DA66" s="1766"/>
    </row>
    <row r="67" spans="1:105" ht="15" customHeight="1" thickBot="1" x14ac:dyDescent="0.35">
      <c r="A67" s="1721"/>
      <c r="B67" s="1668"/>
      <c r="C67" s="596"/>
      <c r="D67" s="341"/>
      <c r="E67" s="338"/>
      <c r="F67" s="339"/>
      <c r="G67" s="340"/>
      <c r="H67" s="337"/>
      <c r="I67" s="341"/>
      <c r="J67" s="341"/>
      <c r="K67" s="340"/>
      <c r="L67" s="337"/>
      <c r="M67" s="341"/>
      <c r="N67" s="341"/>
      <c r="O67" s="340"/>
      <c r="P67" s="337"/>
      <c r="Q67" s="341"/>
      <c r="R67" s="341"/>
      <c r="S67" s="340"/>
      <c r="T67" s="342"/>
      <c r="U67" s="343"/>
      <c r="V67" s="340"/>
      <c r="W67" s="337"/>
      <c r="X67" s="341"/>
      <c r="Y67" s="341"/>
      <c r="Z67" s="340"/>
      <c r="AA67" s="337"/>
      <c r="AB67" s="341"/>
      <c r="AC67" s="341"/>
      <c r="AD67" s="340"/>
      <c r="AE67" s="337"/>
      <c r="AF67" s="341"/>
      <c r="AG67" s="341"/>
      <c r="AH67" s="340"/>
      <c r="AI67" s="342"/>
      <c r="AJ67" s="344"/>
      <c r="AK67" s="340"/>
      <c r="AL67" s="337"/>
      <c r="AM67" s="341"/>
      <c r="AN67" s="341"/>
      <c r="AO67" s="340"/>
      <c r="AP67" s="337"/>
      <c r="AQ67" s="341"/>
      <c r="AR67" s="341"/>
      <c r="AS67" s="340"/>
      <c r="AT67" s="337"/>
      <c r="AU67" s="341"/>
      <c r="AV67" s="341"/>
      <c r="AW67" s="338"/>
      <c r="AX67" s="1627"/>
      <c r="AY67" s="337"/>
      <c r="AZ67" s="338"/>
      <c r="BA67" s="339"/>
      <c r="BB67" s="340"/>
      <c r="BC67" s="337"/>
      <c r="BD67" s="341"/>
      <c r="BE67" s="341"/>
      <c r="BF67" s="340"/>
      <c r="BG67" s="337"/>
      <c r="BH67" s="341"/>
      <c r="BI67" s="341"/>
      <c r="BJ67" s="340"/>
      <c r="BK67" s="337"/>
      <c r="BL67" s="341"/>
      <c r="BM67" s="341"/>
      <c r="BN67" s="340"/>
      <c r="BO67" s="342"/>
      <c r="BP67" s="343"/>
      <c r="BQ67" s="340"/>
      <c r="BR67" s="337"/>
      <c r="BS67" s="341"/>
      <c r="BT67" s="341"/>
      <c r="BU67" s="340"/>
      <c r="BV67" s="337"/>
      <c r="BW67" s="341"/>
      <c r="BX67" s="341"/>
      <c r="BY67" s="340"/>
      <c r="BZ67" s="337"/>
      <c r="CA67" s="341"/>
      <c r="CB67" s="341"/>
      <c r="CC67" s="340"/>
      <c r="CD67" s="342"/>
      <c r="CE67" s="344"/>
      <c r="CF67" s="340"/>
      <c r="CG67" s="337"/>
      <c r="CH67" s="341"/>
      <c r="CI67" s="341"/>
      <c r="CJ67" s="340"/>
      <c r="CK67" s="337"/>
      <c r="CL67" s="341"/>
      <c r="CM67" s="341"/>
      <c r="CN67" s="340"/>
      <c r="CO67" s="337"/>
      <c r="CP67" s="341"/>
      <c r="CQ67" s="341"/>
      <c r="CR67" s="340"/>
      <c r="CS67" s="1627"/>
      <c r="CT67" s="1640"/>
      <c r="CU67" s="1641"/>
      <c r="CV67" s="1641"/>
      <c r="CW67" s="1641"/>
      <c r="CX67" s="1641"/>
      <c r="CY67" s="1641"/>
      <c r="CZ67" s="1642"/>
      <c r="DA67" s="1766"/>
    </row>
    <row r="68" spans="1:105" ht="15" customHeight="1" x14ac:dyDescent="0.3">
      <c r="A68" s="1631" t="s">
        <v>380</v>
      </c>
      <c r="B68" s="591" t="s">
        <v>154</v>
      </c>
      <c r="C68" s="1669"/>
      <c r="D68" s="325"/>
      <c r="E68" s="322"/>
      <c r="F68" s="323"/>
      <c r="G68" s="324"/>
      <c r="H68" s="321"/>
      <c r="I68" s="325"/>
      <c r="J68" s="325"/>
      <c r="K68" s="324"/>
      <c r="L68" s="321"/>
      <c r="M68" s="325"/>
      <c r="N68" s="325"/>
      <c r="O68" s="324"/>
      <c r="P68" s="321"/>
      <c r="Q68" s="325"/>
      <c r="R68" s="325"/>
      <c r="S68" s="324"/>
      <c r="T68" s="326"/>
      <c r="U68" s="327"/>
      <c r="V68" s="324"/>
      <c r="W68" s="321"/>
      <c r="X68" s="325"/>
      <c r="Y68" s="325"/>
      <c r="Z68" s="324"/>
      <c r="AA68" s="321"/>
      <c r="AB68" s="325"/>
      <c r="AC68" s="325"/>
      <c r="AD68" s="324"/>
      <c r="AE68" s="321"/>
      <c r="AF68" s="325"/>
      <c r="AG68" s="325"/>
      <c r="AH68" s="324"/>
      <c r="AI68" s="326"/>
      <c r="AJ68" s="328"/>
      <c r="AK68" s="324"/>
      <c r="AL68" s="321"/>
      <c r="AM68" s="325"/>
      <c r="AN68" s="325"/>
      <c r="AO68" s="324"/>
      <c r="AP68" s="321"/>
      <c r="AQ68" s="325"/>
      <c r="AR68" s="325"/>
      <c r="AS68" s="324"/>
      <c r="AT68" s="321"/>
      <c r="AU68" s="325"/>
      <c r="AV68" s="325"/>
      <c r="AW68" s="324"/>
      <c r="AX68" s="602" t="e">
        <f>ROUND(Бульдозеры!#REF!,1)</f>
        <v>#REF!</v>
      </c>
      <c r="AY68" s="321"/>
      <c r="AZ68" s="330"/>
      <c r="BA68" s="331"/>
      <c r="BB68" s="324"/>
      <c r="BC68" s="321"/>
      <c r="BD68" s="325"/>
      <c r="BE68" s="325"/>
      <c r="BF68" s="324"/>
      <c r="BG68" s="321"/>
      <c r="BH68" s="325"/>
      <c r="BI68" s="325"/>
      <c r="BJ68" s="324"/>
      <c r="BK68" s="321"/>
      <c r="BL68" s="325"/>
      <c r="BM68" s="325"/>
      <c r="BN68" s="324"/>
      <c r="BO68" s="326"/>
      <c r="BP68" s="327"/>
      <c r="BQ68" s="324"/>
      <c r="BR68" s="321"/>
      <c r="BS68" s="325"/>
      <c r="BT68" s="325"/>
      <c r="BU68" s="324"/>
      <c r="BV68" s="321"/>
      <c r="BW68" s="325"/>
      <c r="BX68" s="325"/>
      <c r="BY68" s="324"/>
      <c r="BZ68" s="321"/>
      <c r="CA68" s="325"/>
      <c r="CB68" s="325"/>
      <c r="CC68" s="324"/>
      <c r="CD68" s="326"/>
      <c r="CE68" s="328"/>
      <c r="CF68" s="324"/>
      <c r="CG68" s="321"/>
      <c r="CH68" s="325"/>
      <c r="CI68" s="325"/>
      <c r="CJ68" s="324"/>
      <c r="CK68" s="321"/>
      <c r="CL68" s="325"/>
      <c r="CM68" s="325"/>
      <c r="CN68" s="324"/>
      <c r="CO68" s="321"/>
      <c r="CP68" s="325"/>
      <c r="CQ68" s="325"/>
      <c r="CR68" s="324"/>
      <c r="CS68" s="603" t="e">
        <f>ROUND(Бульдозеры!#REF!,1)</f>
        <v>#REF!</v>
      </c>
      <c r="CT68" s="1628" t="e">
        <f>Бульдозеры!#REF!</f>
        <v>#REF!</v>
      </c>
      <c r="CU68" s="1629"/>
      <c r="CV68" s="1629"/>
      <c r="CW68" s="1629"/>
      <c r="CX68" s="1629"/>
      <c r="CY68" s="1629"/>
      <c r="CZ68" s="1630"/>
      <c r="DA68" s="1766">
        <v>186</v>
      </c>
    </row>
    <row r="69" spans="1:105" ht="3" customHeight="1" x14ac:dyDescent="0.3">
      <c r="A69" s="1632"/>
      <c r="B69" s="1667" t="s">
        <v>155</v>
      </c>
      <c r="C69" s="1670"/>
      <c r="D69" s="345"/>
      <c r="E69" s="346"/>
      <c r="F69" s="347"/>
      <c r="G69" s="348"/>
      <c r="H69" s="349"/>
      <c r="I69" s="350"/>
      <c r="J69" s="350"/>
      <c r="K69" s="348"/>
      <c r="L69" s="349"/>
      <c r="M69" s="350"/>
      <c r="N69" s="350"/>
      <c r="O69" s="348"/>
      <c r="P69" s="349"/>
      <c r="Q69" s="350"/>
      <c r="R69" s="350"/>
      <c r="S69" s="348"/>
      <c r="T69" s="334"/>
      <c r="U69" s="352"/>
      <c r="V69" s="348"/>
      <c r="W69" s="349"/>
      <c r="X69" s="350"/>
      <c r="Y69" s="350"/>
      <c r="Z69" s="348"/>
      <c r="AA69" s="349"/>
      <c r="AB69" s="350"/>
      <c r="AC69" s="350"/>
      <c r="AD69" s="348"/>
      <c r="AE69" s="349"/>
      <c r="AF69" s="350"/>
      <c r="AG69" s="350"/>
      <c r="AH69" s="351"/>
      <c r="AI69" s="335"/>
      <c r="AJ69" s="350"/>
      <c r="AK69" s="348"/>
      <c r="AL69" s="349"/>
      <c r="AM69" s="350"/>
      <c r="AN69" s="350"/>
      <c r="AO69" s="348"/>
      <c r="AP69" s="349"/>
      <c r="AQ69" s="350"/>
      <c r="AR69" s="350"/>
      <c r="AS69" s="348"/>
      <c r="AT69" s="349"/>
      <c r="AU69" s="350"/>
      <c r="AV69" s="345"/>
      <c r="AW69" s="346"/>
      <c r="AX69" s="1626"/>
      <c r="AY69" s="353"/>
      <c r="AZ69" s="346"/>
      <c r="BA69" s="347"/>
      <c r="BB69" s="348"/>
      <c r="BC69" s="349"/>
      <c r="BD69" s="350"/>
      <c r="BE69" s="350"/>
      <c r="BF69" s="348"/>
      <c r="BG69" s="349"/>
      <c r="BH69" s="350"/>
      <c r="BI69" s="350"/>
      <c r="BJ69" s="348"/>
      <c r="BK69" s="349"/>
      <c r="BL69" s="350"/>
      <c r="BM69" s="350"/>
      <c r="BN69" s="348"/>
      <c r="BO69" s="334"/>
      <c r="BP69" s="352"/>
      <c r="BQ69" s="348"/>
      <c r="BR69" s="349"/>
      <c r="BS69" s="350"/>
      <c r="BT69" s="350"/>
      <c r="BU69" s="348"/>
      <c r="BV69" s="349"/>
      <c r="BW69" s="350"/>
      <c r="BX69" s="350"/>
      <c r="BY69" s="348"/>
      <c r="BZ69" s="349"/>
      <c r="CA69" s="350"/>
      <c r="CB69" s="350"/>
      <c r="CC69" s="351"/>
      <c r="CD69" s="335"/>
      <c r="CE69" s="350"/>
      <c r="CF69" s="348"/>
      <c r="CG69" s="349"/>
      <c r="CH69" s="350"/>
      <c r="CI69" s="350"/>
      <c r="CJ69" s="348"/>
      <c r="CK69" s="349"/>
      <c r="CL69" s="350"/>
      <c r="CM69" s="350"/>
      <c r="CN69" s="348"/>
      <c r="CO69" s="349"/>
      <c r="CP69" s="350"/>
      <c r="CQ69" s="345"/>
      <c r="CR69" s="346"/>
      <c r="CS69" s="1626"/>
      <c r="CT69" s="1637" t="e">
        <f>Бульдозеры!#REF!</f>
        <v>#REF!</v>
      </c>
      <c r="CU69" s="1638"/>
      <c r="CV69" s="1638"/>
      <c r="CW69" s="1638"/>
      <c r="CX69" s="1638"/>
      <c r="CY69" s="1638"/>
      <c r="CZ69" s="1639"/>
      <c r="DA69" s="1766"/>
    </row>
    <row r="70" spans="1:105" ht="15" customHeight="1" thickBot="1" x14ac:dyDescent="0.35">
      <c r="A70" s="1721"/>
      <c r="B70" s="1668"/>
      <c r="C70" s="919"/>
      <c r="D70" s="341"/>
      <c r="E70" s="338"/>
      <c r="F70" s="339"/>
      <c r="G70" s="340"/>
      <c r="H70" s="337"/>
      <c r="I70" s="341"/>
      <c r="J70" s="341"/>
      <c r="K70" s="340"/>
      <c r="L70" s="337"/>
      <c r="M70" s="341"/>
      <c r="N70" s="341"/>
      <c r="O70" s="340"/>
      <c r="P70" s="337"/>
      <c r="Q70" s="341"/>
      <c r="R70" s="341"/>
      <c r="S70" s="340"/>
      <c r="T70" s="342"/>
      <c r="U70" s="343"/>
      <c r="V70" s="340"/>
      <c r="W70" s="337"/>
      <c r="X70" s="341"/>
      <c r="Y70" s="341"/>
      <c r="Z70" s="340"/>
      <c r="AA70" s="337"/>
      <c r="AB70" s="341"/>
      <c r="AC70" s="341"/>
      <c r="AD70" s="340"/>
      <c r="AE70" s="337"/>
      <c r="AF70" s="341"/>
      <c r="AG70" s="341"/>
      <c r="AH70" s="340"/>
      <c r="AI70" s="342"/>
      <c r="AJ70" s="344"/>
      <c r="AK70" s="340"/>
      <c r="AL70" s="337"/>
      <c r="AM70" s="341"/>
      <c r="AN70" s="341"/>
      <c r="AO70" s="340"/>
      <c r="AP70" s="337"/>
      <c r="AQ70" s="341"/>
      <c r="AR70" s="341"/>
      <c r="AS70" s="340"/>
      <c r="AT70" s="337"/>
      <c r="AU70" s="341"/>
      <c r="AV70" s="341"/>
      <c r="AW70" s="340"/>
      <c r="AX70" s="1627"/>
      <c r="AY70" s="337"/>
      <c r="AZ70" s="338"/>
      <c r="BA70" s="339"/>
      <c r="BB70" s="340"/>
      <c r="BC70" s="329"/>
      <c r="BD70" s="333"/>
      <c r="BE70" s="333"/>
      <c r="BF70" s="332"/>
      <c r="BG70" s="329"/>
      <c r="BH70" s="333"/>
      <c r="BI70" s="333"/>
      <c r="BJ70" s="332"/>
      <c r="BK70" s="329"/>
      <c r="BL70" s="333"/>
      <c r="BM70" s="333"/>
      <c r="BN70" s="332"/>
      <c r="BO70" s="342"/>
      <c r="BP70" s="343"/>
      <c r="BQ70" s="340"/>
      <c r="BR70" s="337"/>
      <c r="BS70" s="341"/>
      <c r="BT70" s="341"/>
      <c r="BU70" s="340"/>
      <c r="BV70" s="337"/>
      <c r="BW70" s="341"/>
      <c r="BX70" s="341"/>
      <c r="BY70" s="340"/>
      <c r="BZ70" s="337"/>
      <c r="CA70" s="341"/>
      <c r="CB70" s="341"/>
      <c r="CC70" s="340"/>
      <c r="CD70" s="342"/>
      <c r="CE70" s="344"/>
      <c r="CF70" s="340"/>
      <c r="CG70" s="337"/>
      <c r="CH70" s="341"/>
      <c r="CI70" s="341"/>
      <c r="CJ70" s="340"/>
      <c r="CK70" s="337"/>
      <c r="CL70" s="341"/>
      <c r="CM70" s="341"/>
      <c r="CN70" s="340"/>
      <c r="CO70" s="337"/>
      <c r="CP70" s="341"/>
      <c r="CQ70" s="341"/>
      <c r="CR70" s="340"/>
      <c r="CS70" s="1627"/>
      <c r="CT70" s="1640"/>
      <c r="CU70" s="1641"/>
      <c r="CV70" s="1641"/>
      <c r="CW70" s="1641"/>
      <c r="CX70" s="1641"/>
      <c r="CY70" s="1641"/>
      <c r="CZ70" s="1642"/>
      <c r="DA70" s="1766"/>
    </row>
    <row r="71" spans="1:105" ht="15" hidden="1" customHeight="1" x14ac:dyDescent="0.3">
      <c r="A71" s="1631" t="s">
        <v>280</v>
      </c>
      <c r="B71" s="591" t="s">
        <v>154</v>
      </c>
      <c r="C71" s="1669"/>
      <c r="D71" s="325"/>
      <c r="E71" s="322"/>
      <c r="F71" s="323"/>
      <c r="G71" s="324"/>
      <c r="H71" s="321"/>
      <c r="I71" s="325"/>
      <c r="J71" s="325"/>
      <c r="K71" s="324"/>
      <c r="L71" s="321"/>
      <c r="M71" s="325"/>
      <c r="N71" s="325"/>
      <c r="O71" s="324"/>
      <c r="P71" s="321"/>
      <c r="Q71" s="325"/>
      <c r="R71" s="325"/>
      <c r="S71" s="324"/>
      <c r="T71" s="326"/>
      <c r="U71" s="327"/>
      <c r="V71" s="324"/>
      <c r="W71" s="321"/>
      <c r="X71" s="325"/>
      <c r="Y71" s="325"/>
      <c r="Z71" s="324"/>
      <c r="AA71" s="321"/>
      <c r="AB71" s="322"/>
      <c r="AC71" s="323"/>
      <c r="AD71" s="324"/>
      <c r="AE71" s="321"/>
      <c r="AF71" s="325"/>
      <c r="AG71" s="325"/>
      <c r="AH71" s="324"/>
      <c r="AI71" s="326"/>
      <c r="AJ71" s="328"/>
      <c r="AK71" s="324"/>
      <c r="AL71" s="321"/>
      <c r="AM71" s="325"/>
      <c r="AN71" s="325"/>
      <c r="AO71" s="324"/>
      <c r="AP71" s="321"/>
      <c r="AQ71" s="325"/>
      <c r="AR71" s="325"/>
      <c r="AS71" s="324"/>
      <c r="AT71" s="321"/>
      <c r="AU71" s="325"/>
      <c r="AV71" s="325"/>
      <c r="AW71" s="322"/>
      <c r="AX71" s="602" t="e">
        <f>ROUND(Бульдозеры!#REF!,1)</f>
        <v>#REF!</v>
      </c>
      <c r="AY71" s="325"/>
      <c r="AZ71" s="322"/>
      <c r="BA71" s="323"/>
      <c r="BB71" s="324"/>
      <c r="BC71" s="321"/>
      <c r="BD71" s="325"/>
      <c r="BE71" s="325"/>
      <c r="BF71" s="324"/>
      <c r="BG71" s="321"/>
      <c r="BH71" s="325"/>
      <c r="BI71" s="325"/>
      <c r="BJ71" s="324"/>
      <c r="BK71" s="321"/>
      <c r="BL71" s="325"/>
      <c r="BM71" s="325"/>
      <c r="BN71" s="324"/>
      <c r="BO71" s="326"/>
      <c r="BP71" s="327"/>
      <c r="BQ71" s="324"/>
      <c r="BR71" s="321"/>
      <c r="BS71" s="325"/>
      <c r="BT71" s="325"/>
      <c r="BU71" s="324"/>
      <c r="BV71" s="321"/>
      <c r="BW71" s="322"/>
      <c r="BX71" s="323"/>
      <c r="BY71" s="324"/>
      <c r="BZ71" s="321"/>
      <c r="CA71" s="325"/>
      <c r="CB71" s="325"/>
      <c r="CC71" s="324"/>
      <c r="CD71" s="326"/>
      <c r="CE71" s="328"/>
      <c r="CF71" s="324"/>
      <c r="CG71" s="321"/>
      <c r="CH71" s="325"/>
      <c r="CI71" s="325"/>
      <c r="CJ71" s="324"/>
      <c r="CK71" s="321"/>
      <c r="CL71" s="325"/>
      <c r="CM71" s="325"/>
      <c r="CN71" s="324"/>
      <c r="CO71" s="321"/>
      <c r="CP71" s="325"/>
      <c r="CQ71" s="325"/>
      <c r="CR71" s="322"/>
      <c r="CS71" s="603" t="e">
        <f>ROUND(Бульдозеры!#REF!,1)</f>
        <v>#REF!</v>
      </c>
      <c r="CT71" s="1628" t="e">
        <f>Бульдозеры!#REF!</f>
        <v>#REF!</v>
      </c>
      <c r="CU71" s="1629"/>
      <c r="CV71" s="1629"/>
      <c r="CW71" s="1629"/>
      <c r="CX71" s="1629"/>
      <c r="CY71" s="1629"/>
      <c r="CZ71" s="1630"/>
      <c r="DA71" s="1766">
        <v>14</v>
      </c>
    </row>
    <row r="72" spans="1:105" ht="3" hidden="1" customHeight="1" x14ac:dyDescent="0.3">
      <c r="A72" s="1632"/>
      <c r="B72" s="1667" t="s">
        <v>155</v>
      </c>
      <c r="C72" s="1670"/>
      <c r="D72" s="459"/>
      <c r="E72" s="457"/>
      <c r="F72" s="457"/>
      <c r="G72" s="458"/>
      <c r="H72" s="456"/>
      <c r="I72" s="459"/>
      <c r="J72" s="459"/>
      <c r="K72" s="458"/>
      <c r="L72" s="456"/>
      <c r="M72" s="459"/>
      <c r="N72" s="459"/>
      <c r="O72" s="458"/>
      <c r="P72" s="456"/>
      <c r="Q72" s="459"/>
      <c r="R72" s="459"/>
      <c r="S72" s="458"/>
      <c r="T72" s="941"/>
      <c r="U72" s="942"/>
      <c r="V72" s="458"/>
      <c r="W72" s="456"/>
      <c r="X72" s="459"/>
      <c r="Y72" s="459"/>
      <c r="Z72" s="458"/>
      <c r="AA72" s="456"/>
      <c r="AB72" s="459"/>
      <c r="AC72" s="459"/>
      <c r="AD72" s="458"/>
      <c r="AE72" s="456"/>
      <c r="AF72" s="459"/>
      <c r="AG72" s="459"/>
      <c r="AH72" s="460"/>
      <c r="AI72" s="943"/>
      <c r="AJ72" s="459"/>
      <c r="AK72" s="458"/>
      <c r="AL72" s="456"/>
      <c r="AM72" s="459"/>
      <c r="AN72" s="459"/>
      <c r="AO72" s="458"/>
      <c r="AP72" s="456"/>
      <c r="AQ72" s="459"/>
      <c r="AR72" s="459"/>
      <c r="AS72" s="458"/>
      <c r="AT72" s="456"/>
      <c r="AU72" s="459"/>
      <c r="AV72" s="459"/>
      <c r="AW72" s="457"/>
      <c r="AX72" s="1626"/>
      <c r="AY72" s="459"/>
      <c r="AZ72" s="457"/>
      <c r="BA72" s="457"/>
      <c r="BB72" s="458"/>
      <c r="BC72" s="456"/>
      <c r="BD72" s="459"/>
      <c r="BE72" s="459"/>
      <c r="BF72" s="458"/>
      <c r="BG72" s="456"/>
      <c r="BH72" s="459"/>
      <c r="BI72" s="459"/>
      <c r="BJ72" s="458"/>
      <c r="BK72" s="456"/>
      <c r="BL72" s="459"/>
      <c r="BM72" s="459"/>
      <c r="BN72" s="458"/>
      <c r="BO72" s="941"/>
      <c r="BP72" s="942"/>
      <c r="BQ72" s="458"/>
      <c r="BR72" s="456"/>
      <c r="BS72" s="459"/>
      <c r="BT72" s="459"/>
      <c r="BU72" s="458"/>
      <c r="BV72" s="456"/>
      <c r="BW72" s="459"/>
      <c r="BX72" s="459"/>
      <c r="BY72" s="458"/>
      <c r="BZ72" s="456"/>
      <c r="CA72" s="459"/>
      <c r="CB72" s="459"/>
      <c r="CC72" s="460"/>
      <c r="CD72" s="943"/>
      <c r="CE72" s="459"/>
      <c r="CF72" s="458"/>
      <c r="CG72" s="456"/>
      <c r="CH72" s="459"/>
      <c r="CI72" s="459"/>
      <c r="CJ72" s="458"/>
      <c r="CK72" s="456"/>
      <c r="CL72" s="459"/>
      <c r="CM72" s="459"/>
      <c r="CN72" s="458"/>
      <c r="CO72" s="456"/>
      <c r="CP72" s="459"/>
      <c r="CQ72" s="459"/>
      <c r="CR72" s="457"/>
      <c r="CS72" s="1626"/>
      <c r="CT72" s="1637" t="e">
        <f>Бульдозеры!#REF!</f>
        <v>#REF!</v>
      </c>
      <c r="CU72" s="1638"/>
      <c r="CV72" s="1638"/>
      <c r="CW72" s="1638"/>
      <c r="CX72" s="1638"/>
      <c r="CY72" s="1638"/>
      <c r="CZ72" s="1639"/>
      <c r="DA72" s="1766"/>
    </row>
    <row r="73" spans="1:105" ht="15" hidden="1" customHeight="1" thickBot="1" x14ac:dyDescent="0.35">
      <c r="A73" s="1721"/>
      <c r="B73" s="1668"/>
      <c r="C73" s="919"/>
      <c r="D73" s="341"/>
      <c r="E73" s="338"/>
      <c r="F73" s="339"/>
      <c r="G73" s="340"/>
      <c r="H73" s="337"/>
      <c r="I73" s="341"/>
      <c r="J73" s="341"/>
      <c r="K73" s="340"/>
      <c r="L73" s="337"/>
      <c r="M73" s="341"/>
      <c r="N73" s="341"/>
      <c r="O73" s="340"/>
      <c r="P73" s="337"/>
      <c r="Q73" s="341"/>
      <c r="R73" s="341"/>
      <c r="S73" s="340"/>
      <c r="T73" s="342"/>
      <c r="U73" s="343"/>
      <c r="V73" s="340"/>
      <c r="W73" s="337"/>
      <c r="X73" s="341"/>
      <c r="Y73" s="341"/>
      <c r="Z73" s="340"/>
      <c r="AA73" s="337"/>
      <c r="AB73" s="341"/>
      <c r="AC73" s="341"/>
      <c r="AD73" s="340"/>
      <c r="AE73" s="337"/>
      <c r="AF73" s="341"/>
      <c r="AG73" s="341"/>
      <c r="AH73" s="340"/>
      <c r="AI73" s="342"/>
      <c r="AJ73" s="344"/>
      <c r="AK73" s="340"/>
      <c r="AL73" s="337"/>
      <c r="AM73" s="341"/>
      <c r="AN73" s="341"/>
      <c r="AO73" s="340"/>
      <c r="AP73" s="337"/>
      <c r="AQ73" s="341"/>
      <c r="AR73" s="341"/>
      <c r="AS73" s="340"/>
      <c r="AT73" s="337"/>
      <c r="AU73" s="341"/>
      <c r="AV73" s="341"/>
      <c r="AW73" s="338"/>
      <c r="AX73" s="1627"/>
      <c r="AY73" s="341"/>
      <c r="AZ73" s="338"/>
      <c r="BA73" s="339"/>
      <c r="BB73" s="340"/>
      <c r="BC73" s="337"/>
      <c r="BD73" s="341"/>
      <c r="BE73" s="341"/>
      <c r="BF73" s="340"/>
      <c r="BG73" s="337"/>
      <c r="BH73" s="341"/>
      <c r="BI73" s="341"/>
      <c r="BJ73" s="340"/>
      <c r="BK73" s="337"/>
      <c r="BL73" s="341"/>
      <c r="BM73" s="341"/>
      <c r="BN73" s="340"/>
      <c r="BO73" s="342"/>
      <c r="BP73" s="343"/>
      <c r="BQ73" s="340"/>
      <c r="BR73" s="337"/>
      <c r="BS73" s="341"/>
      <c r="BT73" s="341"/>
      <c r="BU73" s="340"/>
      <c r="BV73" s="337"/>
      <c r="BW73" s="341"/>
      <c r="BX73" s="341"/>
      <c r="BY73" s="340"/>
      <c r="BZ73" s="337"/>
      <c r="CA73" s="341"/>
      <c r="CB73" s="341"/>
      <c r="CC73" s="340"/>
      <c r="CD73" s="342"/>
      <c r="CE73" s="344"/>
      <c r="CF73" s="340"/>
      <c r="CG73" s="337"/>
      <c r="CH73" s="341"/>
      <c r="CI73" s="341"/>
      <c r="CJ73" s="340"/>
      <c r="CK73" s="337"/>
      <c r="CL73" s="341"/>
      <c r="CM73" s="341"/>
      <c r="CN73" s="340"/>
      <c r="CO73" s="337"/>
      <c r="CP73" s="341"/>
      <c r="CQ73" s="341"/>
      <c r="CR73" s="338"/>
      <c r="CS73" s="1627"/>
      <c r="CT73" s="1640"/>
      <c r="CU73" s="1641"/>
      <c r="CV73" s="1641"/>
      <c r="CW73" s="1641"/>
      <c r="CX73" s="1641"/>
      <c r="CY73" s="1641"/>
      <c r="CZ73" s="1642"/>
      <c r="DA73" s="1766"/>
    </row>
    <row r="74" spans="1:105" ht="15" customHeight="1" x14ac:dyDescent="0.3">
      <c r="A74" s="1631" t="s">
        <v>472</v>
      </c>
      <c r="B74" s="591" t="s">
        <v>154</v>
      </c>
      <c r="C74" s="1711"/>
      <c r="D74" s="325"/>
      <c r="E74" s="322"/>
      <c r="F74" s="323"/>
      <c r="G74" s="324"/>
      <c r="H74" s="321"/>
      <c r="I74" s="325"/>
      <c r="J74" s="325"/>
      <c r="K74" s="324"/>
      <c r="L74" s="321"/>
      <c r="M74" s="325"/>
      <c r="N74" s="325"/>
      <c r="O74" s="324"/>
      <c r="P74" s="321"/>
      <c r="Q74" s="325"/>
      <c r="R74" s="325"/>
      <c r="S74" s="324"/>
      <c r="T74" s="326"/>
      <c r="U74" s="327"/>
      <c r="V74" s="324"/>
      <c r="W74" s="321"/>
      <c r="X74" s="325"/>
      <c r="Y74" s="325"/>
      <c r="Z74" s="324"/>
      <c r="AA74" s="321"/>
      <c r="AB74" s="325"/>
      <c r="AC74" s="325"/>
      <c r="AD74" s="324"/>
      <c r="AE74" s="321"/>
      <c r="AF74" s="325"/>
      <c r="AG74" s="325"/>
      <c r="AH74" s="324"/>
      <c r="AI74" s="326"/>
      <c r="AJ74" s="328"/>
      <c r="AK74" s="324"/>
      <c r="AL74" s="321"/>
      <c r="AM74" s="325"/>
      <c r="AN74" s="325"/>
      <c r="AO74" s="324"/>
      <c r="AP74" s="321"/>
      <c r="AQ74" s="325"/>
      <c r="AR74" s="325"/>
      <c r="AS74" s="324"/>
      <c r="AT74" s="321"/>
      <c r="AU74" s="325"/>
      <c r="AV74" s="325"/>
      <c r="AW74" s="324"/>
      <c r="AX74" s="602"/>
      <c r="AY74" s="321"/>
      <c r="AZ74" s="322"/>
      <c r="BA74" s="323"/>
      <c r="BB74" s="324"/>
      <c r="BC74" s="321"/>
      <c r="BD74" s="325"/>
      <c r="BE74" s="325"/>
      <c r="BF74" s="324"/>
      <c r="BG74" s="321"/>
      <c r="BH74" s="325"/>
      <c r="BI74" s="325"/>
      <c r="BJ74" s="324"/>
      <c r="BK74" s="321"/>
      <c r="BL74" s="325"/>
      <c r="BM74" s="325"/>
      <c r="BN74" s="324"/>
      <c r="BO74" s="326"/>
      <c r="BP74" s="327"/>
      <c r="BQ74" s="324"/>
      <c r="BR74" s="321"/>
      <c r="BS74" s="325"/>
      <c r="BT74" s="325"/>
      <c r="BU74" s="324"/>
      <c r="BV74" s="321"/>
      <c r="BW74" s="325"/>
      <c r="BX74" s="325"/>
      <c r="BY74" s="324"/>
      <c r="BZ74" s="321"/>
      <c r="CA74" s="325"/>
      <c r="CB74" s="325"/>
      <c r="CC74" s="324"/>
      <c r="CD74" s="326"/>
      <c r="CE74" s="328"/>
      <c r="CF74" s="324"/>
      <c r="CG74" s="321"/>
      <c r="CH74" s="325"/>
      <c r="CI74" s="325"/>
      <c r="CJ74" s="324"/>
      <c r="CK74" s="321"/>
      <c r="CL74" s="325"/>
      <c r="CM74" s="325"/>
      <c r="CN74" s="324"/>
      <c r="CO74" s="321"/>
      <c r="CP74" s="325"/>
      <c r="CQ74" s="325"/>
      <c r="CR74" s="324"/>
      <c r="CS74" s="602"/>
      <c r="CT74" s="1628"/>
      <c r="CU74" s="1629"/>
      <c r="CV74" s="1629"/>
      <c r="CW74" s="1629"/>
      <c r="CX74" s="1629"/>
      <c r="CY74" s="1629"/>
      <c r="CZ74" s="1630"/>
      <c r="DA74" s="1766">
        <v>272</v>
      </c>
    </row>
    <row r="75" spans="1:105" ht="3" customHeight="1" x14ac:dyDescent="0.3">
      <c r="A75" s="1632"/>
      <c r="B75" s="1667" t="s">
        <v>155</v>
      </c>
      <c r="C75" s="1670"/>
      <c r="D75" s="345"/>
      <c r="E75" s="346"/>
      <c r="F75" s="347"/>
      <c r="G75" s="348"/>
      <c r="H75" s="349"/>
      <c r="I75" s="350"/>
      <c r="J75" s="350"/>
      <c r="K75" s="348"/>
      <c r="L75" s="349"/>
      <c r="M75" s="350"/>
      <c r="N75" s="350"/>
      <c r="O75" s="348"/>
      <c r="P75" s="349"/>
      <c r="Q75" s="350"/>
      <c r="R75" s="350"/>
      <c r="S75" s="348"/>
      <c r="T75" s="334"/>
      <c r="U75" s="352"/>
      <c r="V75" s="348"/>
      <c r="W75" s="349"/>
      <c r="X75" s="350"/>
      <c r="Y75" s="350"/>
      <c r="Z75" s="348"/>
      <c r="AA75" s="349"/>
      <c r="AB75" s="350"/>
      <c r="AC75" s="350"/>
      <c r="AD75" s="348"/>
      <c r="AE75" s="349"/>
      <c r="AF75" s="350"/>
      <c r="AG75" s="350"/>
      <c r="AH75" s="351"/>
      <c r="AI75" s="335"/>
      <c r="AJ75" s="350"/>
      <c r="AK75" s="348"/>
      <c r="AL75" s="456"/>
      <c r="AM75" s="459"/>
      <c r="AN75" s="459"/>
      <c r="AO75" s="458"/>
      <c r="AP75" s="456"/>
      <c r="AQ75" s="459"/>
      <c r="AR75" s="459"/>
      <c r="AS75" s="458"/>
      <c r="AT75" s="456"/>
      <c r="AU75" s="459"/>
      <c r="AV75" s="459"/>
      <c r="AW75" s="457"/>
      <c r="AX75" s="1626"/>
      <c r="AY75" s="456"/>
      <c r="AZ75" s="457"/>
      <c r="BA75" s="457"/>
      <c r="BB75" s="458"/>
      <c r="BC75" s="456"/>
      <c r="BD75" s="459"/>
      <c r="BE75" s="459"/>
      <c r="BF75" s="458"/>
      <c r="BG75" s="456"/>
      <c r="BH75" s="459"/>
      <c r="BI75" s="459"/>
      <c r="BJ75" s="458"/>
      <c r="BK75" s="456"/>
      <c r="BL75" s="459"/>
      <c r="BM75" s="459"/>
      <c r="BN75" s="458"/>
      <c r="BO75" s="941"/>
      <c r="BP75" s="942"/>
      <c r="BQ75" s="458"/>
      <c r="BR75" s="456"/>
      <c r="BS75" s="459"/>
      <c r="BT75" s="459"/>
      <c r="BU75" s="458"/>
      <c r="BV75" s="456"/>
      <c r="BW75" s="459"/>
      <c r="BX75" s="459"/>
      <c r="BY75" s="458"/>
      <c r="BZ75" s="456"/>
      <c r="CA75" s="459"/>
      <c r="CB75" s="459"/>
      <c r="CC75" s="460"/>
      <c r="CD75" s="943"/>
      <c r="CE75" s="459"/>
      <c r="CF75" s="458"/>
      <c r="CG75" s="456"/>
      <c r="CH75" s="459"/>
      <c r="CI75" s="459"/>
      <c r="CJ75" s="458"/>
      <c r="CK75" s="456"/>
      <c r="CL75" s="459"/>
      <c r="CM75" s="459"/>
      <c r="CN75" s="458"/>
      <c r="CO75" s="456"/>
      <c r="CP75" s="459"/>
      <c r="CQ75" s="459"/>
      <c r="CR75" s="457"/>
      <c r="CS75" s="1626"/>
      <c r="CT75" s="1637"/>
      <c r="CU75" s="1638"/>
      <c r="CV75" s="1638"/>
      <c r="CW75" s="1638"/>
      <c r="CX75" s="1638"/>
      <c r="CY75" s="1638"/>
      <c r="CZ75" s="1639"/>
      <c r="DA75" s="1766"/>
    </row>
    <row r="76" spans="1:105" ht="15" customHeight="1" thickBot="1" x14ac:dyDescent="0.35">
      <c r="A76" s="1721"/>
      <c r="B76" s="1668"/>
      <c r="C76" s="596"/>
      <c r="D76" s="341"/>
      <c r="E76" s="338"/>
      <c r="F76" s="339"/>
      <c r="G76" s="340"/>
      <c r="H76" s="337"/>
      <c r="I76" s="341"/>
      <c r="J76" s="341"/>
      <c r="K76" s="340"/>
      <c r="L76" s="337"/>
      <c r="M76" s="341"/>
      <c r="N76" s="341"/>
      <c r="O76" s="340"/>
      <c r="P76" s="337"/>
      <c r="Q76" s="341"/>
      <c r="R76" s="341"/>
      <c r="S76" s="340"/>
      <c r="T76" s="342"/>
      <c r="U76" s="343"/>
      <c r="V76" s="340"/>
      <c r="W76" s="337"/>
      <c r="X76" s="341"/>
      <c r="Y76" s="341"/>
      <c r="Z76" s="340"/>
      <c r="AA76" s="337"/>
      <c r="AB76" s="341"/>
      <c r="AC76" s="341"/>
      <c r="AD76" s="340"/>
      <c r="AE76" s="337"/>
      <c r="AF76" s="341"/>
      <c r="AG76" s="341"/>
      <c r="AH76" s="340"/>
      <c r="AI76" s="342"/>
      <c r="AJ76" s="344"/>
      <c r="AK76" s="340"/>
      <c r="AL76" s="337"/>
      <c r="AM76" s="341"/>
      <c r="AN76" s="341"/>
      <c r="AO76" s="340"/>
      <c r="AP76" s="337"/>
      <c r="AQ76" s="341"/>
      <c r="AR76" s="341"/>
      <c r="AS76" s="340"/>
      <c r="AT76" s="337"/>
      <c r="AU76" s="341"/>
      <c r="AV76" s="341"/>
      <c r="AW76" s="340"/>
      <c r="AX76" s="1627"/>
      <c r="AY76" s="337"/>
      <c r="AZ76" s="338"/>
      <c r="BA76" s="339"/>
      <c r="BB76" s="340"/>
      <c r="BC76" s="329"/>
      <c r="BD76" s="333"/>
      <c r="BE76" s="333"/>
      <c r="BF76" s="332"/>
      <c r="BG76" s="329"/>
      <c r="BH76" s="333"/>
      <c r="BI76" s="333"/>
      <c r="BJ76" s="332"/>
      <c r="BK76" s="329"/>
      <c r="BL76" s="333"/>
      <c r="BM76" s="333"/>
      <c r="BN76" s="332"/>
      <c r="BO76" s="342"/>
      <c r="BP76" s="343"/>
      <c r="BQ76" s="340"/>
      <c r="BR76" s="337"/>
      <c r="BS76" s="341"/>
      <c r="BT76" s="341"/>
      <c r="BU76" s="340"/>
      <c r="BV76" s="337"/>
      <c r="BW76" s="341"/>
      <c r="BX76" s="341"/>
      <c r="BY76" s="340"/>
      <c r="BZ76" s="337"/>
      <c r="CA76" s="341"/>
      <c r="CB76" s="341"/>
      <c r="CC76" s="340"/>
      <c r="CD76" s="342"/>
      <c r="CE76" s="344"/>
      <c r="CF76" s="340"/>
      <c r="CG76" s="337"/>
      <c r="CH76" s="341"/>
      <c r="CI76" s="341"/>
      <c r="CJ76" s="340"/>
      <c r="CK76" s="337"/>
      <c r="CL76" s="341"/>
      <c r="CM76" s="341"/>
      <c r="CN76" s="340"/>
      <c r="CO76" s="337"/>
      <c r="CP76" s="341"/>
      <c r="CQ76" s="341"/>
      <c r="CR76" s="340"/>
      <c r="CS76" s="1627"/>
      <c r="CT76" s="1640"/>
      <c r="CU76" s="1641"/>
      <c r="CV76" s="1641"/>
      <c r="CW76" s="1641"/>
      <c r="CX76" s="1641"/>
      <c r="CY76" s="1641"/>
      <c r="CZ76" s="1642"/>
      <c r="DA76" s="1766"/>
    </row>
    <row r="77" spans="1:105" ht="15" hidden="1" customHeight="1" x14ac:dyDescent="0.3">
      <c r="A77" s="1631" t="str">
        <f>'Техника new'!B18</f>
        <v>Caterpillar 140М №4</v>
      </c>
      <c r="B77" s="591" t="s">
        <v>154</v>
      </c>
      <c r="C77" s="1669"/>
      <c r="D77" s="325"/>
      <c r="E77" s="322"/>
      <c r="F77" s="323"/>
      <c r="G77" s="324"/>
      <c r="H77" s="321"/>
      <c r="I77" s="325"/>
      <c r="J77" s="325"/>
      <c r="K77" s="324"/>
      <c r="L77" s="321"/>
      <c r="M77" s="325"/>
      <c r="N77" s="325"/>
      <c r="O77" s="324"/>
      <c r="P77" s="321"/>
      <c r="Q77" s="325"/>
      <c r="R77" s="325"/>
      <c r="S77" s="324"/>
      <c r="T77" s="326"/>
      <c r="U77" s="327"/>
      <c r="V77" s="324"/>
      <c r="W77" s="321"/>
      <c r="X77" s="325"/>
      <c r="Y77" s="325"/>
      <c r="Z77" s="324"/>
      <c r="AA77" s="321"/>
      <c r="AB77" s="322"/>
      <c r="AC77" s="323"/>
      <c r="AD77" s="324"/>
      <c r="AE77" s="321"/>
      <c r="AF77" s="325"/>
      <c r="AG77" s="325"/>
      <c r="AH77" s="324"/>
      <c r="AI77" s="326"/>
      <c r="AJ77" s="328"/>
      <c r="AK77" s="324"/>
      <c r="AL77" s="321"/>
      <c r="AM77" s="325"/>
      <c r="AN77" s="325"/>
      <c r="AO77" s="324"/>
      <c r="AP77" s="321"/>
      <c r="AQ77" s="325"/>
      <c r="AR77" s="325"/>
      <c r="AS77" s="324"/>
      <c r="AT77" s="321"/>
      <c r="AU77" s="325"/>
      <c r="AV77" s="325"/>
      <c r="AW77" s="322"/>
      <c r="AX77" s="602">
        <f>ROUND(Бульдозеры!H10,1)</f>
        <v>0</v>
      </c>
      <c r="AY77" s="321"/>
      <c r="AZ77" s="322"/>
      <c r="BA77" s="323"/>
      <c r="BB77" s="324"/>
      <c r="BC77" s="321"/>
      <c r="BD77" s="325"/>
      <c r="BE77" s="325"/>
      <c r="BF77" s="324"/>
      <c r="BG77" s="321"/>
      <c r="BH77" s="325"/>
      <c r="BI77" s="325"/>
      <c r="BJ77" s="324"/>
      <c r="BK77" s="321"/>
      <c r="BL77" s="325"/>
      <c r="BM77" s="325"/>
      <c r="BN77" s="324"/>
      <c r="BO77" s="326"/>
      <c r="BP77" s="327"/>
      <c r="BQ77" s="324"/>
      <c r="BR77" s="321"/>
      <c r="BS77" s="325"/>
      <c r="BT77" s="325"/>
      <c r="BU77" s="324"/>
      <c r="BV77" s="321"/>
      <c r="BW77" s="325"/>
      <c r="BX77" s="325"/>
      <c r="BY77" s="324"/>
      <c r="BZ77" s="321"/>
      <c r="CA77" s="325"/>
      <c r="CB77" s="325"/>
      <c r="CC77" s="324"/>
      <c r="CD77" s="326"/>
      <c r="CE77" s="328"/>
      <c r="CF77" s="324"/>
      <c r="CG77" s="321"/>
      <c r="CH77" s="325"/>
      <c r="CI77" s="325"/>
      <c r="CJ77" s="324"/>
      <c r="CK77" s="321"/>
      <c r="CL77" s="325"/>
      <c r="CM77" s="325"/>
      <c r="CN77" s="324"/>
      <c r="CO77" s="321"/>
      <c r="CP77" s="325"/>
      <c r="CQ77" s="325"/>
      <c r="CR77" s="324"/>
      <c r="CS77" s="603">
        <f>ROUND(Бульдозеры!H14,1)</f>
        <v>0</v>
      </c>
      <c r="CT77" s="1628">
        <f>Бульдозеры!AS10</f>
        <v>0</v>
      </c>
      <c r="CU77" s="1629"/>
      <c r="CV77" s="1629"/>
      <c r="CW77" s="1629"/>
      <c r="CX77" s="1629"/>
      <c r="CY77" s="1629"/>
      <c r="CZ77" s="1630"/>
      <c r="DA77" s="1766">
        <v>4</v>
      </c>
    </row>
    <row r="78" spans="1:105" ht="3" hidden="1" customHeight="1" x14ac:dyDescent="0.3">
      <c r="A78" s="1632"/>
      <c r="B78" s="1667" t="s">
        <v>155</v>
      </c>
      <c r="C78" s="1670"/>
      <c r="D78" s="345"/>
      <c r="E78" s="346"/>
      <c r="F78" s="347"/>
      <c r="G78" s="348"/>
      <c r="H78" s="349"/>
      <c r="I78" s="350"/>
      <c r="J78" s="350"/>
      <c r="K78" s="348"/>
      <c r="L78" s="349"/>
      <c r="M78" s="350"/>
      <c r="N78" s="350"/>
      <c r="O78" s="348"/>
      <c r="P78" s="349"/>
      <c r="Q78" s="350"/>
      <c r="R78" s="350"/>
      <c r="S78" s="348"/>
      <c r="T78" s="334"/>
      <c r="U78" s="352"/>
      <c r="V78" s="348"/>
      <c r="W78" s="349"/>
      <c r="X78" s="350"/>
      <c r="Y78" s="350"/>
      <c r="Z78" s="348"/>
      <c r="AA78" s="349"/>
      <c r="AB78" s="350"/>
      <c r="AC78" s="350"/>
      <c r="AD78" s="348"/>
      <c r="AE78" s="349"/>
      <c r="AF78" s="350"/>
      <c r="AG78" s="350"/>
      <c r="AH78" s="351"/>
      <c r="AI78" s="335"/>
      <c r="AJ78" s="350"/>
      <c r="AK78" s="348"/>
      <c r="AL78" s="456"/>
      <c r="AM78" s="459"/>
      <c r="AN78" s="459"/>
      <c r="AO78" s="458"/>
      <c r="AP78" s="456"/>
      <c r="AQ78" s="459"/>
      <c r="AR78" s="459"/>
      <c r="AS78" s="458"/>
      <c r="AT78" s="456"/>
      <c r="AU78" s="459"/>
      <c r="AV78" s="459"/>
      <c r="AW78" s="457"/>
      <c r="AX78" s="1626"/>
      <c r="AY78" s="456"/>
      <c r="AZ78" s="457"/>
      <c r="BA78" s="457"/>
      <c r="BB78" s="458"/>
      <c r="BC78" s="456"/>
      <c r="BD78" s="459"/>
      <c r="BE78" s="459"/>
      <c r="BF78" s="458"/>
      <c r="BG78" s="456"/>
      <c r="BH78" s="459"/>
      <c r="BI78" s="459"/>
      <c r="BJ78" s="458"/>
      <c r="BK78" s="456"/>
      <c r="BL78" s="459"/>
      <c r="BM78" s="459"/>
      <c r="BN78" s="458"/>
      <c r="BO78" s="941"/>
      <c r="BP78" s="942"/>
      <c r="BQ78" s="458"/>
      <c r="BR78" s="456"/>
      <c r="BS78" s="459"/>
      <c r="BT78" s="459"/>
      <c r="BU78" s="458"/>
      <c r="BV78" s="456"/>
      <c r="BW78" s="459"/>
      <c r="BX78" s="459"/>
      <c r="BY78" s="458"/>
      <c r="BZ78" s="456"/>
      <c r="CA78" s="459"/>
      <c r="CB78" s="459"/>
      <c r="CC78" s="460"/>
      <c r="CD78" s="943"/>
      <c r="CE78" s="459"/>
      <c r="CF78" s="458"/>
      <c r="CG78" s="456"/>
      <c r="CH78" s="459"/>
      <c r="CI78" s="459"/>
      <c r="CJ78" s="458"/>
      <c r="CK78" s="456"/>
      <c r="CL78" s="459"/>
      <c r="CM78" s="459"/>
      <c r="CN78" s="458"/>
      <c r="CO78" s="456"/>
      <c r="CP78" s="459"/>
      <c r="CQ78" s="459"/>
      <c r="CR78" s="457"/>
      <c r="CS78" s="1626"/>
      <c r="CT78" s="1637">
        <f>Бульдозеры!AS14</f>
        <v>0</v>
      </c>
      <c r="CU78" s="1638"/>
      <c r="CV78" s="1638"/>
      <c r="CW78" s="1638"/>
      <c r="CX78" s="1638"/>
      <c r="CY78" s="1638"/>
      <c r="CZ78" s="1639"/>
      <c r="DA78" s="1766"/>
    </row>
    <row r="79" spans="1:105" ht="18" hidden="1" customHeight="1" thickBot="1" x14ac:dyDescent="0.35">
      <c r="A79" s="1721"/>
      <c r="B79" s="1668"/>
      <c r="C79" s="596"/>
      <c r="D79" s="341"/>
      <c r="E79" s="338"/>
      <c r="F79" s="339"/>
      <c r="G79" s="340"/>
      <c r="H79" s="337"/>
      <c r="I79" s="341"/>
      <c r="J79" s="341"/>
      <c r="K79" s="340"/>
      <c r="L79" s="337"/>
      <c r="M79" s="341"/>
      <c r="N79" s="341"/>
      <c r="O79" s="340"/>
      <c r="P79" s="337"/>
      <c r="Q79" s="341"/>
      <c r="R79" s="341"/>
      <c r="S79" s="340"/>
      <c r="T79" s="342"/>
      <c r="U79" s="343"/>
      <c r="V79" s="340"/>
      <c r="W79" s="337"/>
      <c r="X79" s="341"/>
      <c r="Y79" s="341"/>
      <c r="Z79" s="340"/>
      <c r="AA79" s="337"/>
      <c r="AB79" s="341"/>
      <c r="AC79" s="341"/>
      <c r="AD79" s="340"/>
      <c r="AE79" s="337"/>
      <c r="AF79" s="341"/>
      <c r="AG79" s="341"/>
      <c r="AH79" s="340"/>
      <c r="AI79" s="342"/>
      <c r="AJ79" s="344"/>
      <c r="AK79" s="340"/>
      <c r="AL79" s="337"/>
      <c r="AM79" s="341"/>
      <c r="AN79" s="341"/>
      <c r="AO79" s="340"/>
      <c r="AP79" s="337"/>
      <c r="AQ79" s="341"/>
      <c r="AR79" s="341"/>
      <c r="AS79" s="340"/>
      <c r="AT79" s="337"/>
      <c r="AU79" s="341"/>
      <c r="AV79" s="341"/>
      <c r="AW79" s="340"/>
      <c r="AX79" s="1627"/>
      <c r="AY79" s="337"/>
      <c r="AZ79" s="338"/>
      <c r="BA79" s="339"/>
      <c r="BB79" s="340"/>
      <c r="BC79" s="329"/>
      <c r="BD79" s="333"/>
      <c r="BE79" s="333"/>
      <c r="BF79" s="332"/>
      <c r="BG79" s="329"/>
      <c r="BH79" s="333"/>
      <c r="BI79" s="333"/>
      <c r="BJ79" s="332"/>
      <c r="BK79" s="329"/>
      <c r="BL79" s="333"/>
      <c r="BM79" s="333"/>
      <c r="BN79" s="332"/>
      <c r="BO79" s="342"/>
      <c r="BP79" s="343"/>
      <c r="BQ79" s="340"/>
      <c r="BR79" s="337"/>
      <c r="BS79" s="341"/>
      <c r="BT79" s="341"/>
      <c r="BU79" s="340"/>
      <c r="BV79" s="337"/>
      <c r="BW79" s="341"/>
      <c r="BX79" s="341"/>
      <c r="BY79" s="340"/>
      <c r="BZ79" s="337"/>
      <c r="CA79" s="341"/>
      <c r="CB79" s="341"/>
      <c r="CC79" s="340"/>
      <c r="CD79" s="342"/>
      <c r="CE79" s="344"/>
      <c r="CF79" s="340"/>
      <c r="CG79" s="337"/>
      <c r="CH79" s="341"/>
      <c r="CI79" s="341"/>
      <c r="CJ79" s="340"/>
      <c r="CK79" s="337"/>
      <c r="CL79" s="341"/>
      <c r="CM79" s="341"/>
      <c r="CN79" s="340"/>
      <c r="CO79" s="337"/>
      <c r="CP79" s="341"/>
      <c r="CQ79" s="341"/>
      <c r="CR79" s="340"/>
      <c r="CS79" s="1627"/>
      <c r="CT79" s="1640"/>
      <c r="CU79" s="1641"/>
      <c r="CV79" s="1641"/>
      <c r="CW79" s="1641"/>
      <c r="CX79" s="1641"/>
      <c r="CY79" s="1641"/>
      <c r="CZ79" s="1642"/>
      <c r="DA79" s="1766"/>
    </row>
    <row r="80" spans="1:105" ht="15" customHeight="1" x14ac:dyDescent="0.3">
      <c r="A80" s="1631" t="s">
        <v>505</v>
      </c>
      <c r="B80" s="591" t="s">
        <v>154</v>
      </c>
      <c r="C80" s="1669"/>
      <c r="D80" s="325"/>
      <c r="E80" s="322"/>
      <c r="F80" s="323"/>
      <c r="G80" s="324"/>
      <c r="H80" s="321"/>
      <c r="I80" s="325"/>
      <c r="J80" s="325"/>
      <c r="K80" s="324"/>
      <c r="L80" s="321"/>
      <c r="M80" s="325"/>
      <c r="N80" s="325"/>
      <c r="O80" s="324"/>
      <c r="P80" s="321"/>
      <c r="Q80" s="325"/>
      <c r="R80" s="325"/>
      <c r="S80" s="324"/>
      <c r="T80" s="326"/>
      <c r="U80" s="327"/>
      <c r="V80" s="324"/>
      <c r="W80" s="321"/>
      <c r="X80" s="325"/>
      <c r="Y80" s="325"/>
      <c r="Z80" s="324"/>
      <c r="AA80" s="321"/>
      <c r="AB80" s="325"/>
      <c r="AC80" s="325"/>
      <c r="AD80" s="324"/>
      <c r="AE80" s="321"/>
      <c r="AF80" s="325"/>
      <c r="AG80" s="325"/>
      <c r="AH80" s="324"/>
      <c r="AI80" s="326"/>
      <c r="AJ80" s="328"/>
      <c r="AK80" s="324"/>
      <c r="AL80" s="321"/>
      <c r="AM80" s="325"/>
      <c r="AN80" s="325"/>
      <c r="AO80" s="324"/>
      <c r="AP80" s="321"/>
      <c r="AQ80" s="325"/>
      <c r="AR80" s="325"/>
      <c r="AS80" s="324"/>
      <c r="AT80" s="321"/>
      <c r="AU80" s="325"/>
      <c r="AV80" s="325"/>
      <c r="AW80" s="324"/>
      <c r="AX80" s="602" t="e">
        <f>ROUND(Бульдозеры!#REF!,1)</f>
        <v>#REF!</v>
      </c>
      <c r="AY80" s="321"/>
      <c r="AZ80" s="322"/>
      <c r="BA80" s="323"/>
      <c r="BB80" s="324"/>
      <c r="BC80" s="321"/>
      <c r="BD80" s="325"/>
      <c r="BE80" s="325"/>
      <c r="BF80" s="324"/>
      <c r="BG80" s="321"/>
      <c r="BH80" s="325"/>
      <c r="BI80" s="325"/>
      <c r="BJ80" s="324"/>
      <c r="BK80" s="321"/>
      <c r="BL80" s="325"/>
      <c r="BM80" s="325"/>
      <c r="BN80" s="324"/>
      <c r="BO80" s="326"/>
      <c r="BP80" s="327"/>
      <c r="BQ80" s="324"/>
      <c r="BR80" s="321"/>
      <c r="BS80" s="325"/>
      <c r="BT80" s="325"/>
      <c r="BU80" s="324"/>
      <c r="BV80" s="321"/>
      <c r="BW80" s="325"/>
      <c r="BX80" s="325"/>
      <c r="BY80" s="324"/>
      <c r="BZ80" s="321"/>
      <c r="CA80" s="325"/>
      <c r="CB80" s="325"/>
      <c r="CC80" s="324"/>
      <c r="CD80" s="326"/>
      <c r="CE80" s="328"/>
      <c r="CF80" s="324"/>
      <c r="CG80" s="321"/>
      <c r="CH80" s="325"/>
      <c r="CI80" s="325"/>
      <c r="CJ80" s="324"/>
      <c r="CK80" s="321"/>
      <c r="CL80" s="325"/>
      <c r="CM80" s="325"/>
      <c r="CN80" s="324"/>
      <c r="CO80" s="321"/>
      <c r="CP80" s="325"/>
      <c r="CQ80" s="325"/>
      <c r="CR80" s="324"/>
      <c r="CS80" s="603" t="e">
        <f>ROUND(Бульдозеры!#REF!,1)</f>
        <v>#REF!</v>
      </c>
      <c r="CT80" s="1628" t="e">
        <f>Бульдозеры!#REF!</f>
        <v>#REF!</v>
      </c>
      <c r="CU80" s="1629"/>
      <c r="CV80" s="1629"/>
      <c r="CW80" s="1629"/>
      <c r="CX80" s="1629"/>
      <c r="CY80" s="1629"/>
      <c r="CZ80" s="1630"/>
      <c r="DA80" s="1766">
        <v>15</v>
      </c>
    </row>
    <row r="81" spans="1:105" ht="3" customHeight="1" x14ac:dyDescent="0.3">
      <c r="A81" s="1632"/>
      <c r="B81" s="1667" t="s">
        <v>155</v>
      </c>
      <c r="C81" s="1670"/>
      <c r="D81" s="345"/>
      <c r="E81" s="346"/>
      <c r="F81" s="347"/>
      <c r="G81" s="348"/>
      <c r="H81" s="349"/>
      <c r="I81" s="350"/>
      <c r="J81" s="350"/>
      <c r="K81" s="348"/>
      <c r="L81" s="349"/>
      <c r="M81" s="350"/>
      <c r="N81" s="350"/>
      <c r="O81" s="348"/>
      <c r="P81" s="349"/>
      <c r="Q81" s="350"/>
      <c r="R81" s="350"/>
      <c r="S81" s="348"/>
      <c r="T81" s="334"/>
      <c r="U81" s="352"/>
      <c r="V81" s="348"/>
      <c r="W81" s="349"/>
      <c r="X81" s="350"/>
      <c r="Y81" s="350"/>
      <c r="Z81" s="348"/>
      <c r="AA81" s="349"/>
      <c r="AB81" s="350"/>
      <c r="AC81" s="350"/>
      <c r="AD81" s="348"/>
      <c r="AE81" s="349"/>
      <c r="AF81" s="350"/>
      <c r="AG81" s="350"/>
      <c r="AH81" s="351"/>
      <c r="AI81" s="335"/>
      <c r="AJ81" s="350"/>
      <c r="AK81" s="348"/>
      <c r="AL81" s="349"/>
      <c r="AM81" s="350"/>
      <c r="AN81" s="350"/>
      <c r="AO81" s="348"/>
      <c r="AP81" s="349"/>
      <c r="AQ81" s="350"/>
      <c r="AR81" s="350"/>
      <c r="AS81" s="348"/>
      <c r="AT81" s="349"/>
      <c r="AU81" s="350"/>
      <c r="AV81" s="345"/>
      <c r="AW81" s="346"/>
      <c r="AX81" s="1626"/>
      <c r="AY81" s="353"/>
      <c r="AZ81" s="346"/>
      <c r="BA81" s="347"/>
      <c r="BB81" s="348"/>
      <c r="BC81" s="349"/>
      <c r="BD81" s="350"/>
      <c r="BE81" s="350"/>
      <c r="BF81" s="348"/>
      <c r="BG81" s="349"/>
      <c r="BH81" s="350"/>
      <c r="BI81" s="350"/>
      <c r="BJ81" s="348"/>
      <c r="BK81" s="349"/>
      <c r="BL81" s="350"/>
      <c r="BM81" s="350"/>
      <c r="BN81" s="348"/>
      <c r="BO81" s="334"/>
      <c r="BP81" s="352"/>
      <c r="BQ81" s="348"/>
      <c r="BR81" s="349"/>
      <c r="BS81" s="350"/>
      <c r="BT81" s="350"/>
      <c r="BU81" s="348"/>
      <c r="BV81" s="349"/>
      <c r="BW81" s="350"/>
      <c r="BX81" s="350"/>
      <c r="BY81" s="348"/>
      <c r="BZ81" s="349"/>
      <c r="CA81" s="350"/>
      <c r="CB81" s="350"/>
      <c r="CC81" s="351"/>
      <c r="CD81" s="335"/>
      <c r="CE81" s="350"/>
      <c r="CF81" s="348"/>
      <c r="CG81" s="349"/>
      <c r="CH81" s="350"/>
      <c r="CI81" s="350"/>
      <c r="CJ81" s="348"/>
      <c r="CK81" s="349"/>
      <c r="CL81" s="350"/>
      <c r="CM81" s="350"/>
      <c r="CN81" s="348"/>
      <c r="CO81" s="349"/>
      <c r="CP81" s="350"/>
      <c r="CQ81" s="345"/>
      <c r="CR81" s="346"/>
      <c r="CS81" s="1626"/>
      <c r="CT81" s="1637" t="e">
        <f>Бульдозеры!#REF!</f>
        <v>#REF!</v>
      </c>
      <c r="CU81" s="1638"/>
      <c r="CV81" s="1638"/>
      <c r="CW81" s="1638"/>
      <c r="CX81" s="1638"/>
      <c r="CY81" s="1638"/>
      <c r="CZ81" s="1639"/>
      <c r="DA81" s="1766"/>
    </row>
    <row r="82" spans="1:105" ht="17.25" customHeight="1" thickBot="1" x14ac:dyDescent="0.35">
      <c r="A82" s="1721"/>
      <c r="B82" s="1668"/>
      <c r="C82" s="596"/>
      <c r="D82" s="341"/>
      <c r="E82" s="338"/>
      <c r="F82" s="339" t="s">
        <v>502</v>
      </c>
      <c r="G82" s="340"/>
      <c r="H82" s="337"/>
      <c r="I82" s="341"/>
      <c r="J82" s="341"/>
      <c r="K82" s="340"/>
      <c r="L82" s="337"/>
      <c r="M82" s="341"/>
      <c r="N82" s="341"/>
      <c r="O82" s="340"/>
      <c r="P82" s="337"/>
      <c r="Q82" s="341"/>
      <c r="R82" s="341"/>
      <c r="S82" s="340"/>
      <c r="T82" s="342"/>
      <c r="U82" s="343"/>
      <c r="V82" s="340"/>
      <c r="W82" s="337"/>
      <c r="X82" s="341"/>
      <c r="Y82" s="341"/>
      <c r="Z82" s="340"/>
      <c r="AA82" s="337"/>
      <c r="AB82" s="341"/>
      <c r="AC82" s="341"/>
      <c r="AD82" s="340"/>
      <c r="AE82" s="337"/>
      <c r="AF82" s="341"/>
      <c r="AG82" s="341"/>
      <c r="AH82" s="340"/>
      <c r="AI82" s="342"/>
      <c r="AJ82" s="344"/>
      <c r="AK82" s="340"/>
      <c r="AL82" s="337"/>
      <c r="AM82" s="341"/>
      <c r="AN82" s="341"/>
      <c r="AO82" s="340"/>
      <c r="AP82" s="337"/>
      <c r="AQ82" s="341"/>
      <c r="AR82" s="341"/>
      <c r="AS82" s="340"/>
      <c r="AT82" s="337"/>
      <c r="AU82" s="341"/>
      <c r="AV82" s="341"/>
      <c r="AW82" s="340"/>
      <c r="AX82" s="1627"/>
      <c r="AY82" s="337"/>
      <c r="AZ82" s="338"/>
      <c r="BA82" s="339" t="s">
        <v>502</v>
      </c>
      <c r="BB82" s="340"/>
      <c r="BC82" s="329"/>
      <c r="BD82" s="333"/>
      <c r="BE82" s="333"/>
      <c r="BF82" s="332"/>
      <c r="BG82" s="329"/>
      <c r="BH82" s="333"/>
      <c r="BI82" s="333"/>
      <c r="BJ82" s="332"/>
      <c r="BK82" s="329"/>
      <c r="BL82" s="333"/>
      <c r="BM82" s="333"/>
      <c r="BN82" s="332"/>
      <c r="BO82" s="342"/>
      <c r="BP82" s="343"/>
      <c r="BQ82" s="340"/>
      <c r="BR82" s="337"/>
      <c r="BS82" s="341"/>
      <c r="BT82" s="341"/>
      <c r="BU82" s="340"/>
      <c r="BV82" s="337"/>
      <c r="BW82" s="341"/>
      <c r="BX82" s="341"/>
      <c r="BY82" s="340"/>
      <c r="BZ82" s="337"/>
      <c r="CA82" s="341"/>
      <c r="CB82" s="341"/>
      <c r="CC82" s="340"/>
      <c r="CD82" s="342"/>
      <c r="CE82" s="344"/>
      <c r="CF82" s="340"/>
      <c r="CG82" s="337"/>
      <c r="CH82" s="341"/>
      <c r="CI82" s="341"/>
      <c r="CJ82" s="340"/>
      <c r="CK82" s="337"/>
      <c r="CL82" s="341"/>
      <c r="CM82" s="341"/>
      <c r="CN82" s="340"/>
      <c r="CO82" s="337"/>
      <c r="CP82" s="341"/>
      <c r="CQ82" s="341"/>
      <c r="CR82" s="340"/>
      <c r="CS82" s="1627"/>
      <c r="CT82" s="1640"/>
      <c r="CU82" s="1641"/>
      <c r="CV82" s="1641"/>
      <c r="CW82" s="1641"/>
      <c r="CX82" s="1641"/>
      <c r="CY82" s="1641"/>
      <c r="CZ82" s="1642"/>
      <c r="DA82" s="1766"/>
    </row>
    <row r="83" spans="1:105" ht="15" hidden="1" customHeight="1" thickBot="1" x14ac:dyDescent="0.35">
      <c r="A83" s="222" t="s">
        <v>2</v>
      </c>
      <c r="B83" s="1015">
        <v>0</v>
      </c>
      <c r="C83" s="979">
        <v>0</v>
      </c>
      <c r="D83" s="355"/>
      <c r="E83" s="356"/>
      <c r="F83" s="357"/>
      <c r="G83" s="358"/>
      <c r="H83" s="355"/>
      <c r="I83" s="359"/>
      <c r="J83" s="359"/>
      <c r="K83" s="358"/>
      <c r="L83" s="355"/>
      <c r="M83" s="359"/>
      <c r="N83" s="359"/>
      <c r="O83" s="358"/>
      <c r="P83" s="355"/>
      <c r="Q83" s="359"/>
      <c r="R83" s="359"/>
      <c r="S83" s="358"/>
      <c r="T83" s="360"/>
      <c r="U83" s="361"/>
      <c r="V83" s="358"/>
      <c r="W83" s="355"/>
      <c r="X83" s="359"/>
      <c r="Y83" s="359"/>
      <c r="Z83" s="358"/>
      <c r="AA83" s="355"/>
      <c r="AB83" s="359"/>
      <c r="AC83" s="359"/>
      <c r="AD83" s="358"/>
      <c r="AE83" s="355"/>
      <c r="AF83" s="359"/>
      <c r="AG83" s="359"/>
      <c r="AH83" s="358"/>
      <c r="AI83" s="360"/>
      <c r="AJ83" s="362"/>
      <c r="AK83" s="358"/>
      <c r="AL83" s="355"/>
      <c r="AM83" s="359"/>
      <c r="AN83" s="359"/>
      <c r="AO83" s="358"/>
      <c r="AP83" s="355"/>
      <c r="AQ83" s="359"/>
      <c r="AR83" s="359"/>
      <c r="AS83" s="358"/>
      <c r="AT83" s="355"/>
      <c r="AU83" s="359"/>
      <c r="AV83" s="359"/>
      <c r="AW83" s="358"/>
      <c r="AX83" s="915"/>
      <c r="AY83" s="355"/>
      <c r="AZ83" s="356"/>
      <c r="BA83" s="357"/>
      <c r="BB83" s="358"/>
      <c r="BC83" s="355"/>
      <c r="BD83" s="359"/>
      <c r="BE83" s="359"/>
      <c r="BF83" s="358"/>
      <c r="BG83" s="355"/>
      <c r="BH83" s="359"/>
      <c r="BI83" s="359"/>
      <c r="BJ83" s="358"/>
      <c r="BK83" s="355"/>
      <c r="BL83" s="359"/>
      <c r="BM83" s="359"/>
      <c r="BN83" s="358"/>
      <c r="BO83" s="360"/>
      <c r="BP83" s="361"/>
      <c r="BQ83" s="358"/>
      <c r="BR83" s="355"/>
      <c r="BS83" s="359"/>
      <c r="BT83" s="359"/>
      <c r="BU83" s="358"/>
      <c r="BV83" s="355"/>
      <c r="BW83" s="359"/>
      <c r="BX83" s="359"/>
      <c r="BY83" s="358"/>
      <c r="BZ83" s="355"/>
      <c r="CA83" s="359"/>
      <c r="CB83" s="359"/>
      <c r="CC83" s="358"/>
      <c r="CD83" s="360"/>
      <c r="CE83" s="604"/>
      <c r="CF83" s="358"/>
      <c r="CG83" s="355"/>
      <c r="CH83" s="359"/>
      <c r="CI83" s="359"/>
      <c r="CJ83" s="358"/>
      <c r="CK83" s="355"/>
      <c r="CL83" s="359"/>
      <c r="CM83" s="359"/>
      <c r="CN83" s="358"/>
      <c r="CO83" s="355"/>
      <c r="CP83" s="359"/>
      <c r="CQ83" s="359"/>
      <c r="CR83" s="358"/>
      <c r="CS83" s="915"/>
      <c r="CT83" s="1653"/>
      <c r="CU83" s="1654"/>
      <c r="CV83" s="1654"/>
      <c r="CW83" s="1654"/>
      <c r="CX83" s="1654"/>
      <c r="CY83" s="1654"/>
      <c r="CZ83" s="1655"/>
    </row>
    <row r="84" spans="1:105" ht="15" hidden="1" customHeight="1" x14ac:dyDescent="0.3">
      <c r="A84" s="1742" t="s">
        <v>419</v>
      </c>
      <c r="B84" s="605" t="s">
        <v>154</v>
      </c>
      <c r="C84" s="1633"/>
      <c r="D84" s="325"/>
      <c r="E84" s="322"/>
      <c r="F84" s="323"/>
      <c r="G84" s="324"/>
      <c r="H84" s="321"/>
      <c r="I84" s="322"/>
      <c r="J84" s="323"/>
      <c r="K84" s="324"/>
      <c r="L84" s="321"/>
      <c r="M84" s="322"/>
      <c r="N84" s="323"/>
      <c r="O84" s="324"/>
      <c r="P84" s="321"/>
      <c r="Q84" s="322"/>
      <c r="R84" s="323"/>
      <c r="S84" s="324"/>
      <c r="T84" s="326"/>
      <c r="U84" s="327"/>
      <c r="V84" s="324"/>
      <c r="W84" s="321"/>
      <c r="X84" s="325"/>
      <c r="Y84" s="325"/>
      <c r="Z84" s="324"/>
      <c r="AA84" s="321"/>
      <c r="AB84" s="325"/>
      <c r="AC84" s="325"/>
      <c r="AD84" s="324"/>
      <c r="AE84" s="321"/>
      <c r="AF84" s="325"/>
      <c r="AG84" s="325"/>
      <c r="AH84" s="324"/>
      <c r="AI84" s="326"/>
      <c r="AJ84" s="328"/>
      <c r="AK84" s="324"/>
      <c r="AL84" s="321"/>
      <c r="AM84" s="325"/>
      <c r="AN84" s="325"/>
      <c r="AO84" s="324"/>
      <c r="AP84" s="321"/>
      <c r="AQ84" s="325"/>
      <c r="AR84" s="325"/>
      <c r="AS84" s="324"/>
      <c r="AT84" s="321"/>
      <c r="AU84" s="325"/>
      <c r="AV84" s="325"/>
      <c r="AW84" s="324"/>
      <c r="AX84" s="592">
        <f>ROUND(Бурение!D4,0)</f>
        <v>0</v>
      </c>
      <c r="AY84" s="325"/>
      <c r="AZ84" s="322"/>
      <c r="BA84" s="323"/>
      <c r="BB84" s="324"/>
      <c r="BC84" s="321"/>
      <c r="BD84" s="322"/>
      <c r="BE84" s="323"/>
      <c r="BF84" s="324"/>
      <c r="BG84" s="321"/>
      <c r="BH84" s="322"/>
      <c r="BI84" s="323"/>
      <c r="BJ84" s="324"/>
      <c r="BK84" s="321"/>
      <c r="BL84" s="322"/>
      <c r="BM84" s="323"/>
      <c r="BN84" s="324"/>
      <c r="BO84" s="326"/>
      <c r="BP84" s="327"/>
      <c r="BQ84" s="324"/>
      <c r="BR84" s="321"/>
      <c r="BS84" s="325"/>
      <c r="BT84" s="325"/>
      <c r="BU84" s="324"/>
      <c r="BV84" s="321"/>
      <c r="BW84" s="325"/>
      <c r="BX84" s="325"/>
      <c r="BY84" s="324"/>
      <c r="BZ84" s="321"/>
      <c r="CA84" s="325"/>
      <c r="CB84" s="325"/>
      <c r="CC84" s="324"/>
      <c r="CD84" s="326"/>
      <c r="CE84" s="328"/>
      <c r="CF84" s="324"/>
      <c r="CG84" s="321"/>
      <c r="CH84" s="325"/>
      <c r="CI84" s="325"/>
      <c r="CJ84" s="324"/>
      <c r="CK84" s="321"/>
      <c r="CL84" s="325"/>
      <c r="CM84" s="325"/>
      <c r="CN84" s="324"/>
      <c r="CO84" s="321"/>
      <c r="CP84" s="325"/>
      <c r="CQ84" s="325"/>
      <c r="CR84" s="324"/>
      <c r="CS84" s="592">
        <f>ROUND(Бурение!D10,0)</f>
        <v>0</v>
      </c>
      <c r="CT84" s="1628"/>
      <c r="CU84" s="1629"/>
      <c r="CV84" s="1629"/>
      <c r="CW84" s="1629"/>
      <c r="CX84" s="1629"/>
      <c r="CY84" s="1629"/>
      <c r="CZ84" s="1630"/>
    </row>
    <row r="85" spans="1:105" ht="3" hidden="1" customHeight="1" x14ac:dyDescent="0.3">
      <c r="A85" s="1743"/>
      <c r="B85" s="1731" t="s">
        <v>155</v>
      </c>
      <c r="C85" s="1634"/>
      <c r="D85" s="353"/>
      <c r="E85" s="346"/>
      <c r="F85" s="347"/>
      <c r="G85" s="348"/>
      <c r="H85" s="349"/>
      <c r="I85" s="350"/>
      <c r="J85" s="350"/>
      <c r="K85" s="348"/>
      <c r="L85" s="349"/>
      <c r="M85" s="350"/>
      <c r="N85" s="350"/>
      <c r="O85" s="348"/>
      <c r="P85" s="349"/>
      <c r="Q85" s="350"/>
      <c r="R85" s="350"/>
      <c r="S85" s="348"/>
      <c r="T85" s="334"/>
      <c r="U85" s="352"/>
      <c r="V85" s="348"/>
      <c r="W85" s="349"/>
      <c r="X85" s="350"/>
      <c r="Y85" s="350"/>
      <c r="Z85" s="348"/>
      <c r="AA85" s="349"/>
      <c r="AB85" s="350"/>
      <c r="AC85" s="350"/>
      <c r="AD85" s="348"/>
      <c r="AE85" s="349"/>
      <c r="AF85" s="350"/>
      <c r="AG85" s="350"/>
      <c r="AH85" s="351"/>
      <c r="AI85" s="335"/>
      <c r="AJ85" s="350"/>
      <c r="AK85" s="348"/>
      <c r="AL85" s="349"/>
      <c r="AM85" s="350"/>
      <c r="AN85" s="350"/>
      <c r="AO85" s="348"/>
      <c r="AP85" s="349"/>
      <c r="AQ85" s="350"/>
      <c r="AR85" s="350"/>
      <c r="AS85" s="348"/>
      <c r="AT85" s="349"/>
      <c r="AU85" s="350"/>
      <c r="AV85" s="345"/>
      <c r="AW85" s="346"/>
      <c r="AX85" s="1626">
        <v>0</v>
      </c>
      <c r="AY85" s="353"/>
      <c r="AZ85" s="346"/>
      <c r="BA85" s="347"/>
      <c r="BB85" s="348"/>
      <c r="BC85" s="349"/>
      <c r="BD85" s="350"/>
      <c r="BE85" s="350"/>
      <c r="BF85" s="348"/>
      <c r="BG85" s="349"/>
      <c r="BH85" s="350"/>
      <c r="BI85" s="350"/>
      <c r="BJ85" s="348"/>
      <c r="BK85" s="349"/>
      <c r="BL85" s="350"/>
      <c r="BM85" s="350"/>
      <c r="BN85" s="348"/>
      <c r="BO85" s="334"/>
      <c r="BP85" s="352"/>
      <c r="BQ85" s="348"/>
      <c r="BR85" s="349"/>
      <c r="BS85" s="350"/>
      <c r="BT85" s="350"/>
      <c r="BU85" s="348"/>
      <c r="BV85" s="349"/>
      <c r="BW85" s="350"/>
      <c r="BX85" s="350"/>
      <c r="BY85" s="348"/>
      <c r="BZ85" s="349"/>
      <c r="CA85" s="350"/>
      <c r="CB85" s="350"/>
      <c r="CC85" s="351"/>
      <c r="CD85" s="335"/>
      <c r="CE85" s="350"/>
      <c r="CF85" s="348"/>
      <c r="CG85" s="349"/>
      <c r="CH85" s="350"/>
      <c r="CI85" s="350"/>
      <c r="CJ85" s="348"/>
      <c r="CK85" s="349"/>
      <c r="CL85" s="350"/>
      <c r="CM85" s="350"/>
      <c r="CN85" s="348"/>
      <c r="CO85" s="349"/>
      <c r="CP85" s="350"/>
      <c r="CQ85" s="345"/>
      <c r="CR85" s="346"/>
      <c r="CS85" s="1626">
        <v>0</v>
      </c>
      <c r="CT85" s="1637"/>
      <c r="CU85" s="1638"/>
      <c r="CV85" s="1638"/>
      <c r="CW85" s="1638"/>
      <c r="CX85" s="1638"/>
      <c r="CY85" s="1638"/>
      <c r="CZ85" s="1639"/>
    </row>
    <row r="86" spans="1:105" ht="15" hidden="1" customHeight="1" thickBot="1" x14ac:dyDescent="0.35">
      <c r="A86" s="1743"/>
      <c r="B86" s="1732"/>
      <c r="C86" s="913"/>
      <c r="D86" s="341"/>
      <c r="E86" s="338"/>
      <c r="F86" s="339"/>
      <c r="G86" s="340"/>
      <c r="H86" s="337"/>
      <c r="I86" s="341"/>
      <c r="J86" s="341"/>
      <c r="K86" s="340"/>
      <c r="L86" s="337"/>
      <c r="M86" s="341"/>
      <c r="N86" s="341"/>
      <c r="O86" s="340"/>
      <c r="P86" s="337"/>
      <c r="Q86" s="341"/>
      <c r="R86" s="341"/>
      <c r="S86" s="340"/>
      <c r="T86" s="342"/>
      <c r="U86" s="343"/>
      <c r="V86" s="340"/>
      <c r="W86" s="337"/>
      <c r="X86" s="341"/>
      <c r="Y86" s="341"/>
      <c r="Z86" s="340"/>
      <c r="AA86" s="337"/>
      <c r="AB86" s="341"/>
      <c r="AC86" s="341"/>
      <c r="AD86" s="340"/>
      <c r="AE86" s="337"/>
      <c r="AF86" s="341"/>
      <c r="AG86" s="341"/>
      <c r="AH86" s="340"/>
      <c r="AI86" s="342"/>
      <c r="AJ86" s="344"/>
      <c r="AK86" s="340"/>
      <c r="AL86" s="337"/>
      <c r="AM86" s="341"/>
      <c r="AN86" s="341"/>
      <c r="AO86" s="340"/>
      <c r="AP86" s="337"/>
      <c r="AQ86" s="341"/>
      <c r="AR86" s="341"/>
      <c r="AS86" s="340"/>
      <c r="AT86" s="337"/>
      <c r="AU86" s="341"/>
      <c r="AV86" s="341"/>
      <c r="AW86" s="340"/>
      <c r="AX86" s="1627"/>
      <c r="AY86" s="341"/>
      <c r="AZ86" s="338"/>
      <c r="BA86" s="339"/>
      <c r="BB86" s="340"/>
      <c r="BC86" s="337"/>
      <c r="BD86" s="341"/>
      <c r="BE86" s="341"/>
      <c r="BF86" s="340"/>
      <c r="BG86" s="337"/>
      <c r="BH86" s="341"/>
      <c r="BI86" s="341"/>
      <c r="BJ86" s="340"/>
      <c r="BK86" s="337"/>
      <c r="BL86" s="341"/>
      <c r="BM86" s="341"/>
      <c r="BN86" s="340"/>
      <c r="BO86" s="342"/>
      <c r="BP86" s="343"/>
      <c r="BQ86" s="340"/>
      <c r="BR86" s="337"/>
      <c r="BS86" s="341"/>
      <c r="BT86" s="341"/>
      <c r="BU86" s="340"/>
      <c r="BV86" s="337"/>
      <c r="BW86" s="341"/>
      <c r="BX86" s="341"/>
      <c r="BY86" s="340"/>
      <c r="BZ86" s="337"/>
      <c r="CA86" s="341"/>
      <c r="CB86" s="341"/>
      <c r="CC86" s="340"/>
      <c r="CD86" s="342"/>
      <c r="CE86" s="344"/>
      <c r="CF86" s="340"/>
      <c r="CG86" s="337"/>
      <c r="CH86" s="341"/>
      <c r="CI86" s="341"/>
      <c r="CJ86" s="340"/>
      <c r="CK86" s="337"/>
      <c r="CL86" s="341"/>
      <c r="CM86" s="341"/>
      <c r="CN86" s="340"/>
      <c r="CO86" s="337"/>
      <c r="CP86" s="341"/>
      <c r="CQ86" s="341"/>
      <c r="CR86" s="340"/>
      <c r="CS86" s="1627"/>
      <c r="CT86" s="1640"/>
      <c r="CU86" s="1641"/>
      <c r="CV86" s="1641"/>
      <c r="CW86" s="1641"/>
      <c r="CX86" s="1641"/>
      <c r="CY86" s="1641"/>
      <c r="CZ86" s="1642"/>
    </row>
    <row r="87" spans="1:105" ht="15" hidden="1" customHeight="1" x14ac:dyDescent="0.3">
      <c r="A87" s="1742" t="s">
        <v>420</v>
      </c>
      <c r="B87" s="605" t="s">
        <v>154</v>
      </c>
      <c r="C87" s="1633"/>
      <c r="D87" s="325"/>
      <c r="E87" s="322"/>
      <c r="F87" s="323"/>
      <c r="G87" s="324"/>
      <c r="H87" s="321"/>
      <c r="I87" s="322"/>
      <c r="J87" s="323"/>
      <c r="K87" s="324"/>
      <c r="L87" s="321"/>
      <c r="M87" s="322"/>
      <c r="N87" s="323"/>
      <c r="O87" s="324"/>
      <c r="P87" s="321"/>
      <c r="Q87" s="322"/>
      <c r="R87" s="323"/>
      <c r="S87" s="324"/>
      <c r="T87" s="326"/>
      <c r="U87" s="327"/>
      <c r="V87" s="324"/>
      <c r="W87" s="321"/>
      <c r="X87" s="325"/>
      <c r="Y87" s="325"/>
      <c r="Z87" s="324"/>
      <c r="AA87" s="321"/>
      <c r="AB87" s="325"/>
      <c r="AC87" s="325"/>
      <c r="AD87" s="324"/>
      <c r="AE87" s="321"/>
      <c r="AF87" s="325"/>
      <c r="AG87" s="325"/>
      <c r="AH87" s="324"/>
      <c r="AI87" s="326"/>
      <c r="AJ87" s="328"/>
      <c r="AK87" s="324"/>
      <c r="AL87" s="321"/>
      <c r="AM87" s="325"/>
      <c r="AN87" s="325"/>
      <c r="AO87" s="324"/>
      <c r="AP87" s="321"/>
      <c r="AQ87" s="325"/>
      <c r="AR87" s="325"/>
      <c r="AS87" s="324"/>
      <c r="AT87" s="321"/>
      <c r="AU87" s="325"/>
      <c r="AV87" s="325"/>
      <c r="AW87" s="324"/>
      <c r="AX87" s="592">
        <f>ROUND(Бурение!D5,0)</f>
        <v>0</v>
      </c>
      <c r="AY87" s="321"/>
      <c r="AZ87" s="322"/>
      <c r="BA87" s="323"/>
      <c r="BB87" s="324"/>
      <c r="BC87" s="321"/>
      <c r="BD87" s="322"/>
      <c r="BE87" s="323"/>
      <c r="BF87" s="324"/>
      <c r="BG87" s="321"/>
      <c r="BH87" s="322"/>
      <c r="BI87" s="323"/>
      <c r="BJ87" s="324"/>
      <c r="BK87" s="321"/>
      <c r="BL87" s="322"/>
      <c r="BM87" s="323"/>
      <c r="BN87" s="324"/>
      <c r="BO87" s="326"/>
      <c r="BP87" s="327"/>
      <c r="BQ87" s="324"/>
      <c r="BR87" s="321"/>
      <c r="BS87" s="325"/>
      <c r="BT87" s="325"/>
      <c r="BU87" s="324"/>
      <c r="BV87" s="321"/>
      <c r="BW87" s="325"/>
      <c r="BX87" s="325"/>
      <c r="BY87" s="324"/>
      <c r="BZ87" s="321"/>
      <c r="CA87" s="325"/>
      <c r="CB87" s="325"/>
      <c r="CC87" s="324"/>
      <c r="CD87" s="326"/>
      <c r="CE87" s="593"/>
      <c r="CF87" s="324"/>
      <c r="CG87" s="321"/>
      <c r="CH87" s="325"/>
      <c r="CI87" s="325"/>
      <c r="CJ87" s="324"/>
      <c r="CK87" s="321"/>
      <c r="CL87" s="325"/>
      <c r="CM87" s="325"/>
      <c r="CN87" s="324"/>
      <c r="CO87" s="321"/>
      <c r="CP87" s="325"/>
      <c r="CQ87" s="325"/>
      <c r="CR87" s="324"/>
      <c r="CS87" s="592">
        <f>ROUND(Бурение!D11,0)</f>
        <v>0</v>
      </c>
      <c r="CT87" s="1628"/>
      <c r="CU87" s="1629"/>
      <c r="CV87" s="1629"/>
      <c r="CW87" s="1629"/>
      <c r="CX87" s="1629"/>
      <c r="CY87" s="1629"/>
      <c r="CZ87" s="1630"/>
      <c r="DA87" s="1766">
        <v>11</v>
      </c>
    </row>
    <row r="88" spans="1:105" ht="3" hidden="1" customHeight="1" x14ac:dyDescent="0.3">
      <c r="A88" s="1743"/>
      <c r="B88" s="1731" t="s">
        <v>155</v>
      </c>
      <c r="C88" s="1634"/>
      <c r="D88" s="353"/>
      <c r="E88" s="346"/>
      <c r="F88" s="347"/>
      <c r="G88" s="348"/>
      <c r="H88" s="349"/>
      <c r="I88" s="350"/>
      <c r="J88" s="350"/>
      <c r="K88" s="348"/>
      <c r="L88" s="349"/>
      <c r="M88" s="350"/>
      <c r="N88" s="350"/>
      <c r="O88" s="348"/>
      <c r="P88" s="349"/>
      <c r="Q88" s="350"/>
      <c r="R88" s="350"/>
      <c r="S88" s="348"/>
      <c r="T88" s="334"/>
      <c r="U88" s="352"/>
      <c r="V88" s="348"/>
      <c r="W88" s="349"/>
      <c r="X88" s="350"/>
      <c r="Y88" s="350"/>
      <c r="Z88" s="348"/>
      <c r="AA88" s="349"/>
      <c r="AB88" s="350"/>
      <c r="AC88" s="350"/>
      <c r="AD88" s="348"/>
      <c r="AE88" s="349"/>
      <c r="AF88" s="350"/>
      <c r="AG88" s="350"/>
      <c r="AH88" s="351"/>
      <c r="AI88" s="335"/>
      <c r="AJ88" s="350"/>
      <c r="AK88" s="348"/>
      <c r="AL88" s="349"/>
      <c r="AM88" s="350"/>
      <c r="AN88" s="350"/>
      <c r="AO88" s="348"/>
      <c r="AP88" s="349"/>
      <c r="AQ88" s="350"/>
      <c r="AR88" s="350"/>
      <c r="AS88" s="348"/>
      <c r="AT88" s="349"/>
      <c r="AU88" s="350"/>
      <c r="AV88" s="345"/>
      <c r="AW88" s="346"/>
      <c r="AX88" s="1626">
        <v>0</v>
      </c>
      <c r="AY88" s="353"/>
      <c r="AZ88" s="346"/>
      <c r="BA88" s="347"/>
      <c r="BB88" s="348"/>
      <c r="BC88" s="349"/>
      <c r="BD88" s="350"/>
      <c r="BE88" s="350"/>
      <c r="BF88" s="348"/>
      <c r="BG88" s="349"/>
      <c r="BH88" s="350"/>
      <c r="BI88" s="350"/>
      <c r="BJ88" s="348"/>
      <c r="BK88" s="349"/>
      <c r="BL88" s="350"/>
      <c r="BM88" s="350"/>
      <c r="BN88" s="348"/>
      <c r="BO88" s="334"/>
      <c r="BP88" s="352"/>
      <c r="BQ88" s="348"/>
      <c r="BR88" s="349"/>
      <c r="BS88" s="350"/>
      <c r="BT88" s="350"/>
      <c r="BU88" s="348"/>
      <c r="BV88" s="349"/>
      <c r="BW88" s="350"/>
      <c r="BX88" s="350"/>
      <c r="BY88" s="348"/>
      <c r="BZ88" s="349"/>
      <c r="CA88" s="350"/>
      <c r="CB88" s="350"/>
      <c r="CC88" s="351"/>
      <c r="CD88" s="335"/>
      <c r="CE88" s="350"/>
      <c r="CF88" s="348"/>
      <c r="CG88" s="349"/>
      <c r="CH88" s="350"/>
      <c r="CI88" s="350"/>
      <c r="CJ88" s="348"/>
      <c r="CK88" s="349"/>
      <c r="CL88" s="350"/>
      <c r="CM88" s="350"/>
      <c r="CN88" s="348"/>
      <c r="CO88" s="349"/>
      <c r="CP88" s="350"/>
      <c r="CQ88" s="345"/>
      <c r="CR88" s="346"/>
      <c r="CS88" s="1626">
        <v>0</v>
      </c>
      <c r="CT88" s="1637"/>
      <c r="CU88" s="1638"/>
      <c r="CV88" s="1638"/>
      <c r="CW88" s="1638"/>
      <c r="CX88" s="1638"/>
      <c r="CY88" s="1638"/>
      <c r="CZ88" s="1639"/>
      <c r="DA88" s="1766"/>
    </row>
    <row r="89" spans="1:105" ht="15" hidden="1" customHeight="1" thickBot="1" x14ac:dyDescent="0.35">
      <c r="A89" s="1743"/>
      <c r="B89" s="1732"/>
      <c r="C89" s="913"/>
      <c r="D89" s="341"/>
      <c r="E89" s="338"/>
      <c r="F89" s="339"/>
      <c r="G89" s="340"/>
      <c r="H89" s="337"/>
      <c r="I89" s="341"/>
      <c r="J89" s="341"/>
      <c r="K89" s="340"/>
      <c r="L89" s="337"/>
      <c r="M89" s="341"/>
      <c r="N89" s="341"/>
      <c r="O89" s="340"/>
      <c r="P89" s="337"/>
      <c r="Q89" s="341"/>
      <c r="R89" s="341"/>
      <c r="S89" s="340"/>
      <c r="T89" s="342"/>
      <c r="U89" s="343"/>
      <c r="V89" s="340"/>
      <c r="W89" s="337"/>
      <c r="X89" s="341"/>
      <c r="Y89" s="341"/>
      <c r="Z89" s="340"/>
      <c r="AA89" s="337"/>
      <c r="AB89" s="341"/>
      <c r="AC89" s="341"/>
      <c r="AD89" s="340"/>
      <c r="AE89" s="337"/>
      <c r="AF89" s="341"/>
      <c r="AG89" s="341"/>
      <c r="AH89" s="340"/>
      <c r="AI89" s="342"/>
      <c r="AJ89" s="344"/>
      <c r="AK89" s="340"/>
      <c r="AL89" s="337"/>
      <c r="AM89" s="341"/>
      <c r="AN89" s="341"/>
      <c r="AO89" s="340"/>
      <c r="AP89" s="337"/>
      <c r="AQ89" s="341"/>
      <c r="AR89" s="341"/>
      <c r="AS89" s="340"/>
      <c r="AT89" s="337"/>
      <c r="AU89" s="341"/>
      <c r="AV89" s="341"/>
      <c r="AW89" s="340"/>
      <c r="AX89" s="1627"/>
      <c r="AY89" s="337"/>
      <c r="AZ89" s="338"/>
      <c r="BA89" s="339"/>
      <c r="BB89" s="340"/>
      <c r="BC89" s="329"/>
      <c r="BD89" s="333"/>
      <c r="BE89" s="333"/>
      <c r="BF89" s="332"/>
      <c r="BG89" s="329"/>
      <c r="BH89" s="333"/>
      <c r="BI89" s="333"/>
      <c r="BJ89" s="332"/>
      <c r="BK89" s="329"/>
      <c r="BL89" s="333"/>
      <c r="BM89" s="333"/>
      <c r="BN89" s="332"/>
      <c r="BO89" s="342"/>
      <c r="BP89" s="343"/>
      <c r="BQ89" s="340"/>
      <c r="BR89" s="337"/>
      <c r="BS89" s="341"/>
      <c r="BT89" s="341"/>
      <c r="BU89" s="340"/>
      <c r="BV89" s="337"/>
      <c r="BW89" s="341"/>
      <c r="BX89" s="341"/>
      <c r="BY89" s="340"/>
      <c r="BZ89" s="337"/>
      <c r="CA89" s="341"/>
      <c r="CB89" s="341"/>
      <c r="CC89" s="340"/>
      <c r="CD89" s="342"/>
      <c r="CE89" s="344"/>
      <c r="CF89" s="340"/>
      <c r="CG89" s="337"/>
      <c r="CH89" s="341"/>
      <c r="CI89" s="341"/>
      <c r="CJ89" s="340"/>
      <c r="CK89" s="337"/>
      <c r="CL89" s="341"/>
      <c r="CM89" s="341"/>
      <c r="CN89" s="340"/>
      <c r="CO89" s="337"/>
      <c r="CP89" s="341"/>
      <c r="CQ89" s="341"/>
      <c r="CR89" s="340"/>
      <c r="CS89" s="1627"/>
      <c r="CT89" s="1640"/>
      <c r="CU89" s="1641"/>
      <c r="CV89" s="1641"/>
      <c r="CW89" s="1641"/>
      <c r="CX89" s="1641"/>
      <c r="CY89" s="1641"/>
      <c r="CZ89" s="1642"/>
      <c r="DA89" s="1766"/>
    </row>
    <row r="90" spans="1:105" ht="15" hidden="1" customHeight="1" x14ac:dyDescent="0.3">
      <c r="A90" s="1631" t="s">
        <v>490</v>
      </c>
      <c r="B90" s="605" t="s">
        <v>154</v>
      </c>
      <c r="C90" s="1633"/>
      <c r="D90" s="384"/>
      <c r="E90" s="385"/>
      <c r="F90" s="386"/>
      <c r="G90" s="387"/>
      <c r="H90" s="388"/>
      <c r="I90" s="385"/>
      <c r="J90" s="386"/>
      <c r="K90" s="387"/>
      <c r="L90" s="388"/>
      <c r="M90" s="385"/>
      <c r="N90" s="386"/>
      <c r="O90" s="387"/>
      <c r="P90" s="388"/>
      <c r="Q90" s="385"/>
      <c r="R90" s="386"/>
      <c r="S90" s="387"/>
      <c r="T90" s="334"/>
      <c r="U90" s="335"/>
      <c r="V90" s="332"/>
      <c r="W90" s="329"/>
      <c r="X90" s="333"/>
      <c r="Y90" s="333"/>
      <c r="Z90" s="332"/>
      <c r="AA90" s="329"/>
      <c r="AB90" s="333"/>
      <c r="AC90" s="333"/>
      <c r="AD90" s="332"/>
      <c r="AE90" s="329"/>
      <c r="AF90" s="333"/>
      <c r="AG90" s="333"/>
      <c r="AH90" s="332"/>
      <c r="AI90" s="334"/>
      <c r="AJ90" s="336"/>
      <c r="AK90" s="332"/>
      <c r="AL90" s="329"/>
      <c r="AM90" s="333"/>
      <c r="AN90" s="333"/>
      <c r="AO90" s="332"/>
      <c r="AP90" s="329"/>
      <c r="AQ90" s="333"/>
      <c r="AR90" s="333"/>
      <c r="AS90" s="332"/>
      <c r="AT90" s="329"/>
      <c r="AU90" s="333"/>
      <c r="AV90" s="333"/>
      <c r="AW90" s="330"/>
      <c r="AX90" s="592">
        <f>ROUND(Бурение!D6,0)</f>
        <v>0</v>
      </c>
      <c r="AY90" s="321"/>
      <c r="AZ90" s="322"/>
      <c r="BA90" s="323"/>
      <c r="BB90" s="324"/>
      <c r="BC90" s="321"/>
      <c r="BD90" s="325"/>
      <c r="BE90" s="325"/>
      <c r="BF90" s="324"/>
      <c r="BG90" s="321"/>
      <c r="BH90" s="325"/>
      <c r="BI90" s="325"/>
      <c r="BJ90" s="324"/>
      <c r="BK90" s="321"/>
      <c r="BL90" s="325"/>
      <c r="BM90" s="325"/>
      <c r="BN90" s="324"/>
      <c r="BO90" s="334"/>
      <c r="BP90" s="335"/>
      <c r="BQ90" s="330"/>
      <c r="BR90" s="329"/>
      <c r="BS90" s="333"/>
      <c r="BT90" s="333"/>
      <c r="BU90" s="332"/>
      <c r="BV90" s="329"/>
      <c r="BW90" s="333"/>
      <c r="BX90" s="333"/>
      <c r="BY90" s="332"/>
      <c r="BZ90" s="329"/>
      <c r="CA90" s="333"/>
      <c r="CB90" s="333"/>
      <c r="CC90" s="332"/>
      <c r="CD90" s="334"/>
      <c r="CE90" s="595"/>
      <c r="CF90" s="332"/>
      <c r="CG90" s="329"/>
      <c r="CH90" s="333"/>
      <c r="CI90" s="333"/>
      <c r="CJ90" s="332"/>
      <c r="CK90" s="329"/>
      <c r="CL90" s="333"/>
      <c r="CM90" s="333"/>
      <c r="CN90" s="332"/>
      <c r="CO90" s="329"/>
      <c r="CP90" s="333"/>
      <c r="CQ90" s="333"/>
      <c r="CR90" s="332"/>
      <c r="CS90" s="592">
        <f>ROUND(Бурение!D12,0)</f>
        <v>0</v>
      </c>
      <c r="CT90" s="1628"/>
      <c r="CU90" s="1629"/>
      <c r="CV90" s="1629"/>
      <c r="CW90" s="1629"/>
      <c r="CX90" s="1629"/>
      <c r="CY90" s="1629"/>
      <c r="CZ90" s="1630"/>
      <c r="DA90" s="1766">
        <v>13</v>
      </c>
    </row>
    <row r="91" spans="1:105" ht="3" hidden="1" customHeight="1" x14ac:dyDescent="0.3">
      <c r="A91" s="1632"/>
      <c r="B91" s="1731" t="s">
        <v>155</v>
      </c>
      <c r="C91" s="1634"/>
      <c r="D91" s="389"/>
      <c r="E91" s="390"/>
      <c r="F91" s="391"/>
      <c r="G91" s="392"/>
      <c r="H91" s="393"/>
      <c r="I91" s="394"/>
      <c r="J91" s="394"/>
      <c r="K91" s="392"/>
      <c r="L91" s="393"/>
      <c r="M91" s="394"/>
      <c r="N91" s="394"/>
      <c r="O91" s="392"/>
      <c r="P91" s="393"/>
      <c r="Q91" s="394"/>
      <c r="R91" s="394"/>
      <c r="S91" s="392"/>
      <c r="T91" s="334"/>
      <c r="U91" s="352"/>
      <c r="V91" s="348"/>
      <c r="W91" s="349"/>
      <c r="X91" s="350"/>
      <c r="Y91" s="350"/>
      <c r="Z91" s="348"/>
      <c r="AA91" s="349"/>
      <c r="AB91" s="350"/>
      <c r="AC91" s="350"/>
      <c r="AD91" s="348"/>
      <c r="AE91" s="349"/>
      <c r="AF91" s="350"/>
      <c r="AG91" s="350"/>
      <c r="AH91" s="351"/>
      <c r="AI91" s="335"/>
      <c r="AJ91" s="350"/>
      <c r="AK91" s="348"/>
      <c r="AL91" s="349"/>
      <c r="AM91" s="350"/>
      <c r="AN91" s="350"/>
      <c r="AO91" s="348"/>
      <c r="AP91" s="349"/>
      <c r="AQ91" s="350"/>
      <c r="AR91" s="350"/>
      <c r="AS91" s="348"/>
      <c r="AT91" s="349"/>
      <c r="AU91" s="350"/>
      <c r="AV91" s="345"/>
      <c r="AW91" s="346"/>
      <c r="AX91" s="1626">
        <v>0</v>
      </c>
      <c r="AY91" s="345"/>
      <c r="AZ91" s="346"/>
      <c r="BA91" s="347"/>
      <c r="BB91" s="348"/>
      <c r="BC91" s="349"/>
      <c r="BD91" s="350"/>
      <c r="BE91" s="350"/>
      <c r="BF91" s="348"/>
      <c r="BG91" s="349"/>
      <c r="BH91" s="350"/>
      <c r="BI91" s="350"/>
      <c r="BJ91" s="348"/>
      <c r="BK91" s="349"/>
      <c r="BL91" s="350"/>
      <c r="BM91" s="350"/>
      <c r="BN91" s="351"/>
      <c r="BO91" s="334"/>
      <c r="BP91" s="352"/>
      <c r="BQ91" s="348"/>
      <c r="BR91" s="349"/>
      <c r="BS91" s="350"/>
      <c r="BT91" s="350"/>
      <c r="BU91" s="348"/>
      <c r="BV91" s="349"/>
      <c r="BW91" s="350"/>
      <c r="BX91" s="350"/>
      <c r="BY91" s="348"/>
      <c r="BZ91" s="349"/>
      <c r="CA91" s="350"/>
      <c r="CB91" s="350"/>
      <c r="CC91" s="351"/>
      <c r="CD91" s="335"/>
      <c r="CE91" s="350"/>
      <c r="CF91" s="348"/>
      <c r="CG91" s="349"/>
      <c r="CH91" s="350"/>
      <c r="CI91" s="350"/>
      <c r="CJ91" s="348"/>
      <c r="CK91" s="349"/>
      <c r="CL91" s="350"/>
      <c r="CM91" s="350"/>
      <c r="CN91" s="348"/>
      <c r="CO91" s="349"/>
      <c r="CP91" s="350"/>
      <c r="CQ91" s="345"/>
      <c r="CR91" s="346"/>
      <c r="CS91" s="1626">
        <v>0</v>
      </c>
      <c r="CT91" s="1637"/>
      <c r="CU91" s="1638"/>
      <c r="CV91" s="1638"/>
      <c r="CW91" s="1638"/>
      <c r="CX91" s="1638"/>
      <c r="CY91" s="1638"/>
      <c r="CZ91" s="1639"/>
      <c r="DA91" s="1766"/>
    </row>
    <row r="92" spans="1:105" ht="15" hidden="1" customHeight="1" thickBot="1" x14ac:dyDescent="0.35">
      <c r="A92" s="1632"/>
      <c r="B92" s="1732"/>
      <c r="C92" s="921"/>
      <c r="D92" s="341"/>
      <c r="E92" s="338"/>
      <c r="F92" s="339"/>
      <c r="G92" s="340"/>
      <c r="H92" s="337"/>
      <c r="I92" s="341"/>
      <c r="J92" s="341"/>
      <c r="K92" s="340"/>
      <c r="L92" s="337"/>
      <c r="M92" s="341"/>
      <c r="N92" s="341"/>
      <c r="O92" s="340"/>
      <c r="P92" s="337"/>
      <c r="Q92" s="341"/>
      <c r="R92" s="341"/>
      <c r="S92" s="340"/>
      <c r="T92" s="342"/>
      <c r="U92" s="343"/>
      <c r="V92" s="340"/>
      <c r="W92" s="337"/>
      <c r="X92" s="341"/>
      <c r="Y92" s="341"/>
      <c r="Z92" s="340"/>
      <c r="AA92" s="337"/>
      <c r="AB92" s="341"/>
      <c r="AC92" s="341"/>
      <c r="AD92" s="340"/>
      <c r="AE92" s="337"/>
      <c r="AF92" s="341"/>
      <c r="AG92" s="341"/>
      <c r="AH92" s="340"/>
      <c r="AI92" s="342"/>
      <c r="AJ92" s="344"/>
      <c r="AK92" s="340"/>
      <c r="AL92" s="337"/>
      <c r="AM92" s="341"/>
      <c r="AN92" s="341"/>
      <c r="AO92" s="340"/>
      <c r="AP92" s="337"/>
      <c r="AQ92" s="341"/>
      <c r="AR92" s="341"/>
      <c r="AS92" s="340"/>
      <c r="AT92" s="337"/>
      <c r="AU92" s="341"/>
      <c r="AV92" s="341"/>
      <c r="AW92" s="340"/>
      <c r="AX92" s="1627"/>
      <c r="AY92" s="337"/>
      <c r="AZ92" s="338"/>
      <c r="BA92" s="339"/>
      <c r="BB92" s="340"/>
      <c r="BC92" s="329"/>
      <c r="BD92" s="333"/>
      <c r="BE92" s="333"/>
      <c r="BF92" s="332"/>
      <c r="BG92" s="329"/>
      <c r="BH92" s="333"/>
      <c r="BI92" s="333"/>
      <c r="BJ92" s="332"/>
      <c r="BK92" s="329"/>
      <c r="BL92" s="333"/>
      <c r="BM92" s="333"/>
      <c r="BN92" s="332"/>
      <c r="BO92" s="342"/>
      <c r="BP92" s="343"/>
      <c r="BQ92" s="340"/>
      <c r="BR92" s="337"/>
      <c r="BS92" s="341"/>
      <c r="BT92" s="341"/>
      <c r="BU92" s="340"/>
      <c r="BV92" s="337"/>
      <c r="BW92" s="341"/>
      <c r="BX92" s="341"/>
      <c r="BY92" s="340"/>
      <c r="BZ92" s="337"/>
      <c r="CA92" s="341"/>
      <c r="CB92" s="341"/>
      <c r="CC92" s="340"/>
      <c r="CD92" s="342"/>
      <c r="CE92" s="344"/>
      <c r="CF92" s="340"/>
      <c r="CG92" s="337"/>
      <c r="CH92" s="341"/>
      <c r="CI92" s="341"/>
      <c r="CJ92" s="340"/>
      <c r="CK92" s="337"/>
      <c r="CL92" s="341"/>
      <c r="CM92" s="341"/>
      <c r="CN92" s="340"/>
      <c r="CO92" s="337"/>
      <c r="CP92" s="341"/>
      <c r="CQ92" s="341"/>
      <c r="CR92" s="340"/>
      <c r="CS92" s="1627"/>
      <c r="CT92" s="1640"/>
      <c r="CU92" s="1641"/>
      <c r="CV92" s="1641"/>
      <c r="CW92" s="1641"/>
      <c r="CX92" s="1641"/>
      <c r="CY92" s="1641"/>
      <c r="CZ92" s="1642"/>
      <c r="DA92" s="1766"/>
    </row>
    <row r="93" spans="1:105" ht="15" hidden="1" customHeight="1" x14ac:dyDescent="0.3">
      <c r="A93" s="1742" t="s">
        <v>421</v>
      </c>
      <c r="B93" s="605" t="s">
        <v>154</v>
      </c>
      <c r="C93" s="916"/>
      <c r="D93" s="384"/>
      <c r="E93" s="385"/>
      <c r="F93" s="386"/>
      <c r="G93" s="387"/>
      <c r="H93" s="388"/>
      <c r="I93" s="385"/>
      <c r="J93" s="386"/>
      <c r="K93" s="387"/>
      <c r="L93" s="388"/>
      <c r="M93" s="385"/>
      <c r="N93" s="386"/>
      <c r="O93" s="387"/>
      <c r="P93" s="388"/>
      <c r="Q93" s="385"/>
      <c r="R93" s="386"/>
      <c r="S93" s="387"/>
      <c r="T93" s="334"/>
      <c r="U93" s="335"/>
      <c r="V93" s="332"/>
      <c r="W93" s="329"/>
      <c r="X93" s="333"/>
      <c r="Y93" s="333"/>
      <c r="Z93" s="332"/>
      <c r="AA93" s="329"/>
      <c r="AB93" s="333"/>
      <c r="AC93" s="333"/>
      <c r="AD93" s="332"/>
      <c r="AE93" s="329"/>
      <c r="AF93" s="333"/>
      <c r="AG93" s="333"/>
      <c r="AH93" s="332"/>
      <c r="AI93" s="334"/>
      <c r="AJ93" s="336"/>
      <c r="AK93" s="332"/>
      <c r="AL93" s="329"/>
      <c r="AM93" s="333"/>
      <c r="AN93" s="333"/>
      <c r="AO93" s="332"/>
      <c r="AP93" s="329"/>
      <c r="AQ93" s="333"/>
      <c r="AR93" s="333"/>
      <c r="AS93" s="332"/>
      <c r="AT93" s="329"/>
      <c r="AU93" s="333"/>
      <c r="AV93" s="333"/>
      <c r="AW93" s="330"/>
      <c r="AX93" s="916">
        <f>ROUND(Бурение!D7,0)</f>
        <v>0</v>
      </c>
      <c r="AY93" s="321"/>
      <c r="AZ93" s="322"/>
      <c r="BA93" s="323"/>
      <c r="BB93" s="324"/>
      <c r="BC93" s="321"/>
      <c r="BD93" s="325"/>
      <c r="BE93" s="325"/>
      <c r="BF93" s="324"/>
      <c r="BG93" s="321"/>
      <c r="BH93" s="325"/>
      <c r="BI93" s="325"/>
      <c r="BJ93" s="324"/>
      <c r="BK93" s="321"/>
      <c r="BL93" s="325"/>
      <c r="BM93" s="325"/>
      <c r="BN93" s="324"/>
      <c r="BO93" s="334"/>
      <c r="BP93" s="335"/>
      <c r="BQ93" s="330"/>
      <c r="BR93" s="329"/>
      <c r="BS93" s="333"/>
      <c r="BT93" s="333"/>
      <c r="BU93" s="332"/>
      <c r="BV93" s="329"/>
      <c r="BW93" s="333"/>
      <c r="BX93" s="333"/>
      <c r="BY93" s="332"/>
      <c r="BZ93" s="329"/>
      <c r="CA93" s="333"/>
      <c r="CB93" s="333"/>
      <c r="CC93" s="332"/>
      <c r="CD93" s="334"/>
      <c r="CE93" s="595"/>
      <c r="CF93" s="332"/>
      <c r="CG93" s="329"/>
      <c r="CH93" s="333"/>
      <c r="CI93" s="333"/>
      <c r="CJ93" s="332"/>
      <c r="CK93" s="329"/>
      <c r="CL93" s="333"/>
      <c r="CM93" s="333"/>
      <c r="CN93" s="332"/>
      <c r="CO93" s="329"/>
      <c r="CP93" s="333"/>
      <c r="CQ93" s="333"/>
      <c r="CR93" s="332"/>
      <c r="CS93" s="592">
        <f>ROUND(Бурение!D13,0)</f>
        <v>0</v>
      </c>
      <c r="CT93" s="1628"/>
      <c r="CU93" s="1629"/>
      <c r="CV93" s="1629"/>
      <c r="CW93" s="1629"/>
      <c r="CX93" s="1629"/>
      <c r="CY93" s="1629"/>
      <c r="CZ93" s="1630"/>
    </row>
    <row r="94" spans="1:105" ht="3" hidden="1" customHeight="1" x14ac:dyDescent="0.3">
      <c r="A94" s="1743"/>
      <c r="B94" s="1731" t="s">
        <v>155</v>
      </c>
      <c r="C94" s="1338"/>
      <c r="D94" s="389"/>
      <c r="E94" s="390"/>
      <c r="F94" s="391"/>
      <c r="G94" s="392"/>
      <c r="H94" s="393"/>
      <c r="I94" s="394"/>
      <c r="J94" s="394"/>
      <c r="K94" s="392"/>
      <c r="L94" s="393"/>
      <c r="M94" s="394"/>
      <c r="N94" s="394"/>
      <c r="O94" s="392"/>
      <c r="P94" s="393"/>
      <c r="Q94" s="394"/>
      <c r="R94" s="394"/>
      <c r="S94" s="392"/>
      <c r="T94" s="334"/>
      <c r="U94" s="352"/>
      <c r="V94" s="348"/>
      <c r="W94" s="349"/>
      <c r="X94" s="350"/>
      <c r="Y94" s="350"/>
      <c r="Z94" s="348"/>
      <c r="AA94" s="349"/>
      <c r="AB94" s="350"/>
      <c r="AC94" s="350"/>
      <c r="AD94" s="348"/>
      <c r="AE94" s="349"/>
      <c r="AF94" s="350"/>
      <c r="AG94" s="350"/>
      <c r="AH94" s="351"/>
      <c r="AI94" s="335"/>
      <c r="AJ94" s="350"/>
      <c r="AK94" s="348"/>
      <c r="AL94" s="349"/>
      <c r="AM94" s="350"/>
      <c r="AN94" s="350"/>
      <c r="AO94" s="348"/>
      <c r="AP94" s="349"/>
      <c r="AQ94" s="350"/>
      <c r="AR94" s="350"/>
      <c r="AS94" s="348"/>
      <c r="AT94" s="349"/>
      <c r="AU94" s="350"/>
      <c r="AV94" s="345"/>
      <c r="AW94" s="346"/>
      <c r="AX94" s="1626">
        <v>0</v>
      </c>
      <c r="AY94" s="345"/>
      <c r="AZ94" s="346"/>
      <c r="BA94" s="347"/>
      <c r="BB94" s="348"/>
      <c r="BC94" s="349"/>
      <c r="BD94" s="350"/>
      <c r="BE94" s="350"/>
      <c r="BF94" s="348"/>
      <c r="BG94" s="349"/>
      <c r="BH94" s="350"/>
      <c r="BI94" s="350"/>
      <c r="BJ94" s="348"/>
      <c r="BK94" s="349"/>
      <c r="BL94" s="350"/>
      <c r="BM94" s="350"/>
      <c r="BN94" s="351"/>
      <c r="BO94" s="334"/>
      <c r="BP94" s="352"/>
      <c r="BQ94" s="348"/>
      <c r="BR94" s="349"/>
      <c r="BS94" s="350"/>
      <c r="BT94" s="350"/>
      <c r="BU94" s="348"/>
      <c r="BV94" s="349"/>
      <c r="BW94" s="350"/>
      <c r="BX94" s="350"/>
      <c r="BY94" s="348"/>
      <c r="BZ94" s="349"/>
      <c r="CA94" s="350"/>
      <c r="CB94" s="350"/>
      <c r="CC94" s="351"/>
      <c r="CD94" s="335"/>
      <c r="CE94" s="350"/>
      <c r="CF94" s="348"/>
      <c r="CG94" s="349"/>
      <c r="CH94" s="350"/>
      <c r="CI94" s="350"/>
      <c r="CJ94" s="348"/>
      <c r="CK94" s="349"/>
      <c r="CL94" s="350"/>
      <c r="CM94" s="350"/>
      <c r="CN94" s="348"/>
      <c r="CO94" s="349"/>
      <c r="CP94" s="350"/>
      <c r="CQ94" s="345"/>
      <c r="CR94" s="346"/>
      <c r="CS94" s="1626">
        <v>0</v>
      </c>
      <c r="CT94" s="1637"/>
      <c r="CU94" s="1638"/>
      <c r="CV94" s="1638"/>
      <c r="CW94" s="1638"/>
      <c r="CX94" s="1638"/>
      <c r="CY94" s="1638"/>
      <c r="CZ94" s="1639"/>
    </row>
    <row r="95" spans="1:105" ht="15" hidden="1" customHeight="1" thickBot="1" x14ac:dyDescent="0.35">
      <c r="A95" s="1743"/>
      <c r="B95" s="1732"/>
      <c r="C95" s="1339"/>
      <c r="D95" s="341"/>
      <c r="E95" s="338"/>
      <c r="F95" s="339"/>
      <c r="G95" s="340"/>
      <c r="H95" s="337"/>
      <c r="I95" s="341"/>
      <c r="J95" s="341"/>
      <c r="K95" s="340"/>
      <c r="L95" s="337"/>
      <c r="M95" s="341"/>
      <c r="N95" s="341"/>
      <c r="O95" s="340"/>
      <c r="P95" s="337"/>
      <c r="Q95" s="341"/>
      <c r="R95" s="341"/>
      <c r="S95" s="340"/>
      <c r="T95" s="342"/>
      <c r="U95" s="343"/>
      <c r="V95" s="340"/>
      <c r="W95" s="337"/>
      <c r="X95" s="341"/>
      <c r="Y95" s="341"/>
      <c r="Z95" s="340"/>
      <c r="AA95" s="337"/>
      <c r="AB95" s="341"/>
      <c r="AC95" s="341"/>
      <c r="AD95" s="340"/>
      <c r="AE95" s="337"/>
      <c r="AF95" s="341"/>
      <c r="AG95" s="341"/>
      <c r="AH95" s="340"/>
      <c r="AI95" s="342"/>
      <c r="AJ95" s="344"/>
      <c r="AK95" s="340"/>
      <c r="AL95" s="337"/>
      <c r="AM95" s="341"/>
      <c r="AN95" s="341"/>
      <c r="AO95" s="340"/>
      <c r="AP95" s="337"/>
      <c r="AQ95" s="341"/>
      <c r="AR95" s="341"/>
      <c r="AS95" s="340"/>
      <c r="AT95" s="337"/>
      <c r="AU95" s="341"/>
      <c r="AV95" s="341"/>
      <c r="AW95" s="340"/>
      <c r="AX95" s="1627"/>
      <c r="AY95" s="337"/>
      <c r="AZ95" s="338"/>
      <c r="BA95" s="339"/>
      <c r="BB95" s="340"/>
      <c r="BC95" s="329"/>
      <c r="BD95" s="333"/>
      <c r="BE95" s="333"/>
      <c r="BF95" s="332"/>
      <c r="BG95" s="329"/>
      <c r="BH95" s="333"/>
      <c r="BI95" s="333"/>
      <c r="BJ95" s="332"/>
      <c r="BK95" s="329"/>
      <c r="BL95" s="333"/>
      <c r="BM95" s="333"/>
      <c r="BN95" s="332"/>
      <c r="BO95" s="342"/>
      <c r="BP95" s="343"/>
      <c r="BQ95" s="340"/>
      <c r="BR95" s="337"/>
      <c r="BS95" s="341"/>
      <c r="BT95" s="341"/>
      <c r="BU95" s="340"/>
      <c r="BV95" s="337"/>
      <c r="BW95" s="341"/>
      <c r="BX95" s="341"/>
      <c r="BY95" s="340"/>
      <c r="BZ95" s="337"/>
      <c r="CA95" s="341"/>
      <c r="CB95" s="341"/>
      <c r="CC95" s="340"/>
      <c r="CD95" s="342"/>
      <c r="CE95" s="344"/>
      <c r="CF95" s="340"/>
      <c r="CG95" s="337"/>
      <c r="CH95" s="341"/>
      <c r="CI95" s="341"/>
      <c r="CJ95" s="340"/>
      <c r="CK95" s="337"/>
      <c r="CL95" s="341"/>
      <c r="CM95" s="341"/>
      <c r="CN95" s="340"/>
      <c r="CO95" s="337"/>
      <c r="CP95" s="341"/>
      <c r="CQ95" s="341"/>
      <c r="CR95" s="340"/>
      <c r="CS95" s="1627"/>
      <c r="CT95" s="1640"/>
      <c r="CU95" s="1641"/>
      <c r="CV95" s="1641"/>
      <c r="CW95" s="1641"/>
      <c r="CX95" s="1641"/>
      <c r="CY95" s="1641"/>
      <c r="CZ95" s="1642"/>
    </row>
    <row r="96" spans="1:105" ht="15" hidden="1" customHeight="1" x14ac:dyDescent="0.3">
      <c r="A96" s="1742" t="s">
        <v>449</v>
      </c>
      <c r="B96" s="605" t="s">
        <v>154</v>
      </c>
      <c r="C96" s="1092"/>
      <c r="D96" s="395"/>
      <c r="E96" s="396"/>
      <c r="F96" s="397"/>
      <c r="G96" s="398"/>
      <c r="H96" s="395"/>
      <c r="I96" s="396"/>
      <c r="J96" s="397"/>
      <c r="K96" s="398"/>
      <c r="L96" s="395"/>
      <c r="M96" s="396"/>
      <c r="N96" s="397"/>
      <c r="O96" s="398"/>
      <c r="P96" s="395"/>
      <c r="Q96" s="396"/>
      <c r="R96" s="397"/>
      <c r="S96" s="398"/>
      <c r="T96" s="326"/>
      <c r="U96" s="327"/>
      <c r="V96" s="324"/>
      <c r="W96" s="321"/>
      <c r="X96" s="325"/>
      <c r="Y96" s="325"/>
      <c r="Z96" s="324"/>
      <c r="AA96" s="321"/>
      <c r="AB96" s="325"/>
      <c r="AC96" s="325"/>
      <c r="AD96" s="324"/>
      <c r="AE96" s="321"/>
      <c r="AF96" s="325"/>
      <c r="AG96" s="325"/>
      <c r="AH96" s="324"/>
      <c r="AI96" s="326"/>
      <c r="AJ96" s="328"/>
      <c r="AK96" s="324"/>
      <c r="AL96" s="321"/>
      <c r="AM96" s="325"/>
      <c r="AN96" s="325"/>
      <c r="AO96" s="324"/>
      <c r="AP96" s="321"/>
      <c r="AQ96" s="325"/>
      <c r="AR96" s="325"/>
      <c r="AS96" s="324"/>
      <c r="AT96" s="321"/>
      <c r="AU96" s="325"/>
      <c r="AV96" s="325"/>
      <c r="AW96" s="324"/>
      <c r="AX96" s="1092">
        <f>ROUND(Бурение!D8,0)</f>
        <v>0</v>
      </c>
      <c r="AY96" s="321"/>
      <c r="AZ96" s="322"/>
      <c r="BA96" s="323"/>
      <c r="BB96" s="324"/>
      <c r="BC96" s="321"/>
      <c r="BD96" s="322"/>
      <c r="BE96" s="323"/>
      <c r="BF96" s="324"/>
      <c r="BG96" s="321"/>
      <c r="BH96" s="322"/>
      <c r="BI96" s="323"/>
      <c r="BJ96" s="324"/>
      <c r="BK96" s="321"/>
      <c r="BL96" s="322"/>
      <c r="BM96" s="323"/>
      <c r="BN96" s="324"/>
      <c r="BO96" s="326"/>
      <c r="BP96" s="606"/>
      <c r="BQ96" s="325"/>
      <c r="BR96" s="321"/>
      <c r="BS96" s="325"/>
      <c r="BT96" s="325"/>
      <c r="BU96" s="324"/>
      <c r="BV96" s="321"/>
      <c r="BW96" s="325"/>
      <c r="BX96" s="325"/>
      <c r="BY96" s="324"/>
      <c r="BZ96" s="321"/>
      <c r="CA96" s="325"/>
      <c r="CB96" s="325"/>
      <c r="CC96" s="324"/>
      <c r="CD96" s="326"/>
      <c r="CE96" s="593"/>
      <c r="CF96" s="324"/>
      <c r="CG96" s="321"/>
      <c r="CH96" s="325"/>
      <c r="CI96" s="325"/>
      <c r="CJ96" s="324"/>
      <c r="CK96" s="321"/>
      <c r="CL96" s="325"/>
      <c r="CM96" s="325"/>
      <c r="CN96" s="324"/>
      <c r="CO96" s="321"/>
      <c r="CP96" s="325"/>
      <c r="CQ96" s="325"/>
      <c r="CR96" s="324"/>
      <c r="CS96" s="592">
        <f>ROUND(Бурение!D14,0)</f>
        <v>0</v>
      </c>
      <c r="CT96" s="1628"/>
      <c r="CU96" s="1629"/>
      <c r="CV96" s="1629"/>
      <c r="CW96" s="1629"/>
      <c r="CX96" s="1629"/>
      <c r="CY96" s="1629"/>
      <c r="CZ96" s="1630"/>
    </row>
    <row r="97" spans="1:121" ht="3" hidden="1" customHeight="1" x14ac:dyDescent="0.3">
      <c r="A97" s="1743"/>
      <c r="B97" s="1731" t="s">
        <v>155</v>
      </c>
      <c r="C97" s="1338"/>
      <c r="D97" s="799"/>
      <c r="E97" s="797"/>
      <c r="F97" s="797"/>
      <c r="G97" s="798"/>
      <c r="H97" s="799"/>
      <c r="I97" s="354"/>
      <c r="J97" s="354"/>
      <c r="K97" s="798"/>
      <c r="L97" s="799"/>
      <c r="M97" s="354"/>
      <c r="N97" s="354"/>
      <c r="O97" s="798"/>
      <c r="P97" s="799"/>
      <c r="Q97" s="354"/>
      <c r="R97" s="354"/>
      <c r="S97" s="800"/>
      <c r="T97" s="334"/>
      <c r="U97" s="352"/>
      <c r="V97" s="798"/>
      <c r="W97" s="799"/>
      <c r="X97" s="354"/>
      <c r="Y97" s="354"/>
      <c r="Z97" s="798"/>
      <c r="AA97" s="799"/>
      <c r="AB97" s="354"/>
      <c r="AC97" s="354"/>
      <c r="AD97" s="798"/>
      <c r="AE97" s="799"/>
      <c r="AF97" s="354"/>
      <c r="AG97" s="354"/>
      <c r="AH97" s="797"/>
      <c r="AI97" s="334"/>
      <c r="AJ97" s="354"/>
      <c r="AK97" s="798"/>
      <c r="AL97" s="799"/>
      <c r="AM97" s="354"/>
      <c r="AN97" s="354"/>
      <c r="AO97" s="798"/>
      <c r="AP97" s="799"/>
      <c r="AQ97" s="354"/>
      <c r="AR97" s="354"/>
      <c r="AS97" s="798"/>
      <c r="AT97" s="799"/>
      <c r="AU97" s="354"/>
      <c r="AV97" s="354"/>
      <c r="AW97" s="798"/>
      <c r="AX97" s="1626">
        <v>0</v>
      </c>
      <c r="AY97" s="799"/>
      <c r="AZ97" s="797"/>
      <c r="BA97" s="797"/>
      <c r="BB97" s="798"/>
      <c r="BC97" s="799"/>
      <c r="BD97" s="354"/>
      <c r="BE97" s="354"/>
      <c r="BF97" s="798"/>
      <c r="BG97" s="799"/>
      <c r="BH97" s="354"/>
      <c r="BI97" s="354"/>
      <c r="BJ97" s="798"/>
      <c r="BK97" s="799"/>
      <c r="BL97" s="354"/>
      <c r="BM97" s="354"/>
      <c r="BN97" s="800"/>
      <c r="BO97" s="334"/>
      <c r="BP97" s="352"/>
      <c r="BQ97" s="798"/>
      <c r="BR97" s="799"/>
      <c r="BS97" s="354"/>
      <c r="BT97" s="354"/>
      <c r="BU97" s="798"/>
      <c r="BV97" s="799"/>
      <c r="BW97" s="354"/>
      <c r="BX97" s="354"/>
      <c r="BY97" s="798"/>
      <c r="BZ97" s="799"/>
      <c r="CA97" s="354"/>
      <c r="CB97" s="354"/>
      <c r="CC97" s="797"/>
      <c r="CD97" s="334"/>
      <c r="CE97" s="354"/>
      <c r="CF97" s="798"/>
      <c r="CG97" s="799"/>
      <c r="CH97" s="354"/>
      <c r="CI97" s="354"/>
      <c r="CJ97" s="798"/>
      <c r="CK97" s="799"/>
      <c r="CL97" s="354"/>
      <c r="CM97" s="354"/>
      <c r="CN97" s="798"/>
      <c r="CO97" s="799"/>
      <c r="CP97" s="354"/>
      <c r="CQ97" s="354"/>
      <c r="CR97" s="798"/>
      <c r="CS97" s="1626">
        <v>0</v>
      </c>
      <c r="CT97" s="1637"/>
      <c r="CU97" s="1638"/>
      <c r="CV97" s="1638"/>
      <c r="CW97" s="1638"/>
      <c r="CX97" s="1638"/>
      <c r="CY97" s="1638"/>
      <c r="CZ97" s="1639"/>
    </row>
    <row r="98" spans="1:121" ht="15" hidden="1" customHeight="1" thickBot="1" x14ac:dyDescent="0.35">
      <c r="A98" s="1743"/>
      <c r="B98" s="1732"/>
      <c r="C98" s="1339"/>
      <c r="D98" s="341"/>
      <c r="E98" s="338"/>
      <c r="F98" s="339"/>
      <c r="G98" s="340"/>
      <c r="H98" s="337"/>
      <c r="I98" s="341"/>
      <c r="J98" s="341"/>
      <c r="K98" s="340"/>
      <c r="L98" s="337"/>
      <c r="M98" s="341"/>
      <c r="N98" s="341"/>
      <c r="O98" s="340"/>
      <c r="P98" s="337"/>
      <c r="Q98" s="341"/>
      <c r="R98" s="341"/>
      <c r="S98" s="340"/>
      <c r="T98" s="342"/>
      <c r="U98" s="343"/>
      <c r="V98" s="340"/>
      <c r="W98" s="337"/>
      <c r="X98" s="341"/>
      <c r="Y98" s="341"/>
      <c r="Z98" s="340"/>
      <c r="AA98" s="337"/>
      <c r="AB98" s="341"/>
      <c r="AC98" s="341"/>
      <c r="AD98" s="340"/>
      <c r="AE98" s="337"/>
      <c r="AF98" s="341"/>
      <c r="AG98" s="341"/>
      <c r="AH98" s="340"/>
      <c r="AI98" s="342"/>
      <c r="AJ98" s="344"/>
      <c r="AK98" s="340"/>
      <c r="AL98" s="337"/>
      <c r="AM98" s="341"/>
      <c r="AN98" s="341"/>
      <c r="AO98" s="340"/>
      <c r="AP98" s="337"/>
      <c r="AQ98" s="341"/>
      <c r="AR98" s="341"/>
      <c r="AS98" s="340"/>
      <c r="AT98" s="337"/>
      <c r="AU98" s="341"/>
      <c r="AV98" s="341"/>
      <c r="AW98" s="340"/>
      <c r="AX98" s="1627"/>
      <c r="AY98" s="337"/>
      <c r="AZ98" s="338"/>
      <c r="BA98" s="339"/>
      <c r="BB98" s="340"/>
      <c r="BC98" s="329"/>
      <c r="BD98" s="333"/>
      <c r="BE98" s="333"/>
      <c r="BF98" s="332"/>
      <c r="BG98" s="329"/>
      <c r="BH98" s="333"/>
      <c r="BI98" s="333"/>
      <c r="BJ98" s="332"/>
      <c r="BK98" s="329"/>
      <c r="BL98" s="333"/>
      <c r="BM98" s="333"/>
      <c r="BN98" s="332"/>
      <c r="BO98" s="342"/>
      <c r="BP98" s="343"/>
      <c r="BQ98" s="340"/>
      <c r="BR98" s="337"/>
      <c r="BS98" s="341"/>
      <c r="BT98" s="341"/>
      <c r="BU98" s="340"/>
      <c r="BV98" s="337"/>
      <c r="BW98" s="341"/>
      <c r="BX98" s="341"/>
      <c r="BY98" s="340"/>
      <c r="BZ98" s="337"/>
      <c r="CA98" s="341"/>
      <c r="CB98" s="341"/>
      <c r="CC98" s="340"/>
      <c r="CD98" s="342"/>
      <c r="CE98" s="344"/>
      <c r="CF98" s="340"/>
      <c r="CG98" s="337"/>
      <c r="CH98" s="341"/>
      <c r="CI98" s="341"/>
      <c r="CJ98" s="340"/>
      <c r="CK98" s="337"/>
      <c r="CL98" s="341"/>
      <c r="CM98" s="341"/>
      <c r="CN98" s="340"/>
      <c r="CO98" s="337"/>
      <c r="CP98" s="341"/>
      <c r="CQ98" s="341"/>
      <c r="CR98" s="340"/>
      <c r="CS98" s="1627"/>
      <c r="CT98" s="1640"/>
      <c r="CU98" s="1641"/>
      <c r="CV98" s="1641"/>
      <c r="CW98" s="1641"/>
      <c r="CX98" s="1641"/>
      <c r="CY98" s="1641"/>
      <c r="CZ98" s="1642"/>
    </row>
    <row r="99" spans="1:121" ht="20.100000000000001" hidden="1" customHeight="1" thickBot="1" x14ac:dyDescent="0.35">
      <c r="A99" s="218" t="s">
        <v>159</v>
      </c>
      <c r="B99" s="607"/>
      <c r="C99" s="608">
        <f>AX99+CS99</f>
        <v>0</v>
      </c>
      <c r="D99" s="399"/>
      <c r="E99" s="400"/>
      <c r="F99" s="401"/>
      <c r="G99" s="402"/>
      <c r="H99" s="399"/>
      <c r="I99" s="403"/>
      <c r="J99" s="403"/>
      <c r="K99" s="402"/>
      <c r="L99" s="399"/>
      <c r="M99" s="403"/>
      <c r="N99" s="403"/>
      <c r="O99" s="402"/>
      <c r="P99" s="399"/>
      <c r="Q99" s="403"/>
      <c r="R99" s="403"/>
      <c r="S99" s="402"/>
      <c r="T99" s="360"/>
      <c r="U99" s="361"/>
      <c r="V99" s="358"/>
      <c r="W99" s="355"/>
      <c r="X99" s="359"/>
      <c r="Y99" s="359"/>
      <c r="Z99" s="358"/>
      <c r="AA99" s="355"/>
      <c r="AB99" s="359"/>
      <c r="AC99" s="359"/>
      <c r="AD99" s="358"/>
      <c r="AE99" s="355"/>
      <c r="AF99" s="359"/>
      <c r="AG99" s="359"/>
      <c r="AH99" s="358"/>
      <c r="AI99" s="360"/>
      <c r="AJ99" s="362"/>
      <c r="AK99" s="358"/>
      <c r="AL99" s="355"/>
      <c r="AM99" s="359"/>
      <c r="AN99" s="359"/>
      <c r="AO99" s="358"/>
      <c r="AP99" s="355"/>
      <c r="AQ99" s="359"/>
      <c r="AR99" s="359"/>
      <c r="AS99" s="358"/>
      <c r="AT99" s="355"/>
      <c r="AU99" s="359"/>
      <c r="AV99" s="359"/>
      <c r="AW99" s="358"/>
      <c r="AX99" s="608">
        <f>ROUND(Экскаваторы!J20*'Сводка внутр.'!P1,0)</f>
        <v>0</v>
      </c>
      <c r="AY99" s="355"/>
      <c r="AZ99" s="356"/>
      <c r="BA99" s="357"/>
      <c r="BB99" s="358"/>
      <c r="BC99" s="355"/>
      <c r="BD99" s="359"/>
      <c r="BE99" s="359"/>
      <c r="BF99" s="358"/>
      <c r="BG99" s="355"/>
      <c r="BH99" s="359"/>
      <c r="BI99" s="359"/>
      <c r="BJ99" s="358"/>
      <c r="BK99" s="355"/>
      <c r="BL99" s="359"/>
      <c r="BM99" s="359"/>
      <c r="BN99" s="358"/>
      <c r="BO99" s="360"/>
      <c r="BP99" s="361"/>
      <c r="BQ99" s="358"/>
      <c r="BR99" s="355"/>
      <c r="BS99" s="359"/>
      <c r="BT99" s="359"/>
      <c r="BU99" s="358"/>
      <c r="BV99" s="355"/>
      <c r="BW99" s="359"/>
      <c r="BX99" s="359"/>
      <c r="BY99" s="358"/>
      <c r="BZ99" s="355"/>
      <c r="CA99" s="359"/>
      <c r="CB99" s="359"/>
      <c r="CC99" s="358"/>
      <c r="CD99" s="360"/>
      <c r="CE99" s="604"/>
      <c r="CF99" s="358"/>
      <c r="CG99" s="355"/>
      <c r="CH99" s="359"/>
      <c r="CI99" s="359"/>
      <c r="CJ99" s="358"/>
      <c r="CK99" s="355"/>
      <c r="CL99" s="359"/>
      <c r="CM99" s="359"/>
      <c r="CN99" s="358"/>
      <c r="CO99" s="355"/>
      <c r="CP99" s="359"/>
      <c r="CQ99" s="359"/>
      <c r="CR99" s="358"/>
      <c r="CS99" s="608">
        <f>ROUND(Экскаваторы!J35*'Сводка внутр.'!$P$1,0)</f>
        <v>0</v>
      </c>
      <c r="CT99" s="1761"/>
      <c r="CU99" s="1660"/>
      <c r="CV99" s="1660"/>
      <c r="CW99" s="1660"/>
      <c r="CX99" s="1660"/>
      <c r="CY99" s="1660"/>
      <c r="CZ99" s="1661"/>
    </row>
    <row r="100" spans="1:121" ht="15" customHeight="1" thickBot="1" x14ac:dyDescent="0.35">
      <c r="A100" s="218" t="s">
        <v>160</v>
      </c>
      <c r="B100" s="1757"/>
      <c r="C100" s="1758"/>
      <c r="D100" s="1758"/>
      <c r="E100" s="1758"/>
      <c r="F100" s="1758"/>
      <c r="G100" s="1758"/>
      <c r="H100" s="1758"/>
      <c r="I100" s="1758"/>
      <c r="J100" s="1758"/>
      <c r="K100" s="1758"/>
      <c r="L100" s="1758"/>
      <c r="M100" s="1758"/>
      <c r="N100" s="1758"/>
      <c r="O100" s="1758"/>
      <c r="P100" s="1758"/>
      <c r="Q100" s="1758"/>
      <c r="R100" s="1758"/>
      <c r="S100" s="1758"/>
      <c r="T100" s="1758"/>
      <c r="U100" s="1758"/>
      <c r="V100" s="1758"/>
      <c r="W100" s="1758"/>
      <c r="X100" s="1758"/>
      <c r="Y100" s="1758"/>
      <c r="Z100" s="1758"/>
      <c r="AA100" s="1758"/>
      <c r="AB100" s="1758"/>
      <c r="AC100" s="1758"/>
      <c r="AD100" s="1758"/>
      <c r="AE100" s="1758"/>
      <c r="AF100" s="1758"/>
      <c r="AG100" s="1758"/>
      <c r="AH100" s="1758"/>
      <c r="AI100" s="1758"/>
      <c r="AJ100" s="1758"/>
      <c r="AK100" s="1758"/>
      <c r="AL100" s="1758"/>
      <c r="AM100" s="1758"/>
      <c r="AN100" s="1758"/>
      <c r="AO100" s="1758"/>
      <c r="AP100" s="1758"/>
      <c r="AQ100" s="1758"/>
      <c r="AR100" s="1758"/>
      <c r="AS100" s="1758"/>
      <c r="AT100" s="1758"/>
      <c r="AU100" s="1758"/>
      <c r="AV100" s="1758"/>
      <c r="AW100" s="1758"/>
      <c r="AX100" s="1759"/>
      <c r="AY100" s="1758"/>
      <c r="AZ100" s="1758"/>
      <c r="BA100" s="1758"/>
      <c r="BB100" s="1758"/>
      <c r="BC100" s="1758"/>
      <c r="BD100" s="1758"/>
      <c r="BE100" s="1758"/>
      <c r="BF100" s="1758"/>
      <c r="BG100" s="1758"/>
      <c r="BH100" s="1758"/>
      <c r="BI100" s="1758"/>
      <c r="BJ100" s="1758"/>
      <c r="BK100" s="1758"/>
      <c r="BL100" s="1758"/>
      <c r="BM100" s="1758"/>
      <c r="BN100" s="1758"/>
      <c r="BO100" s="1758"/>
      <c r="BP100" s="1758"/>
      <c r="BQ100" s="1758"/>
      <c r="BR100" s="1758"/>
      <c r="BS100" s="1758"/>
      <c r="BT100" s="1758"/>
      <c r="BU100" s="1758"/>
      <c r="BV100" s="1758"/>
      <c r="BW100" s="1758"/>
      <c r="BX100" s="1758"/>
      <c r="BY100" s="1758"/>
      <c r="BZ100" s="1758"/>
      <c r="CA100" s="1758"/>
      <c r="CB100" s="1758"/>
      <c r="CC100" s="1758"/>
      <c r="CD100" s="1758"/>
      <c r="CE100" s="1758"/>
      <c r="CF100" s="1758"/>
      <c r="CG100" s="1758"/>
      <c r="CH100" s="1758"/>
      <c r="CI100" s="1758"/>
      <c r="CJ100" s="1758"/>
      <c r="CK100" s="1758"/>
      <c r="CL100" s="1758"/>
      <c r="CM100" s="1758"/>
      <c r="CN100" s="1758"/>
      <c r="CO100" s="1758"/>
      <c r="CP100" s="1758"/>
      <c r="CQ100" s="1758"/>
      <c r="CR100" s="1758"/>
      <c r="CS100" s="1758"/>
      <c r="CT100" s="1758"/>
      <c r="CU100" s="1758"/>
      <c r="CV100" s="1758"/>
      <c r="CW100" s="1758"/>
      <c r="CX100" s="1758"/>
      <c r="CY100" s="1758"/>
      <c r="CZ100" s="1760"/>
    </row>
    <row r="101" spans="1:121" ht="15" hidden="1" customHeight="1" thickBot="1" x14ac:dyDescent="0.35">
      <c r="A101" s="1610" t="s">
        <v>450</v>
      </c>
      <c r="B101" s="591" t="s">
        <v>154</v>
      </c>
      <c r="C101" s="1099">
        <v>6.5</v>
      </c>
      <c r="D101" s="385"/>
      <c r="E101" s="386"/>
      <c r="F101" s="386"/>
      <c r="G101" s="387"/>
      <c r="H101" s="388"/>
      <c r="I101" s="385"/>
      <c r="J101" s="386"/>
      <c r="K101" s="387"/>
      <c r="L101" s="388"/>
      <c r="M101" s="385"/>
      <c r="N101" s="386"/>
      <c r="O101" s="387"/>
      <c r="P101" s="388"/>
      <c r="Q101" s="385"/>
      <c r="R101" s="386"/>
      <c r="S101" s="387"/>
      <c r="T101" s="334"/>
      <c r="U101" s="335"/>
      <c r="V101" s="332"/>
      <c r="W101" s="329"/>
      <c r="X101" s="333"/>
      <c r="Y101" s="333"/>
      <c r="Z101" s="332"/>
      <c r="AA101" s="329"/>
      <c r="AB101" s="333"/>
      <c r="AC101" s="333"/>
      <c r="AD101" s="332"/>
      <c r="AE101" s="329"/>
      <c r="AF101" s="333"/>
      <c r="AG101" s="333"/>
      <c r="AH101" s="332"/>
      <c r="AI101" s="334"/>
      <c r="AJ101" s="336"/>
      <c r="AK101" s="332"/>
      <c r="AL101" s="329"/>
      <c r="AM101" s="333"/>
      <c r="AN101" s="333"/>
      <c r="AO101" s="332"/>
      <c r="AP101" s="329"/>
      <c r="AQ101" s="333"/>
      <c r="AR101" s="333"/>
      <c r="AS101" s="332"/>
      <c r="AT101" s="329"/>
      <c r="AU101" s="333"/>
      <c r="AV101" s="385"/>
      <c r="AW101" s="386"/>
      <c r="AX101" s="1139">
        <v>0</v>
      </c>
      <c r="AY101" s="385"/>
      <c r="AZ101" s="386"/>
      <c r="BA101" s="386"/>
      <c r="BB101" s="387"/>
      <c r="BC101" s="388"/>
      <c r="BD101" s="385"/>
      <c r="BE101" s="386"/>
      <c r="BF101" s="387"/>
      <c r="BG101" s="388"/>
      <c r="BH101" s="385"/>
      <c r="BI101" s="386"/>
      <c r="BJ101" s="387"/>
      <c r="BK101" s="388"/>
      <c r="BL101" s="385"/>
      <c r="BM101" s="386"/>
      <c r="BN101" s="387"/>
      <c r="BO101" s="334"/>
      <c r="BP101" s="335"/>
      <c r="BQ101" s="332"/>
      <c r="BR101" s="329"/>
      <c r="BS101" s="333"/>
      <c r="BT101" s="333"/>
      <c r="BU101" s="332"/>
      <c r="BV101" s="329"/>
      <c r="BW101" s="333"/>
      <c r="BX101" s="333"/>
      <c r="BY101" s="332"/>
      <c r="BZ101" s="329"/>
      <c r="CA101" s="333"/>
      <c r="CB101" s="333"/>
      <c r="CC101" s="332"/>
      <c r="CD101" s="334"/>
      <c r="CE101" s="336"/>
      <c r="CF101" s="332"/>
      <c r="CG101" s="329"/>
      <c r="CH101" s="333"/>
      <c r="CI101" s="333"/>
      <c r="CJ101" s="332"/>
      <c r="CK101" s="329"/>
      <c r="CL101" s="333"/>
      <c r="CM101" s="333"/>
      <c r="CN101" s="332"/>
      <c r="CO101" s="329"/>
      <c r="CP101" s="333"/>
      <c r="CQ101" s="385"/>
      <c r="CR101" s="386"/>
      <c r="CS101" s="1139">
        <v>0</v>
      </c>
      <c r="CT101" s="1653"/>
      <c r="CU101" s="1654"/>
      <c r="CV101" s="1654"/>
      <c r="CW101" s="1654"/>
      <c r="CX101" s="1654"/>
      <c r="CY101" s="1654"/>
      <c r="CZ101" s="1655"/>
    </row>
    <row r="102" spans="1:121" ht="3" hidden="1" customHeight="1" x14ac:dyDescent="0.3">
      <c r="A102" s="1611"/>
      <c r="B102" s="1729" t="s">
        <v>155</v>
      </c>
      <c r="C102" s="1762"/>
      <c r="D102" s="394"/>
      <c r="E102" s="394"/>
      <c r="F102" s="391"/>
      <c r="G102" s="392"/>
      <c r="H102" s="393"/>
      <c r="I102" s="394"/>
      <c r="J102" s="394"/>
      <c r="K102" s="392"/>
      <c r="L102" s="393"/>
      <c r="M102" s="394"/>
      <c r="N102" s="394"/>
      <c r="O102" s="392"/>
      <c r="P102" s="393"/>
      <c r="Q102" s="394"/>
      <c r="R102" s="394"/>
      <c r="S102" s="392"/>
      <c r="T102" s="393"/>
      <c r="U102" s="394"/>
      <c r="V102" s="394"/>
      <c r="W102" s="349"/>
      <c r="X102" s="350"/>
      <c r="Y102" s="350"/>
      <c r="Z102" s="348"/>
      <c r="AA102" s="349"/>
      <c r="AB102" s="350"/>
      <c r="AC102" s="350"/>
      <c r="AD102" s="348"/>
      <c r="AE102" s="349"/>
      <c r="AF102" s="350"/>
      <c r="AG102" s="350"/>
      <c r="AH102" s="351"/>
      <c r="AI102" s="393"/>
      <c r="AJ102" s="394"/>
      <c r="AK102" s="394"/>
      <c r="AL102" s="349"/>
      <c r="AM102" s="350"/>
      <c r="AN102" s="350"/>
      <c r="AO102" s="348"/>
      <c r="AP102" s="349"/>
      <c r="AQ102" s="350"/>
      <c r="AR102" s="350"/>
      <c r="AS102" s="348"/>
      <c r="AT102" s="349"/>
      <c r="AU102" s="350"/>
      <c r="AV102" s="394"/>
      <c r="AW102" s="394"/>
      <c r="AX102" s="1624">
        <f>IF(AX101/C101 &gt; 12,12,AX101/C101)</f>
        <v>0</v>
      </c>
      <c r="AY102" s="394"/>
      <c r="AZ102" s="394"/>
      <c r="BA102" s="391"/>
      <c r="BB102" s="392"/>
      <c r="BC102" s="393"/>
      <c r="BD102" s="394"/>
      <c r="BE102" s="394"/>
      <c r="BF102" s="392"/>
      <c r="BG102" s="393"/>
      <c r="BH102" s="394"/>
      <c r="BI102" s="394"/>
      <c r="BJ102" s="392"/>
      <c r="BK102" s="393"/>
      <c r="BL102" s="394"/>
      <c r="BM102" s="394"/>
      <c r="BN102" s="392"/>
      <c r="BO102" s="393"/>
      <c r="BP102" s="394"/>
      <c r="BQ102" s="394"/>
      <c r="BR102" s="349"/>
      <c r="BS102" s="350"/>
      <c r="BT102" s="350"/>
      <c r="BU102" s="348"/>
      <c r="BV102" s="349"/>
      <c r="BW102" s="350"/>
      <c r="BX102" s="350"/>
      <c r="BY102" s="348"/>
      <c r="BZ102" s="349"/>
      <c r="CA102" s="350"/>
      <c r="CB102" s="350"/>
      <c r="CC102" s="351"/>
      <c r="CD102" s="393"/>
      <c r="CE102" s="394"/>
      <c r="CF102" s="394"/>
      <c r="CG102" s="349"/>
      <c r="CH102" s="350"/>
      <c r="CI102" s="350"/>
      <c r="CJ102" s="348"/>
      <c r="CK102" s="349"/>
      <c r="CL102" s="350"/>
      <c r="CM102" s="350"/>
      <c r="CN102" s="348"/>
      <c r="CO102" s="349"/>
      <c r="CP102" s="350"/>
      <c r="CQ102" s="394"/>
      <c r="CR102" s="394"/>
      <c r="CS102" s="1624">
        <f>IF(CS101/C101 &gt; 12,12,CS101/C101)</f>
        <v>0</v>
      </c>
      <c r="CT102" s="1656"/>
      <c r="CU102" s="1657"/>
      <c r="CV102" s="1657"/>
      <c r="CW102" s="1657"/>
      <c r="CX102" s="1657"/>
      <c r="CY102" s="1657"/>
      <c r="CZ102" s="1658"/>
    </row>
    <row r="103" spans="1:121" ht="15" hidden="1" customHeight="1" thickBot="1" x14ac:dyDescent="0.35">
      <c r="A103" s="1611"/>
      <c r="B103" s="1666"/>
      <c r="C103" s="1763"/>
      <c r="D103" s="410"/>
      <c r="E103" s="892"/>
      <c r="F103" s="893"/>
      <c r="G103" s="411"/>
      <c r="H103" s="409"/>
      <c r="I103" s="410"/>
      <c r="J103" s="410"/>
      <c r="K103" s="411"/>
      <c r="L103" s="409"/>
      <c r="M103" s="410"/>
      <c r="N103" s="410"/>
      <c r="O103" s="411"/>
      <c r="P103" s="409"/>
      <c r="Q103" s="410"/>
      <c r="R103" s="410"/>
      <c r="S103" s="411"/>
      <c r="T103" s="894"/>
      <c r="U103" s="895"/>
      <c r="V103" s="411"/>
      <c r="W103" s="409"/>
      <c r="X103" s="410"/>
      <c r="Y103" s="410"/>
      <c r="Z103" s="411"/>
      <c r="AA103" s="409"/>
      <c r="AB103" s="410"/>
      <c r="AC103" s="410"/>
      <c r="AD103" s="411"/>
      <c r="AE103" s="409"/>
      <c r="AF103" s="410"/>
      <c r="AG103" s="410"/>
      <c r="AH103" s="892"/>
      <c r="AI103" s="894"/>
      <c r="AJ103" s="410"/>
      <c r="AK103" s="411"/>
      <c r="AL103" s="409"/>
      <c r="AM103" s="410"/>
      <c r="AN103" s="410"/>
      <c r="AO103" s="411"/>
      <c r="AP103" s="409"/>
      <c r="AQ103" s="410"/>
      <c r="AR103" s="410"/>
      <c r="AS103" s="411"/>
      <c r="AT103" s="409"/>
      <c r="AU103" s="410"/>
      <c r="AV103" s="410"/>
      <c r="AW103" s="892"/>
      <c r="AX103" s="1625"/>
      <c r="AY103" s="410"/>
      <c r="AZ103" s="892"/>
      <c r="BA103" s="893"/>
      <c r="BB103" s="411"/>
      <c r="BC103" s="409"/>
      <c r="BD103" s="410"/>
      <c r="BE103" s="410"/>
      <c r="BF103" s="411"/>
      <c r="BG103" s="409"/>
      <c r="BH103" s="410"/>
      <c r="BI103" s="410"/>
      <c r="BJ103" s="411"/>
      <c r="BK103" s="409"/>
      <c r="BL103" s="410"/>
      <c r="BM103" s="410"/>
      <c r="BN103" s="411"/>
      <c r="BO103" s="894"/>
      <c r="BP103" s="895"/>
      <c r="BQ103" s="411"/>
      <c r="BR103" s="409"/>
      <c r="BS103" s="410"/>
      <c r="BT103" s="410"/>
      <c r="BU103" s="411"/>
      <c r="BV103" s="409"/>
      <c r="BW103" s="410"/>
      <c r="BX103" s="410"/>
      <c r="BY103" s="411"/>
      <c r="BZ103" s="409"/>
      <c r="CA103" s="410"/>
      <c r="CB103" s="410"/>
      <c r="CC103" s="892"/>
      <c r="CD103" s="894"/>
      <c r="CE103" s="410"/>
      <c r="CF103" s="411"/>
      <c r="CG103" s="409"/>
      <c r="CH103" s="410"/>
      <c r="CI103" s="410"/>
      <c r="CJ103" s="411"/>
      <c r="CK103" s="409"/>
      <c r="CL103" s="410"/>
      <c r="CM103" s="410"/>
      <c r="CN103" s="411"/>
      <c r="CO103" s="409"/>
      <c r="CP103" s="410"/>
      <c r="CQ103" s="410"/>
      <c r="CR103" s="892"/>
      <c r="CS103" s="1625"/>
      <c r="CT103" s="1640"/>
      <c r="CU103" s="1641"/>
      <c r="CV103" s="1641"/>
      <c r="CW103" s="1641"/>
      <c r="CX103" s="1641"/>
      <c r="CY103" s="1641"/>
      <c r="CZ103" s="1642"/>
    </row>
    <row r="104" spans="1:121" ht="15" hidden="1" customHeight="1" thickBot="1" x14ac:dyDescent="0.35">
      <c r="A104" s="1610" t="s">
        <v>469</v>
      </c>
      <c r="B104" s="591" t="s">
        <v>154</v>
      </c>
      <c r="C104" s="1099">
        <v>25</v>
      </c>
      <c r="D104" s="385"/>
      <c r="E104" s="386"/>
      <c r="F104" s="386"/>
      <c r="G104" s="387"/>
      <c r="H104" s="388"/>
      <c r="I104" s="385"/>
      <c r="J104" s="386"/>
      <c r="K104" s="387"/>
      <c r="L104" s="388"/>
      <c r="M104" s="385"/>
      <c r="N104" s="386"/>
      <c r="O104" s="387"/>
      <c r="P104" s="388"/>
      <c r="Q104" s="385"/>
      <c r="R104" s="386"/>
      <c r="S104" s="387"/>
      <c r="T104" s="334"/>
      <c r="U104" s="335"/>
      <c r="V104" s="332"/>
      <c r="W104" s="329"/>
      <c r="X104" s="333"/>
      <c r="Y104" s="333"/>
      <c r="Z104" s="332"/>
      <c r="AA104" s="329"/>
      <c r="AB104" s="333"/>
      <c r="AC104" s="333"/>
      <c r="AD104" s="332"/>
      <c r="AE104" s="329"/>
      <c r="AF104" s="333"/>
      <c r="AG104" s="333"/>
      <c r="AH104" s="332"/>
      <c r="AI104" s="334"/>
      <c r="AJ104" s="336"/>
      <c r="AK104" s="332"/>
      <c r="AL104" s="329"/>
      <c r="AM104" s="333"/>
      <c r="AN104" s="333"/>
      <c r="AO104" s="332"/>
      <c r="AP104" s="329"/>
      <c r="AQ104" s="333"/>
      <c r="AR104" s="333"/>
      <c r="AS104" s="332"/>
      <c r="AT104" s="329"/>
      <c r="AU104" s="333"/>
      <c r="AV104" s="385"/>
      <c r="AW104" s="386"/>
      <c r="AX104" s="1139">
        <v>0</v>
      </c>
      <c r="AY104" s="385"/>
      <c r="AZ104" s="386"/>
      <c r="BA104" s="386"/>
      <c r="BB104" s="387"/>
      <c r="BC104" s="388"/>
      <c r="BD104" s="385"/>
      <c r="BE104" s="386"/>
      <c r="BF104" s="387"/>
      <c r="BG104" s="388"/>
      <c r="BH104" s="385"/>
      <c r="BI104" s="386"/>
      <c r="BJ104" s="387"/>
      <c r="BK104" s="388"/>
      <c r="BL104" s="385"/>
      <c r="BM104" s="386"/>
      <c r="BN104" s="387"/>
      <c r="BO104" s="334"/>
      <c r="BP104" s="335"/>
      <c r="BQ104" s="332"/>
      <c r="BR104" s="329"/>
      <c r="BS104" s="333"/>
      <c r="BT104" s="333"/>
      <c r="BU104" s="332"/>
      <c r="BV104" s="329"/>
      <c r="BW104" s="333"/>
      <c r="BX104" s="333"/>
      <c r="BY104" s="332"/>
      <c r="BZ104" s="329"/>
      <c r="CA104" s="333"/>
      <c r="CB104" s="333"/>
      <c r="CC104" s="332"/>
      <c r="CD104" s="334"/>
      <c r="CE104" s="336"/>
      <c r="CF104" s="332"/>
      <c r="CG104" s="329"/>
      <c r="CH104" s="333"/>
      <c r="CI104" s="333"/>
      <c r="CJ104" s="332"/>
      <c r="CK104" s="329"/>
      <c r="CL104" s="333"/>
      <c r="CM104" s="333"/>
      <c r="CN104" s="332"/>
      <c r="CO104" s="329"/>
      <c r="CP104" s="333"/>
      <c r="CQ104" s="385"/>
      <c r="CR104" s="386"/>
      <c r="CS104" s="1139">
        <v>0</v>
      </c>
      <c r="CT104" s="1653"/>
      <c r="CU104" s="1654"/>
      <c r="CV104" s="1654"/>
      <c r="CW104" s="1654"/>
      <c r="CX104" s="1654"/>
      <c r="CY104" s="1654"/>
      <c r="CZ104" s="1655"/>
    </row>
    <row r="105" spans="1:121" ht="3" hidden="1" customHeight="1" x14ac:dyDescent="0.3">
      <c r="A105" s="1611"/>
      <c r="B105" s="1729" t="s">
        <v>155</v>
      </c>
      <c r="C105" s="1762"/>
      <c r="D105" s="394"/>
      <c r="E105" s="394"/>
      <c r="F105" s="391"/>
      <c r="G105" s="392"/>
      <c r="H105" s="393"/>
      <c r="I105" s="394"/>
      <c r="J105" s="394"/>
      <c r="K105" s="392"/>
      <c r="L105" s="393"/>
      <c r="M105" s="394"/>
      <c r="N105" s="394"/>
      <c r="O105" s="392"/>
      <c r="P105" s="393"/>
      <c r="Q105" s="394"/>
      <c r="R105" s="394"/>
      <c r="S105" s="392"/>
      <c r="T105" s="393"/>
      <c r="U105" s="394"/>
      <c r="V105" s="394"/>
      <c r="W105" s="349"/>
      <c r="X105" s="350"/>
      <c r="Y105" s="350"/>
      <c r="Z105" s="348"/>
      <c r="AA105" s="349"/>
      <c r="AB105" s="350"/>
      <c r="AC105" s="350"/>
      <c r="AD105" s="348"/>
      <c r="AE105" s="349"/>
      <c r="AF105" s="350"/>
      <c r="AG105" s="350"/>
      <c r="AH105" s="351"/>
      <c r="AI105" s="393"/>
      <c r="AJ105" s="394"/>
      <c r="AK105" s="394"/>
      <c r="AL105" s="349"/>
      <c r="AM105" s="350"/>
      <c r="AN105" s="350"/>
      <c r="AO105" s="348"/>
      <c r="AP105" s="349"/>
      <c r="AQ105" s="350"/>
      <c r="AR105" s="350"/>
      <c r="AS105" s="348"/>
      <c r="AT105" s="349"/>
      <c r="AU105" s="350"/>
      <c r="AV105" s="394"/>
      <c r="AW105" s="394"/>
      <c r="AX105" s="1624">
        <f>IF(AX104/C104 &gt; 12,12,AX104/C104)</f>
        <v>0</v>
      </c>
      <c r="AY105" s="394"/>
      <c r="AZ105" s="394"/>
      <c r="BA105" s="391"/>
      <c r="BB105" s="392"/>
      <c r="BC105" s="393"/>
      <c r="BD105" s="394"/>
      <c r="BE105" s="394"/>
      <c r="BF105" s="392"/>
      <c r="BG105" s="393"/>
      <c r="BH105" s="394"/>
      <c r="BI105" s="394"/>
      <c r="BJ105" s="392"/>
      <c r="BK105" s="393"/>
      <c r="BL105" s="394"/>
      <c r="BM105" s="394"/>
      <c r="BN105" s="392"/>
      <c r="BO105" s="393"/>
      <c r="BP105" s="394"/>
      <c r="BQ105" s="394"/>
      <c r="BR105" s="349"/>
      <c r="BS105" s="350"/>
      <c r="BT105" s="350"/>
      <c r="BU105" s="348"/>
      <c r="BV105" s="349"/>
      <c r="BW105" s="350"/>
      <c r="BX105" s="350"/>
      <c r="BY105" s="348"/>
      <c r="BZ105" s="349"/>
      <c r="CA105" s="350"/>
      <c r="CB105" s="350"/>
      <c r="CC105" s="351"/>
      <c r="CD105" s="393"/>
      <c r="CE105" s="394"/>
      <c r="CF105" s="394"/>
      <c r="CG105" s="349"/>
      <c r="CH105" s="350"/>
      <c r="CI105" s="350"/>
      <c r="CJ105" s="348"/>
      <c r="CK105" s="349"/>
      <c r="CL105" s="350"/>
      <c r="CM105" s="350"/>
      <c r="CN105" s="348"/>
      <c r="CO105" s="349"/>
      <c r="CP105" s="350"/>
      <c r="CQ105" s="394"/>
      <c r="CR105" s="394"/>
      <c r="CS105" s="1624">
        <f>IF(CS104/C104 &gt; 12,12,CS104/C104)</f>
        <v>0</v>
      </c>
      <c r="CT105" s="1656"/>
      <c r="CU105" s="1657"/>
      <c r="CV105" s="1657"/>
      <c r="CW105" s="1657"/>
      <c r="CX105" s="1657"/>
      <c r="CY105" s="1657"/>
      <c r="CZ105" s="1658"/>
    </row>
    <row r="106" spans="1:121" ht="15" hidden="1" customHeight="1" thickBot="1" x14ac:dyDescent="0.35">
      <c r="A106" s="1612"/>
      <c r="B106" s="1666"/>
      <c r="C106" s="1763"/>
      <c r="D106" s="410"/>
      <c r="E106" s="892"/>
      <c r="F106" s="893"/>
      <c r="G106" s="411"/>
      <c r="H106" s="409"/>
      <c r="I106" s="410"/>
      <c r="J106" s="410"/>
      <c r="K106" s="411"/>
      <c r="L106" s="409"/>
      <c r="M106" s="410"/>
      <c r="N106" s="410"/>
      <c r="O106" s="411"/>
      <c r="P106" s="409"/>
      <c r="Q106" s="410"/>
      <c r="R106" s="410"/>
      <c r="S106" s="411"/>
      <c r="T106" s="894"/>
      <c r="U106" s="895"/>
      <c r="V106" s="411"/>
      <c r="W106" s="409"/>
      <c r="X106" s="410"/>
      <c r="Y106" s="410"/>
      <c r="Z106" s="411"/>
      <c r="AA106" s="409"/>
      <c r="AB106" s="410"/>
      <c r="AC106" s="410"/>
      <c r="AD106" s="411"/>
      <c r="AE106" s="409"/>
      <c r="AF106" s="410"/>
      <c r="AG106" s="410"/>
      <c r="AH106" s="411"/>
      <c r="AI106" s="894"/>
      <c r="AJ106" s="410"/>
      <c r="AK106" s="411"/>
      <c r="AL106" s="409"/>
      <c r="AM106" s="410"/>
      <c r="AN106" s="410"/>
      <c r="AO106" s="411"/>
      <c r="AP106" s="409"/>
      <c r="AQ106" s="410"/>
      <c r="AR106" s="410"/>
      <c r="AS106" s="411"/>
      <c r="AT106" s="409"/>
      <c r="AU106" s="410"/>
      <c r="AV106" s="410"/>
      <c r="AW106" s="892"/>
      <c r="AX106" s="1625"/>
      <c r="AY106" s="410"/>
      <c r="AZ106" s="892"/>
      <c r="BA106" s="893"/>
      <c r="BB106" s="411"/>
      <c r="BC106" s="409"/>
      <c r="BD106" s="410"/>
      <c r="BE106" s="410"/>
      <c r="BF106" s="411"/>
      <c r="BG106" s="409"/>
      <c r="BH106" s="410"/>
      <c r="BI106" s="410"/>
      <c r="BJ106" s="411"/>
      <c r="BK106" s="409"/>
      <c r="BL106" s="410"/>
      <c r="BM106" s="410"/>
      <c r="BN106" s="411"/>
      <c r="BO106" s="894"/>
      <c r="BP106" s="895"/>
      <c r="BQ106" s="411"/>
      <c r="BR106" s="409"/>
      <c r="BS106" s="410"/>
      <c r="BT106" s="410"/>
      <c r="BU106" s="411"/>
      <c r="BV106" s="409"/>
      <c r="BW106" s="410"/>
      <c r="BX106" s="410"/>
      <c r="BY106" s="411"/>
      <c r="BZ106" s="409"/>
      <c r="CA106" s="410"/>
      <c r="CB106" s="410"/>
      <c r="CC106" s="411"/>
      <c r="CD106" s="894"/>
      <c r="CE106" s="410"/>
      <c r="CF106" s="411"/>
      <c r="CG106" s="409"/>
      <c r="CH106" s="410"/>
      <c r="CI106" s="410"/>
      <c r="CJ106" s="411"/>
      <c r="CK106" s="409"/>
      <c r="CL106" s="410"/>
      <c r="CM106" s="410"/>
      <c r="CN106" s="411"/>
      <c r="CO106" s="409"/>
      <c r="CP106" s="410"/>
      <c r="CQ106" s="410"/>
      <c r="CR106" s="892"/>
      <c r="CS106" s="1625"/>
      <c r="CT106" s="1640"/>
      <c r="CU106" s="1641"/>
      <c r="CV106" s="1641"/>
      <c r="CW106" s="1641"/>
      <c r="CX106" s="1641"/>
      <c r="CY106" s="1641"/>
      <c r="CZ106" s="1642"/>
      <c r="DO106" s="200"/>
      <c r="DP106" s="200"/>
      <c r="DQ106" s="200"/>
    </row>
    <row r="107" spans="1:121" ht="15" hidden="1" customHeight="1" thickBot="1" x14ac:dyDescent="0.35">
      <c r="A107" s="1610" t="s">
        <v>452</v>
      </c>
      <c r="B107" s="591" t="s">
        <v>154</v>
      </c>
      <c r="C107" s="1099">
        <v>25</v>
      </c>
      <c r="D107" s="1064"/>
      <c r="E107" s="1061"/>
      <c r="F107" s="1062"/>
      <c r="G107" s="1063"/>
      <c r="H107" s="1064"/>
      <c r="I107" s="1060"/>
      <c r="J107" s="1060"/>
      <c r="K107" s="1063"/>
      <c r="L107" s="1064"/>
      <c r="M107" s="1060"/>
      <c r="N107" s="1060"/>
      <c r="O107" s="1063"/>
      <c r="P107" s="1064"/>
      <c r="Q107" s="1060"/>
      <c r="R107" s="1060"/>
      <c r="S107" s="1063"/>
      <c r="T107" s="1065"/>
      <c r="U107" s="1066"/>
      <c r="V107" s="1063"/>
      <c r="W107" s="1064"/>
      <c r="X107" s="1060"/>
      <c r="Y107" s="1060"/>
      <c r="Z107" s="1063"/>
      <c r="AA107" s="1064"/>
      <c r="AB107" s="1060"/>
      <c r="AC107" s="1060"/>
      <c r="AD107" s="1063"/>
      <c r="AE107" s="1064"/>
      <c r="AF107" s="1060"/>
      <c r="AG107" s="1060"/>
      <c r="AH107" s="1063"/>
      <c r="AI107" s="1065"/>
      <c r="AJ107" s="1060"/>
      <c r="AK107" s="1063"/>
      <c r="AL107" s="1064"/>
      <c r="AM107" s="1060"/>
      <c r="AN107" s="1060"/>
      <c r="AO107" s="1063"/>
      <c r="AP107" s="1064"/>
      <c r="AQ107" s="1060"/>
      <c r="AR107" s="1060"/>
      <c r="AS107" s="1063"/>
      <c r="AT107" s="1064"/>
      <c r="AU107" s="1060"/>
      <c r="AV107" s="1060"/>
      <c r="AW107" s="1061"/>
      <c r="AX107" s="1101">
        <v>0</v>
      </c>
      <c r="AY107" s="1064"/>
      <c r="AZ107" s="1061"/>
      <c r="BA107" s="1062"/>
      <c r="BB107" s="1063"/>
      <c r="BC107" s="1064"/>
      <c r="BD107" s="1060"/>
      <c r="BE107" s="1060"/>
      <c r="BF107" s="1063"/>
      <c r="BG107" s="1064"/>
      <c r="BH107" s="1060"/>
      <c r="BI107" s="1060"/>
      <c r="BJ107" s="1063"/>
      <c r="BK107" s="1064"/>
      <c r="BL107" s="1060"/>
      <c r="BM107" s="1060"/>
      <c r="BN107" s="1063"/>
      <c r="BO107" s="1065"/>
      <c r="BP107" s="1066"/>
      <c r="BQ107" s="1063"/>
      <c r="BR107" s="1064"/>
      <c r="BS107" s="1060"/>
      <c r="BT107" s="1060"/>
      <c r="BU107" s="1063"/>
      <c r="BV107" s="1064"/>
      <c r="BW107" s="1060"/>
      <c r="BX107" s="1060"/>
      <c r="BY107" s="1063"/>
      <c r="BZ107" s="1064"/>
      <c r="CA107" s="1060"/>
      <c r="CB107" s="1060"/>
      <c r="CC107" s="1063"/>
      <c r="CD107" s="1065"/>
      <c r="CE107" s="1060"/>
      <c r="CF107" s="1063"/>
      <c r="CG107" s="1064"/>
      <c r="CH107" s="1060"/>
      <c r="CI107" s="1060"/>
      <c r="CJ107" s="1063"/>
      <c r="CK107" s="1064"/>
      <c r="CL107" s="1060"/>
      <c r="CM107" s="1060"/>
      <c r="CN107" s="1063"/>
      <c r="CO107" s="1064"/>
      <c r="CP107" s="1060"/>
      <c r="CQ107" s="1060"/>
      <c r="CR107" s="1061"/>
      <c r="CS107" s="1101">
        <v>0</v>
      </c>
      <c r="CT107" s="1653"/>
      <c r="CU107" s="1654"/>
      <c r="CV107" s="1654"/>
      <c r="CW107" s="1654"/>
      <c r="CX107" s="1654"/>
      <c r="CY107" s="1654"/>
      <c r="CZ107" s="1655"/>
      <c r="DO107" s="200"/>
      <c r="DP107" s="200"/>
      <c r="DQ107" s="200"/>
    </row>
    <row r="108" spans="1:121" ht="3" hidden="1" customHeight="1" x14ac:dyDescent="0.3">
      <c r="A108" s="1611"/>
      <c r="B108" s="1729" t="s">
        <v>155</v>
      </c>
      <c r="C108" s="1762"/>
      <c r="D108" s="1043"/>
      <c r="E108" s="1044"/>
      <c r="F108" s="1044"/>
      <c r="G108" s="1045"/>
      <c r="H108" s="1046"/>
      <c r="I108" s="1043"/>
      <c r="J108" s="1043"/>
      <c r="K108" s="1045"/>
      <c r="L108" s="1046"/>
      <c r="M108" s="1043"/>
      <c r="N108" s="1043"/>
      <c r="O108" s="1045"/>
      <c r="P108" s="1046"/>
      <c r="Q108" s="1043"/>
      <c r="R108" s="1043"/>
      <c r="S108" s="1045"/>
      <c r="T108" s="1047"/>
      <c r="U108" s="1048"/>
      <c r="V108" s="1045"/>
      <c r="W108" s="1046"/>
      <c r="X108" s="1043"/>
      <c r="Y108" s="1043"/>
      <c r="Z108" s="1045"/>
      <c r="AA108" s="1046"/>
      <c r="AB108" s="1043"/>
      <c r="AC108" s="1043"/>
      <c r="AD108" s="1045"/>
      <c r="AE108" s="1046"/>
      <c r="AF108" s="1043"/>
      <c r="AG108" s="1043"/>
      <c r="AH108" s="1049"/>
      <c r="AI108" s="1050"/>
      <c r="AJ108" s="1043"/>
      <c r="AK108" s="1045"/>
      <c r="AL108" s="1046"/>
      <c r="AM108" s="1043"/>
      <c r="AN108" s="1043"/>
      <c r="AO108" s="1045"/>
      <c r="AP108" s="1046"/>
      <c r="AQ108" s="1043"/>
      <c r="AR108" s="1043"/>
      <c r="AS108" s="1045"/>
      <c r="AT108" s="1046"/>
      <c r="AU108" s="1043"/>
      <c r="AV108" s="1043"/>
      <c r="AW108" s="1044"/>
      <c r="AX108" s="1624">
        <f>IF(AX107/C107 &gt; 12,12,AX107/C107)</f>
        <v>0</v>
      </c>
      <c r="AY108" s="1043"/>
      <c r="AZ108" s="1044"/>
      <c r="BA108" s="1044"/>
      <c r="BB108" s="1045"/>
      <c r="BC108" s="1046"/>
      <c r="BD108" s="1043"/>
      <c r="BE108" s="1043"/>
      <c r="BF108" s="1045"/>
      <c r="BG108" s="1046"/>
      <c r="BH108" s="1043"/>
      <c r="BI108" s="1043"/>
      <c r="BJ108" s="1045"/>
      <c r="BK108" s="1046"/>
      <c r="BL108" s="1043"/>
      <c r="BM108" s="1043"/>
      <c r="BN108" s="1045"/>
      <c r="BO108" s="1047"/>
      <c r="BP108" s="1048"/>
      <c r="BQ108" s="1045"/>
      <c r="BR108" s="1046"/>
      <c r="BS108" s="1043"/>
      <c r="BT108" s="1043"/>
      <c r="BU108" s="1045"/>
      <c r="BV108" s="1046"/>
      <c r="BW108" s="1043"/>
      <c r="BX108" s="1043"/>
      <c r="BY108" s="1045"/>
      <c r="BZ108" s="1046"/>
      <c r="CA108" s="1043"/>
      <c r="CB108" s="1043"/>
      <c r="CC108" s="1049"/>
      <c r="CD108" s="1050"/>
      <c r="CE108" s="1043"/>
      <c r="CF108" s="1045"/>
      <c r="CG108" s="1046"/>
      <c r="CH108" s="1043"/>
      <c r="CI108" s="1043"/>
      <c r="CJ108" s="1045"/>
      <c r="CK108" s="1046"/>
      <c r="CL108" s="1043"/>
      <c r="CM108" s="1043"/>
      <c r="CN108" s="1045"/>
      <c r="CO108" s="1046"/>
      <c r="CP108" s="1043"/>
      <c r="CQ108" s="1043"/>
      <c r="CR108" s="1044"/>
      <c r="CS108" s="1624">
        <f>IF(CS107/C107 &gt; 12,12,CS107/C107)</f>
        <v>0</v>
      </c>
      <c r="CT108" s="1656"/>
      <c r="CU108" s="1657"/>
      <c r="CV108" s="1657"/>
      <c r="CW108" s="1657"/>
      <c r="CX108" s="1657"/>
      <c r="CY108" s="1657"/>
      <c r="CZ108" s="1658"/>
      <c r="DO108" s="200"/>
      <c r="DP108" s="200"/>
      <c r="DQ108" s="200"/>
    </row>
    <row r="109" spans="1:121" ht="15" hidden="1" customHeight="1" thickBot="1" x14ac:dyDescent="0.35">
      <c r="A109" s="1612"/>
      <c r="B109" s="1666"/>
      <c r="C109" s="1763"/>
      <c r="D109" s="1028"/>
      <c r="E109" s="1029"/>
      <c r="F109" s="1030"/>
      <c r="G109" s="1031"/>
      <c r="H109" s="1032"/>
      <c r="I109" s="1028"/>
      <c r="J109" s="1028"/>
      <c r="K109" s="1031"/>
      <c r="L109" s="1032"/>
      <c r="M109" s="1028"/>
      <c r="N109" s="1028"/>
      <c r="O109" s="1031"/>
      <c r="P109" s="1032"/>
      <c r="Q109" s="1028"/>
      <c r="R109" s="1028"/>
      <c r="S109" s="1031"/>
      <c r="T109" s="1033"/>
      <c r="U109" s="1034"/>
      <c r="V109" s="1031"/>
      <c r="W109" s="1032"/>
      <c r="X109" s="1028"/>
      <c r="Y109" s="1028"/>
      <c r="Z109" s="1031"/>
      <c r="AA109" s="1032"/>
      <c r="AB109" s="1028"/>
      <c r="AC109" s="1028"/>
      <c r="AD109" s="1031"/>
      <c r="AE109" s="1032"/>
      <c r="AF109" s="1028"/>
      <c r="AG109" s="1028"/>
      <c r="AH109" s="1031"/>
      <c r="AI109" s="1033"/>
      <c r="AJ109" s="1035"/>
      <c r="AK109" s="1031"/>
      <c r="AL109" s="1032"/>
      <c r="AM109" s="1028"/>
      <c r="AN109" s="1028"/>
      <c r="AO109" s="1031"/>
      <c r="AP109" s="1032"/>
      <c r="AQ109" s="1028"/>
      <c r="AR109" s="1028"/>
      <c r="AS109" s="1031"/>
      <c r="AT109" s="1032"/>
      <c r="AU109" s="1028"/>
      <c r="AV109" s="1028"/>
      <c r="AW109" s="1029"/>
      <c r="AX109" s="1625"/>
      <c r="AY109" s="1028"/>
      <c r="AZ109" s="1029"/>
      <c r="BA109" s="1030"/>
      <c r="BB109" s="1031"/>
      <c r="BC109" s="1032"/>
      <c r="BD109" s="1028"/>
      <c r="BE109" s="1028"/>
      <c r="BF109" s="1031"/>
      <c r="BG109" s="1032"/>
      <c r="BH109" s="1028"/>
      <c r="BI109" s="1028"/>
      <c r="BJ109" s="1031"/>
      <c r="BK109" s="1032"/>
      <c r="BL109" s="1028"/>
      <c r="BM109" s="1028"/>
      <c r="BN109" s="1031"/>
      <c r="BO109" s="1033"/>
      <c r="BP109" s="1034"/>
      <c r="BQ109" s="1031"/>
      <c r="BR109" s="1032"/>
      <c r="BS109" s="1028"/>
      <c r="BT109" s="1028"/>
      <c r="BU109" s="1031"/>
      <c r="BV109" s="1032"/>
      <c r="BW109" s="1028"/>
      <c r="BX109" s="1028"/>
      <c r="BY109" s="1031"/>
      <c r="BZ109" s="1032"/>
      <c r="CA109" s="1028"/>
      <c r="CB109" s="1028"/>
      <c r="CC109" s="1031"/>
      <c r="CD109" s="1033"/>
      <c r="CE109" s="1035"/>
      <c r="CF109" s="1031"/>
      <c r="CG109" s="1032"/>
      <c r="CH109" s="1028"/>
      <c r="CI109" s="1028"/>
      <c r="CJ109" s="1031"/>
      <c r="CK109" s="1032"/>
      <c r="CL109" s="1028"/>
      <c r="CM109" s="1028"/>
      <c r="CN109" s="1031"/>
      <c r="CO109" s="1032"/>
      <c r="CP109" s="1028"/>
      <c r="CQ109" s="1028"/>
      <c r="CR109" s="1029"/>
      <c r="CS109" s="1625"/>
      <c r="CT109" s="1640"/>
      <c r="CU109" s="1641"/>
      <c r="CV109" s="1641"/>
      <c r="CW109" s="1641"/>
      <c r="CX109" s="1641"/>
      <c r="CY109" s="1641"/>
      <c r="CZ109" s="1642"/>
      <c r="DO109" s="200"/>
      <c r="DP109" s="200"/>
      <c r="DQ109" s="200"/>
    </row>
    <row r="110" spans="1:121" s="132" customFormat="1" ht="12.95" hidden="1" customHeight="1" thickBot="1" x14ac:dyDescent="0.3">
      <c r="A110" s="1610" t="s">
        <v>422</v>
      </c>
      <c r="B110" s="1017" t="s">
        <v>154</v>
      </c>
      <c r="C110" s="1070">
        <v>25</v>
      </c>
      <c r="D110" s="1064"/>
      <c r="E110" s="1061"/>
      <c r="F110" s="1062"/>
      <c r="G110" s="1063"/>
      <c r="H110" s="1064"/>
      <c r="I110" s="1060"/>
      <c r="J110" s="1060"/>
      <c r="K110" s="1063"/>
      <c r="L110" s="1064"/>
      <c r="M110" s="1060"/>
      <c r="N110" s="1060"/>
      <c r="O110" s="1063"/>
      <c r="P110" s="1064"/>
      <c r="Q110" s="1060"/>
      <c r="R110" s="1060"/>
      <c r="S110" s="1063"/>
      <c r="T110" s="1065"/>
      <c r="U110" s="1066"/>
      <c r="V110" s="1063"/>
      <c r="W110" s="1064"/>
      <c r="X110" s="1060"/>
      <c r="Y110" s="1060"/>
      <c r="Z110" s="1063"/>
      <c r="AA110" s="1064"/>
      <c r="AB110" s="1060"/>
      <c r="AC110" s="1060"/>
      <c r="AD110" s="1063"/>
      <c r="AE110" s="1064"/>
      <c r="AF110" s="1060"/>
      <c r="AG110" s="1060"/>
      <c r="AH110" s="1063"/>
      <c r="AI110" s="1065"/>
      <c r="AJ110" s="1060"/>
      <c r="AK110" s="1063"/>
      <c r="AL110" s="1064"/>
      <c r="AM110" s="1060"/>
      <c r="AN110" s="1060"/>
      <c r="AO110" s="1063"/>
      <c r="AP110" s="1064"/>
      <c r="AQ110" s="1060"/>
      <c r="AR110" s="1060"/>
      <c r="AS110" s="1063"/>
      <c r="AT110" s="1064"/>
      <c r="AU110" s="1060"/>
      <c r="AV110" s="1060"/>
      <c r="AW110" s="1061"/>
      <c r="AX110" s="1101">
        <v>0</v>
      </c>
      <c r="AY110" s="1064"/>
      <c r="AZ110" s="1061"/>
      <c r="BA110" s="1062"/>
      <c r="BB110" s="1063"/>
      <c r="BC110" s="1064"/>
      <c r="BD110" s="1060"/>
      <c r="BE110" s="1060"/>
      <c r="BF110" s="1063"/>
      <c r="BG110" s="1064"/>
      <c r="BH110" s="1060"/>
      <c r="BI110" s="1060"/>
      <c r="BJ110" s="1063"/>
      <c r="BK110" s="1064"/>
      <c r="BL110" s="1060"/>
      <c r="BM110" s="1060"/>
      <c r="BN110" s="1063"/>
      <c r="BO110" s="1065"/>
      <c r="BP110" s="1066"/>
      <c r="BQ110" s="1063"/>
      <c r="BR110" s="1064"/>
      <c r="BS110" s="1060"/>
      <c r="BT110" s="1060"/>
      <c r="BU110" s="1063"/>
      <c r="BV110" s="1064"/>
      <c r="BW110" s="1060"/>
      <c r="BX110" s="1060"/>
      <c r="BY110" s="1063"/>
      <c r="BZ110" s="1064"/>
      <c r="CA110" s="1060"/>
      <c r="CB110" s="1060"/>
      <c r="CC110" s="1063"/>
      <c r="CD110" s="1065"/>
      <c r="CE110" s="1060"/>
      <c r="CF110" s="1063"/>
      <c r="CG110" s="1064"/>
      <c r="CH110" s="1060"/>
      <c r="CI110" s="1060"/>
      <c r="CJ110" s="1063"/>
      <c r="CK110" s="1064"/>
      <c r="CL110" s="1060"/>
      <c r="CM110" s="1060"/>
      <c r="CN110" s="1063"/>
      <c r="CO110" s="1064"/>
      <c r="CP110" s="1060"/>
      <c r="CQ110" s="1060"/>
      <c r="CR110" s="1061"/>
      <c r="CS110" s="1101">
        <v>0</v>
      </c>
      <c r="CT110" s="1613"/>
      <c r="CU110" s="1614"/>
      <c r="CV110" s="1614"/>
      <c r="CW110" s="1614"/>
      <c r="CX110" s="1614"/>
      <c r="CY110" s="1614"/>
      <c r="CZ110" s="1615"/>
      <c r="DO110" s="1027"/>
      <c r="DP110" s="1027"/>
      <c r="DQ110" s="1027"/>
    </row>
    <row r="111" spans="1:121" s="132" customFormat="1" ht="3" hidden="1" customHeight="1" x14ac:dyDescent="0.25">
      <c r="A111" s="1611"/>
      <c r="B111" s="1622" t="s">
        <v>155</v>
      </c>
      <c r="C111" s="1606"/>
      <c r="D111" s="1043"/>
      <c r="E111" s="1044"/>
      <c r="F111" s="1044"/>
      <c r="G111" s="1045"/>
      <c r="H111" s="1046"/>
      <c r="I111" s="1043"/>
      <c r="J111" s="1043"/>
      <c r="K111" s="1045"/>
      <c r="L111" s="1046"/>
      <c r="M111" s="1043"/>
      <c r="N111" s="1043"/>
      <c r="O111" s="1045"/>
      <c r="P111" s="1046"/>
      <c r="Q111" s="1043"/>
      <c r="R111" s="1043"/>
      <c r="S111" s="1045"/>
      <c r="T111" s="1047"/>
      <c r="U111" s="1048"/>
      <c r="V111" s="1045"/>
      <c r="W111" s="1046"/>
      <c r="X111" s="1043"/>
      <c r="Y111" s="1043"/>
      <c r="Z111" s="1045"/>
      <c r="AA111" s="1046"/>
      <c r="AB111" s="1043"/>
      <c r="AC111" s="1043"/>
      <c r="AD111" s="1045"/>
      <c r="AE111" s="1046"/>
      <c r="AF111" s="1043"/>
      <c r="AG111" s="1043"/>
      <c r="AH111" s="1049"/>
      <c r="AI111" s="1050"/>
      <c r="AJ111" s="1043"/>
      <c r="AK111" s="1045"/>
      <c r="AL111" s="1046"/>
      <c r="AM111" s="1043"/>
      <c r="AN111" s="1043"/>
      <c r="AO111" s="1045"/>
      <c r="AP111" s="1046"/>
      <c r="AQ111" s="1043"/>
      <c r="AR111" s="1043"/>
      <c r="AS111" s="1045"/>
      <c r="AT111" s="1046"/>
      <c r="AU111" s="1043"/>
      <c r="AV111" s="1043"/>
      <c r="AW111" s="1044"/>
      <c r="AX111" s="1624">
        <f>IF(AX110/C110 &gt; 12,12,AX110/C110)</f>
        <v>0</v>
      </c>
      <c r="AY111" s="1043"/>
      <c r="AZ111" s="1044"/>
      <c r="BA111" s="1044"/>
      <c r="BB111" s="1045"/>
      <c r="BC111" s="1046"/>
      <c r="BD111" s="1043"/>
      <c r="BE111" s="1043"/>
      <c r="BF111" s="1045"/>
      <c r="BG111" s="1046"/>
      <c r="BH111" s="1043"/>
      <c r="BI111" s="1043"/>
      <c r="BJ111" s="1045"/>
      <c r="BK111" s="1046"/>
      <c r="BL111" s="1043"/>
      <c r="BM111" s="1043"/>
      <c r="BN111" s="1045"/>
      <c r="BO111" s="1047"/>
      <c r="BP111" s="1048"/>
      <c r="BQ111" s="1045"/>
      <c r="BR111" s="1046"/>
      <c r="BS111" s="1043"/>
      <c r="BT111" s="1043"/>
      <c r="BU111" s="1045"/>
      <c r="BV111" s="1046"/>
      <c r="BW111" s="1043"/>
      <c r="BX111" s="1043"/>
      <c r="BY111" s="1045"/>
      <c r="BZ111" s="1046"/>
      <c r="CA111" s="1043"/>
      <c r="CB111" s="1043"/>
      <c r="CC111" s="1049"/>
      <c r="CD111" s="1050"/>
      <c r="CE111" s="1043"/>
      <c r="CF111" s="1045"/>
      <c r="CG111" s="1046"/>
      <c r="CH111" s="1043"/>
      <c r="CI111" s="1043"/>
      <c r="CJ111" s="1045"/>
      <c r="CK111" s="1046"/>
      <c r="CL111" s="1043"/>
      <c r="CM111" s="1043"/>
      <c r="CN111" s="1045"/>
      <c r="CO111" s="1046"/>
      <c r="CP111" s="1043"/>
      <c r="CQ111" s="1043"/>
      <c r="CR111" s="1044"/>
      <c r="CS111" s="1624">
        <f>IF(CS110/C110 &gt; 12,12,CS110/C110)</f>
        <v>0</v>
      </c>
      <c r="CT111" s="1616"/>
      <c r="CU111" s="1617"/>
      <c r="CV111" s="1617"/>
      <c r="CW111" s="1617"/>
      <c r="CX111" s="1617"/>
      <c r="CY111" s="1617"/>
      <c r="CZ111" s="1618"/>
      <c r="DO111" s="1027"/>
      <c r="DP111" s="1027"/>
      <c r="DQ111" s="1027"/>
    </row>
    <row r="112" spans="1:121" s="132" customFormat="1" ht="12.95" hidden="1" customHeight="1" thickBot="1" x14ac:dyDescent="0.3">
      <c r="A112" s="1612"/>
      <c r="B112" s="1623"/>
      <c r="C112" s="1607"/>
      <c r="D112" s="1028"/>
      <c r="E112" s="1029"/>
      <c r="F112" s="1030"/>
      <c r="G112" s="1031"/>
      <c r="H112" s="1032"/>
      <c r="I112" s="1028"/>
      <c r="J112" s="1028"/>
      <c r="K112" s="1031"/>
      <c r="L112" s="1032"/>
      <c r="M112" s="1028"/>
      <c r="N112" s="1028"/>
      <c r="O112" s="1031"/>
      <c r="P112" s="1032"/>
      <c r="Q112" s="1028"/>
      <c r="R112" s="1028"/>
      <c r="S112" s="1031"/>
      <c r="T112" s="1033"/>
      <c r="U112" s="1034"/>
      <c r="V112" s="1031"/>
      <c r="W112" s="1032"/>
      <c r="X112" s="1028"/>
      <c r="Y112" s="1028"/>
      <c r="Z112" s="1031"/>
      <c r="AA112" s="1032"/>
      <c r="AB112" s="1028"/>
      <c r="AC112" s="1028"/>
      <c r="AD112" s="1031"/>
      <c r="AE112" s="1032"/>
      <c r="AF112" s="1028"/>
      <c r="AG112" s="1028"/>
      <c r="AH112" s="1031"/>
      <c r="AI112" s="1033"/>
      <c r="AJ112" s="1035"/>
      <c r="AK112" s="1031"/>
      <c r="AL112" s="1032"/>
      <c r="AM112" s="1028"/>
      <c r="AN112" s="1028"/>
      <c r="AO112" s="1031"/>
      <c r="AP112" s="1032"/>
      <c r="AQ112" s="1028"/>
      <c r="AR112" s="1028"/>
      <c r="AS112" s="1031"/>
      <c r="AT112" s="1032"/>
      <c r="AU112" s="1028"/>
      <c r="AV112" s="1028"/>
      <c r="AW112" s="1029"/>
      <c r="AX112" s="1625"/>
      <c r="AY112" s="1028"/>
      <c r="AZ112" s="1029"/>
      <c r="BA112" s="1030"/>
      <c r="BB112" s="1031"/>
      <c r="BC112" s="1032"/>
      <c r="BD112" s="1028"/>
      <c r="BE112" s="1028"/>
      <c r="BF112" s="1031"/>
      <c r="BG112" s="1032"/>
      <c r="BH112" s="1028"/>
      <c r="BI112" s="1028"/>
      <c r="BJ112" s="1031"/>
      <c r="BK112" s="1032"/>
      <c r="BL112" s="1028"/>
      <c r="BM112" s="1028"/>
      <c r="BN112" s="1031"/>
      <c r="BO112" s="1033"/>
      <c r="BP112" s="1034"/>
      <c r="BQ112" s="1031"/>
      <c r="BR112" s="1032"/>
      <c r="BS112" s="1028"/>
      <c r="BT112" s="1028"/>
      <c r="BU112" s="1031"/>
      <c r="BV112" s="1032"/>
      <c r="BW112" s="1028"/>
      <c r="BX112" s="1028"/>
      <c r="BY112" s="1031"/>
      <c r="BZ112" s="1032"/>
      <c r="CA112" s="1028"/>
      <c r="CB112" s="1028"/>
      <c r="CC112" s="1031"/>
      <c r="CD112" s="1033"/>
      <c r="CE112" s="1035"/>
      <c r="CF112" s="1031"/>
      <c r="CG112" s="1032"/>
      <c r="CH112" s="1028"/>
      <c r="CI112" s="1028"/>
      <c r="CJ112" s="1031"/>
      <c r="CK112" s="1032"/>
      <c r="CL112" s="1028"/>
      <c r="CM112" s="1028"/>
      <c r="CN112" s="1031"/>
      <c r="CO112" s="1032"/>
      <c r="CP112" s="1028"/>
      <c r="CQ112" s="1028"/>
      <c r="CR112" s="1029"/>
      <c r="CS112" s="1625"/>
      <c r="CT112" s="1619"/>
      <c r="CU112" s="1620"/>
      <c r="CV112" s="1620"/>
      <c r="CW112" s="1620"/>
      <c r="CX112" s="1620"/>
      <c r="CY112" s="1620"/>
      <c r="CZ112" s="1621"/>
      <c r="DO112" s="1027"/>
      <c r="DP112" s="1027"/>
      <c r="DQ112" s="1027"/>
    </row>
    <row r="113" spans="1:121" s="132" customFormat="1" ht="15" customHeight="1" thickBot="1" x14ac:dyDescent="0.3">
      <c r="A113" s="1610" t="s">
        <v>451</v>
      </c>
      <c r="B113" s="1017" t="s">
        <v>154</v>
      </c>
      <c r="C113" s="1070">
        <v>37</v>
      </c>
      <c r="D113" s="385"/>
      <c r="E113" s="386"/>
      <c r="F113" s="386"/>
      <c r="G113" s="387"/>
      <c r="H113" s="388"/>
      <c r="I113" s="385"/>
      <c r="J113" s="386"/>
      <c r="K113" s="387"/>
      <c r="L113" s="388"/>
      <c r="M113" s="385"/>
      <c r="N113" s="386"/>
      <c r="O113" s="387"/>
      <c r="P113" s="388"/>
      <c r="Q113" s="385"/>
      <c r="R113" s="386"/>
      <c r="S113" s="387"/>
      <c r="T113" s="334"/>
      <c r="U113" s="335"/>
      <c r="V113" s="332"/>
      <c r="W113" s="329"/>
      <c r="X113" s="333"/>
      <c r="Y113" s="333"/>
      <c r="Z113" s="332"/>
      <c r="AA113" s="329"/>
      <c r="AB113" s="333"/>
      <c r="AC113" s="333"/>
      <c r="AD113" s="332"/>
      <c r="AE113" s="329"/>
      <c r="AF113" s="333"/>
      <c r="AG113" s="333"/>
      <c r="AH113" s="332"/>
      <c r="AI113" s="334"/>
      <c r="AJ113" s="336"/>
      <c r="AK113" s="332"/>
      <c r="AL113" s="329"/>
      <c r="AM113" s="333"/>
      <c r="AN113" s="333"/>
      <c r="AO113" s="332"/>
      <c r="AP113" s="329"/>
      <c r="AQ113" s="333"/>
      <c r="AR113" s="333"/>
      <c r="AS113" s="332"/>
      <c r="AT113" s="329"/>
      <c r="AU113" s="333"/>
      <c r="AV113" s="385"/>
      <c r="AW113" s="386"/>
      <c r="AX113" s="1101">
        <v>0</v>
      </c>
      <c r="AY113" s="385"/>
      <c r="AZ113" s="386"/>
      <c r="BA113" s="386"/>
      <c r="BB113" s="387"/>
      <c r="BC113" s="388"/>
      <c r="BD113" s="385"/>
      <c r="BE113" s="386"/>
      <c r="BF113" s="387"/>
      <c r="BG113" s="388"/>
      <c r="BH113" s="385"/>
      <c r="BI113" s="386"/>
      <c r="BJ113" s="387"/>
      <c r="BK113" s="388"/>
      <c r="BL113" s="385"/>
      <c r="BM113" s="386"/>
      <c r="BN113" s="387"/>
      <c r="BO113" s="334"/>
      <c r="BP113" s="335"/>
      <c r="BQ113" s="332"/>
      <c r="BR113" s="329"/>
      <c r="BS113" s="333"/>
      <c r="BT113" s="333"/>
      <c r="BU113" s="332"/>
      <c r="BV113" s="329"/>
      <c r="BW113" s="333"/>
      <c r="BX113" s="333"/>
      <c r="BY113" s="332"/>
      <c r="BZ113" s="329"/>
      <c r="CA113" s="333"/>
      <c r="CB113" s="333"/>
      <c r="CC113" s="332"/>
      <c r="CD113" s="334"/>
      <c r="CE113" s="336"/>
      <c r="CF113" s="332"/>
      <c r="CG113" s="329"/>
      <c r="CH113" s="333"/>
      <c r="CI113" s="333"/>
      <c r="CJ113" s="332"/>
      <c r="CK113" s="329"/>
      <c r="CL113" s="333"/>
      <c r="CM113" s="333"/>
      <c r="CN113" s="332"/>
      <c r="CO113" s="329"/>
      <c r="CP113" s="333"/>
      <c r="CQ113" s="385"/>
      <c r="CR113" s="386"/>
      <c r="CS113" s="1101">
        <v>0</v>
      </c>
      <c r="CT113" s="1613"/>
      <c r="CU113" s="1614"/>
      <c r="CV113" s="1614"/>
      <c r="CW113" s="1614"/>
      <c r="CX113" s="1614"/>
      <c r="CY113" s="1614"/>
      <c r="CZ113" s="1615"/>
      <c r="DO113" s="1027"/>
      <c r="DP113" s="1027"/>
      <c r="DQ113" s="1027"/>
    </row>
    <row r="114" spans="1:121" s="132" customFormat="1" ht="3" customHeight="1" x14ac:dyDescent="0.25">
      <c r="A114" s="1611"/>
      <c r="B114" s="1622" t="s">
        <v>155</v>
      </c>
      <c r="C114" s="1606"/>
      <c r="D114" s="394"/>
      <c r="E114" s="394"/>
      <c r="F114" s="391"/>
      <c r="G114" s="392"/>
      <c r="H114" s="393"/>
      <c r="I114" s="394"/>
      <c r="J114" s="394"/>
      <c r="K114" s="392"/>
      <c r="L114" s="393"/>
      <c r="M114" s="394"/>
      <c r="N114" s="394"/>
      <c r="O114" s="392"/>
      <c r="P114" s="393"/>
      <c r="Q114" s="394"/>
      <c r="R114" s="394"/>
      <c r="S114" s="392"/>
      <c r="T114" s="393"/>
      <c r="U114" s="394"/>
      <c r="V114" s="394"/>
      <c r="W114" s="349"/>
      <c r="X114" s="350"/>
      <c r="Y114" s="350"/>
      <c r="Z114" s="348"/>
      <c r="AA114" s="349"/>
      <c r="AB114" s="350"/>
      <c r="AC114" s="350"/>
      <c r="AD114" s="348"/>
      <c r="AE114" s="349"/>
      <c r="AF114" s="350"/>
      <c r="AG114" s="350"/>
      <c r="AH114" s="351"/>
      <c r="AI114" s="393"/>
      <c r="AJ114" s="394"/>
      <c r="AK114" s="394"/>
      <c r="AL114" s="349"/>
      <c r="AM114" s="350"/>
      <c r="AN114" s="350"/>
      <c r="AO114" s="348"/>
      <c r="AP114" s="349"/>
      <c r="AQ114" s="350"/>
      <c r="AR114" s="350"/>
      <c r="AS114" s="348"/>
      <c r="AT114" s="349"/>
      <c r="AU114" s="350"/>
      <c r="AV114" s="394"/>
      <c r="AW114" s="394"/>
      <c r="AX114" s="1624">
        <f>IF(AX113/C113 &gt; 12,12,AX113/C113)</f>
        <v>0</v>
      </c>
      <c r="AY114" s="394"/>
      <c r="AZ114" s="394"/>
      <c r="BA114" s="391"/>
      <c r="BB114" s="392"/>
      <c r="BC114" s="393"/>
      <c r="BD114" s="394"/>
      <c r="BE114" s="394"/>
      <c r="BF114" s="392"/>
      <c r="BG114" s="393"/>
      <c r="BH114" s="394"/>
      <c r="BI114" s="394"/>
      <c r="BJ114" s="392"/>
      <c r="BK114" s="393"/>
      <c r="BL114" s="394"/>
      <c r="BM114" s="394"/>
      <c r="BN114" s="392"/>
      <c r="BO114" s="393"/>
      <c r="BP114" s="394"/>
      <c r="BQ114" s="394"/>
      <c r="BR114" s="349"/>
      <c r="BS114" s="350"/>
      <c r="BT114" s="350"/>
      <c r="BU114" s="348"/>
      <c r="BV114" s="349"/>
      <c r="BW114" s="350"/>
      <c r="BX114" s="350"/>
      <c r="BY114" s="348"/>
      <c r="BZ114" s="349"/>
      <c r="CA114" s="350"/>
      <c r="CB114" s="350"/>
      <c r="CC114" s="351"/>
      <c r="CD114" s="393"/>
      <c r="CE114" s="394"/>
      <c r="CF114" s="394"/>
      <c r="CG114" s="349"/>
      <c r="CH114" s="350"/>
      <c r="CI114" s="350"/>
      <c r="CJ114" s="348"/>
      <c r="CK114" s="349"/>
      <c r="CL114" s="350"/>
      <c r="CM114" s="350"/>
      <c r="CN114" s="348"/>
      <c r="CO114" s="349"/>
      <c r="CP114" s="350"/>
      <c r="CQ114" s="394"/>
      <c r="CR114" s="394"/>
      <c r="CS114" s="1624">
        <f>IF(CS113/C113 &gt; 12,12,CS113/C113)</f>
        <v>0</v>
      </c>
      <c r="CT114" s="1616"/>
      <c r="CU114" s="1617"/>
      <c r="CV114" s="1617"/>
      <c r="CW114" s="1617"/>
      <c r="CX114" s="1617"/>
      <c r="CY114" s="1617"/>
      <c r="CZ114" s="1618"/>
      <c r="DO114" s="1027"/>
      <c r="DP114" s="1027"/>
      <c r="DQ114" s="1027"/>
    </row>
    <row r="115" spans="1:121" s="132" customFormat="1" ht="15" customHeight="1" thickBot="1" x14ac:dyDescent="0.3">
      <c r="A115" s="1612"/>
      <c r="B115" s="1623"/>
      <c r="C115" s="1607"/>
      <c r="D115" s="1028"/>
      <c r="E115" s="1029"/>
      <c r="F115" s="1030"/>
      <c r="G115" s="1031"/>
      <c r="H115" s="1032"/>
      <c r="I115" s="1028"/>
      <c r="J115" s="1028"/>
      <c r="K115" s="1031"/>
      <c r="L115" s="1032"/>
      <c r="M115" s="1028"/>
      <c r="N115" s="1028"/>
      <c r="O115" s="1031"/>
      <c r="P115" s="1032"/>
      <c r="Q115" s="1028"/>
      <c r="R115" s="1028"/>
      <c r="S115" s="1031"/>
      <c r="T115" s="1033"/>
      <c r="U115" s="1034"/>
      <c r="V115" s="1031"/>
      <c r="W115" s="1032"/>
      <c r="X115" s="1028"/>
      <c r="Y115" s="1028"/>
      <c r="Z115" s="1031"/>
      <c r="AA115" s="1032"/>
      <c r="AB115" s="1028"/>
      <c r="AC115" s="1028"/>
      <c r="AD115" s="1031"/>
      <c r="AE115" s="1032"/>
      <c r="AF115" s="1028"/>
      <c r="AG115" s="1028"/>
      <c r="AH115" s="1031"/>
      <c r="AI115" s="1033"/>
      <c r="AJ115" s="1035"/>
      <c r="AK115" s="1031"/>
      <c r="AL115" s="1032"/>
      <c r="AM115" s="1028"/>
      <c r="AN115" s="1028"/>
      <c r="AO115" s="1031"/>
      <c r="AP115" s="1032"/>
      <c r="AQ115" s="1028"/>
      <c r="AR115" s="1028"/>
      <c r="AS115" s="1031"/>
      <c r="AT115" s="1032"/>
      <c r="AU115" s="1028"/>
      <c r="AV115" s="1028"/>
      <c r="AW115" s="1029"/>
      <c r="AX115" s="1625"/>
      <c r="AY115" s="1028"/>
      <c r="AZ115" s="1029"/>
      <c r="BA115" s="1030"/>
      <c r="BB115" s="1031"/>
      <c r="BC115" s="1032"/>
      <c r="BD115" s="1028"/>
      <c r="BE115" s="1028"/>
      <c r="BF115" s="1031"/>
      <c r="BG115" s="1032"/>
      <c r="BH115" s="1028"/>
      <c r="BI115" s="1028"/>
      <c r="BJ115" s="1031"/>
      <c r="BK115" s="1032"/>
      <c r="BL115" s="1028"/>
      <c r="BM115" s="1028"/>
      <c r="BN115" s="1031"/>
      <c r="BO115" s="1033"/>
      <c r="BP115" s="1034"/>
      <c r="BQ115" s="1031"/>
      <c r="BR115" s="1032"/>
      <c r="BS115" s="1028"/>
      <c r="BT115" s="1028"/>
      <c r="BU115" s="1031"/>
      <c r="BV115" s="1032"/>
      <c r="BW115" s="1028"/>
      <c r="BX115" s="1028"/>
      <c r="BY115" s="1031"/>
      <c r="BZ115" s="1032"/>
      <c r="CA115" s="1028"/>
      <c r="CB115" s="1028"/>
      <c r="CC115" s="1031"/>
      <c r="CD115" s="1033"/>
      <c r="CE115" s="1035"/>
      <c r="CF115" s="1031"/>
      <c r="CG115" s="1032"/>
      <c r="CH115" s="1028"/>
      <c r="CI115" s="1028"/>
      <c r="CJ115" s="1031"/>
      <c r="CK115" s="1032"/>
      <c r="CL115" s="1028"/>
      <c r="CM115" s="1028"/>
      <c r="CN115" s="1031"/>
      <c r="CO115" s="1032"/>
      <c r="CP115" s="1028"/>
      <c r="CQ115" s="1028"/>
      <c r="CR115" s="1029"/>
      <c r="CS115" s="1625"/>
      <c r="CT115" s="1619"/>
      <c r="CU115" s="1620"/>
      <c r="CV115" s="1620"/>
      <c r="CW115" s="1620"/>
      <c r="CX115" s="1620"/>
      <c r="CY115" s="1620"/>
      <c r="CZ115" s="1621"/>
      <c r="DO115" s="1027"/>
      <c r="DP115" s="1027"/>
      <c r="DQ115" s="1027"/>
    </row>
    <row r="116" spans="1:121" s="132" customFormat="1" ht="12.95" hidden="1" customHeight="1" thickBot="1" x14ac:dyDescent="0.3">
      <c r="A116" s="1610" t="s">
        <v>454</v>
      </c>
      <c r="B116" s="1017" t="s">
        <v>154</v>
      </c>
      <c r="C116" s="1070">
        <v>25</v>
      </c>
      <c r="D116" s="385"/>
      <c r="E116" s="386"/>
      <c r="F116" s="386"/>
      <c r="G116" s="387"/>
      <c r="H116" s="388"/>
      <c r="I116" s="385"/>
      <c r="J116" s="386"/>
      <c r="K116" s="387"/>
      <c r="L116" s="388"/>
      <c r="M116" s="385"/>
      <c r="N116" s="386"/>
      <c r="O116" s="387"/>
      <c r="P116" s="388"/>
      <c r="Q116" s="385"/>
      <c r="R116" s="386"/>
      <c r="S116" s="387"/>
      <c r="T116" s="334"/>
      <c r="U116" s="335"/>
      <c r="V116" s="332"/>
      <c r="W116" s="329"/>
      <c r="X116" s="333"/>
      <c r="Y116" s="333"/>
      <c r="Z116" s="332"/>
      <c r="AA116" s="329"/>
      <c r="AB116" s="333"/>
      <c r="AC116" s="333"/>
      <c r="AD116" s="332"/>
      <c r="AE116" s="329"/>
      <c r="AF116" s="333"/>
      <c r="AG116" s="333"/>
      <c r="AH116" s="332"/>
      <c r="AI116" s="334"/>
      <c r="AJ116" s="336"/>
      <c r="AK116" s="332"/>
      <c r="AL116" s="329"/>
      <c r="AM116" s="333"/>
      <c r="AN116" s="333"/>
      <c r="AO116" s="332"/>
      <c r="AP116" s="329"/>
      <c r="AQ116" s="333"/>
      <c r="AR116" s="333"/>
      <c r="AS116" s="332"/>
      <c r="AT116" s="329"/>
      <c r="AU116" s="333"/>
      <c r="AV116" s="385"/>
      <c r="AW116" s="386"/>
      <c r="AX116" s="1101">
        <v>0</v>
      </c>
      <c r="AY116" s="385"/>
      <c r="AZ116" s="386"/>
      <c r="BA116" s="386"/>
      <c r="BB116" s="387"/>
      <c r="BC116" s="388"/>
      <c r="BD116" s="385"/>
      <c r="BE116" s="386"/>
      <c r="BF116" s="387"/>
      <c r="BG116" s="388"/>
      <c r="BH116" s="385"/>
      <c r="BI116" s="386"/>
      <c r="BJ116" s="387"/>
      <c r="BK116" s="388"/>
      <c r="BL116" s="385"/>
      <c r="BM116" s="386"/>
      <c r="BN116" s="387"/>
      <c r="BO116" s="334"/>
      <c r="BP116" s="335"/>
      <c r="BQ116" s="332"/>
      <c r="BR116" s="329"/>
      <c r="BS116" s="333"/>
      <c r="BT116" s="333"/>
      <c r="BU116" s="332"/>
      <c r="BV116" s="329"/>
      <c r="BW116" s="333"/>
      <c r="BX116" s="333"/>
      <c r="BY116" s="332"/>
      <c r="BZ116" s="329"/>
      <c r="CA116" s="333"/>
      <c r="CB116" s="333"/>
      <c r="CC116" s="332"/>
      <c r="CD116" s="334"/>
      <c r="CE116" s="336"/>
      <c r="CF116" s="332"/>
      <c r="CG116" s="329"/>
      <c r="CH116" s="333"/>
      <c r="CI116" s="333"/>
      <c r="CJ116" s="332"/>
      <c r="CK116" s="329"/>
      <c r="CL116" s="333"/>
      <c r="CM116" s="333"/>
      <c r="CN116" s="332"/>
      <c r="CO116" s="329"/>
      <c r="CP116" s="333"/>
      <c r="CQ116" s="385"/>
      <c r="CR116" s="386"/>
      <c r="CS116" s="1101">
        <v>0</v>
      </c>
      <c r="CT116" s="1613"/>
      <c r="CU116" s="1614"/>
      <c r="CV116" s="1614"/>
      <c r="CW116" s="1614"/>
      <c r="CX116" s="1614"/>
      <c r="CY116" s="1614"/>
      <c r="CZ116" s="1615"/>
      <c r="DO116" s="1027"/>
      <c r="DP116" s="1027"/>
      <c r="DQ116" s="1027"/>
    </row>
    <row r="117" spans="1:121" s="132" customFormat="1" ht="3" hidden="1" customHeight="1" x14ac:dyDescent="0.25">
      <c r="A117" s="1611"/>
      <c r="B117" s="1622" t="s">
        <v>155</v>
      </c>
      <c r="C117" s="1606"/>
      <c r="D117" s="394"/>
      <c r="E117" s="394"/>
      <c r="F117" s="391"/>
      <c r="G117" s="392"/>
      <c r="H117" s="393"/>
      <c r="I117" s="394"/>
      <c r="J117" s="394"/>
      <c r="K117" s="392"/>
      <c r="L117" s="393"/>
      <c r="M117" s="394"/>
      <c r="N117" s="394"/>
      <c r="O117" s="392"/>
      <c r="P117" s="393"/>
      <c r="Q117" s="394"/>
      <c r="R117" s="394"/>
      <c r="S117" s="392"/>
      <c r="T117" s="393"/>
      <c r="U117" s="394"/>
      <c r="V117" s="394"/>
      <c r="W117" s="349"/>
      <c r="X117" s="350"/>
      <c r="Y117" s="350"/>
      <c r="Z117" s="348"/>
      <c r="AA117" s="349"/>
      <c r="AB117" s="350"/>
      <c r="AC117" s="350"/>
      <c r="AD117" s="348"/>
      <c r="AE117" s="349"/>
      <c r="AF117" s="350"/>
      <c r="AG117" s="350"/>
      <c r="AH117" s="351"/>
      <c r="AI117" s="393"/>
      <c r="AJ117" s="394"/>
      <c r="AK117" s="394"/>
      <c r="AL117" s="349"/>
      <c r="AM117" s="350"/>
      <c r="AN117" s="350"/>
      <c r="AO117" s="348"/>
      <c r="AP117" s="349"/>
      <c r="AQ117" s="350"/>
      <c r="AR117" s="350"/>
      <c r="AS117" s="348"/>
      <c r="AT117" s="349"/>
      <c r="AU117" s="350"/>
      <c r="AV117" s="394"/>
      <c r="AW117" s="394"/>
      <c r="AX117" s="1624">
        <f>IF(AX116/C116 &gt; 12,12,AX116/C116)</f>
        <v>0</v>
      </c>
      <c r="AY117" s="394"/>
      <c r="AZ117" s="394"/>
      <c r="BA117" s="391"/>
      <c r="BB117" s="392"/>
      <c r="BC117" s="393"/>
      <c r="BD117" s="394"/>
      <c r="BE117" s="394"/>
      <c r="BF117" s="392"/>
      <c r="BG117" s="393"/>
      <c r="BH117" s="394"/>
      <c r="BI117" s="394"/>
      <c r="BJ117" s="392"/>
      <c r="BK117" s="393"/>
      <c r="BL117" s="394"/>
      <c r="BM117" s="394"/>
      <c r="BN117" s="392"/>
      <c r="BO117" s="393"/>
      <c r="BP117" s="394"/>
      <c r="BQ117" s="394"/>
      <c r="BR117" s="349"/>
      <c r="BS117" s="350"/>
      <c r="BT117" s="350"/>
      <c r="BU117" s="348"/>
      <c r="BV117" s="349"/>
      <c r="BW117" s="350"/>
      <c r="BX117" s="350"/>
      <c r="BY117" s="348"/>
      <c r="BZ117" s="349"/>
      <c r="CA117" s="350"/>
      <c r="CB117" s="350"/>
      <c r="CC117" s="351"/>
      <c r="CD117" s="393"/>
      <c r="CE117" s="394"/>
      <c r="CF117" s="394"/>
      <c r="CG117" s="349"/>
      <c r="CH117" s="350"/>
      <c r="CI117" s="350"/>
      <c r="CJ117" s="348"/>
      <c r="CK117" s="349"/>
      <c r="CL117" s="350"/>
      <c r="CM117" s="350"/>
      <c r="CN117" s="348"/>
      <c r="CO117" s="349"/>
      <c r="CP117" s="350"/>
      <c r="CQ117" s="394"/>
      <c r="CR117" s="394"/>
      <c r="CS117" s="1624">
        <f>IF(CS116/C116 &gt; 12,12,CS116/C116)</f>
        <v>0</v>
      </c>
      <c r="CT117" s="1616"/>
      <c r="CU117" s="1617"/>
      <c r="CV117" s="1617"/>
      <c r="CW117" s="1617"/>
      <c r="CX117" s="1617"/>
      <c r="CY117" s="1617"/>
      <c r="CZ117" s="1618"/>
      <c r="DO117" s="1027"/>
      <c r="DP117" s="1027"/>
      <c r="DQ117" s="1027"/>
    </row>
    <row r="118" spans="1:121" s="132" customFormat="1" ht="12.95" hidden="1" customHeight="1" thickBot="1" x14ac:dyDescent="0.3">
      <c r="A118" s="1612"/>
      <c r="B118" s="1623"/>
      <c r="C118" s="1607"/>
      <c r="D118" s="1028"/>
      <c r="E118" s="1029"/>
      <c r="F118" s="1030"/>
      <c r="G118" s="1031"/>
      <c r="H118" s="1032"/>
      <c r="I118" s="1028"/>
      <c r="J118" s="1028"/>
      <c r="K118" s="1031"/>
      <c r="L118" s="1032"/>
      <c r="M118" s="1028"/>
      <c r="N118" s="1028"/>
      <c r="O118" s="1031"/>
      <c r="P118" s="1032"/>
      <c r="Q118" s="1028"/>
      <c r="R118" s="1028"/>
      <c r="S118" s="1031"/>
      <c r="T118" s="1033"/>
      <c r="U118" s="1034"/>
      <c r="V118" s="1031"/>
      <c r="W118" s="1032"/>
      <c r="X118" s="1028"/>
      <c r="Y118" s="1028"/>
      <c r="Z118" s="1031"/>
      <c r="AA118" s="1032"/>
      <c r="AB118" s="1028"/>
      <c r="AC118" s="1028"/>
      <c r="AD118" s="1031"/>
      <c r="AE118" s="1032"/>
      <c r="AF118" s="1028"/>
      <c r="AG118" s="1028"/>
      <c r="AH118" s="1031"/>
      <c r="AI118" s="1033"/>
      <c r="AJ118" s="1035"/>
      <c r="AK118" s="1031"/>
      <c r="AL118" s="1032"/>
      <c r="AM118" s="1028"/>
      <c r="AN118" s="1028"/>
      <c r="AO118" s="1031"/>
      <c r="AP118" s="1032"/>
      <c r="AQ118" s="1028"/>
      <c r="AR118" s="1028"/>
      <c r="AS118" s="1031"/>
      <c r="AT118" s="1032"/>
      <c r="AU118" s="1028"/>
      <c r="AV118" s="1028"/>
      <c r="AW118" s="1029"/>
      <c r="AX118" s="1625"/>
      <c r="AY118" s="1028"/>
      <c r="AZ118" s="1029"/>
      <c r="BA118" s="1030"/>
      <c r="BB118" s="1031"/>
      <c r="BC118" s="1056"/>
      <c r="BD118" s="1052"/>
      <c r="BE118" s="1052"/>
      <c r="BF118" s="1055"/>
      <c r="BG118" s="1056"/>
      <c r="BH118" s="1052"/>
      <c r="BI118" s="1052"/>
      <c r="BJ118" s="1055"/>
      <c r="BK118" s="1056"/>
      <c r="BL118" s="1052"/>
      <c r="BM118" s="1052"/>
      <c r="BN118" s="1055"/>
      <c r="BO118" s="1033"/>
      <c r="BP118" s="1034"/>
      <c r="BQ118" s="1031"/>
      <c r="BR118" s="1032"/>
      <c r="BS118" s="1028"/>
      <c r="BT118" s="1028"/>
      <c r="BU118" s="1031"/>
      <c r="BV118" s="1032"/>
      <c r="BW118" s="1028"/>
      <c r="BX118" s="1028"/>
      <c r="BY118" s="1031"/>
      <c r="BZ118" s="1032"/>
      <c r="CA118" s="1028"/>
      <c r="CB118" s="1028"/>
      <c r="CC118" s="1031"/>
      <c r="CD118" s="1033"/>
      <c r="CE118" s="1035"/>
      <c r="CF118" s="1031"/>
      <c r="CG118" s="1032"/>
      <c r="CH118" s="1028"/>
      <c r="CI118" s="1028"/>
      <c r="CJ118" s="1031"/>
      <c r="CK118" s="1032"/>
      <c r="CL118" s="1028"/>
      <c r="CM118" s="1028"/>
      <c r="CN118" s="1031"/>
      <c r="CO118" s="1032"/>
      <c r="CP118" s="1028"/>
      <c r="CQ118" s="1028"/>
      <c r="CR118" s="1031"/>
      <c r="CS118" s="1625"/>
      <c r="CT118" s="1619"/>
      <c r="CU118" s="1620"/>
      <c r="CV118" s="1620"/>
      <c r="CW118" s="1620"/>
      <c r="CX118" s="1620"/>
      <c r="CY118" s="1620"/>
      <c r="CZ118" s="1621"/>
      <c r="DO118" s="1027"/>
      <c r="DP118" s="1027"/>
      <c r="DQ118" s="1027"/>
    </row>
    <row r="119" spans="1:121" s="132" customFormat="1" ht="12.95" customHeight="1" thickBot="1" x14ac:dyDescent="0.3">
      <c r="A119" s="1649" t="s">
        <v>417</v>
      </c>
      <c r="B119" s="1017" t="s">
        <v>154</v>
      </c>
      <c r="C119" s="1070"/>
      <c r="D119" s="1064"/>
      <c r="E119" s="1061"/>
      <c r="F119" s="1062"/>
      <c r="G119" s="1063"/>
      <c r="H119" s="1064"/>
      <c r="I119" s="1060"/>
      <c r="J119" s="1060"/>
      <c r="K119" s="1063"/>
      <c r="L119" s="1064"/>
      <c r="M119" s="1060"/>
      <c r="N119" s="1060"/>
      <c r="O119" s="1063"/>
      <c r="P119" s="1064"/>
      <c r="Q119" s="1060"/>
      <c r="R119" s="1060"/>
      <c r="S119" s="1063"/>
      <c r="T119" s="1065"/>
      <c r="U119" s="1066"/>
      <c r="V119" s="1063"/>
      <c r="W119" s="1064"/>
      <c r="X119" s="1060"/>
      <c r="Y119" s="1060"/>
      <c r="Z119" s="1063"/>
      <c r="AA119" s="1064"/>
      <c r="AB119" s="1060"/>
      <c r="AC119" s="1060"/>
      <c r="AD119" s="1063"/>
      <c r="AE119" s="1064"/>
      <c r="AF119" s="1060"/>
      <c r="AG119" s="1060"/>
      <c r="AH119" s="1063"/>
      <c r="AI119" s="1065"/>
      <c r="AJ119" s="1060"/>
      <c r="AK119" s="1063"/>
      <c r="AL119" s="1064"/>
      <c r="AM119" s="1060"/>
      <c r="AN119" s="1060"/>
      <c r="AO119" s="1063"/>
      <c r="AP119" s="1064"/>
      <c r="AQ119" s="1060"/>
      <c r="AR119" s="1060"/>
      <c r="AS119" s="1063"/>
      <c r="AT119" s="1064"/>
      <c r="AU119" s="1060"/>
      <c r="AV119" s="1060"/>
      <c r="AW119" s="1061"/>
      <c r="AX119" s="1051">
        <v>0</v>
      </c>
      <c r="AY119" s="1036"/>
      <c r="AZ119" s="1037"/>
      <c r="BA119" s="1038"/>
      <c r="BB119" s="1039"/>
      <c r="BC119" s="1036"/>
      <c r="BD119" s="1040"/>
      <c r="BE119" s="1040"/>
      <c r="BF119" s="1039"/>
      <c r="BG119" s="1036"/>
      <c r="BH119" s="1040"/>
      <c r="BI119" s="1040"/>
      <c r="BJ119" s="1039"/>
      <c r="BK119" s="1036"/>
      <c r="BL119" s="1040"/>
      <c r="BM119" s="1040"/>
      <c r="BN119" s="1039"/>
      <c r="BO119" s="1041"/>
      <c r="BP119" s="1042"/>
      <c r="BQ119" s="1039"/>
      <c r="BR119" s="1036"/>
      <c r="BS119" s="1040"/>
      <c r="BT119" s="1040"/>
      <c r="BU119" s="1039"/>
      <c r="BV119" s="1036"/>
      <c r="BW119" s="1040"/>
      <c r="BX119" s="1040"/>
      <c r="BY119" s="1039"/>
      <c r="BZ119" s="1036"/>
      <c r="CA119" s="1040"/>
      <c r="CB119" s="1040"/>
      <c r="CC119" s="1039"/>
      <c r="CD119" s="1041"/>
      <c r="CE119" s="1040"/>
      <c r="CF119" s="1039"/>
      <c r="CG119" s="1036"/>
      <c r="CH119" s="1040"/>
      <c r="CI119" s="1040"/>
      <c r="CJ119" s="1039"/>
      <c r="CK119" s="1036"/>
      <c r="CL119" s="1040"/>
      <c r="CM119" s="1040"/>
      <c r="CN119" s="1039"/>
      <c r="CO119" s="1036"/>
      <c r="CP119" s="1040"/>
      <c r="CQ119" s="1040"/>
      <c r="CR119" s="1037"/>
      <c r="CS119" s="1051">
        <v>0</v>
      </c>
      <c r="CT119" s="1613"/>
      <c r="CU119" s="1614"/>
      <c r="CV119" s="1614"/>
      <c r="CW119" s="1614"/>
      <c r="CX119" s="1614"/>
      <c r="CY119" s="1614"/>
      <c r="CZ119" s="1615"/>
      <c r="DO119" s="1027"/>
      <c r="DP119" s="1027"/>
      <c r="DQ119" s="1027"/>
    </row>
    <row r="120" spans="1:121" s="132" customFormat="1" ht="3" customHeight="1" x14ac:dyDescent="0.25">
      <c r="A120" s="1650"/>
      <c r="B120" s="1643" t="s">
        <v>155</v>
      </c>
      <c r="C120" s="1606"/>
      <c r="D120" s="1043"/>
      <c r="E120" s="1044"/>
      <c r="F120" s="1044"/>
      <c r="G120" s="1045"/>
      <c r="H120" s="1046"/>
      <c r="I120" s="1043"/>
      <c r="J120" s="1043"/>
      <c r="K120" s="1045"/>
      <c r="L120" s="1046"/>
      <c r="M120" s="1043"/>
      <c r="N120" s="1043"/>
      <c r="O120" s="1045"/>
      <c r="P120" s="1046"/>
      <c r="Q120" s="1043"/>
      <c r="R120" s="1043"/>
      <c r="S120" s="1045"/>
      <c r="T120" s="1047"/>
      <c r="U120" s="1048"/>
      <c r="V120" s="1045"/>
      <c r="W120" s="1046"/>
      <c r="X120" s="1043"/>
      <c r="Y120" s="1043"/>
      <c r="Z120" s="1045"/>
      <c r="AA120" s="1046"/>
      <c r="AB120" s="1043"/>
      <c r="AC120" s="1043"/>
      <c r="AD120" s="1045"/>
      <c r="AE120" s="1046"/>
      <c r="AF120" s="1043"/>
      <c r="AG120" s="1043"/>
      <c r="AH120" s="1049"/>
      <c r="AI120" s="1050"/>
      <c r="AJ120" s="1043"/>
      <c r="AK120" s="1045"/>
      <c r="AL120" s="1046"/>
      <c r="AM120" s="1043"/>
      <c r="AN120" s="1043"/>
      <c r="AO120" s="1045"/>
      <c r="AP120" s="1046"/>
      <c r="AQ120" s="1043"/>
      <c r="AR120" s="1043"/>
      <c r="AS120" s="1045"/>
      <c r="AT120" s="1046"/>
      <c r="AU120" s="1043"/>
      <c r="AV120" s="1043"/>
      <c r="AW120" s="1044"/>
      <c r="AX120" s="1635">
        <f>AX119/70</f>
        <v>0</v>
      </c>
      <c r="AY120" s="1043"/>
      <c r="AZ120" s="1044"/>
      <c r="BA120" s="1044"/>
      <c r="BB120" s="1045"/>
      <c r="BC120" s="1046"/>
      <c r="BD120" s="1043"/>
      <c r="BE120" s="1043"/>
      <c r="BF120" s="1045"/>
      <c r="BG120" s="1046"/>
      <c r="BH120" s="1043"/>
      <c r="BI120" s="1043"/>
      <c r="BJ120" s="1045"/>
      <c r="BK120" s="1046"/>
      <c r="BL120" s="1043"/>
      <c r="BM120" s="1043"/>
      <c r="BN120" s="1045"/>
      <c r="BO120" s="1065"/>
      <c r="BP120" s="1097"/>
      <c r="BQ120" s="1045"/>
      <c r="BR120" s="1046"/>
      <c r="BS120" s="1043"/>
      <c r="BT120" s="1043"/>
      <c r="BU120" s="1045"/>
      <c r="BV120" s="1046"/>
      <c r="BW120" s="1043"/>
      <c r="BX120" s="1043"/>
      <c r="BY120" s="1045"/>
      <c r="BZ120" s="1046"/>
      <c r="CA120" s="1043"/>
      <c r="CB120" s="1043"/>
      <c r="CC120" s="1049"/>
      <c r="CD120" s="1065"/>
      <c r="CE120" s="1043"/>
      <c r="CF120" s="1045"/>
      <c r="CG120" s="1046"/>
      <c r="CH120" s="1043"/>
      <c r="CI120" s="1043"/>
      <c r="CJ120" s="1045"/>
      <c r="CK120" s="1046"/>
      <c r="CL120" s="1043"/>
      <c r="CM120" s="1043"/>
      <c r="CN120" s="1045"/>
      <c r="CO120" s="1046"/>
      <c r="CP120" s="1043"/>
      <c r="CQ120" s="1043"/>
      <c r="CR120" s="1044"/>
      <c r="CS120" s="1635">
        <f>CS119/70</f>
        <v>0</v>
      </c>
      <c r="CT120" s="1616"/>
      <c r="CU120" s="1617"/>
      <c r="CV120" s="1617"/>
      <c r="CW120" s="1617"/>
      <c r="CX120" s="1617"/>
      <c r="CY120" s="1617"/>
      <c r="CZ120" s="1618"/>
      <c r="DO120" s="1027"/>
      <c r="DP120" s="1027"/>
      <c r="DQ120" s="1027"/>
    </row>
    <row r="121" spans="1:121" s="132" customFormat="1" ht="12.95" customHeight="1" thickBot="1" x14ac:dyDescent="0.3">
      <c r="A121" s="1651"/>
      <c r="B121" s="1652"/>
      <c r="C121" s="1607"/>
      <c r="D121" s="1028"/>
      <c r="E121" s="1029"/>
      <c r="F121" s="1030"/>
      <c r="G121" s="1031"/>
      <c r="H121" s="1032"/>
      <c r="I121" s="1028"/>
      <c r="J121" s="1028"/>
      <c r="K121" s="1031"/>
      <c r="L121" s="1032"/>
      <c r="M121" s="1028"/>
      <c r="N121" s="1028"/>
      <c r="O121" s="1031"/>
      <c r="P121" s="1032"/>
      <c r="Q121" s="1028"/>
      <c r="R121" s="1028"/>
      <c r="S121" s="1031"/>
      <c r="T121" s="1033"/>
      <c r="U121" s="1034"/>
      <c r="V121" s="1031"/>
      <c r="W121" s="1032"/>
      <c r="X121" s="1028"/>
      <c r="Y121" s="1028"/>
      <c r="Z121" s="1031"/>
      <c r="AA121" s="1032"/>
      <c r="AB121" s="1028"/>
      <c r="AC121" s="1028"/>
      <c r="AD121" s="1031"/>
      <c r="AE121" s="1032"/>
      <c r="AF121" s="1028"/>
      <c r="AG121" s="1028"/>
      <c r="AH121" s="1031"/>
      <c r="AI121" s="1033"/>
      <c r="AJ121" s="1035"/>
      <c r="AK121" s="1031"/>
      <c r="AL121" s="1032"/>
      <c r="AM121" s="1028"/>
      <c r="AN121" s="1028"/>
      <c r="AO121" s="1031"/>
      <c r="AP121" s="1032"/>
      <c r="AQ121" s="1028"/>
      <c r="AR121" s="1028"/>
      <c r="AS121" s="1031"/>
      <c r="AT121" s="1032"/>
      <c r="AU121" s="1028"/>
      <c r="AV121" s="1028"/>
      <c r="AW121" s="1029"/>
      <c r="AX121" s="1636"/>
      <c r="AY121" s="1028"/>
      <c r="AZ121" s="1029"/>
      <c r="BA121" s="1030"/>
      <c r="BB121" s="1031"/>
      <c r="BC121" s="1032"/>
      <c r="BD121" s="1028"/>
      <c r="BE121" s="1028"/>
      <c r="BF121" s="1031"/>
      <c r="BG121" s="1032"/>
      <c r="BH121" s="1028"/>
      <c r="BI121" s="1028"/>
      <c r="BJ121" s="1031"/>
      <c r="BK121" s="1032"/>
      <c r="BL121" s="1028"/>
      <c r="BM121" s="1028"/>
      <c r="BN121" s="1031"/>
      <c r="BO121" s="1033"/>
      <c r="BP121" s="1034"/>
      <c r="BQ121" s="1031"/>
      <c r="BR121" s="1032"/>
      <c r="BS121" s="1028"/>
      <c r="BT121" s="1028"/>
      <c r="BU121" s="1031"/>
      <c r="BV121" s="1032"/>
      <c r="BW121" s="1028"/>
      <c r="BX121" s="1028"/>
      <c r="BY121" s="1031"/>
      <c r="BZ121" s="1032"/>
      <c r="CA121" s="1028"/>
      <c r="CB121" s="1028"/>
      <c r="CC121" s="1031"/>
      <c r="CD121" s="1033"/>
      <c r="CE121" s="1035"/>
      <c r="CF121" s="1031"/>
      <c r="CG121" s="1032"/>
      <c r="CH121" s="1028"/>
      <c r="CI121" s="1028"/>
      <c r="CJ121" s="1031"/>
      <c r="CK121" s="1032"/>
      <c r="CL121" s="1028"/>
      <c r="CM121" s="1028"/>
      <c r="CN121" s="1031"/>
      <c r="CO121" s="1032"/>
      <c r="CP121" s="1028"/>
      <c r="CQ121" s="1028"/>
      <c r="CR121" s="1029"/>
      <c r="CS121" s="1636"/>
      <c r="CT121" s="1619"/>
      <c r="CU121" s="1620"/>
      <c r="CV121" s="1620"/>
      <c r="CW121" s="1620"/>
      <c r="CX121" s="1620"/>
      <c r="CY121" s="1620"/>
      <c r="CZ121" s="1621"/>
      <c r="DO121" s="1027"/>
      <c r="DP121" s="1027"/>
      <c r="DQ121" s="1027"/>
    </row>
    <row r="122" spans="1:121" s="132" customFormat="1" ht="12.95" customHeight="1" thickBot="1" x14ac:dyDescent="0.3">
      <c r="A122" s="1649" t="s">
        <v>444</v>
      </c>
      <c r="B122" s="1017" t="s">
        <v>154</v>
      </c>
      <c r="C122" s="1070"/>
      <c r="D122" s="1064"/>
      <c r="E122" s="1061"/>
      <c r="F122" s="1062"/>
      <c r="G122" s="1063"/>
      <c r="H122" s="1064"/>
      <c r="I122" s="1060"/>
      <c r="J122" s="1060"/>
      <c r="K122" s="1063"/>
      <c r="L122" s="1064"/>
      <c r="M122" s="1060"/>
      <c r="N122" s="1060"/>
      <c r="O122" s="1063"/>
      <c r="P122" s="1064"/>
      <c r="Q122" s="1060"/>
      <c r="R122" s="1060"/>
      <c r="S122" s="1063"/>
      <c r="T122" s="1065"/>
      <c r="U122" s="1066"/>
      <c r="V122" s="1063"/>
      <c r="W122" s="1064"/>
      <c r="X122" s="1060"/>
      <c r="Y122" s="1060"/>
      <c r="Z122" s="1063"/>
      <c r="AA122" s="1064"/>
      <c r="AB122" s="1060"/>
      <c r="AC122" s="1060"/>
      <c r="AD122" s="1063"/>
      <c r="AE122" s="1064"/>
      <c r="AF122" s="1060"/>
      <c r="AG122" s="1060"/>
      <c r="AH122" s="1063"/>
      <c r="AI122" s="1065"/>
      <c r="AJ122" s="1060"/>
      <c r="AK122" s="1063"/>
      <c r="AL122" s="1064"/>
      <c r="AM122" s="1060"/>
      <c r="AN122" s="1060"/>
      <c r="AO122" s="1063"/>
      <c r="AP122" s="1064"/>
      <c r="AQ122" s="1060"/>
      <c r="AR122" s="1060"/>
      <c r="AS122" s="1063"/>
      <c r="AT122" s="1064"/>
      <c r="AU122" s="1060"/>
      <c r="AV122" s="1060"/>
      <c r="AW122" s="1061"/>
      <c r="AX122" s="1051">
        <v>0</v>
      </c>
      <c r="AY122" s="1064"/>
      <c r="AZ122" s="1061"/>
      <c r="BA122" s="1062"/>
      <c r="BB122" s="1063"/>
      <c r="BC122" s="1064"/>
      <c r="BD122" s="1060"/>
      <c r="BE122" s="1060"/>
      <c r="BF122" s="1063"/>
      <c r="BG122" s="1064"/>
      <c r="BH122" s="1060"/>
      <c r="BI122" s="1060"/>
      <c r="BJ122" s="1063"/>
      <c r="BK122" s="1064"/>
      <c r="BL122" s="1060"/>
      <c r="BM122" s="1060"/>
      <c r="BN122" s="1063"/>
      <c r="BO122" s="1065"/>
      <c r="BP122" s="1066"/>
      <c r="BQ122" s="1063"/>
      <c r="BR122" s="1064"/>
      <c r="BS122" s="1060"/>
      <c r="BT122" s="1060"/>
      <c r="BU122" s="1063"/>
      <c r="BV122" s="1064"/>
      <c r="BW122" s="1060"/>
      <c r="BX122" s="1060"/>
      <c r="BY122" s="1063"/>
      <c r="BZ122" s="1064"/>
      <c r="CA122" s="1060"/>
      <c r="CB122" s="1060"/>
      <c r="CC122" s="1063"/>
      <c r="CD122" s="1065"/>
      <c r="CE122" s="1060"/>
      <c r="CF122" s="1063"/>
      <c r="CG122" s="1064"/>
      <c r="CH122" s="1060"/>
      <c r="CI122" s="1060"/>
      <c r="CJ122" s="1063"/>
      <c r="CK122" s="1064"/>
      <c r="CL122" s="1060"/>
      <c r="CM122" s="1060"/>
      <c r="CN122" s="1063"/>
      <c r="CO122" s="1064"/>
      <c r="CP122" s="1060"/>
      <c r="CQ122" s="1060"/>
      <c r="CR122" s="1061"/>
      <c r="CS122" s="1051">
        <v>0</v>
      </c>
      <c r="CT122" s="1613"/>
      <c r="CU122" s="1614"/>
      <c r="CV122" s="1614"/>
      <c r="CW122" s="1614"/>
      <c r="CX122" s="1614"/>
      <c r="CY122" s="1614"/>
      <c r="CZ122" s="1615"/>
      <c r="DO122" s="1027"/>
      <c r="DP122" s="1027"/>
      <c r="DQ122" s="1027"/>
    </row>
    <row r="123" spans="1:121" s="132" customFormat="1" ht="3" customHeight="1" x14ac:dyDescent="0.25">
      <c r="A123" s="1650"/>
      <c r="B123" s="1643" t="s">
        <v>155</v>
      </c>
      <c r="C123" s="1645"/>
      <c r="D123" s="1043"/>
      <c r="E123" s="1044"/>
      <c r="F123" s="1044"/>
      <c r="G123" s="1045"/>
      <c r="H123" s="1046"/>
      <c r="I123" s="1043"/>
      <c r="J123" s="1043"/>
      <c r="K123" s="1045"/>
      <c r="L123" s="1046"/>
      <c r="M123" s="1043"/>
      <c r="N123" s="1043"/>
      <c r="O123" s="1045"/>
      <c r="P123" s="1046"/>
      <c r="Q123" s="1043"/>
      <c r="R123" s="1043"/>
      <c r="S123" s="1045"/>
      <c r="T123" s="1047"/>
      <c r="U123" s="1048"/>
      <c r="V123" s="1045"/>
      <c r="W123" s="1046"/>
      <c r="X123" s="1043"/>
      <c r="Y123" s="1043"/>
      <c r="Z123" s="1045"/>
      <c r="AA123" s="1046"/>
      <c r="AB123" s="1043"/>
      <c r="AC123" s="1043"/>
      <c r="AD123" s="1045"/>
      <c r="AE123" s="1046"/>
      <c r="AF123" s="1043"/>
      <c r="AG123" s="1043"/>
      <c r="AH123" s="1049"/>
      <c r="AI123" s="1050"/>
      <c r="AJ123" s="1043"/>
      <c r="AK123" s="1045"/>
      <c r="AL123" s="1046"/>
      <c r="AM123" s="1043"/>
      <c r="AN123" s="1043"/>
      <c r="AO123" s="1045"/>
      <c r="AP123" s="1046"/>
      <c r="AQ123" s="1043"/>
      <c r="AR123" s="1043"/>
      <c r="AS123" s="1045"/>
      <c r="AT123" s="1046"/>
      <c r="AU123" s="1043"/>
      <c r="AV123" s="1043"/>
      <c r="AW123" s="1044"/>
      <c r="AX123" s="1635">
        <f>AX122/43</f>
        <v>0</v>
      </c>
      <c r="AY123" s="1043"/>
      <c r="AZ123" s="1044"/>
      <c r="BA123" s="1044"/>
      <c r="BB123" s="1045"/>
      <c r="BC123" s="1046"/>
      <c r="BD123" s="1043"/>
      <c r="BE123" s="1043"/>
      <c r="BF123" s="1045"/>
      <c r="BG123" s="1046"/>
      <c r="BH123" s="1043"/>
      <c r="BI123" s="1043"/>
      <c r="BJ123" s="1045"/>
      <c r="BK123" s="1046"/>
      <c r="BL123" s="1043"/>
      <c r="BM123" s="1043"/>
      <c r="BN123" s="1045"/>
      <c r="BO123" s="1047"/>
      <c r="BP123" s="1048"/>
      <c r="BQ123" s="1045"/>
      <c r="BR123" s="1046"/>
      <c r="BS123" s="1043"/>
      <c r="BT123" s="1043"/>
      <c r="BU123" s="1045"/>
      <c r="BV123" s="1046"/>
      <c r="BW123" s="1043"/>
      <c r="BX123" s="1043"/>
      <c r="BY123" s="1045"/>
      <c r="BZ123" s="1046"/>
      <c r="CA123" s="1043"/>
      <c r="CB123" s="1043"/>
      <c r="CC123" s="1049"/>
      <c r="CD123" s="1050"/>
      <c r="CE123" s="1043"/>
      <c r="CF123" s="1045"/>
      <c r="CG123" s="1046"/>
      <c r="CH123" s="1043"/>
      <c r="CI123" s="1043"/>
      <c r="CJ123" s="1045"/>
      <c r="CK123" s="1046"/>
      <c r="CL123" s="1043"/>
      <c r="CM123" s="1043"/>
      <c r="CN123" s="1045"/>
      <c r="CO123" s="1046"/>
      <c r="CP123" s="1043"/>
      <c r="CQ123" s="1043"/>
      <c r="CR123" s="1044"/>
      <c r="CS123" s="1635">
        <f>CS122/43</f>
        <v>0</v>
      </c>
      <c r="CT123" s="1616"/>
      <c r="CU123" s="1617"/>
      <c r="CV123" s="1617"/>
      <c r="CW123" s="1617"/>
      <c r="CX123" s="1617"/>
      <c r="CY123" s="1617"/>
      <c r="CZ123" s="1618"/>
      <c r="DO123" s="1027"/>
      <c r="DP123" s="1027"/>
      <c r="DQ123" s="1027"/>
    </row>
    <row r="124" spans="1:121" s="132" customFormat="1" ht="12.95" customHeight="1" thickBot="1" x14ac:dyDescent="0.3">
      <c r="A124" s="1651"/>
      <c r="B124" s="1652"/>
      <c r="C124" s="1607"/>
      <c r="D124" s="1028"/>
      <c r="E124" s="1029"/>
      <c r="F124" s="1030"/>
      <c r="G124" s="1031"/>
      <c r="H124" s="1032"/>
      <c r="I124" s="1028"/>
      <c r="J124" s="1028"/>
      <c r="K124" s="1031"/>
      <c r="L124" s="1032"/>
      <c r="M124" s="1028"/>
      <c r="N124" s="1028"/>
      <c r="O124" s="1031"/>
      <c r="P124" s="1032"/>
      <c r="Q124" s="1028"/>
      <c r="R124" s="1028"/>
      <c r="S124" s="1031"/>
      <c r="T124" s="1033"/>
      <c r="U124" s="1034"/>
      <c r="V124" s="1031"/>
      <c r="W124" s="1032"/>
      <c r="X124" s="1028"/>
      <c r="Y124" s="1028"/>
      <c r="Z124" s="1031"/>
      <c r="AA124" s="1032"/>
      <c r="AB124" s="1028"/>
      <c r="AC124" s="1028"/>
      <c r="AD124" s="1031"/>
      <c r="AE124" s="1032"/>
      <c r="AF124" s="1028"/>
      <c r="AG124" s="1028"/>
      <c r="AH124" s="1031"/>
      <c r="AI124" s="1033"/>
      <c r="AJ124" s="1035"/>
      <c r="AK124" s="1031"/>
      <c r="AL124" s="1032"/>
      <c r="AM124" s="1028"/>
      <c r="AN124" s="1028"/>
      <c r="AO124" s="1031"/>
      <c r="AP124" s="1032"/>
      <c r="AQ124" s="1028"/>
      <c r="AR124" s="1028"/>
      <c r="AS124" s="1031"/>
      <c r="AT124" s="1032"/>
      <c r="AU124" s="1028"/>
      <c r="AV124" s="1028"/>
      <c r="AW124" s="1029"/>
      <c r="AX124" s="1671"/>
      <c r="AY124" s="1028"/>
      <c r="AZ124" s="1029"/>
      <c r="BA124" s="1030"/>
      <c r="BB124" s="1031"/>
      <c r="BC124" s="1032"/>
      <c r="BD124" s="1028"/>
      <c r="BE124" s="1028"/>
      <c r="BF124" s="1031"/>
      <c r="BG124" s="1032"/>
      <c r="BH124" s="1028"/>
      <c r="BI124" s="1028"/>
      <c r="BJ124" s="1031"/>
      <c r="BK124" s="1032"/>
      <c r="BL124" s="1028"/>
      <c r="BM124" s="1028"/>
      <c r="BN124" s="1031"/>
      <c r="BO124" s="1033"/>
      <c r="BP124" s="1034"/>
      <c r="BQ124" s="1031"/>
      <c r="BR124" s="1032"/>
      <c r="BS124" s="1028"/>
      <c r="BT124" s="1028"/>
      <c r="BU124" s="1031"/>
      <c r="BV124" s="1032"/>
      <c r="BW124" s="1028"/>
      <c r="BX124" s="1028"/>
      <c r="BY124" s="1031"/>
      <c r="BZ124" s="1032"/>
      <c r="CA124" s="1028"/>
      <c r="CB124" s="1028"/>
      <c r="CC124" s="1031"/>
      <c r="CD124" s="1033"/>
      <c r="CE124" s="1035"/>
      <c r="CF124" s="1031"/>
      <c r="CG124" s="1032"/>
      <c r="CH124" s="1028"/>
      <c r="CI124" s="1028"/>
      <c r="CJ124" s="1031"/>
      <c r="CK124" s="1032"/>
      <c r="CL124" s="1028"/>
      <c r="CM124" s="1028"/>
      <c r="CN124" s="1031"/>
      <c r="CO124" s="1032"/>
      <c r="CP124" s="1028"/>
      <c r="CQ124" s="1028"/>
      <c r="CR124" s="1029"/>
      <c r="CS124" s="1671"/>
      <c r="CT124" s="1619"/>
      <c r="CU124" s="1620"/>
      <c r="CV124" s="1620"/>
      <c r="CW124" s="1620"/>
      <c r="CX124" s="1620"/>
      <c r="CY124" s="1620"/>
      <c r="CZ124" s="1621"/>
      <c r="DO124" s="1027"/>
      <c r="DP124" s="1027"/>
      <c r="DQ124" s="1027"/>
    </row>
    <row r="125" spans="1:121" s="132" customFormat="1" ht="12.95" hidden="1" customHeight="1" thickBot="1" x14ac:dyDescent="0.3">
      <c r="A125" s="1610" t="s">
        <v>455</v>
      </c>
      <c r="B125" s="1017" t="s">
        <v>154</v>
      </c>
      <c r="C125" s="1070">
        <v>300</v>
      </c>
      <c r="D125" s="1019"/>
      <c r="E125" s="1020"/>
      <c r="F125" s="1021"/>
      <c r="G125" s="1022"/>
      <c r="H125" s="1019"/>
      <c r="I125" s="1023"/>
      <c r="J125" s="1023"/>
      <c r="K125" s="1022"/>
      <c r="L125" s="1019"/>
      <c r="M125" s="1023"/>
      <c r="N125" s="1023"/>
      <c r="O125" s="1022"/>
      <c r="P125" s="1019"/>
      <c r="Q125" s="1023"/>
      <c r="R125" s="1023"/>
      <c r="S125" s="1022"/>
      <c r="T125" s="1024"/>
      <c r="U125" s="1025"/>
      <c r="V125" s="1022"/>
      <c r="W125" s="1019"/>
      <c r="X125" s="1023"/>
      <c r="Y125" s="1023"/>
      <c r="Z125" s="1022"/>
      <c r="AA125" s="1019"/>
      <c r="AB125" s="1023"/>
      <c r="AC125" s="1023"/>
      <c r="AD125" s="1022"/>
      <c r="AE125" s="1019"/>
      <c r="AF125" s="1023"/>
      <c r="AG125" s="1023"/>
      <c r="AH125" s="1022"/>
      <c r="AI125" s="1024"/>
      <c r="AJ125" s="1026"/>
      <c r="AK125" s="1022"/>
      <c r="AL125" s="1019"/>
      <c r="AM125" s="1023"/>
      <c r="AN125" s="1023"/>
      <c r="AO125" s="1022"/>
      <c r="AP125" s="1019"/>
      <c r="AQ125" s="1023"/>
      <c r="AR125" s="1023"/>
      <c r="AS125" s="1022"/>
      <c r="AT125" s="1019"/>
      <c r="AU125" s="1023"/>
      <c r="AV125" s="1023"/>
      <c r="AW125" s="1020"/>
      <c r="AX125" s="1018">
        <f t="shared" ref="AX125" si="0">AX126*C125</f>
        <v>0</v>
      </c>
      <c r="AY125" s="1019"/>
      <c r="AZ125" s="1020"/>
      <c r="BA125" s="1021"/>
      <c r="BB125" s="1022"/>
      <c r="BC125" s="1019"/>
      <c r="BD125" s="1023"/>
      <c r="BE125" s="1023"/>
      <c r="BF125" s="1022"/>
      <c r="BG125" s="1019"/>
      <c r="BH125" s="1023"/>
      <c r="BI125" s="1023"/>
      <c r="BJ125" s="1022"/>
      <c r="BK125" s="1019"/>
      <c r="BL125" s="1023"/>
      <c r="BM125" s="1023"/>
      <c r="BN125" s="1022"/>
      <c r="BO125" s="1024"/>
      <c r="BP125" s="1025"/>
      <c r="BQ125" s="1022"/>
      <c r="BR125" s="1019"/>
      <c r="BS125" s="1023"/>
      <c r="BT125" s="1023"/>
      <c r="BU125" s="1022"/>
      <c r="BV125" s="1019"/>
      <c r="BW125" s="1023"/>
      <c r="BX125" s="1023"/>
      <c r="BY125" s="1022"/>
      <c r="BZ125" s="1019"/>
      <c r="CA125" s="1023"/>
      <c r="CB125" s="1023"/>
      <c r="CC125" s="1022"/>
      <c r="CD125" s="1024"/>
      <c r="CE125" s="1026"/>
      <c r="CF125" s="1022"/>
      <c r="CG125" s="1019"/>
      <c r="CH125" s="1023"/>
      <c r="CI125" s="1023"/>
      <c r="CJ125" s="1022"/>
      <c r="CK125" s="1019"/>
      <c r="CL125" s="1023"/>
      <c r="CM125" s="1023"/>
      <c r="CN125" s="1022"/>
      <c r="CO125" s="1019"/>
      <c r="CP125" s="1023"/>
      <c r="CQ125" s="1023"/>
      <c r="CR125" s="1020"/>
      <c r="CS125" s="1018">
        <f>CS126*C125</f>
        <v>0</v>
      </c>
      <c r="CT125" s="1613"/>
      <c r="CU125" s="1614"/>
      <c r="CV125" s="1614"/>
      <c r="CW125" s="1614"/>
      <c r="CX125" s="1614"/>
      <c r="CY125" s="1614"/>
      <c r="CZ125" s="1615"/>
      <c r="DO125" s="1027"/>
      <c r="DP125" s="1027"/>
      <c r="DQ125" s="1027"/>
    </row>
    <row r="126" spans="1:121" s="132" customFormat="1" ht="3" hidden="1" customHeight="1" x14ac:dyDescent="0.25">
      <c r="A126" s="1611"/>
      <c r="B126" s="1622" t="s">
        <v>155</v>
      </c>
      <c r="C126" s="1606"/>
      <c r="D126" s="1072"/>
      <c r="E126" s="1073"/>
      <c r="F126" s="1073"/>
      <c r="G126" s="1074"/>
      <c r="H126" s="1075"/>
      <c r="I126" s="1072"/>
      <c r="J126" s="1072"/>
      <c r="K126" s="1074"/>
      <c r="L126" s="1075"/>
      <c r="M126" s="1072"/>
      <c r="N126" s="1072"/>
      <c r="O126" s="1074"/>
      <c r="P126" s="1075"/>
      <c r="Q126" s="1072"/>
      <c r="R126" s="1072"/>
      <c r="S126" s="1074"/>
      <c r="T126" s="1075"/>
      <c r="U126" s="1076"/>
      <c r="V126" s="1074"/>
      <c r="W126" s="1075"/>
      <c r="X126" s="1072"/>
      <c r="Y126" s="1072"/>
      <c r="Z126" s="1074"/>
      <c r="AA126" s="1075"/>
      <c r="AB126" s="1072"/>
      <c r="AC126" s="1072"/>
      <c r="AD126" s="1074"/>
      <c r="AE126" s="1075"/>
      <c r="AF126" s="1072"/>
      <c r="AG126" s="1072"/>
      <c r="AH126" s="1077"/>
      <c r="AI126" s="1072"/>
      <c r="AJ126" s="1072"/>
      <c r="AK126" s="1074"/>
      <c r="AL126" s="1075"/>
      <c r="AM126" s="1072"/>
      <c r="AN126" s="1072"/>
      <c r="AO126" s="1074"/>
      <c r="AP126" s="1075"/>
      <c r="AQ126" s="1072"/>
      <c r="AR126" s="1072"/>
      <c r="AS126" s="1074"/>
      <c r="AT126" s="1075"/>
      <c r="AU126" s="1072"/>
      <c r="AV126" s="1072"/>
      <c r="AW126" s="1073"/>
      <c r="AX126" s="1608">
        <v>0</v>
      </c>
      <c r="AY126" s="1072"/>
      <c r="AZ126" s="1073"/>
      <c r="BA126" s="1073"/>
      <c r="BB126" s="1074"/>
      <c r="BC126" s="1075"/>
      <c r="BD126" s="1072"/>
      <c r="BE126" s="1072"/>
      <c r="BF126" s="1074"/>
      <c r="BG126" s="1075"/>
      <c r="BH126" s="1072"/>
      <c r="BI126" s="1072"/>
      <c r="BJ126" s="1074"/>
      <c r="BK126" s="1075"/>
      <c r="BL126" s="1072"/>
      <c r="BM126" s="1072"/>
      <c r="BN126" s="1074"/>
      <c r="BO126" s="1075"/>
      <c r="BP126" s="1076"/>
      <c r="BQ126" s="1074"/>
      <c r="BR126" s="1075"/>
      <c r="BS126" s="1072"/>
      <c r="BT126" s="1072"/>
      <c r="BU126" s="1074"/>
      <c r="BV126" s="1075"/>
      <c r="BW126" s="1072"/>
      <c r="BX126" s="1072"/>
      <c r="BY126" s="1074"/>
      <c r="BZ126" s="1075"/>
      <c r="CA126" s="1072"/>
      <c r="CB126" s="1072"/>
      <c r="CC126" s="1077"/>
      <c r="CD126" s="1072"/>
      <c r="CE126" s="1072"/>
      <c r="CF126" s="1074"/>
      <c r="CG126" s="1075"/>
      <c r="CH126" s="1072"/>
      <c r="CI126" s="1072"/>
      <c r="CJ126" s="1074"/>
      <c r="CK126" s="1075"/>
      <c r="CL126" s="1072"/>
      <c r="CM126" s="1072"/>
      <c r="CN126" s="1074"/>
      <c r="CO126" s="1075"/>
      <c r="CP126" s="1072"/>
      <c r="CQ126" s="1072"/>
      <c r="CR126" s="1073"/>
      <c r="CS126" s="1608">
        <v>0</v>
      </c>
      <c r="CT126" s="1616"/>
      <c r="CU126" s="1617"/>
      <c r="CV126" s="1617"/>
      <c r="CW126" s="1617"/>
      <c r="CX126" s="1617"/>
      <c r="CY126" s="1617"/>
      <c r="CZ126" s="1618"/>
      <c r="DO126" s="1027"/>
      <c r="DP126" s="1027"/>
      <c r="DQ126" s="1027"/>
    </row>
    <row r="127" spans="1:121" s="132" customFormat="1" ht="12.95" hidden="1" customHeight="1" thickBot="1" x14ac:dyDescent="0.3">
      <c r="A127" s="1612"/>
      <c r="B127" s="1623"/>
      <c r="C127" s="1607"/>
      <c r="D127" s="1028"/>
      <c r="E127" s="1029"/>
      <c r="F127" s="1030"/>
      <c r="G127" s="1031"/>
      <c r="H127" s="1032"/>
      <c r="I127" s="1028"/>
      <c r="J127" s="1028"/>
      <c r="K127" s="1031"/>
      <c r="L127" s="1032"/>
      <c r="M127" s="1028"/>
      <c r="N127" s="1028"/>
      <c r="O127" s="1031"/>
      <c r="P127" s="1032"/>
      <c r="Q127" s="1028"/>
      <c r="R127" s="1028"/>
      <c r="S127" s="1031"/>
      <c r="T127" s="1033"/>
      <c r="U127" s="1034"/>
      <c r="V127" s="1031"/>
      <c r="W127" s="1032"/>
      <c r="X127" s="1028"/>
      <c r="Y127" s="1028"/>
      <c r="Z127" s="1031"/>
      <c r="AA127" s="1032"/>
      <c r="AB127" s="1028"/>
      <c r="AC127" s="1028"/>
      <c r="AD127" s="1031"/>
      <c r="AE127" s="1032"/>
      <c r="AF127" s="1028"/>
      <c r="AG127" s="1028"/>
      <c r="AH127" s="1031"/>
      <c r="AI127" s="1033"/>
      <c r="AJ127" s="1035"/>
      <c r="AK127" s="1031"/>
      <c r="AL127" s="1032"/>
      <c r="AM127" s="1028"/>
      <c r="AN127" s="1028"/>
      <c r="AO127" s="1031"/>
      <c r="AP127" s="1032"/>
      <c r="AQ127" s="1028"/>
      <c r="AR127" s="1028"/>
      <c r="AS127" s="1031"/>
      <c r="AT127" s="1032"/>
      <c r="AU127" s="1028"/>
      <c r="AV127" s="1028"/>
      <c r="AW127" s="1029"/>
      <c r="AX127" s="1609"/>
      <c r="AY127" s="1028"/>
      <c r="AZ127" s="1029"/>
      <c r="BA127" s="1030"/>
      <c r="BB127" s="1031"/>
      <c r="BC127" s="1032"/>
      <c r="BD127" s="1028"/>
      <c r="BE127" s="1028"/>
      <c r="BF127" s="1031"/>
      <c r="BG127" s="1032"/>
      <c r="BH127" s="1028"/>
      <c r="BI127" s="1028"/>
      <c r="BJ127" s="1031"/>
      <c r="BK127" s="1032"/>
      <c r="BL127" s="1028"/>
      <c r="BM127" s="1028"/>
      <c r="BN127" s="1031"/>
      <c r="BO127" s="1033"/>
      <c r="BP127" s="1034"/>
      <c r="BQ127" s="1031"/>
      <c r="BR127" s="1032"/>
      <c r="BS127" s="1028"/>
      <c r="BT127" s="1028"/>
      <c r="BU127" s="1031"/>
      <c r="BV127" s="1032"/>
      <c r="BW127" s="1028"/>
      <c r="BX127" s="1028"/>
      <c r="BY127" s="1031"/>
      <c r="BZ127" s="1032"/>
      <c r="CA127" s="1028"/>
      <c r="CB127" s="1028"/>
      <c r="CC127" s="1031"/>
      <c r="CD127" s="1033"/>
      <c r="CE127" s="1035"/>
      <c r="CF127" s="1031"/>
      <c r="CG127" s="1032"/>
      <c r="CH127" s="1028"/>
      <c r="CI127" s="1028"/>
      <c r="CJ127" s="1031"/>
      <c r="CK127" s="1032"/>
      <c r="CL127" s="1028"/>
      <c r="CM127" s="1028"/>
      <c r="CN127" s="1031"/>
      <c r="CO127" s="1032"/>
      <c r="CP127" s="1028"/>
      <c r="CQ127" s="1028"/>
      <c r="CR127" s="1029"/>
      <c r="CS127" s="1609"/>
      <c r="CT127" s="1619"/>
      <c r="CU127" s="1620"/>
      <c r="CV127" s="1620"/>
      <c r="CW127" s="1620"/>
      <c r="CX127" s="1620"/>
      <c r="CY127" s="1620"/>
      <c r="CZ127" s="1621"/>
      <c r="DO127" s="1027"/>
      <c r="DP127" s="1027"/>
      <c r="DQ127" s="1027"/>
    </row>
    <row r="128" spans="1:121" s="132" customFormat="1" ht="12.95" hidden="1" customHeight="1" thickBot="1" x14ac:dyDescent="0.3">
      <c r="A128" s="1610" t="s">
        <v>471</v>
      </c>
      <c r="B128" s="1017" t="s">
        <v>154</v>
      </c>
      <c r="C128" s="1070">
        <v>180</v>
      </c>
      <c r="D128" s="1019"/>
      <c r="E128" s="1020"/>
      <c r="F128" s="1021"/>
      <c r="G128" s="1022"/>
      <c r="H128" s="1019"/>
      <c r="I128" s="1023"/>
      <c r="J128" s="1023"/>
      <c r="K128" s="1022"/>
      <c r="L128" s="1019"/>
      <c r="M128" s="1023"/>
      <c r="N128" s="1023"/>
      <c r="O128" s="1022"/>
      <c r="P128" s="1019"/>
      <c r="Q128" s="1023"/>
      <c r="R128" s="1023"/>
      <c r="S128" s="1022"/>
      <c r="T128" s="1024"/>
      <c r="U128" s="1025"/>
      <c r="V128" s="1022"/>
      <c r="W128" s="1019"/>
      <c r="X128" s="1023"/>
      <c r="Y128" s="1023"/>
      <c r="Z128" s="1022"/>
      <c r="AA128" s="1019"/>
      <c r="AB128" s="1023"/>
      <c r="AC128" s="1023"/>
      <c r="AD128" s="1022"/>
      <c r="AE128" s="1019"/>
      <c r="AF128" s="1023"/>
      <c r="AG128" s="1023"/>
      <c r="AH128" s="1022"/>
      <c r="AI128" s="1024"/>
      <c r="AJ128" s="1026"/>
      <c r="AK128" s="1022"/>
      <c r="AL128" s="1019"/>
      <c r="AM128" s="1023"/>
      <c r="AN128" s="1023"/>
      <c r="AO128" s="1022"/>
      <c r="AP128" s="1019"/>
      <c r="AQ128" s="1023"/>
      <c r="AR128" s="1023"/>
      <c r="AS128" s="1022"/>
      <c r="AT128" s="1019"/>
      <c r="AU128" s="1023"/>
      <c r="AV128" s="1023"/>
      <c r="AW128" s="1020"/>
      <c r="AX128" s="1101">
        <v>0</v>
      </c>
      <c r="AY128" s="1019"/>
      <c r="AZ128" s="1020"/>
      <c r="BA128" s="1021"/>
      <c r="BB128" s="1022"/>
      <c r="BC128" s="1019"/>
      <c r="BD128" s="1023"/>
      <c r="BE128" s="1023"/>
      <c r="BF128" s="1022"/>
      <c r="BG128" s="1019"/>
      <c r="BH128" s="1023"/>
      <c r="BI128" s="1023"/>
      <c r="BJ128" s="1022"/>
      <c r="BK128" s="1019"/>
      <c r="BL128" s="1023"/>
      <c r="BM128" s="1023"/>
      <c r="BN128" s="1022"/>
      <c r="BO128" s="1024"/>
      <c r="BP128" s="1025"/>
      <c r="BQ128" s="1022"/>
      <c r="BR128" s="1019"/>
      <c r="BS128" s="1023"/>
      <c r="BT128" s="1023"/>
      <c r="BU128" s="1022"/>
      <c r="BV128" s="1019"/>
      <c r="BW128" s="1023"/>
      <c r="BX128" s="1023"/>
      <c r="BY128" s="1022"/>
      <c r="BZ128" s="1019"/>
      <c r="CA128" s="1023"/>
      <c r="CB128" s="1023"/>
      <c r="CC128" s="1022"/>
      <c r="CD128" s="1024"/>
      <c r="CE128" s="1026"/>
      <c r="CF128" s="1022"/>
      <c r="CG128" s="1019"/>
      <c r="CH128" s="1023"/>
      <c r="CI128" s="1023"/>
      <c r="CJ128" s="1022"/>
      <c r="CK128" s="1019"/>
      <c r="CL128" s="1023"/>
      <c r="CM128" s="1023"/>
      <c r="CN128" s="1022"/>
      <c r="CO128" s="1019"/>
      <c r="CP128" s="1023"/>
      <c r="CQ128" s="1023"/>
      <c r="CR128" s="1020"/>
      <c r="CS128" s="1101">
        <v>0</v>
      </c>
      <c r="CT128" s="1613"/>
      <c r="CU128" s="1614"/>
      <c r="CV128" s="1614"/>
      <c r="CW128" s="1614"/>
      <c r="CX128" s="1614"/>
      <c r="CY128" s="1614"/>
      <c r="CZ128" s="1615"/>
      <c r="DO128" s="1027"/>
      <c r="DP128" s="1027"/>
      <c r="DQ128" s="1027"/>
    </row>
    <row r="129" spans="1:121" s="132" customFormat="1" ht="3" hidden="1" customHeight="1" x14ac:dyDescent="0.25">
      <c r="A129" s="1611"/>
      <c r="B129" s="1622" t="s">
        <v>155</v>
      </c>
      <c r="C129" s="1606"/>
      <c r="D129" s="1072"/>
      <c r="E129" s="1073"/>
      <c r="F129" s="1073"/>
      <c r="G129" s="1074"/>
      <c r="H129" s="1075"/>
      <c r="I129" s="1072"/>
      <c r="J129" s="1072"/>
      <c r="K129" s="1074"/>
      <c r="L129" s="1075"/>
      <c r="M129" s="1072"/>
      <c r="N129" s="1072"/>
      <c r="O129" s="1074"/>
      <c r="P129" s="1075"/>
      <c r="Q129" s="1072"/>
      <c r="R129" s="1072"/>
      <c r="S129" s="1074"/>
      <c r="T129" s="1075"/>
      <c r="U129" s="1076"/>
      <c r="V129" s="1074"/>
      <c r="W129" s="1075"/>
      <c r="X129" s="1072"/>
      <c r="Y129" s="1072"/>
      <c r="Z129" s="1074"/>
      <c r="AA129" s="1075"/>
      <c r="AB129" s="1072"/>
      <c r="AC129" s="1072"/>
      <c r="AD129" s="1074"/>
      <c r="AE129" s="1075"/>
      <c r="AF129" s="1072"/>
      <c r="AG129" s="1072"/>
      <c r="AH129" s="1077"/>
      <c r="AI129" s="1072"/>
      <c r="AJ129" s="1072"/>
      <c r="AK129" s="1074"/>
      <c r="AL129" s="1075"/>
      <c r="AM129" s="1072"/>
      <c r="AN129" s="1072"/>
      <c r="AO129" s="1074"/>
      <c r="AP129" s="1075"/>
      <c r="AQ129" s="1072"/>
      <c r="AR129" s="1072"/>
      <c r="AS129" s="1074"/>
      <c r="AT129" s="1075"/>
      <c r="AU129" s="1072"/>
      <c r="AV129" s="1072"/>
      <c r="AW129" s="1073"/>
      <c r="AX129" s="1624">
        <f>IF(AX128/C128 &gt; 12,12,AX128/C128)</f>
        <v>0</v>
      </c>
      <c r="AY129" s="1072"/>
      <c r="AZ129" s="1073"/>
      <c r="BA129" s="1073"/>
      <c r="BB129" s="1074"/>
      <c r="BC129" s="1075"/>
      <c r="BD129" s="1072"/>
      <c r="BE129" s="1072"/>
      <c r="BF129" s="1074"/>
      <c r="BG129" s="1075"/>
      <c r="BH129" s="1072"/>
      <c r="BI129" s="1072"/>
      <c r="BJ129" s="1074"/>
      <c r="BK129" s="1075"/>
      <c r="BL129" s="1072"/>
      <c r="BM129" s="1072"/>
      <c r="BN129" s="1074"/>
      <c r="BO129" s="1075"/>
      <c r="BP129" s="1076"/>
      <c r="BQ129" s="1074"/>
      <c r="BR129" s="1075"/>
      <c r="BS129" s="1072"/>
      <c r="BT129" s="1072"/>
      <c r="BU129" s="1074"/>
      <c r="BV129" s="1075"/>
      <c r="BW129" s="1072"/>
      <c r="BX129" s="1072"/>
      <c r="BY129" s="1074"/>
      <c r="BZ129" s="1075"/>
      <c r="CA129" s="1072"/>
      <c r="CB129" s="1072"/>
      <c r="CC129" s="1077"/>
      <c r="CD129" s="1072"/>
      <c r="CE129" s="1072"/>
      <c r="CF129" s="1074"/>
      <c r="CG129" s="1075"/>
      <c r="CH129" s="1072"/>
      <c r="CI129" s="1072"/>
      <c r="CJ129" s="1074"/>
      <c r="CK129" s="1075"/>
      <c r="CL129" s="1072"/>
      <c r="CM129" s="1072"/>
      <c r="CN129" s="1074"/>
      <c r="CO129" s="1075"/>
      <c r="CP129" s="1072"/>
      <c r="CQ129" s="1072"/>
      <c r="CR129" s="1073"/>
      <c r="CS129" s="1624">
        <f>IF(CS128/C128 &gt; 12,12,CS128/C128)</f>
        <v>0</v>
      </c>
      <c r="CT129" s="1616"/>
      <c r="CU129" s="1617"/>
      <c r="CV129" s="1617"/>
      <c r="CW129" s="1617"/>
      <c r="CX129" s="1617"/>
      <c r="CY129" s="1617"/>
      <c r="CZ129" s="1618"/>
      <c r="DO129" s="1027"/>
      <c r="DP129" s="1027"/>
      <c r="DQ129" s="1027"/>
    </row>
    <row r="130" spans="1:121" s="132" customFormat="1" ht="12.95" hidden="1" customHeight="1" thickBot="1" x14ac:dyDescent="0.3">
      <c r="A130" s="1612"/>
      <c r="B130" s="1623"/>
      <c r="C130" s="1607"/>
      <c r="D130" s="1028"/>
      <c r="E130" s="1029"/>
      <c r="F130" s="1030"/>
      <c r="G130" s="1031"/>
      <c r="H130" s="1032"/>
      <c r="I130" s="1028"/>
      <c r="J130" s="1028"/>
      <c r="K130" s="1031"/>
      <c r="L130" s="1032"/>
      <c r="M130" s="1028"/>
      <c r="N130" s="1028"/>
      <c r="O130" s="1031"/>
      <c r="P130" s="1032"/>
      <c r="Q130" s="1028"/>
      <c r="R130" s="1028"/>
      <c r="S130" s="1031"/>
      <c r="T130" s="1033"/>
      <c r="U130" s="1034"/>
      <c r="V130" s="1031"/>
      <c r="W130" s="1032"/>
      <c r="X130" s="1028"/>
      <c r="Y130" s="1028"/>
      <c r="Z130" s="1031"/>
      <c r="AA130" s="1032"/>
      <c r="AB130" s="1028"/>
      <c r="AC130" s="1028"/>
      <c r="AD130" s="1031"/>
      <c r="AE130" s="1032"/>
      <c r="AF130" s="1028"/>
      <c r="AG130" s="1028"/>
      <c r="AH130" s="1031"/>
      <c r="AI130" s="1033"/>
      <c r="AJ130" s="1035"/>
      <c r="AK130" s="1031"/>
      <c r="AL130" s="1032"/>
      <c r="AM130" s="1028"/>
      <c r="AN130" s="1028"/>
      <c r="AO130" s="1031"/>
      <c r="AP130" s="1032"/>
      <c r="AQ130" s="1028"/>
      <c r="AR130" s="1028"/>
      <c r="AS130" s="1031"/>
      <c r="AT130" s="1032"/>
      <c r="AU130" s="1028"/>
      <c r="AV130" s="1028"/>
      <c r="AW130" s="1029"/>
      <c r="AX130" s="1625"/>
      <c r="AY130" s="1028"/>
      <c r="AZ130" s="1029"/>
      <c r="BA130" s="1030"/>
      <c r="BB130" s="1031"/>
      <c r="BC130" s="1032"/>
      <c r="BD130" s="1028"/>
      <c r="BE130" s="1028"/>
      <c r="BF130" s="1031"/>
      <c r="BG130" s="1032"/>
      <c r="BH130" s="1028"/>
      <c r="BI130" s="1028"/>
      <c r="BJ130" s="1031"/>
      <c r="BK130" s="1032"/>
      <c r="BL130" s="1028"/>
      <c r="BM130" s="1028"/>
      <c r="BN130" s="1031"/>
      <c r="BO130" s="1033"/>
      <c r="BP130" s="1034"/>
      <c r="BQ130" s="1031"/>
      <c r="BR130" s="1032"/>
      <c r="BS130" s="1028"/>
      <c r="BT130" s="1028"/>
      <c r="BU130" s="1031"/>
      <c r="BV130" s="1032"/>
      <c r="BW130" s="1028"/>
      <c r="BX130" s="1028"/>
      <c r="BY130" s="1031"/>
      <c r="BZ130" s="1032"/>
      <c r="CA130" s="1028"/>
      <c r="CB130" s="1028"/>
      <c r="CC130" s="1031"/>
      <c r="CD130" s="1033"/>
      <c r="CE130" s="1035"/>
      <c r="CF130" s="1031"/>
      <c r="CG130" s="1032"/>
      <c r="CH130" s="1028"/>
      <c r="CI130" s="1028"/>
      <c r="CJ130" s="1031"/>
      <c r="CK130" s="1032"/>
      <c r="CL130" s="1028"/>
      <c r="CM130" s="1028"/>
      <c r="CN130" s="1031"/>
      <c r="CO130" s="1032"/>
      <c r="CP130" s="1028"/>
      <c r="CQ130" s="1028"/>
      <c r="CR130" s="1029"/>
      <c r="CS130" s="1625"/>
      <c r="CT130" s="1619"/>
      <c r="CU130" s="1620"/>
      <c r="CV130" s="1620"/>
      <c r="CW130" s="1620"/>
      <c r="CX130" s="1620"/>
      <c r="CY130" s="1620"/>
      <c r="CZ130" s="1621"/>
      <c r="DO130" s="1027"/>
      <c r="DP130" s="1027"/>
      <c r="DQ130" s="1027"/>
    </row>
    <row r="131" spans="1:121" s="132" customFormat="1" ht="12.95" hidden="1" customHeight="1" thickBot="1" x14ac:dyDescent="0.3">
      <c r="A131" s="1610" t="s">
        <v>453</v>
      </c>
      <c r="B131" s="1017" t="s">
        <v>154</v>
      </c>
      <c r="C131" s="1070">
        <v>25</v>
      </c>
      <c r="D131" s="1019"/>
      <c r="E131" s="1020"/>
      <c r="F131" s="1021"/>
      <c r="G131" s="1022"/>
      <c r="H131" s="1019"/>
      <c r="I131" s="1023"/>
      <c r="J131" s="1023"/>
      <c r="K131" s="1022"/>
      <c r="L131" s="1019"/>
      <c r="M131" s="1023"/>
      <c r="N131" s="1023"/>
      <c r="O131" s="1022"/>
      <c r="P131" s="1019"/>
      <c r="Q131" s="1023"/>
      <c r="R131" s="1023"/>
      <c r="S131" s="1022"/>
      <c r="T131" s="1024"/>
      <c r="U131" s="1025"/>
      <c r="V131" s="1022"/>
      <c r="W131" s="1019"/>
      <c r="X131" s="1023"/>
      <c r="Y131" s="1023"/>
      <c r="Z131" s="1022"/>
      <c r="AA131" s="1019"/>
      <c r="AB131" s="1023"/>
      <c r="AC131" s="1023"/>
      <c r="AD131" s="1022"/>
      <c r="AE131" s="1019"/>
      <c r="AF131" s="1023"/>
      <c r="AG131" s="1023"/>
      <c r="AH131" s="1022"/>
      <c r="AI131" s="1024"/>
      <c r="AJ131" s="1026"/>
      <c r="AK131" s="1022"/>
      <c r="AL131" s="1019"/>
      <c r="AM131" s="1023"/>
      <c r="AN131" s="1023"/>
      <c r="AO131" s="1022"/>
      <c r="AP131" s="1019"/>
      <c r="AQ131" s="1023"/>
      <c r="AR131" s="1023"/>
      <c r="AS131" s="1022"/>
      <c r="AT131" s="1019"/>
      <c r="AU131" s="1023"/>
      <c r="AV131" s="1023"/>
      <c r="AW131" s="1020"/>
      <c r="AX131" s="1018">
        <f t="shared" ref="AX131" si="1">AX132*C131</f>
        <v>0</v>
      </c>
      <c r="AY131" s="1019"/>
      <c r="AZ131" s="1020"/>
      <c r="BA131" s="1021"/>
      <c r="BB131" s="1022"/>
      <c r="BC131" s="1019"/>
      <c r="BD131" s="1023"/>
      <c r="BE131" s="1023"/>
      <c r="BF131" s="1022"/>
      <c r="BG131" s="1019"/>
      <c r="BH131" s="1023"/>
      <c r="BI131" s="1023"/>
      <c r="BJ131" s="1022"/>
      <c r="BK131" s="1019"/>
      <c r="BL131" s="1023"/>
      <c r="BM131" s="1023"/>
      <c r="BN131" s="1022"/>
      <c r="BO131" s="1024"/>
      <c r="BP131" s="1025"/>
      <c r="BQ131" s="1022"/>
      <c r="BR131" s="1019"/>
      <c r="BS131" s="1023"/>
      <c r="BT131" s="1023"/>
      <c r="BU131" s="1022"/>
      <c r="BV131" s="1019"/>
      <c r="BW131" s="1023"/>
      <c r="BX131" s="1023"/>
      <c r="BY131" s="1022"/>
      <c r="BZ131" s="1019"/>
      <c r="CA131" s="1023"/>
      <c r="CB131" s="1023"/>
      <c r="CC131" s="1022"/>
      <c r="CD131" s="1024"/>
      <c r="CE131" s="1026"/>
      <c r="CF131" s="1022"/>
      <c r="CG131" s="1019"/>
      <c r="CH131" s="1023"/>
      <c r="CI131" s="1023"/>
      <c r="CJ131" s="1022"/>
      <c r="CK131" s="1019"/>
      <c r="CL131" s="1023"/>
      <c r="CM131" s="1023"/>
      <c r="CN131" s="1022"/>
      <c r="CO131" s="1019"/>
      <c r="CP131" s="1023"/>
      <c r="CQ131" s="1023"/>
      <c r="CR131" s="1020"/>
      <c r="CS131" s="1140">
        <f>CS132*C131</f>
        <v>0</v>
      </c>
      <c r="CT131" s="1653"/>
      <c r="CU131" s="1654"/>
      <c r="CV131" s="1654"/>
      <c r="CW131" s="1654"/>
      <c r="CX131" s="1654"/>
      <c r="CY131" s="1654"/>
      <c r="CZ131" s="1655"/>
      <c r="DO131" s="1027"/>
      <c r="DP131" s="1027"/>
      <c r="DQ131" s="1027"/>
    </row>
    <row r="132" spans="1:121" s="132" customFormat="1" ht="3" hidden="1" customHeight="1" x14ac:dyDescent="0.25">
      <c r="A132" s="1611"/>
      <c r="B132" s="1622" t="s">
        <v>155</v>
      </c>
      <c r="C132" s="1606"/>
      <c r="D132" s="1072"/>
      <c r="E132" s="1073"/>
      <c r="F132" s="1073"/>
      <c r="G132" s="1074"/>
      <c r="H132" s="1075"/>
      <c r="I132" s="1072"/>
      <c r="J132" s="1072"/>
      <c r="K132" s="1074"/>
      <c r="L132" s="1075"/>
      <c r="M132" s="1072"/>
      <c r="N132" s="1072"/>
      <c r="O132" s="1074"/>
      <c r="P132" s="1075"/>
      <c r="Q132" s="1072"/>
      <c r="R132" s="1072"/>
      <c r="S132" s="1074"/>
      <c r="T132" s="1075"/>
      <c r="U132" s="1076"/>
      <c r="V132" s="1074"/>
      <c r="W132" s="1075"/>
      <c r="X132" s="1072"/>
      <c r="Y132" s="1072"/>
      <c r="Z132" s="1074"/>
      <c r="AA132" s="1075"/>
      <c r="AB132" s="1072"/>
      <c r="AC132" s="1072"/>
      <c r="AD132" s="1074"/>
      <c r="AE132" s="1075"/>
      <c r="AF132" s="1072"/>
      <c r="AG132" s="1072"/>
      <c r="AH132" s="1077"/>
      <c r="AI132" s="1072"/>
      <c r="AJ132" s="1072"/>
      <c r="AK132" s="1074"/>
      <c r="AL132" s="1075"/>
      <c r="AM132" s="1072"/>
      <c r="AN132" s="1072"/>
      <c r="AO132" s="1074"/>
      <c r="AP132" s="1075"/>
      <c r="AQ132" s="1072"/>
      <c r="AR132" s="1072"/>
      <c r="AS132" s="1074"/>
      <c r="AT132" s="1075"/>
      <c r="AU132" s="1072"/>
      <c r="AV132" s="1072"/>
      <c r="AW132" s="1073"/>
      <c r="AX132" s="1608">
        <v>0</v>
      </c>
      <c r="AY132" s="1072"/>
      <c r="AZ132" s="1073"/>
      <c r="BA132" s="1073"/>
      <c r="BB132" s="1074"/>
      <c r="BC132" s="1075"/>
      <c r="BD132" s="1072"/>
      <c r="BE132" s="1072"/>
      <c r="BF132" s="1074"/>
      <c r="BG132" s="1075"/>
      <c r="BH132" s="1072"/>
      <c r="BI132" s="1072"/>
      <c r="BJ132" s="1074"/>
      <c r="BK132" s="1075"/>
      <c r="BL132" s="1072"/>
      <c r="BM132" s="1072"/>
      <c r="BN132" s="1074"/>
      <c r="BO132" s="1075"/>
      <c r="BP132" s="1076"/>
      <c r="BQ132" s="1074"/>
      <c r="BR132" s="1075"/>
      <c r="BS132" s="1072"/>
      <c r="BT132" s="1072"/>
      <c r="BU132" s="1074"/>
      <c r="BV132" s="1075"/>
      <c r="BW132" s="1072"/>
      <c r="BX132" s="1072"/>
      <c r="BY132" s="1074"/>
      <c r="BZ132" s="1075"/>
      <c r="CA132" s="1072"/>
      <c r="CB132" s="1072"/>
      <c r="CC132" s="1077"/>
      <c r="CD132" s="1072"/>
      <c r="CE132" s="1072"/>
      <c r="CF132" s="1074"/>
      <c r="CG132" s="1075"/>
      <c r="CH132" s="1072"/>
      <c r="CI132" s="1072"/>
      <c r="CJ132" s="1074"/>
      <c r="CK132" s="1075"/>
      <c r="CL132" s="1072"/>
      <c r="CM132" s="1072"/>
      <c r="CN132" s="1074"/>
      <c r="CO132" s="1075"/>
      <c r="CP132" s="1072"/>
      <c r="CQ132" s="1072"/>
      <c r="CR132" s="1073"/>
      <c r="CS132" s="1647">
        <v>0</v>
      </c>
      <c r="CT132" s="1656"/>
      <c r="CU132" s="1657"/>
      <c r="CV132" s="1657"/>
      <c r="CW132" s="1657"/>
      <c r="CX132" s="1657"/>
      <c r="CY132" s="1657"/>
      <c r="CZ132" s="1658"/>
      <c r="DO132" s="1027"/>
      <c r="DP132" s="1027"/>
      <c r="DQ132" s="1027"/>
    </row>
    <row r="133" spans="1:121" s="132" customFormat="1" ht="12.95" hidden="1" customHeight="1" thickBot="1" x14ac:dyDescent="0.3">
      <c r="A133" s="1612"/>
      <c r="B133" s="1623"/>
      <c r="C133" s="1607"/>
      <c r="D133" s="1028"/>
      <c r="E133" s="1029"/>
      <c r="F133" s="1030"/>
      <c r="G133" s="1031"/>
      <c r="H133" s="1032"/>
      <c r="I133" s="1028"/>
      <c r="J133" s="1028"/>
      <c r="K133" s="1031"/>
      <c r="L133" s="1032"/>
      <c r="M133" s="1028"/>
      <c r="N133" s="1028"/>
      <c r="O133" s="1031"/>
      <c r="P133" s="1032"/>
      <c r="Q133" s="1028"/>
      <c r="R133" s="1028"/>
      <c r="S133" s="1031"/>
      <c r="T133" s="1033"/>
      <c r="U133" s="1034"/>
      <c r="V133" s="1031"/>
      <c r="W133" s="1032"/>
      <c r="X133" s="1028"/>
      <c r="Y133" s="1028"/>
      <c r="Z133" s="1031"/>
      <c r="AA133" s="1032"/>
      <c r="AB133" s="1028"/>
      <c r="AC133" s="1028"/>
      <c r="AD133" s="1031"/>
      <c r="AE133" s="1032"/>
      <c r="AF133" s="1028"/>
      <c r="AG133" s="1028"/>
      <c r="AH133" s="1031"/>
      <c r="AI133" s="1033"/>
      <c r="AJ133" s="1035"/>
      <c r="AK133" s="1031"/>
      <c r="AL133" s="1032"/>
      <c r="AM133" s="1028"/>
      <c r="AN133" s="1028"/>
      <c r="AO133" s="1031"/>
      <c r="AP133" s="1032"/>
      <c r="AQ133" s="1028"/>
      <c r="AR133" s="1028"/>
      <c r="AS133" s="1031"/>
      <c r="AT133" s="1032"/>
      <c r="AU133" s="1028"/>
      <c r="AV133" s="1028"/>
      <c r="AW133" s="1029"/>
      <c r="AX133" s="1609"/>
      <c r="AY133" s="1028"/>
      <c r="AZ133" s="1029"/>
      <c r="BA133" s="1030"/>
      <c r="BB133" s="1031"/>
      <c r="BC133" s="1032"/>
      <c r="BD133" s="1028"/>
      <c r="BE133" s="1028"/>
      <c r="BF133" s="1031"/>
      <c r="BG133" s="1032"/>
      <c r="BH133" s="1028"/>
      <c r="BI133" s="1028"/>
      <c r="BJ133" s="1031"/>
      <c r="BK133" s="1032"/>
      <c r="BL133" s="1028"/>
      <c r="BM133" s="1028"/>
      <c r="BN133" s="1031"/>
      <c r="BO133" s="1033"/>
      <c r="BP133" s="1034"/>
      <c r="BQ133" s="1031"/>
      <c r="BR133" s="1032"/>
      <c r="BS133" s="1028"/>
      <c r="BT133" s="1028"/>
      <c r="BU133" s="1031"/>
      <c r="BV133" s="1032"/>
      <c r="BW133" s="1028"/>
      <c r="BX133" s="1028"/>
      <c r="BY133" s="1031"/>
      <c r="BZ133" s="1032"/>
      <c r="CA133" s="1028"/>
      <c r="CB133" s="1028"/>
      <c r="CC133" s="1031"/>
      <c r="CD133" s="1033"/>
      <c r="CE133" s="1035"/>
      <c r="CF133" s="1031"/>
      <c r="CG133" s="1032"/>
      <c r="CH133" s="1028"/>
      <c r="CI133" s="1028"/>
      <c r="CJ133" s="1031"/>
      <c r="CK133" s="1032"/>
      <c r="CL133" s="1028"/>
      <c r="CM133" s="1028"/>
      <c r="CN133" s="1031"/>
      <c r="CO133" s="1032"/>
      <c r="CP133" s="1028"/>
      <c r="CQ133" s="1028"/>
      <c r="CR133" s="1029"/>
      <c r="CS133" s="1648"/>
      <c r="CT133" s="1640"/>
      <c r="CU133" s="1641"/>
      <c r="CV133" s="1641"/>
      <c r="CW133" s="1641"/>
      <c r="CX133" s="1641"/>
      <c r="CY133" s="1641"/>
      <c r="CZ133" s="1642"/>
      <c r="DO133" s="1027"/>
      <c r="DP133" s="1027"/>
      <c r="DQ133" s="1027"/>
    </row>
    <row r="134" spans="1:121" s="132" customFormat="1" ht="12.95" hidden="1" customHeight="1" thickBot="1" x14ac:dyDescent="0.3">
      <c r="A134" s="1610" t="s">
        <v>450</v>
      </c>
      <c r="B134" s="1017" t="s">
        <v>154</v>
      </c>
      <c r="C134" s="1070">
        <v>6.5</v>
      </c>
      <c r="D134" s="1036"/>
      <c r="E134" s="1037"/>
      <c r="F134" s="1038"/>
      <c r="G134" s="1039"/>
      <c r="H134" s="1036"/>
      <c r="I134" s="1040"/>
      <c r="J134" s="1040"/>
      <c r="K134" s="1039"/>
      <c r="L134" s="1036"/>
      <c r="M134" s="1040"/>
      <c r="N134" s="1040"/>
      <c r="O134" s="1039"/>
      <c r="P134" s="1036"/>
      <c r="Q134" s="1040"/>
      <c r="R134" s="1040"/>
      <c r="S134" s="1039"/>
      <c r="T134" s="1041"/>
      <c r="U134" s="1042"/>
      <c r="V134" s="1039"/>
      <c r="W134" s="1036"/>
      <c r="X134" s="1040"/>
      <c r="Y134" s="1040"/>
      <c r="Z134" s="1039"/>
      <c r="AA134" s="1036"/>
      <c r="AB134" s="1040"/>
      <c r="AC134" s="1040"/>
      <c r="AD134" s="1039"/>
      <c r="AE134" s="1036"/>
      <c r="AF134" s="1040"/>
      <c r="AG134" s="1040"/>
      <c r="AH134" s="1039"/>
      <c r="AI134" s="1041"/>
      <c r="AJ134" s="1040"/>
      <c r="AK134" s="1039"/>
      <c r="AL134" s="1036"/>
      <c r="AM134" s="1040"/>
      <c r="AN134" s="1040"/>
      <c r="AO134" s="1039"/>
      <c r="AP134" s="1036"/>
      <c r="AQ134" s="1040"/>
      <c r="AR134" s="1040"/>
      <c r="AS134" s="1039"/>
      <c r="AT134" s="1036"/>
      <c r="AU134" s="1040"/>
      <c r="AV134" s="1040"/>
      <c r="AW134" s="1037"/>
      <c r="AX134" s="1018">
        <f t="shared" ref="AX134" si="2">AX135*C134</f>
        <v>0</v>
      </c>
      <c r="AY134" s="1036"/>
      <c r="AZ134" s="1037"/>
      <c r="BA134" s="1038"/>
      <c r="BB134" s="1039"/>
      <c r="BC134" s="1036"/>
      <c r="BD134" s="1040"/>
      <c r="BE134" s="1040"/>
      <c r="BF134" s="1039"/>
      <c r="BG134" s="1036"/>
      <c r="BH134" s="1040"/>
      <c r="BI134" s="1040"/>
      <c r="BJ134" s="1039"/>
      <c r="BK134" s="1036"/>
      <c r="BL134" s="1040"/>
      <c r="BM134" s="1040"/>
      <c r="BN134" s="1039"/>
      <c r="BO134" s="1041"/>
      <c r="BP134" s="1042"/>
      <c r="BQ134" s="1039"/>
      <c r="BR134" s="1036"/>
      <c r="BS134" s="1040"/>
      <c r="BT134" s="1040"/>
      <c r="BU134" s="1039"/>
      <c r="BV134" s="1036"/>
      <c r="BW134" s="1040"/>
      <c r="BX134" s="1040"/>
      <c r="BY134" s="1039"/>
      <c r="BZ134" s="1036"/>
      <c r="CA134" s="1040"/>
      <c r="CB134" s="1040"/>
      <c r="CC134" s="1039"/>
      <c r="CD134" s="1041"/>
      <c r="CE134" s="1040"/>
      <c r="CF134" s="1039"/>
      <c r="CG134" s="1036"/>
      <c r="CH134" s="1040"/>
      <c r="CI134" s="1040"/>
      <c r="CJ134" s="1039"/>
      <c r="CK134" s="1036"/>
      <c r="CL134" s="1040"/>
      <c r="CM134" s="1040"/>
      <c r="CN134" s="1039"/>
      <c r="CO134" s="1036"/>
      <c r="CP134" s="1040"/>
      <c r="CQ134" s="1040"/>
      <c r="CR134" s="1037"/>
      <c r="CS134" s="1140">
        <f>CS135*C134</f>
        <v>0</v>
      </c>
      <c r="CT134" s="1653"/>
      <c r="CU134" s="1654"/>
      <c r="CV134" s="1654"/>
      <c r="CW134" s="1654"/>
      <c r="CX134" s="1654"/>
      <c r="CY134" s="1654"/>
      <c r="CZ134" s="1655"/>
      <c r="DO134" s="1027"/>
      <c r="DP134" s="1027"/>
      <c r="DQ134" s="1027"/>
    </row>
    <row r="135" spans="1:121" s="132" customFormat="1" ht="3" hidden="1" customHeight="1" x14ac:dyDescent="0.25">
      <c r="A135" s="1611"/>
      <c r="B135" s="1622" t="s">
        <v>155</v>
      </c>
      <c r="C135" s="1606"/>
      <c r="D135" s="1043"/>
      <c r="E135" s="1044"/>
      <c r="F135" s="1044"/>
      <c r="G135" s="1045"/>
      <c r="H135" s="1046"/>
      <c r="I135" s="1043"/>
      <c r="J135" s="1043"/>
      <c r="K135" s="1045"/>
      <c r="L135" s="1046"/>
      <c r="M135" s="1043"/>
      <c r="N135" s="1043"/>
      <c r="O135" s="1045"/>
      <c r="P135" s="1046"/>
      <c r="Q135" s="1043"/>
      <c r="R135" s="1043"/>
      <c r="S135" s="1045"/>
      <c r="T135" s="1047"/>
      <c r="U135" s="1048"/>
      <c r="V135" s="1045"/>
      <c r="W135" s="1046"/>
      <c r="X135" s="1043"/>
      <c r="Y135" s="1043"/>
      <c r="Z135" s="1045"/>
      <c r="AA135" s="1046"/>
      <c r="AB135" s="1043"/>
      <c r="AC135" s="1043"/>
      <c r="AD135" s="1045"/>
      <c r="AE135" s="1046"/>
      <c r="AF135" s="1043"/>
      <c r="AG135" s="1043"/>
      <c r="AH135" s="1049"/>
      <c r="AI135" s="1050"/>
      <c r="AJ135" s="1043"/>
      <c r="AK135" s="1045"/>
      <c r="AL135" s="1046"/>
      <c r="AM135" s="1043"/>
      <c r="AN135" s="1043"/>
      <c r="AO135" s="1045"/>
      <c r="AP135" s="1046"/>
      <c r="AQ135" s="1043"/>
      <c r="AR135" s="1043"/>
      <c r="AS135" s="1045"/>
      <c r="AT135" s="1046"/>
      <c r="AU135" s="1043"/>
      <c r="AV135" s="1043"/>
      <c r="AW135" s="1044"/>
      <c r="AX135" s="1608">
        <v>0</v>
      </c>
      <c r="AY135" s="1043"/>
      <c r="AZ135" s="1044"/>
      <c r="BA135" s="1044"/>
      <c r="BB135" s="1045"/>
      <c r="BC135" s="1046"/>
      <c r="BD135" s="1043"/>
      <c r="BE135" s="1043"/>
      <c r="BF135" s="1045"/>
      <c r="BG135" s="1046"/>
      <c r="BH135" s="1043"/>
      <c r="BI135" s="1043"/>
      <c r="BJ135" s="1045"/>
      <c r="BK135" s="1046"/>
      <c r="BL135" s="1043"/>
      <c r="BM135" s="1043"/>
      <c r="BN135" s="1045"/>
      <c r="BO135" s="1047"/>
      <c r="BP135" s="1048"/>
      <c r="BQ135" s="1045"/>
      <c r="BR135" s="1046"/>
      <c r="BS135" s="1043"/>
      <c r="BT135" s="1043"/>
      <c r="BU135" s="1045"/>
      <c r="BV135" s="1046"/>
      <c r="BW135" s="1043"/>
      <c r="BX135" s="1043"/>
      <c r="BY135" s="1045"/>
      <c r="BZ135" s="1046"/>
      <c r="CA135" s="1043"/>
      <c r="CB135" s="1043"/>
      <c r="CC135" s="1049"/>
      <c r="CD135" s="1050"/>
      <c r="CE135" s="1043"/>
      <c r="CF135" s="1045"/>
      <c r="CG135" s="1046"/>
      <c r="CH135" s="1043"/>
      <c r="CI135" s="1043"/>
      <c r="CJ135" s="1045"/>
      <c r="CK135" s="1046"/>
      <c r="CL135" s="1043"/>
      <c r="CM135" s="1043"/>
      <c r="CN135" s="1045"/>
      <c r="CO135" s="1046"/>
      <c r="CP135" s="1043"/>
      <c r="CQ135" s="1043"/>
      <c r="CR135" s="1044"/>
      <c r="CS135" s="1647">
        <v>0</v>
      </c>
      <c r="CT135" s="1656"/>
      <c r="CU135" s="1657"/>
      <c r="CV135" s="1657"/>
      <c r="CW135" s="1657"/>
      <c r="CX135" s="1657"/>
      <c r="CY135" s="1657"/>
      <c r="CZ135" s="1658"/>
      <c r="DO135" s="1027"/>
      <c r="DP135" s="1027"/>
      <c r="DQ135" s="1027"/>
    </row>
    <row r="136" spans="1:121" s="132" customFormat="1" ht="12.95" hidden="1" customHeight="1" thickBot="1" x14ac:dyDescent="0.3">
      <c r="A136" s="1612"/>
      <c r="B136" s="1623"/>
      <c r="C136" s="1607"/>
      <c r="D136" s="1052"/>
      <c r="E136" s="1053"/>
      <c r="F136" s="1054"/>
      <c r="G136" s="1055"/>
      <c r="H136" s="1056"/>
      <c r="I136" s="1052"/>
      <c r="J136" s="1052"/>
      <c r="K136" s="1055"/>
      <c r="L136" s="1056"/>
      <c r="M136" s="1052"/>
      <c r="N136" s="1052"/>
      <c r="O136" s="1055"/>
      <c r="P136" s="1056"/>
      <c r="Q136" s="1052"/>
      <c r="R136" s="1052"/>
      <c r="S136" s="1055"/>
      <c r="T136" s="1057"/>
      <c r="U136" s="1058"/>
      <c r="V136" s="1055"/>
      <c r="W136" s="1056"/>
      <c r="X136" s="1052"/>
      <c r="Y136" s="1052"/>
      <c r="Z136" s="1055"/>
      <c r="AA136" s="1056"/>
      <c r="AB136" s="1052"/>
      <c r="AC136" s="1052"/>
      <c r="AD136" s="1055"/>
      <c r="AE136" s="1056"/>
      <c r="AF136" s="1052"/>
      <c r="AG136" s="1052"/>
      <c r="AH136" s="1055"/>
      <c r="AI136" s="1057"/>
      <c r="AJ136" s="1052"/>
      <c r="AK136" s="1055"/>
      <c r="AL136" s="1056"/>
      <c r="AM136" s="1052"/>
      <c r="AN136" s="1052"/>
      <c r="AO136" s="1055"/>
      <c r="AP136" s="1056"/>
      <c r="AQ136" s="1052"/>
      <c r="AR136" s="1052"/>
      <c r="AS136" s="1055"/>
      <c r="AT136" s="1056"/>
      <c r="AU136" s="1052"/>
      <c r="AV136" s="1052"/>
      <c r="AW136" s="1053"/>
      <c r="AX136" s="1609"/>
      <c r="AY136" s="1052"/>
      <c r="AZ136" s="1053"/>
      <c r="BA136" s="1054"/>
      <c r="BB136" s="1055"/>
      <c r="BC136" s="1056"/>
      <c r="BD136" s="1052"/>
      <c r="BE136" s="1052"/>
      <c r="BF136" s="1055"/>
      <c r="BG136" s="1056"/>
      <c r="BH136" s="1052"/>
      <c r="BI136" s="1052"/>
      <c r="BJ136" s="1055"/>
      <c r="BK136" s="1056"/>
      <c r="BL136" s="1052"/>
      <c r="BM136" s="1052"/>
      <c r="BN136" s="1055"/>
      <c r="BO136" s="1057"/>
      <c r="BP136" s="1058"/>
      <c r="BQ136" s="1055"/>
      <c r="BR136" s="1056"/>
      <c r="BS136" s="1052"/>
      <c r="BT136" s="1052"/>
      <c r="BU136" s="1055"/>
      <c r="BV136" s="1056"/>
      <c r="BW136" s="1052"/>
      <c r="BX136" s="1052"/>
      <c r="BY136" s="1055"/>
      <c r="BZ136" s="1056"/>
      <c r="CA136" s="1052"/>
      <c r="CB136" s="1052"/>
      <c r="CC136" s="1055"/>
      <c r="CD136" s="1057"/>
      <c r="CE136" s="1052"/>
      <c r="CF136" s="1055"/>
      <c r="CG136" s="1056"/>
      <c r="CH136" s="1052"/>
      <c r="CI136" s="1052"/>
      <c r="CJ136" s="1055"/>
      <c r="CK136" s="1056"/>
      <c r="CL136" s="1052"/>
      <c r="CM136" s="1052"/>
      <c r="CN136" s="1055"/>
      <c r="CO136" s="1056"/>
      <c r="CP136" s="1052"/>
      <c r="CQ136" s="1052"/>
      <c r="CR136" s="1053"/>
      <c r="CS136" s="1648"/>
      <c r="CT136" s="1640"/>
      <c r="CU136" s="1641"/>
      <c r="CV136" s="1641"/>
      <c r="CW136" s="1641"/>
      <c r="CX136" s="1641"/>
      <c r="CY136" s="1641"/>
      <c r="CZ136" s="1642"/>
      <c r="DO136" s="1027"/>
      <c r="DP136" s="1027"/>
      <c r="DQ136" s="1027"/>
    </row>
    <row r="137" spans="1:121" s="132" customFormat="1" ht="12.95" customHeight="1" thickBot="1" x14ac:dyDescent="0.3">
      <c r="A137" s="1610" t="s">
        <v>470</v>
      </c>
      <c r="B137" s="1017" t="s">
        <v>154</v>
      </c>
      <c r="C137" s="1070">
        <v>300</v>
      </c>
      <c r="D137" s="1064"/>
      <c r="E137" s="1061"/>
      <c r="F137" s="1062"/>
      <c r="G137" s="1063"/>
      <c r="H137" s="1064"/>
      <c r="I137" s="1060"/>
      <c r="J137" s="1060"/>
      <c r="K137" s="1063"/>
      <c r="L137" s="1064"/>
      <c r="M137" s="1060"/>
      <c r="N137" s="1060"/>
      <c r="O137" s="1063"/>
      <c r="P137" s="1064"/>
      <c r="Q137" s="1060"/>
      <c r="R137" s="1060"/>
      <c r="S137" s="1063"/>
      <c r="T137" s="1065"/>
      <c r="U137" s="1066"/>
      <c r="V137" s="1063"/>
      <c r="W137" s="1064"/>
      <c r="X137" s="1060"/>
      <c r="Y137" s="1060"/>
      <c r="Z137" s="1063"/>
      <c r="AA137" s="1064"/>
      <c r="AB137" s="1060"/>
      <c r="AC137" s="1060"/>
      <c r="AD137" s="1063"/>
      <c r="AE137" s="1064"/>
      <c r="AF137" s="1060"/>
      <c r="AG137" s="1060"/>
      <c r="AH137" s="1063"/>
      <c r="AI137" s="1065"/>
      <c r="AJ137" s="1060"/>
      <c r="AK137" s="1063"/>
      <c r="AL137" s="1064"/>
      <c r="AM137" s="1060"/>
      <c r="AN137" s="1060"/>
      <c r="AO137" s="1063"/>
      <c r="AP137" s="1064"/>
      <c r="AQ137" s="1060"/>
      <c r="AR137" s="1060"/>
      <c r="AS137" s="1063"/>
      <c r="AT137" s="1064"/>
      <c r="AU137" s="1060"/>
      <c r="AV137" s="1060"/>
      <c r="AW137" s="1061"/>
      <c r="AX137" s="1101">
        <v>0</v>
      </c>
      <c r="AY137" s="1064"/>
      <c r="AZ137" s="1061"/>
      <c r="BA137" s="1062"/>
      <c r="BB137" s="1063"/>
      <c r="BC137" s="1064"/>
      <c r="BD137" s="1060"/>
      <c r="BE137" s="1060"/>
      <c r="BF137" s="1063"/>
      <c r="BG137" s="1064"/>
      <c r="BH137" s="1060"/>
      <c r="BI137" s="1060"/>
      <c r="BJ137" s="1063"/>
      <c r="BK137" s="1064"/>
      <c r="BL137" s="1060"/>
      <c r="BM137" s="1060"/>
      <c r="BN137" s="1063"/>
      <c r="BO137" s="1065"/>
      <c r="BP137" s="1066"/>
      <c r="BQ137" s="1063"/>
      <c r="BR137" s="1064"/>
      <c r="BS137" s="1060"/>
      <c r="BT137" s="1060"/>
      <c r="BU137" s="1063"/>
      <c r="BV137" s="1064"/>
      <c r="BW137" s="1060"/>
      <c r="BX137" s="1060"/>
      <c r="BY137" s="1063"/>
      <c r="BZ137" s="1064"/>
      <c r="CA137" s="1060"/>
      <c r="CB137" s="1060"/>
      <c r="CC137" s="1063"/>
      <c r="CD137" s="1065"/>
      <c r="CE137" s="1060"/>
      <c r="CF137" s="1063"/>
      <c r="CG137" s="1064"/>
      <c r="CH137" s="1060"/>
      <c r="CI137" s="1060"/>
      <c r="CJ137" s="1063"/>
      <c r="CK137" s="1064"/>
      <c r="CL137" s="1060"/>
      <c r="CM137" s="1060"/>
      <c r="CN137" s="1063"/>
      <c r="CO137" s="1064"/>
      <c r="CP137" s="1060"/>
      <c r="CQ137" s="1060"/>
      <c r="CR137" s="1061"/>
      <c r="CS137" s="1101">
        <v>0</v>
      </c>
      <c r="CT137" s="1613"/>
      <c r="CU137" s="1614"/>
      <c r="CV137" s="1614"/>
      <c r="CW137" s="1614"/>
      <c r="CX137" s="1614"/>
      <c r="CY137" s="1614"/>
      <c r="CZ137" s="1615"/>
      <c r="DO137" s="1027"/>
      <c r="DP137" s="1027"/>
      <c r="DQ137" s="1027"/>
    </row>
    <row r="138" spans="1:121" s="132" customFormat="1" ht="3" customHeight="1" x14ac:dyDescent="0.25">
      <c r="A138" s="1611"/>
      <c r="B138" s="1622" t="s">
        <v>155</v>
      </c>
      <c r="C138" s="1606"/>
      <c r="D138" s="1043"/>
      <c r="E138" s="1044"/>
      <c r="F138" s="1044"/>
      <c r="G138" s="1045"/>
      <c r="H138" s="1046"/>
      <c r="I138" s="1043"/>
      <c r="J138" s="1043"/>
      <c r="K138" s="1045"/>
      <c r="L138" s="1046"/>
      <c r="M138" s="1043"/>
      <c r="N138" s="1043"/>
      <c r="O138" s="1045"/>
      <c r="P138" s="1046"/>
      <c r="Q138" s="1043"/>
      <c r="R138" s="1043"/>
      <c r="S138" s="1045"/>
      <c r="T138" s="1047"/>
      <c r="U138" s="1048"/>
      <c r="V138" s="1045"/>
      <c r="W138" s="1046"/>
      <c r="X138" s="1043"/>
      <c r="Y138" s="1043"/>
      <c r="Z138" s="1045"/>
      <c r="AA138" s="1046"/>
      <c r="AB138" s="1043"/>
      <c r="AC138" s="1043"/>
      <c r="AD138" s="1045"/>
      <c r="AE138" s="1046"/>
      <c r="AF138" s="1043"/>
      <c r="AG138" s="1043"/>
      <c r="AH138" s="1049"/>
      <c r="AI138" s="1050"/>
      <c r="AJ138" s="1043"/>
      <c r="AK138" s="1045"/>
      <c r="AL138" s="1046"/>
      <c r="AM138" s="1043"/>
      <c r="AN138" s="1043"/>
      <c r="AO138" s="1045"/>
      <c r="AP138" s="1046"/>
      <c r="AQ138" s="1043"/>
      <c r="AR138" s="1043"/>
      <c r="AS138" s="1045"/>
      <c r="AT138" s="1046"/>
      <c r="AU138" s="1043"/>
      <c r="AV138" s="1043"/>
      <c r="AW138" s="1044"/>
      <c r="AX138" s="1624">
        <f>IF(AX137/C137 &gt; 12,12,AX137/C137)</f>
        <v>0</v>
      </c>
      <c r="AY138" s="1043"/>
      <c r="AZ138" s="1044"/>
      <c r="BA138" s="1044"/>
      <c r="BB138" s="1045"/>
      <c r="BC138" s="1046"/>
      <c r="BD138" s="1043"/>
      <c r="BE138" s="1043"/>
      <c r="BF138" s="1045"/>
      <c r="BG138" s="1046"/>
      <c r="BH138" s="1043"/>
      <c r="BI138" s="1043"/>
      <c r="BJ138" s="1045"/>
      <c r="BK138" s="1046"/>
      <c r="BL138" s="1043"/>
      <c r="BM138" s="1043"/>
      <c r="BN138" s="1045"/>
      <c r="BO138" s="1047"/>
      <c r="BP138" s="1048"/>
      <c r="BQ138" s="1045"/>
      <c r="BR138" s="1046"/>
      <c r="BS138" s="1043"/>
      <c r="BT138" s="1043"/>
      <c r="BU138" s="1045"/>
      <c r="BV138" s="1046"/>
      <c r="BW138" s="1043"/>
      <c r="BX138" s="1043"/>
      <c r="BY138" s="1045"/>
      <c r="BZ138" s="1046"/>
      <c r="CA138" s="1043"/>
      <c r="CB138" s="1043"/>
      <c r="CC138" s="1049"/>
      <c r="CD138" s="1050"/>
      <c r="CE138" s="1043"/>
      <c r="CF138" s="1045"/>
      <c r="CG138" s="1046"/>
      <c r="CH138" s="1043"/>
      <c r="CI138" s="1043"/>
      <c r="CJ138" s="1045"/>
      <c r="CK138" s="1046"/>
      <c r="CL138" s="1043"/>
      <c r="CM138" s="1043"/>
      <c r="CN138" s="1045"/>
      <c r="CO138" s="1046"/>
      <c r="CP138" s="1043"/>
      <c r="CQ138" s="1043"/>
      <c r="CR138" s="1044"/>
      <c r="CS138" s="1624">
        <f>IF(CS137/C137 &gt; 12,12,CS137/C137)</f>
        <v>0</v>
      </c>
      <c r="CT138" s="1616"/>
      <c r="CU138" s="1617"/>
      <c r="CV138" s="1617"/>
      <c r="CW138" s="1617"/>
      <c r="CX138" s="1617"/>
      <c r="CY138" s="1617"/>
      <c r="CZ138" s="1618"/>
      <c r="DO138" s="1027"/>
      <c r="DP138" s="1027"/>
      <c r="DQ138" s="1027"/>
    </row>
    <row r="139" spans="1:121" s="132" customFormat="1" ht="12.75" customHeight="1" thickBot="1" x14ac:dyDescent="0.3">
      <c r="A139" s="1612"/>
      <c r="B139" s="1623"/>
      <c r="C139" s="1607"/>
      <c r="D139" s="1028"/>
      <c r="E139" s="1029"/>
      <c r="F139" s="1030"/>
      <c r="G139" s="1031"/>
      <c r="H139" s="1032"/>
      <c r="I139" s="1028"/>
      <c r="J139" s="1028"/>
      <c r="K139" s="1031"/>
      <c r="L139" s="1032"/>
      <c r="M139" s="1028"/>
      <c r="N139" s="1028"/>
      <c r="O139" s="1031"/>
      <c r="P139" s="1032"/>
      <c r="Q139" s="1028"/>
      <c r="R139" s="1028"/>
      <c r="S139" s="1031"/>
      <c r="T139" s="1033"/>
      <c r="U139" s="1034"/>
      <c r="V139" s="1031"/>
      <c r="W139" s="1032"/>
      <c r="X139" s="1028"/>
      <c r="Y139" s="1028"/>
      <c r="Z139" s="1031"/>
      <c r="AA139" s="1032"/>
      <c r="AB139" s="1028"/>
      <c r="AC139" s="1028"/>
      <c r="AD139" s="1031"/>
      <c r="AE139" s="1032"/>
      <c r="AF139" s="1028"/>
      <c r="AG139" s="1028"/>
      <c r="AH139" s="1031"/>
      <c r="AI139" s="1033"/>
      <c r="AJ139" s="1035"/>
      <c r="AK139" s="1031"/>
      <c r="AL139" s="1032"/>
      <c r="AM139" s="1028"/>
      <c r="AN139" s="1028"/>
      <c r="AO139" s="1031"/>
      <c r="AP139" s="1032"/>
      <c r="AQ139" s="1028"/>
      <c r="AR139" s="1028"/>
      <c r="AS139" s="1031"/>
      <c r="AT139" s="1032"/>
      <c r="AU139" s="1028"/>
      <c r="AV139" s="1028"/>
      <c r="AW139" s="1029"/>
      <c r="AX139" s="1625"/>
      <c r="AY139" s="1028"/>
      <c r="AZ139" s="1029"/>
      <c r="BA139" s="1030"/>
      <c r="BB139" s="1031"/>
      <c r="BC139" s="1032"/>
      <c r="BD139" s="1028"/>
      <c r="BE139" s="1028"/>
      <c r="BF139" s="1031"/>
      <c r="BG139" s="1032"/>
      <c r="BH139" s="1028"/>
      <c r="BI139" s="1028"/>
      <c r="BJ139" s="1031"/>
      <c r="BK139" s="1032"/>
      <c r="BL139" s="1028"/>
      <c r="BM139" s="1028"/>
      <c r="BN139" s="1031"/>
      <c r="BO139" s="1033"/>
      <c r="BP139" s="1034"/>
      <c r="BQ139" s="1031"/>
      <c r="BR139" s="1032"/>
      <c r="BS139" s="1028"/>
      <c r="BT139" s="1028"/>
      <c r="BU139" s="1031"/>
      <c r="BV139" s="1032"/>
      <c r="BW139" s="1028"/>
      <c r="BX139" s="1028"/>
      <c r="BY139" s="1031"/>
      <c r="BZ139" s="1032"/>
      <c r="CA139" s="1028"/>
      <c r="CB139" s="1028"/>
      <c r="CC139" s="1031"/>
      <c r="CD139" s="1033"/>
      <c r="CE139" s="1035"/>
      <c r="CF139" s="1031"/>
      <c r="CG139" s="1032"/>
      <c r="CH139" s="1028"/>
      <c r="CI139" s="1028"/>
      <c r="CJ139" s="1031"/>
      <c r="CK139" s="1032"/>
      <c r="CL139" s="1028"/>
      <c r="CM139" s="1028"/>
      <c r="CN139" s="1031"/>
      <c r="CO139" s="1032"/>
      <c r="CP139" s="1028"/>
      <c r="CQ139" s="1028"/>
      <c r="CR139" s="1029"/>
      <c r="CS139" s="1625"/>
      <c r="CT139" s="1619"/>
      <c r="CU139" s="1620"/>
      <c r="CV139" s="1620"/>
      <c r="CW139" s="1620"/>
      <c r="CX139" s="1620"/>
      <c r="CY139" s="1620"/>
      <c r="CZ139" s="1621"/>
      <c r="DO139" s="1027"/>
      <c r="DP139" s="1027"/>
      <c r="DQ139" s="1027"/>
    </row>
    <row r="140" spans="1:121" s="132" customFormat="1" ht="12.95" hidden="1" customHeight="1" thickBot="1" x14ac:dyDescent="0.3">
      <c r="A140" s="1610" t="s">
        <v>468</v>
      </c>
      <c r="B140" s="1017" t="s">
        <v>154</v>
      </c>
      <c r="C140" s="1070"/>
      <c r="D140" s="385"/>
      <c r="E140" s="386"/>
      <c r="F140" s="386"/>
      <c r="G140" s="387"/>
      <c r="H140" s="388"/>
      <c r="I140" s="385"/>
      <c r="J140" s="386"/>
      <c r="K140" s="387"/>
      <c r="L140" s="388"/>
      <c r="M140" s="385"/>
      <c r="N140" s="386"/>
      <c r="O140" s="387"/>
      <c r="P140" s="388"/>
      <c r="Q140" s="385"/>
      <c r="R140" s="386"/>
      <c r="S140" s="387"/>
      <c r="T140" s="334"/>
      <c r="U140" s="335"/>
      <c r="V140" s="332"/>
      <c r="W140" s="329"/>
      <c r="X140" s="333"/>
      <c r="Y140" s="333"/>
      <c r="Z140" s="332"/>
      <c r="AA140" s="329"/>
      <c r="AB140" s="333"/>
      <c r="AC140" s="333"/>
      <c r="AD140" s="332"/>
      <c r="AE140" s="329"/>
      <c r="AF140" s="333"/>
      <c r="AG140" s="333"/>
      <c r="AH140" s="332"/>
      <c r="AI140" s="334"/>
      <c r="AJ140" s="336"/>
      <c r="AK140" s="332"/>
      <c r="AL140" s="329"/>
      <c r="AM140" s="333"/>
      <c r="AN140" s="333"/>
      <c r="AO140" s="332"/>
      <c r="AP140" s="329"/>
      <c r="AQ140" s="333"/>
      <c r="AR140" s="333"/>
      <c r="AS140" s="332"/>
      <c r="AT140" s="329"/>
      <c r="AU140" s="333"/>
      <c r="AV140" s="385"/>
      <c r="AW140" s="386"/>
      <c r="AX140" s="1018">
        <f t="shared" ref="AX140" si="3">AX141*C140</f>
        <v>0</v>
      </c>
      <c r="AY140" s="385"/>
      <c r="AZ140" s="386"/>
      <c r="BA140" s="386"/>
      <c r="BB140" s="387"/>
      <c r="BC140" s="388"/>
      <c r="BD140" s="385"/>
      <c r="BE140" s="386"/>
      <c r="BF140" s="387"/>
      <c r="BG140" s="388"/>
      <c r="BH140" s="385"/>
      <c r="BI140" s="386"/>
      <c r="BJ140" s="387"/>
      <c r="BK140" s="388"/>
      <c r="BL140" s="385"/>
      <c r="BM140" s="386"/>
      <c r="BN140" s="387"/>
      <c r="BO140" s="334"/>
      <c r="BP140" s="335"/>
      <c r="BQ140" s="332"/>
      <c r="BR140" s="329"/>
      <c r="BS140" s="333"/>
      <c r="BT140" s="333"/>
      <c r="BU140" s="332"/>
      <c r="BV140" s="329"/>
      <c r="BW140" s="333"/>
      <c r="BX140" s="333"/>
      <c r="BY140" s="332"/>
      <c r="BZ140" s="329"/>
      <c r="CA140" s="333"/>
      <c r="CB140" s="333"/>
      <c r="CC140" s="332"/>
      <c r="CD140" s="334"/>
      <c r="CE140" s="336"/>
      <c r="CF140" s="332"/>
      <c r="CG140" s="329"/>
      <c r="CH140" s="333"/>
      <c r="CI140" s="333"/>
      <c r="CJ140" s="332"/>
      <c r="CK140" s="329"/>
      <c r="CL140" s="333"/>
      <c r="CM140" s="333"/>
      <c r="CN140" s="332"/>
      <c r="CO140" s="329"/>
      <c r="CP140" s="333"/>
      <c r="CQ140" s="385"/>
      <c r="CR140" s="386"/>
      <c r="CS140" s="1018">
        <f>CS141*C140</f>
        <v>0</v>
      </c>
      <c r="CT140" s="1653"/>
      <c r="CU140" s="1654"/>
      <c r="CV140" s="1654"/>
      <c r="CW140" s="1654"/>
      <c r="CX140" s="1654"/>
      <c r="CY140" s="1654"/>
      <c r="CZ140" s="1655"/>
      <c r="DO140" s="1027"/>
      <c r="DP140" s="1027"/>
      <c r="DQ140" s="1027"/>
    </row>
    <row r="141" spans="1:121" s="132" customFormat="1" ht="3" hidden="1" customHeight="1" x14ac:dyDescent="0.25">
      <c r="A141" s="1611"/>
      <c r="B141" s="1622" t="s">
        <v>155</v>
      </c>
      <c r="C141" s="1606"/>
      <c r="D141" s="394"/>
      <c r="E141" s="394"/>
      <c r="F141" s="391"/>
      <c r="G141" s="392"/>
      <c r="H141" s="393"/>
      <c r="I141" s="394"/>
      <c r="J141" s="394"/>
      <c r="K141" s="392"/>
      <c r="L141" s="393"/>
      <c r="M141" s="394"/>
      <c r="N141" s="394"/>
      <c r="O141" s="392"/>
      <c r="P141" s="393"/>
      <c r="Q141" s="394"/>
      <c r="R141" s="394"/>
      <c r="S141" s="392"/>
      <c r="T141" s="393"/>
      <c r="U141" s="394"/>
      <c r="V141" s="394"/>
      <c r="W141" s="349"/>
      <c r="X141" s="350"/>
      <c r="Y141" s="350"/>
      <c r="Z141" s="348"/>
      <c r="AA141" s="349"/>
      <c r="AB141" s="350"/>
      <c r="AC141" s="350"/>
      <c r="AD141" s="348"/>
      <c r="AE141" s="349"/>
      <c r="AF141" s="350"/>
      <c r="AG141" s="350"/>
      <c r="AH141" s="351"/>
      <c r="AI141" s="393"/>
      <c r="AJ141" s="394"/>
      <c r="AK141" s="394"/>
      <c r="AL141" s="349"/>
      <c r="AM141" s="350"/>
      <c r="AN141" s="350"/>
      <c r="AO141" s="348"/>
      <c r="AP141" s="349"/>
      <c r="AQ141" s="350"/>
      <c r="AR141" s="350"/>
      <c r="AS141" s="348"/>
      <c r="AT141" s="349"/>
      <c r="AU141" s="350"/>
      <c r="AV141" s="394"/>
      <c r="AW141" s="394"/>
      <c r="AX141" s="1608">
        <v>0</v>
      </c>
      <c r="AY141" s="394"/>
      <c r="AZ141" s="394"/>
      <c r="BA141" s="391"/>
      <c r="BB141" s="392"/>
      <c r="BC141" s="393"/>
      <c r="BD141" s="394"/>
      <c r="BE141" s="394"/>
      <c r="BF141" s="392"/>
      <c r="BG141" s="393"/>
      <c r="BH141" s="394"/>
      <c r="BI141" s="394"/>
      <c r="BJ141" s="392"/>
      <c r="BK141" s="393"/>
      <c r="BL141" s="394"/>
      <c r="BM141" s="394"/>
      <c r="BN141" s="392"/>
      <c r="BO141" s="393"/>
      <c r="BP141" s="394"/>
      <c r="BQ141" s="394"/>
      <c r="BR141" s="349"/>
      <c r="BS141" s="350"/>
      <c r="BT141" s="350"/>
      <c r="BU141" s="348"/>
      <c r="BV141" s="349"/>
      <c r="BW141" s="350"/>
      <c r="BX141" s="350"/>
      <c r="BY141" s="348"/>
      <c r="BZ141" s="349"/>
      <c r="CA141" s="350"/>
      <c r="CB141" s="350"/>
      <c r="CC141" s="351"/>
      <c r="CD141" s="393"/>
      <c r="CE141" s="394"/>
      <c r="CF141" s="394"/>
      <c r="CG141" s="349"/>
      <c r="CH141" s="350"/>
      <c r="CI141" s="350"/>
      <c r="CJ141" s="348"/>
      <c r="CK141" s="349"/>
      <c r="CL141" s="350"/>
      <c r="CM141" s="350"/>
      <c r="CN141" s="348"/>
      <c r="CO141" s="349"/>
      <c r="CP141" s="350"/>
      <c r="CQ141" s="394"/>
      <c r="CR141" s="394"/>
      <c r="CS141" s="1608">
        <v>0</v>
      </c>
      <c r="CT141" s="1656"/>
      <c r="CU141" s="1657"/>
      <c r="CV141" s="1657"/>
      <c r="CW141" s="1657"/>
      <c r="CX141" s="1657"/>
      <c r="CY141" s="1657"/>
      <c r="CZ141" s="1658"/>
      <c r="DO141" s="1027"/>
      <c r="DP141" s="1027"/>
      <c r="DQ141" s="1027"/>
    </row>
    <row r="142" spans="1:121" s="132" customFormat="1" ht="12.95" hidden="1" customHeight="1" thickBot="1" x14ac:dyDescent="0.3">
      <c r="A142" s="1612"/>
      <c r="B142" s="1623"/>
      <c r="C142" s="1607"/>
      <c r="D142" s="1052"/>
      <c r="E142" s="1053"/>
      <c r="F142" s="1054"/>
      <c r="G142" s="1055"/>
      <c r="H142" s="1056"/>
      <c r="I142" s="1052"/>
      <c r="J142" s="1052"/>
      <c r="K142" s="1055"/>
      <c r="L142" s="1056"/>
      <c r="M142" s="1052"/>
      <c r="N142" s="1052"/>
      <c r="O142" s="1055"/>
      <c r="P142" s="1056"/>
      <c r="Q142" s="1052"/>
      <c r="R142" s="1052"/>
      <c r="S142" s="1055"/>
      <c r="T142" s="1057"/>
      <c r="U142" s="1058"/>
      <c r="V142" s="1055"/>
      <c r="W142" s="1056"/>
      <c r="X142" s="1052"/>
      <c r="Y142" s="1052"/>
      <c r="Z142" s="1055"/>
      <c r="AA142" s="1056"/>
      <c r="AB142" s="1052"/>
      <c r="AC142" s="1052"/>
      <c r="AD142" s="1055"/>
      <c r="AE142" s="1056"/>
      <c r="AF142" s="1052"/>
      <c r="AG142" s="1052"/>
      <c r="AH142" s="1055"/>
      <c r="AI142" s="1057"/>
      <c r="AJ142" s="1052"/>
      <c r="AK142" s="1055"/>
      <c r="AL142" s="1056"/>
      <c r="AM142" s="1052"/>
      <c r="AN142" s="1052"/>
      <c r="AO142" s="1055"/>
      <c r="AP142" s="1056"/>
      <c r="AQ142" s="1052"/>
      <c r="AR142" s="1052"/>
      <c r="AS142" s="1055"/>
      <c r="AT142" s="1056"/>
      <c r="AU142" s="1052"/>
      <c r="AV142" s="1052"/>
      <c r="AW142" s="1053"/>
      <c r="AX142" s="1609"/>
      <c r="AY142" s="1052"/>
      <c r="AZ142" s="1053"/>
      <c r="BA142" s="1054"/>
      <c r="BB142" s="1055"/>
      <c r="BC142" s="1056"/>
      <c r="BD142" s="1052"/>
      <c r="BE142" s="1052"/>
      <c r="BF142" s="1055"/>
      <c r="BG142" s="1056"/>
      <c r="BH142" s="1052"/>
      <c r="BI142" s="1052"/>
      <c r="BJ142" s="1055"/>
      <c r="BK142" s="1056"/>
      <c r="BL142" s="1052"/>
      <c r="BM142" s="1052"/>
      <c r="BN142" s="1055"/>
      <c r="BO142" s="1057"/>
      <c r="BP142" s="1058"/>
      <c r="BQ142" s="1055"/>
      <c r="BR142" s="1056"/>
      <c r="BS142" s="1052"/>
      <c r="BT142" s="1052"/>
      <c r="BU142" s="1055"/>
      <c r="BV142" s="1056"/>
      <c r="BW142" s="1052"/>
      <c r="BX142" s="1052"/>
      <c r="BY142" s="1055"/>
      <c r="BZ142" s="1056"/>
      <c r="CA142" s="1052"/>
      <c r="CB142" s="1052"/>
      <c r="CC142" s="1055"/>
      <c r="CD142" s="1057"/>
      <c r="CE142" s="1052"/>
      <c r="CF142" s="1055"/>
      <c r="CG142" s="1056"/>
      <c r="CH142" s="1052"/>
      <c r="CI142" s="1052"/>
      <c r="CJ142" s="1055"/>
      <c r="CK142" s="1056"/>
      <c r="CL142" s="1052"/>
      <c r="CM142" s="1052"/>
      <c r="CN142" s="1055"/>
      <c r="CO142" s="1056"/>
      <c r="CP142" s="1052"/>
      <c r="CQ142" s="1052"/>
      <c r="CR142" s="1053"/>
      <c r="CS142" s="1609"/>
      <c r="CT142" s="1640"/>
      <c r="CU142" s="1641"/>
      <c r="CV142" s="1641"/>
      <c r="CW142" s="1641"/>
      <c r="CX142" s="1641"/>
      <c r="CY142" s="1641"/>
      <c r="CZ142" s="1642"/>
      <c r="DO142" s="1027"/>
      <c r="DP142" s="1027"/>
      <c r="DQ142" s="1027"/>
    </row>
    <row r="143" spans="1:121" s="132" customFormat="1" ht="15" customHeight="1" thickBot="1" x14ac:dyDescent="0.3">
      <c r="A143" s="1649" t="s">
        <v>441</v>
      </c>
      <c r="B143" s="1017" t="s">
        <v>154</v>
      </c>
      <c r="C143" s="1070">
        <v>300</v>
      </c>
      <c r="D143" s="1036"/>
      <c r="E143" s="1037"/>
      <c r="F143" s="1038"/>
      <c r="G143" s="1039"/>
      <c r="H143" s="1036"/>
      <c r="I143" s="1040"/>
      <c r="J143" s="1040"/>
      <c r="K143" s="1039"/>
      <c r="L143" s="1036"/>
      <c r="M143" s="1040"/>
      <c r="N143" s="1040"/>
      <c r="O143" s="1039"/>
      <c r="P143" s="1036"/>
      <c r="Q143" s="1040"/>
      <c r="R143" s="1040"/>
      <c r="S143" s="1039"/>
      <c r="T143" s="1041"/>
      <c r="U143" s="1042"/>
      <c r="V143" s="1039"/>
      <c r="W143" s="1036"/>
      <c r="X143" s="1040"/>
      <c r="Y143" s="1040"/>
      <c r="Z143" s="1039"/>
      <c r="AA143" s="1036"/>
      <c r="AB143" s="1040"/>
      <c r="AC143" s="1040"/>
      <c r="AD143" s="1039"/>
      <c r="AE143" s="1036"/>
      <c r="AF143" s="1040"/>
      <c r="AG143" s="1040"/>
      <c r="AH143" s="1039"/>
      <c r="AI143" s="1047"/>
      <c r="AJ143" s="1040"/>
      <c r="AK143" s="1039"/>
      <c r="AL143" s="1036"/>
      <c r="AM143" s="1040"/>
      <c r="AN143" s="1040"/>
      <c r="AO143" s="1039"/>
      <c r="AP143" s="1036"/>
      <c r="AQ143" s="1040"/>
      <c r="AR143" s="1040"/>
      <c r="AS143" s="1039"/>
      <c r="AT143" s="1036"/>
      <c r="AU143" s="1040"/>
      <c r="AV143" s="1040"/>
      <c r="AW143" s="1037"/>
      <c r="AX143" s="1101">
        <v>0</v>
      </c>
      <c r="AY143" s="1036"/>
      <c r="AZ143" s="1037"/>
      <c r="BA143" s="1038"/>
      <c r="BB143" s="1039"/>
      <c r="BC143" s="1036"/>
      <c r="BD143" s="1040"/>
      <c r="BE143" s="1040"/>
      <c r="BF143" s="1039"/>
      <c r="BG143" s="1036"/>
      <c r="BH143" s="1040"/>
      <c r="BI143" s="1040"/>
      <c r="BJ143" s="1039"/>
      <c r="BK143" s="1036"/>
      <c r="BL143" s="1040"/>
      <c r="BM143" s="1040"/>
      <c r="BN143" s="1039"/>
      <c r="BO143" s="1041"/>
      <c r="BP143" s="1042"/>
      <c r="BQ143" s="1039"/>
      <c r="BR143" s="1036"/>
      <c r="BS143" s="1040"/>
      <c r="BT143" s="1040"/>
      <c r="BU143" s="1039"/>
      <c r="BV143" s="1036"/>
      <c r="BW143" s="1040"/>
      <c r="BX143" s="1040"/>
      <c r="BY143" s="1039"/>
      <c r="BZ143" s="1036"/>
      <c r="CA143" s="1040"/>
      <c r="CB143" s="1040"/>
      <c r="CC143" s="1039"/>
      <c r="CD143" s="1047"/>
      <c r="CE143" s="1040"/>
      <c r="CF143" s="1039"/>
      <c r="CG143" s="1036"/>
      <c r="CH143" s="1040"/>
      <c r="CI143" s="1040"/>
      <c r="CJ143" s="1039"/>
      <c r="CK143" s="1036"/>
      <c r="CL143" s="1040"/>
      <c r="CM143" s="1040"/>
      <c r="CN143" s="1039"/>
      <c r="CO143" s="1036"/>
      <c r="CP143" s="1040"/>
      <c r="CQ143" s="1040"/>
      <c r="CR143" s="1037"/>
      <c r="CS143" s="1101">
        <v>0</v>
      </c>
      <c r="CT143" s="1613"/>
      <c r="CU143" s="1614"/>
      <c r="CV143" s="1614"/>
      <c r="CW143" s="1614"/>
      <c r="CX143" s="1614"/>
      <c r="CY143" s="1614"/>
      <c r="CZ143" s="1615"/>
      <c r="DO143" s="1027"/>
      <c r="DP143" s="1027"/>
      <c r="DQ143" s="1027"/>
    </row>
    <row r="144" spans="1:121" s="132" customFormat="1" ht="3" customHeight="1" x14ac:dyDescent="0.25">
      <c r="A144" s="1650"/>
      <c r="B144" s="1643" t="s">
        <v>155</v>
      </c>
      <c r="C144" s="1606"/>
      <c r="D144" s="1043"/>
      <c r="E144" s="1044"/>
      <c r="F144" s="1044"/>
      <c r="G144" s="1045"/>
      <c r="H144" s="1046"/>
      <c r="I144" s="1043"/>
      <c r="J144" s="1043"/>
      <c r="K144" s="1045"/>
      <c r="L144" s="1046"/>
      <c r="M144" s="1043"/>
      <c r="N144" s="1043"/>
      <c r="O144" s="1045"/>
      <c r="P144" s="1046"/>
      <c r="Q144" s="1043"/>
      <c r="R144" s="1043"/>
      <c r="S144" s="1045"/>
      <c r="T144" s="1047"/>
      <c r="U144" s="1048"/>
      <c r="V144" s="1045"/>
      <c r="W144" s="1046"/>
      <c r="X144" s="1043"/>
      <c r="Y144" s="1043"/>
      <c r="Z144" s="1045"/>
      <c r="AA144" s="1046"/>
      <c r="AB144" s="1043"/>
      <c r="AC144" s="1043"/>
      <c r="AD144" s="1045"/>
      <c r="AE144" s="1046"/>
      <c r="AF144" s="1043"/>
      <c r="AG144" s="1043"/>
      <c r="AH144" s="1049"/>
      <c r="AI144" s="1050"/>
      <c r="AJ144" s="1043"/>
      <c r="AK144" s="1045"/>
      <c r="AL144" s="1046"/>
      <c r="AM144" s="1043"/>
      <c r="AN144" s="1043"/>
      <c r="AO144" s="1045"/>
      <c r="AP144" s="1046"/>
      <c r="AQ144" s="1043"/>
      <c r="AR144" s="1043"/>
      <c r="AS144" s="1045"/>
      <c r="AT144" s="1046"/>
      <c r="AU144" s="1043"/>
      <c r="AV144" s="1043"/>
      <c r="AW144" s="1044"/>
      <c r="AX144" s="1624">
        <f>IF(AX143/C143 &gt; 12,12,AX143/C143)</f>
        <v>0</v>
      </c>
      <c r="AY144" s="1043"/>
      <c r="AZ144" s="1044"/>
      <c r="BA144" s="1044"/>
      <c r="BB144" s="1045"/>
      <c r="BC144" s="1046"/>
      <c r="BD144" s="1043"/>
      <c r="BE144" s="1043"/>
      <c r="BF144" s="1045"/>
      <c r="BG144" s="1046"/>
      <c r="BH144" s="1043"/>
      <c r="BI144" s="1043"/>
      <c r="BJ144" s="1045"/>
      <c r="BK144" s="1046"/>
      <c r="BL144" s="1043"/>
      <c r="BM144" s="1043"/>
      <c r="BN144" s="1045"/>
      <c r="BO144" s="1047"/>
      <c r="BP144" s="1048"/>
      <c r="BQ144" s="1045"/>
      <c r="BR144" s="1046"/>
      <c r="BS144" s="1043"/>
      <c r="BT144" s="1043"/>
      <c r="BU144" s="1045"/>
      <c r="BV144" s="1046"/>
      <c r="BW144" s="1043"/>
      <c r="BX144" s="1043"/>
      <c r="BY144" s="1045"/>
      <c r="BZ144" s="1046"/>
      <c r="CA144" s="1043"/>
      <c r="CB144" s="1043"/>
      <c r="CC144" s="1049"/>
      <c r="CD144" s="1050"/>
      <c r="CE144" s="1043"/>
      <c r="CF144" s="1045"/>
      <c r="CG144" s="1046"/>
      <c r="CH144" s="1043"/>
      <c r="CI144" s="1043"/>
      <c r="CJ144" s="1045"/>
      <c r="CK144" s="1046"/>
      <c r="CL144" s="1043"/>
      <c r="CM144" s="1043"/>
      <c r="CN144" s="1045"/>
      <c r="CO144" s="1046"/>
      <c r="CP144" s="1043"/>
      <c r="CQ144" s="1043"/>
      <c r="CR144" s="1044"/>
      <c r="CS144" s="1624">
        <f>IF(CS143/C143 &gt; 12,12,CS143/C143)</f>
        <v>0</v>
      </c>
      <c r="CT144" s="1616"/>
      <c r="CU144" s="1617"/>
      <c r="CV144" s="1617"/>
      <c r="CW144" s="1617"/>
      <c r="CX144" s="1617"/>
      <c r="CY144" s="1617"/>
      <c r="CZ144" s="1618"/>
      <c r="DO144" s="1027"/>
      <c r="DP144" s="1027"/>
      <c r="DQ144" s="1027"/>
    </row>
    <row r="145" spans="1:121" s="132" customFormat="1" ht="15" customHeight="1" thickBot="1" x14ac:dyDescent="0.3">
      <c r="A145" s="1651"/>
      <c r="B145" s="1652"/>
      <c r="C145" s="1607"/>
      <c r="D145" s="1052"/>
      <c r="E145" s="1053"/>
      <c r="F145" s="1054"/>
      <c r="G145" s="1055"/>
      <c r="H145" s="1056"/>
      <c r="I145" s="1052"/>
      <c r="J145" s="1052"/>
      <c r="K145" s="1055"/>
      <c r="L145" s="1056"/>
      <c r="M145" s="1052"/>
      <c r="N145" s="1052"/>
      <c r="O145" s="1055"/>
      <c r="P145" s="1056"/>
      <c r="Q145" s="1052"/>
      <c r="R145" s="1052"/>
      <c r="S145" s="1055"/>
      <c r="T145" s="1057"/>
      <c r="U145" s="1058"/>
      <c r="V145" s="1055"/>
      <c r="W145" s="1056"/>
      <c r="X145" s="1052"/>
      <c r="Y145" s="1052"/>
      <c r="Z145" s="1055"/>
      <c r="AA145" s="1056"/>
      <c r="AB145" s="1052"/>
      <c r="AC145" s="1052"/>
      <c r="AD145" s="1055"/>
      <c r="AE145" s="1056"/>
      <c r="AF145" s="1052"/>
      <c r="AG145" s="1052"/>
      <c r="AH145" s="1055"/>
      <c r="AI145" s="1057"/>
      <c r="AJ145" s="1052"/>
      <c r="AK145" s="1055"/>
      <c r="AL145" s="1056"/>
      <c r="AM145" s="1052"/>
      <c r="AN145" s="1052"/>
      <c r="AO145" s="1055"/>
      <c r="AP145" s="1056"/>
      <c r="AQ145" s="1052"/>
      <c r="AR145" s="1052"/>
      <c r="AS145" s="1055"/>
      <c r="AT145" s="1056"/>
      <c r="AU145" s="1052"/>
      <c r="AV145" s="1052"/>
      <c r="AW145" s="1053"/>
      <c r="AX145" s="1625"/>
      <c r="AY145" s="1052"/>
      <c r="AZ145" s="1053"/>
      <c r="BA145" s="1054"/>
      <c r="BB145" s="1055"/>
      <c r="BC145" s="1056"/>
      <c r="BD145" s="1052"/>
      <c r="BE145" s="1052"/>
      <c r="BF145" s="1055"/>
      <c r="BG145" s="1056"/>
      <c r="BH145" s="1052"/>
      <c r="BI145" s="1052"/>
      <c r="BJ145" s="1055"/>
      <c r="BK145" s="1056"/>
      <c r="BL145" s="1052"/>
      <c r="BM145" s="1052"/>
      <c r="BN145" s="1055"/>
      <c r="BO145" s="1057"/>
      <c r="BP145" s="1058"/>
      <c r="BQ145" s="1055"/>
      <c r="BR145" s="1056"/>
      <c r="BS145" s="1052"/>
      <c r="BT145" s="1052"/>
      <c r="BU145" s="1055"/>
      <c r="BV145" s="1056"/>
      <c r="BW145" s="1052"/>
      <c r="BX145" s="1052"/>
      <c r="BY145" s="1055"/>
      <c r="BZ145" s="1056"/>
      <c r="CA145" s="1052"/>
      <c r="CB145" s="1052"/>
      <c r="CC145" s="1055"/>
      <c r="CD145" s="1057"/>
      <c r="CE145" s="1052"/>
      <c r="CF145" s="1055"/>
      <c r="CG145" s="1056"/>
      <c r="CH145" s="1052"/>
      <c r="CI145" s="1052"/>
      <c r="CJ145" s="1055"/>
      <c r="CK145" s="1056"/>
      <c r="CL145" s="1052"/>
      <c r="CM145" s="1052"/>
      <c r="CN145" s="1055"/>
      <c r="CO145" s="1056"/>
      <c r="CP145" s="1052"/>
      <c r="CQ145" s="1052"/>
      <c r="CR145" s="1053"/>
      <c r="CS145" s="1625"/>
      <c r="CT145" s="1619"/>
      <c r="CU145" s="1620"/>
      <c r="CV145" s="1620"/>
      <c r="CW145" s="1620"/>
      <c r="CX145" s="1620"/>
      <c r="CY145" s="1620"/>
      <c r="CZ145" s="1621"/>
      <c r="DO145" s="1027"/>
      <c r="DP145" s="1027"/>
      <c r="DQ145" s="1027"/>
    </row>
    <row r="146" spans="1:121" s="132" customFormat="1" ht="34.5" hidden="1" customHeight="1" thickBot="1" x14ac:dyDescent="0.3">
      <c r="A146" s="1649" t="s">
        <v>442</v>
      </c>
      <c r="B146" s="1017" t="s">
        <v>154</v>
      </c>
      <c r="C146" s="1070">
        <v>315</v>
      </c>
      <c r="D146" s="1036"/>
      <c r="E146" s="1037"/>
      <c r="F146" s="1038"/>
      <c r="G146" s="1039"/>
      <c r="H146" s="1036"/>
      <c r="I146" s="1040"/>
      <c r="J146" s="1040"/>
      <c r="K146" s="1039"/>
      <c r="L146" s="1036"/>
      <c r="M146" s="1040"/>
      <c r="N146" s="1040"/>
      <c r="O146" s="1039"/>
      <c r="P146" s="1036"/>
      <c r="Q146" s="1040"/>
      <c r="R146" s="1040"/>
      <c r="S146" s="1039"/>
      <c r="T146" s="1041"/>
      <c r="U146" s="1042"/>
      <c r="V146" s="1039"/>
      <c r="W146" s="1036"/>
      <c r="X146" s="1040"/>
      <c r="Y146" s="1040"/>
      <c r="Z146" s="1039"/>
      <c r="AA146" s="1036"/>
      <c r="AB146" s="1040"/>
      <c r="AC146" s="1040"/>
      <c r="AD146" s="1039"/>
      <c r="AE146" s="1036"/>
      <c r="AF146" s="1040"/>
      <c r="AG146" s="1040"/>
      <c r="AH146" s="1039"/>
      <c r="AI146" s="1047"/>
      <c r="AJ146" s="1040"/>
      <c r="AK146" s="1039"/>
      <c r="AL146" s="1036"/>
      <c r="AM146" s="1040"/>
      <c r="AN146" s="1040"/>
      <c r="AO146" s="1039"/>
      <c r="AP146" s="1036"/>
      <c r="AQ146" s="1040"/>
      <c r="AR146" s="1040"/>
      <c r="AS146" s="1039"/>
      <c r="AT146" s="1036"/>
      <c r="AU146" s="1040"/>
      <c r="AV146" s="1040"/>
      <c r="AW146" s="1037"/>
      <c r="AX146" s="1018">
        <f t="shared" ref="AX146" si="4">AX147*C146</f>
        <v>0</v>
      </c>
      <c r="AY146" s="1036"/>
      <c r="AZ146" s="1037"/>
      <c r="BA146" s="1038"/>
      <c r="BB146" s="1039"/>
      <c r="BC146" s="1036"/>
      <c r="BD146" s="1040"/>
      <c r="BE146" s="1040"/>
      <c r="BF146" s="1039"/>
      <c r="BG146" s="1036"/>
      <c r="BH146" s="1040"/>
      <c r="BI146" s="1040"/>
      <c r="BJ146" s="1039"/>
      <c r="BK146" s="1036"/>
      <c r="BL146" s="1040"/>
      <c r="BM146" s="1040"/>
      <c r="BN146" s="1039"/>
      <c r="BO146" s="1041"/>
      <c r="BP146" s="1042"/>
      <c r="BQ146" s="1039"/>
      <c r="BR146" s="1036"/>
      <c r="BS146" s="1040"/>
      <c r="BT146" s="1040"/>
      <c r="BU146" s="1039"/>
      <c r="BV146" s="1036"/>
      <c r="BW146" s="1040"/>
      <c r="BX146" s="1040"/>
      <c r="BY146" s="1039"/>
      <c r="BZ146" s="1036"/>
      <c r="CA146" s="1040"/>
      <c r="CB146" s="1040"/>
      <c r="CC146" s="1039"/>
      <c r="CD146" s="1047"/>
      <c r="CE146" s="1040"/>
      <c r="CF146" s="1039"/>
      <c r="CG146" s="1036"/>
      <c r="CH146" s="1040"/>
      <c r="CI146" s="1040"/>
      <c r="CJ146" s="1039"/>
      <c r="CK146" s="1036"/>
      <c r="CL146" s="1040"/>
      <c r="CM146" s="1040"/>
      <c r="CN146" s="1039"/>
      <c r="CO146" s="1036"/>
      <c r="CP146" s="1040"/>
      <c r="CQ146" s="1040"/>
      <c r="CR146" s="1037"/>
      <c r="CS146" s="1018">
        <f>CS147*C146</f>
        <v>0</v>
      </c>
      <c r="CT146" s="1613"/>
      <c r="CU146" s="1614"/>
      <c r="CV146" s="1614"/>
      <c r="CW146" s="1614"/>
      <c r="CX146" s="1614"/>
      <c r="CY146" s="1614"/>
      <c r="CZ146" s="1615"/>
      <c r="DO146" s="1027"/>
      <c r="DP146" s="1027"/>
      <c r="DQ146" s="1027"/>
    </row>
    <row r="147" spans="1:121" s="132" customFormat="1" ht="27.75" hidden="1" customHeight="1" x14ac:dyDescent="0.25">
      <c r="A147" s="1650"/>
      <c r="B147" s="1643" t="s">
        <v>155</v>
      </c>
      <c r="C147" s="1606"/>
      <c r="D147" s="1043"/>
      <c r="E147" s="1044"/>
      <c r="F147" s="1044"/>
      <c r="G147" s="1045"/>
      <c r="H147" s="1046"/>
      <c r="I147" s="1043"/>
      <c r="J147" s="1043"/>
      <c r="K147" s="1045"/>
      <c r="L147" s="1046"/>
      <c r="M147" s="1043"/>
      <c r="N147" s="1043"/>
      <c r="O147" s="1045"/>
      <c r="P147" s="1046"/>
      <c r="Q147" s="1043"/>
      <c r="R147" s="1043"/>
      <c r="S147" s="1045"/>
      <c r="T147" s="1047"/>
      <c r="U147" s="1048"/>
      <c r="V147" s="1045"/>
      <c r="W147" s="1046"/>
      <c r="X147" s="1043"/>
      <c r="Y147" s="1043"/>
      <c r="Z147" s="1045"/>
      <c r="AA147" s="1046"/>
      <c r="AB147" s="1043"/>
      <c r="AC147" s="1043"/>
      <c r="AD147" s="1045"/>
      <c r="AE147" s="1046"/>
      <c r="AF147" s="1043"/>
      <c r="AG147" s="1043"/>
      <c r="AH147" s="1049"/>
      <c r="AI147" s="1050"/>
      <c r="AJ147" s="1043"/>
      <c r="AK147" s="1045"/>
      <c r="AL147" s="1046"/>
      <c r="AM147" s="1043"/>
      <c r="AN147" s="1043"/>
      <c r="AO147" s="1045"/>
      <c r="AP147" s="1046"/>
      <c r="AQ147" s="1043"/>
      <c r="AR147" s="1043"/>
      <c r="AS147" s="1045"/>
      <c r="AT147" s="1046"/>
      <c r="AU147" s="1043"/>
      <c r="AV147" s="1043"/>
      <c r="AW147" s="1044"/>
      <c r="AX147" s="1608">
        <v>0</v>
      </c>
      <c r="AY147" s="1043"/>
      <c r="AZ147" s="1044"/>
      <c r="BA147" s="1044"/>
      <c r="BB147" s="1045"/>
      <c r="BC147" s="1046"/>
      <c r="BD147" s="1043"/>
      <c r="BE147" s="1043"/>
      <c r="BF147" s="1045"/>
      <c r="BG147" s="1046"/>
      <c r="BH147" s="1043"/>
      <c r="BI147" s="1043"/>
      <c r="BJ147" s="1045"/>
      <c r="BK147" s="1046"/>
      <c r="BL147" s="1043"/>
      <c r="BM147" s="1043"/>
      <c r="BN147" s="1045"/>
      <c r="BO147" s="1047"/>
      <c r="BP147" s="1048"/>
      <c r="BQ147" s="1045"/>
      <c r="BR147" s="1046"/>
      <c r="BS147" s="1043"/>
      <c r="BT147" s="1043"/>
      <c r="BU147" s="1045"/>
      <c r="BV147" s="1046"/>
      <c r="BW147" s="1043"/>
      <c r="BX147" s="1043"/>
      <c r="BY147" s="1045"/>
      <c r="BZ147" s="1046"/>
      <c r="CA147" s="1043"/>
      <c r="CB147" s="1043"/>
      <c r="CC147" s="1049"/>
      <c r="CD147" s="1050"/>
      <c r="CE147" s="1043"/>
      <c r="CF147" s="1045"/>
      <c r="CG147" s="1046"/>
      <c r="CH147" s="1043"/>
      <c r="CI147" s="1043"/>
      <c r="CJ147" s="1045"/>
      <c r="CK147" s="1046"/>
      <c r="CL147" s="1043"/>
      <c r="CM147" s="1043"/>
      <c r="CN147" s="1045"/>
      <c r="CO147" s="1046"/>
      <c r="CP147" s="1043"/>
      <c r="CQ147" s="1043"/>
      <c r="CR147" s="1044"/>
      <c r="CS147" s="1608">
        <v>0</v>
      </c>
      <c r="CT147" s="1616"/>
      <c r="CU147" s="1617"/>
      <c r="CV147" s="1617"/>
      <c r="CW147" s="1617"/>
      <c r="CX147" s="1617"/>
      <c r="CY147" s="1617"/>
      <c r="CZ147" s="1618"/>
      <c r="DO147" s="1027"/>
      <c r="DP147" s="1027"/>
      <c r="DQ147" s="1027"/>
    </row>
    <row r="148" spans="1:121" s="132" customFormat="1" ht="27" hidden="1" customHeight="1" thickBot="1" x14ac:dyDescent="0.3">
      <c r="A148" s="1651"/>
      <c r="B148" s="1652"/>
      <c r="C148" s="1607"/>
      <c r="D148" s="1052"/>
      <c r="E148" s="1053"/>
      <c r="F148" s="1054"/>
      <c r="G148" s="1055"/>
      <c r="H148" s="1056"/>
      <c r="I148" s="1052"/>
      <c r="J148" s="1052"/>
      <c r="K148" s="1055"/>
      <c r="L148" s="1056"/>
      <c r="M148" s="1052"/>
      <c r="N148" s="1052"/>
      <c r="O148" s="1055"/>
      <c r="P148" s="1056"/>
      <c r="Q148" s="1052"/>
      <c r="R148" s="1052"/>
      <c r="S148" s="1055"/>
      <c r="T148" s="1057"/>
      <c r="U148" s="1058"/>
      <c r="V148" s="1055"/>
      <c r="W148" s="1056"/>
      <c r="X148" s="1052"/>
      <c r="Y148" s="1052"/>
      <c r="Z148" s="1055"/>
      <c r="AA148" s="1056"/>
      <c r="AB148" s="1052"/>
      <c r="AC148" s="1052"/>
      <c r="AD148" s="1055"/>
      <c r="AE148" s="1056"/>
      <c r="AF148" s="1052"/>
      <c r="AG148" s="1052"/>
      <c r="AH148" s="1055"/>
      <c r="AI148" s="1057"/>
      <c r="AJ148" s="1052"/>
      <c r="AK148" s="1055"/>
      <c r="AL148" s="1056"/>
      <c r="AM148" s="1052"/>
      <c r="AN148" s="1052"/>
      <c r="AO148" s="1055"/>
      <c r="AP148" s="1056"/>
      <c r="AQ148" s="1052"/>
      <c r="AR148" s="1052"/>
      <c r="AS148" s="1055"/>
      <c r="AT148" s="1056"/>
      <c r="AU148" s="1052"/>
      <c r="AV148" s="1052"/>
      <c r="AW148" s="1053"/>
      <c r="AX148" s="1609"/>
      <c r="AY148" s="1052"/>
      <c r="AZ148" s="1053"/>
      <c r="BA148" s="1054"/>
      <c r="BB148" s="1055"/>
      <c r="BC148" s="1056"/>
      <c r="BD148" s="1052"/>
      <c r="BE148" s="1052"/>
      <c r="BF148" s="1055"/>
      <c r="BG148" s="1056"/>
      <c r="BH148" s="1052"/>
      <c r="BI148" s="1052"/>
      <c r="BJ148" s="1055"/>
      <c r="BK148" s="1056"/>
      <c r="BL148" s="1052"/>
      <c r="BM148" s="1052"/>
      <c r="BN148" s="1055"/>
      <c r="BO148" s="1057"/>
      <c r="BP148" s="1058"/>
      <c r="BQ148" s="1055"/>
      <c r="BR148" s="1056"/>
      <c r="BS148" s="1052"/>
      <c r="BT148" s="1052"/>
      <c r="BU148" s="1055"/>
      <c r="BV148" s="1056"/>
      <c r="BW148" s="1052"/>
      <c r="BX148" s="1052"/>
      <c r="BY148" s="1055"/>
      <c r="BZ148" s="1056"/>
      <c r="CA148" s="1052"/>
      <c r="CB148" s="1052"/>
      <c r="CC148" s="1055"/>
      <c r="CD148" s="1057"/>
      <c r="CE148" s="1052"/>
      <c r="CF148" s="1055"/>
      <c r="CG148" s="1056"/>
      <c r="CH148" s="1052"/>
      <c r="CI148" s="1052"/>
      <c r="CJ148" s="1055"/>
      <c r="CK148" s="1056"/>
      <c r="CL148" s="1052"/>
      <c r="CM148" s="1052"/>
      <c r="CN148" s="1055"/>
      <c r="CO148" s="1056"/>
      <c r="CP148" s="1052"/>
      <c r="CQ148" s="1052"/>
      <c r="CR148" s="1053"/>
      <c r="CS148" s="1609"/>
      <c r="CT148" s="1619"/>
      <c r="CU148" s="1620"/>
      <c r="CV148" s="1620"/>
      <c r="CW148" s="1620"/>
      <c r="CX148" s="1620"/>
      <c r="CY148" s="1620"/>
      <c r="CZ148" s="1621"/>
      <c r="DO148" s="1027"/>
      <c r="DP148" s="1027"/>
      <c r="DQ148" s="1027"/>
    </row>
    <row r="149" spans="1:121" s="132" customFormat="1" ht="13.5" customHeight="1" thickBot="1" x14ac:dyDescent="0.3">
      <c r="A149" s="1649" t="s">
        <v>522</v>
      </c>
      <c r="B149" s="1017" t="s">
        <v>154</v>
      </c>
      <c r="C149" s="1070">
        <v>25</v>
      </c>
      <c r="D149" s="1036"/>
      <c r="E149" s="1037"/>
      <c r="F149" s="1038"/>
      <c r="G149" s="1039"/>
      <c r="H149" s="1036"/>
      <c r="I149" s="1040"/>
      <c r="J149" s="1040"/>
      <c r="K149" s="1039"/>
      <c r="L149" s="1036"/>
      <c r="M149" s="1040"/>
      <c r="N149" s="1040"/>
      <c r="O149" s="1039"/>
      <c r="P149" s="1036"/>
      <c r="Q149" s="1040"/>
      <c r="R149" s="1040"/>
      <c r="S149" s="1039"/>
      <c r="T149" s="1041"/>
      <c r="U149" s="1042"/>
      <c r="V149" s="1039"/>
      <c r="W149" s="1036"/>
      <c r="X149" s="1040"/>
      <c r="Y149" s="1040"/>
      <c r="Z149" s="1039"/>
      <c r="AA149" s="1036"/>
      <c r="AB149" s="1040"/>
      <c r="AC149" s="1040"/>
      <c r="AD149" s="1039"/>
      <c r="AE149" s="1036"/>
      <c r="AF149" s="1040"/>
      <c r="AG149" s="1040"/>
      <c r="AH149" s="1039"/>
      <c r="AI149" s="1047"/>
      <c r="AJ149" s="1040"/>
      <c r="AK149" s="1039"/>
      <c r="AL149" s="1036"/>
      <c r="AM149" s="1040"/>
      <c r="AN149" s="1040"/>
      <c r="AO149" s="1039"/>
      <c r="AP149" s="1036"/>
      <c r="AQ149" s="1040"/>
      <c r="AR149" s="1040"/>
      <c r="AS149" s="1039"/>
      <c r="AT149" s="1036"/>
      <c r="AU149" s="1040"/>
      <c r="AV149" s="1040"/>
      <c r="AW149" s="1037"/>
      <c r="AX149" s="1101">
        <v>0</v>
      </c>
      <c r="AY149" s="1036"/>
      <c r="AZ149" s="1037"/>
      <c r="BA149" s="1038"/>
      <c r="BB149" s="1039"/>
      <c r="BC149" s="1036"/>
      <c r="BD149" s="1040"/>
      <c r="BE149" s="1040"/>
      <c r="BF149" s="1039"/>
      <c r="BG149" s="1036"/>
      <c r="BH149" s="1040"/>
      <c r="BI149" s="1040"/>
      <c r="BJ149" s="1039"/>
      <c r="BK149" s="1036"/>
      <c r="BL149" s="1040"/>
      <c r="BM149" s="1040"/>
      <c r="BN149" s="1039"/>
      <c r="BO149" s="1041"/>
      <c r="BP149" s="1042"/>
      <c r="BQ149" s="1039"/>
      <c r="BR149" s="1036"/>
      <c r="BS149" s="1040"/>
      <c r="BT149" s="1040"/>
      <c r="BU149" s="1039"/>
      <c r="BV149" s="1036"/>
      <c r="BW149" s="1040"/>
      <c r="BX149" s="1040"/>
      <c r="BY149" s="1039"/>
      <c r="BZ149" s="1036"/>
      <c r="CA149" s="1040"/>
      <c r="CB149" s="1040"/>
      <c r="CC149" s="1039"/>
      <c r="CD149" s="1047"/>
      <c r="CE149" s="1040"/>
      <c r="CF149" s="1039"/>
      <c r="CG149" s="1036"/>
      <c r="CH149" s="1040"/>
      <c r="CI149" s="1040"/>
      <c r="CJ149" s="1039"/>
      <c r="CK149" s="1036"/>
      <c r="CL149" s="1040"/>
      <c r="CM149" s="1040"/>
      <c r="CN149" s="1039"/>
      <c r="CO149" s="1036"/>
      <c r="CP149" s="1040"/>
      <c r="CQ149" s="1040"/>
      <c r="CR149" s="1037"/>
      <c r="CS149" s="1101">
        <v>0</v>
      </c>
      <c r="CT149" s="1613"/>
      <c r="CU149" s="1614"/>
      <c r="CV149" s="1614"/>
      <c r="CW149" s="1614"/>
      <c r="CX149" s="1614"/>
      <c r="CY149" s="1614"/>
      <c r="CZ149" s="1615"/>
      <c r="DO149" s="1027"/>
      <c r="DP149" s="1027"/>
      <c r="DQ149" s="1027"/>
    </row>
    <row r="150" spans="1:121" s="132" customFormat="1" ht="3.75" customHeight="1" x14ac:dyDescent="0.25">
      <c r="A150" s="1650"/>
      <c r="B150" s="1643" t="s">
        <v>155</v>
      </c>
      <c r="C150" s="1606"/>
      <c r="D150" s="1043"/>
      <c r="E150" s="1044"/>
      <c r="F150" s="1044"/>
      <c r="G150" s="1045"/>
      <c r="H150" s="1046"/>
      <c r="I150" s="1043"/>
      <c r="J150" s="1043"/>
      <c r="K150" s="1045"/>
      <c r="L150" s="1046"/>
      <c r="M150" s="1043"/>
      <c r="N150" s="1043"/>
      <c r="O150" s="1045"/>
      <c r="P150" s="1046"/>
      <c r="Q150" s="1043"/>
      <c r="R150" s="1043"/>
      <c r="S150" s="1045"/>
      <c r="T150" s="1047"/>
      <c r="U150" s="1048"/>
      <c r="V150" s="1045"/>
      <c r="W150" s="1046"/>
      <c r="X150" s="1043"/>
      <c r="Y150" s="1043"/>
      <c r="Z150" s="1045"/>
      <c r="AA150" s="1046"/>
      <c r="AB150" s="1043"/>
      <c r="AC150" s="1043"/>
      <c r="AD150" s="1045"/>
      <c r="AE150" s="1046"/>
      <c r="AF150" s="1043"/>
      <c r="AG150" s="1043"/>
      <c r="AH150" s="1049"/>
      <c r="AI150" s="1050"/>
      <c r="AJ150" s="1043"/>
      <c r="AK150" s="1045"/>
      <c r="AL150" s="1046"/>
      <c r="AM150" s="1043"/>
      <c r="AN150" s="1043"/>
      <c r="AO150" s="1045"/>
      <c r="AP150" s="1046"/>
      <c r="AQ150" s="1043"/>
      <c r="AR150" s="1043"/>
      <c r="AS150" s="1045"/>
      <c r="AT150" s="1046"/>
      <c r="AU150" s="1043"/>
      <c r="AV150" s="1043"/>
      <c r="AW150" s="1044"/>
      <c r="AX150" s="1624">
        <f>IF(AX149/C149 &gt; 12,12,AX149/C149)</f>
        <v>0</v>
      </c>
      <c r="AY150" s="1043"/>
      <c r="AZ150" s="1044"/>
      <c r="BA150" s="1044"/>
      <c r="BB150" s="1045"/>
      <c r="BC150" s="1046"/>
      <c r="BD150" s="1043"/>
      <c r="BE150" s="1043"/>
      <c r="BF150" s="1045"/>
      <c r="BG150" s="1046"/>
      <c r="BH150" s="1043"/>
      <c r="BI150" s="1043"/>
      <c r="BJ150" s="1045"/>
      <c r="BK150" s="1046"/>
      <c r="BL150" s="1043"/>
      <c r="BM150" s="1043"/>
      <c r="BN150" s="1045"/>
      <c r="BO150" s="1047"/>
      <c r="BP150" s="1048"/>
      <c r="BQ150" s="1045"/>
      <c r="BR150" s="1046"/>
      <c r="BS150" s="1043"/>
      <c r="BT150" s="1043"/>
      <c r="BU150" s="1045"/>
      <c r="BV150" s="1046"/>
      <c r="BW150" s="1043"/>
      <c r="BX150" s="1043"/>
      <c r="BY150" s="1045"/>
      <c r="BZ150" s="1046"/>
      <c r="CA150" s="1043"/>
      <c r="CB150" s="1043"/>
      <c r="CC150" s="1049"/>
      <c r="CD150" s="1050"/>
      <c r="CE150" s="1043"/>
      <c r="CF150" s="1045"/>
      <c r="CG150" s="1046"/>
      <c r="CH150" s="1043"/>
      <c r="CI150" s="1043"/>
      <c r="CJ150" s="1045"/>
      <c r="CK150" s="1046"/>
      <c r="CL150" s="1043"/>
      <c r="CM150" s="1043"/>
      <c r="CN150" s="1045"/>
      <c r="CO150" s="1046"/>
      <c r="CP150" s="1043"/>
      <c r="CQ150" s="1043"/>
      <c r="CR150" s="1044"/>
      <c r="CS150" s="1624">
        <f>IF(CS149/C149 &gt; 12,12,CS149/C149)</f>
        <v>0</v>
      </c>
      <c r="CT150" s="1616"/>
      <c r="CU150" s="1617"/>
      <c r="CV150" s="1617"/>
      <c r="CW150" s="1617"/>
      <c r="CX150" s="1617"/>
      <c r="CY150" s="1617"/>
      <c r="CZ150" s="1618"/>
      <c r="DO150" s="1027"/>
      <c r="DP150" s="1027"/>
      <c r="DQ150" s="1027"/>
    </row>
    <row r="151" spans="1:121" s="132" customFormat="1" ht="15" customHeight="1" thickBot="1" x14ac:dyDescent="0.3">
      <c r="A151" s="1651"/>
      <c r="B151" s="1652"/>
      <c r="C151" s="1607"/>
      <c r="D151" s="1052"/>
      <c r="E151" s="1053"/>
      <c r="F151" s="1054"/>
      <c r="G151" s="1055"/>
      <c r="H151" s="1056"/>
      <c r="I151" s="1052"/>
      <c r="J151" s="1052"/>
      <c r="K151" s="1055"/>
      <c r="L151" s="1056"/>
      <c r="M151" s="1052"/>
      <c r="N151" s="1052"/>
      <c r="O151" s="1055"/>
      <c r="P151" s="1056"/>
      <c r="Q151" s="1052"/>
      <c r="R151" s="1052"/>
      <c r="S151" s="1055"/>
      <c r="T151" s="1057"/>
      <c r="U151" s="1058"/>
      <c r="V151" s="1055"/>
      <c r="W151" s="1056"/>
      <c r="X151" s="1052"/>
      <c r="Y151" s="1052"/>
      <c r="Z151" s="1055"/>
      <c r="AA151" s="1056"/>
      <c r="AB151" s="1052"/>
      <c r="AC151" s="1052"/>
      <c r="AD151" s="1055"/>
      <c r="AE151" s="1056"/>
      <c r="AF151" s="1052"/>
      <c r="AG151" s="1052"/>
      <c r="AH151" s="1055"/>
      <c r="AI151" s="1057"/>
      <c r="AJ151" s="1052"/>
      <c r="AK151" s="1055"/>
      <c r="AL151" s="1056"/>
      <c r="AM151" s="1052"/>
      <c r="AN151" s="1052"/>
      <c r="AO151" s="1055"/>
      <c r="AP151" s="1056"/>
      <c r="AQ151" s="1052"/>
      <c r="AR151" s="1052"/>
      <c r="AS151" s="1055"/>
      <c r="AT151" s="1056"/>
      <c r="AU151" s="1052"/>
      <c r="AV151" s="1052"/>
      <c r="AW151" s="1053"/>
      <c r="AX151" s="1625"/>
      <c r="AY151" s="1052"/>
      <c r="AZ151" s="1053"/>
      <c r="BA151" s="1054"/>
      <c r="BB151" s="1055"/>
      <c r="BC151" s="1056"/>
      <c r="BD151" s="1052"/>
      <c r="BE151" s="1052"/>
      <c r="BF151" s="1055"/>
      <c r="BG151" s="1056"/>
      <c r="BH151" s="1052"/>
      <c r="BI151" s="1052"/>
      <c r="BJ151" s="1055"/>
      <c r="BK151" s="1056"/>
      <c r="BL151" s="1052"/>
      <c r="BM151" s="1052"/>
      <c r="BN151" s="1055"/>
      <c r="BO151" s="1057"/>
      <c r="BP151" s="1058"/>
      <c r="BQ151" s="1055"/>
      <c r="BR151" s="1056"/>
      <c r="BS151" s="1052"/>
      <c r="BT151" s="1052"/>
      <c r="BU151" s="1055"/>
      <c r="BV151" s="1056"/>
      <c r="BW151" s="1052"/>
      <c r="BX151" s="1052"/>
      <c r="BY151" s="1055"/>
      <c r="BZ151" s="1056"/>
      <c r="CA151" s="1052"/>
      <c r="CB151" s="1052"/>
      <c r="CC151" s="1055"/>
      <c r="CD151" s="1057"/>
      <c r="CE151" s="1052"/>
      <c r="CF151" s="1055"/>
      <c r="CG151" s="1056"/>
      <c r="CH151" s="1052"/>
      <c r="CI151" s="1052"/>
      <c r="CJ151" s="1055"/>
      <c r="CK151" s="1056"/>
      <c r="CL151" s="1052"/>
      <c r="CM151" s="1052"/>
      <c r="CN151" s="1055"/>
      <c r="CO151" s="1056"/>
      <c r="CP151" s="1052"/>
      <c r="CQ151" s="1052"/>
      <c r="CR151" s="1053"/>
      <c r="CS151" s="1625"/>
      <c r="CT151" s="1619"/>
      <c r="CU151" s="1620"/>
      <c r="CV151" s="1620"/>
      <c r="CW151" s="1620"/>
      <c r="CX151" s="1620"/>
      <c r="CY151" s="1620"/>
      <c r="CZ151" s="1621"/>
      <c r="DO151" s="1027"/>
      <c r="DP151" s="1027"/>
      <c r="DQ151" s="1027"/>
    </row>
    <row r="152" spans="1:121" s="132" customFormat="1" ht="28.5" hidden="1" customHeight="1" thickBot="1" x14ac:dyDescent="0.3">
      <c r="A152" s="1649" t="s">
        <v>443</v>
      </c>
      <c r="B152" s="1017" t="s">
        <v>154</v>
      </c>
      <c r="C152" s="1070">
        <v>200</v>
      </c>
      <c r="D152" s="1036"/>
      <c r="E152" s="1037"/>
      <c r="F152" s="1038"/>
      <c r="G152" s="1039"/>
      <c r="H152" s="1036"/>
      <c r="I152" s="1040"/>
      <c r="J152" s="1040"/>
      <c r="K152" s="1039"/>
      <c r="L152" s="1036"/>
      <c r="M152" s="1040"/>
      <c r="N152" s="1040"/>
      <c r="O152" s="1039"/>
      <c r="P152" s="1036"/>
      <c r="Q152" s="1040"/>
      <c r="R152" s="1040"/>
      <c r="S152" s="1039"/>
      <c r="T152" s="1041"/>
      <c r="U152" s="1042"/>
      <c r="V152" s="1039"/>
      <c r="W152" s="1036"/>
      <c r="X152" s="1040"/>
      <c r="Y152" s="1040"/>
      <c r="Z152" s="1039"/>
      <c r="AA152" s="1036"/>
      <c r="AB152" s="1040"/>
      <c r="AC152" s="1040"/>
      <c r="AD152" s="1039"/>
      <c r="AE152" s="1036"/>
      <c r="AF152" s="1040"/>
      <c r="AG152" s="1040"/>
      <c r="AH152" s="1039"/>
      <c r="AI152" s="1047"/>
      <c r="AJ152" s="1040"/>
      <c r="AK152" s="1039"/>
      <c r="AL152" s="1036"/>
      <c r="AM152" s="1040"/>
      <c r="AN152" s="1040"/>
      <c r="AO152" s="1039"/>
      <c r="AP152" s="1036"/>
      <c r="AQ152" s="1040"/>
      <c r="AR152" s="1040"/>
      <c r="AS152" s="1039"/>
      <c r="AT152" s="1036"/>
      <c r="AU152" s="1040"/>
      <c r="AV152" s="1040"/>
      <c r="AW152" s="1037"/>
      <c r="AX152" s="1059">
        <f t="shared" ref="AX152" si="5">AX153*C152</f>
        <v>0</v>
      </c>
      <c r="AY152" s="1036"/>
      <c r="AZ152" s="1037"/>
      <c r="BA152" s="1038"/>
      <c r="BB152" s="1039"/>
      <c r="BC152" s="1036"/>
      <c r="BD152" s="1040"/>
      <c r="BE152" s="1040"/>
      <c r="BF152" s="1039"/>
      <c r="BG152" s="1036"/>
      <c r="BH152" s="1040"/>
      <c r="BI152" s="1040"/>
      <c r="BJ152" s="1039"/>
      <c r="BK152" s="1036"/>
      <c r="BL152" s="1040"/>
      <c r="BM152" s="1040"/>
      <c r="BN152" s="1039"/>
      <c r="BO152" s="1041"/>
      <c r="BP152" s="1042"/>
      <c r="BQ152" s="1039"/>
      <c r="BR152" s="1036"/>
      <c r="BS152" s="1040"/>
      <c r="BT152" s="1040"/>
      <c r="BU152" s="1039"/>
      <c r="BV152" s="1036"/>
      <c r="BW152" s="1040"/>
      <c r="BX152" s="1040"/>
      <c r="BY152" s="1039"/>
      <c r="BZ152" s="1036"/>
      <c r="CA152" s="1040"/>
      <c r="CB152" s="1040"/>
      <c r="CC152" s="1039"/>
      <c r="CD152" s="1047"/>
      <c r="CE152" s="1040"/>
      <c r="CF152" s="1039"/>
      <c r="CG152" s="1036"/>
      <c r="CH152" s="1040"/>
      <c r="CI152" s="1040"/>
      <c r="CJ152" s="1039"/>
      <c r="CK152" s="1036"/>
      <c r="CL152" s="1040"/>
      <c r="CM152" s="1040"/>
      <c r="CN152" s="1039"/>
      <c r="CO152" s="1036"/>
      <c r="CP152" s="1040"/>
      <c r="CQ152" s="1040"/>
      <c r="CR152" s="1037"/>
      <c r="CS152" s="1059">
        <f>CS153*C152</f>
        <v>0</v>
      </c>
      <c r="CT152" s="1613"/>
      <c r="CU152" s="1614"/>
      <c r="CV152" s="1614"/>
      <c r="CW152" s="1614"/>
      <c r="CX152" s="1614"/>
      <c r="CY152" s="1614"/>
      <c r="CZ152" s="1615"/>
      <c r="DO152" s="1027"/>
      <c r="DP152" s="1027"/>
      <c r="DQ152" s="1027"/>
    </row>
    <row r="153" spans="1:121" s="132" customFormat="1" ht="24" hidden="1" customHeight="1" x14ac:dyDescent="0.25">
      <c r="A153" s="1650"/>
      <c r="B153" s="1643" t="s">
        <v>155</v>
      </c>
      <c r="C153" s="1606"/>
      <c r="D153" s="1043"/>
      <c r="E153" s="1044"/>
      <c r="F153" s="1044"/>
      <c r="G153" s="1045"/>
      <c r="H153" s="1046"/>
      <c r="I153" s="1043"/>
      <c r="J153" s="1043"/>
      <c r="K153" s="1045"/>
      <c r="L153" s="1046"/>
      <c r="M153" s="1043"/>
      <c r="N153" s="1043"/>
      <c r="O153" s="1045"/>
      <c r="P153" s="1046"/>
      <c r="Q153" s="1043"/>
      <c r="R153" s="1043"/>
      <c r="S153" s="1045"/>
      <c r="T153" s="1047"/>
      <c r="U153" s="1048"/>
      <c r="V153" s="1045"/>
      <c r="W153" s="1046"/>
      <c r="X153" s="1043"/>
      <c r="Y153" s="1043"/>
      <c r="Z153" s="1045"/>
      <c r="AA153" s="1046"/>
      <c r="AB153" s="1043"/>
      <c r="AC153" s="1043"/>
      <c r="AD153" s="1045"/>
      <c r="AE153" s="1046"/>
      <c r="AF153" s="1043"/>
      <c r="AG153" s="1043"/>
      <c r="AH153" s="1049"/>
      <c r="AI153" s="1050"/>
      <c r="AJ153" s="1043"/>
      <c r="AK153" s="1045"/>
      <c r="AL153" s="1046"/>
      <c r="AM153" s="1043"/>
      <c r="AN153" s="1043"/>
      <c r="AO153" s="1045"/>
      <c r="AP153" s="1046"/>
      <c r="AQ153" s="1043"/>
      <c r="AR153" s="1043"/>
      <c r="AS153" s="1045"/>
      <c r="AT153" s="1046"/>
      <c r="AU153" s="1043"/>
      <c r="AV153" s="1043"/>
      <c r="AW153" s="1044"/>
      <c r="AX153" s="1646">
        <v>0</v>
      </c>
      <c r="AY153" s="1043"/>
      <c r="AZ153" s="1044"/>
      <c r="BA153" s="1044"/>
      <c r="BB153" s="1045"/>
      <c r="BC153" s="1046"/>
      <c r="BD153" s="1043"/>
      <c r="BE153" s="1043"/>
      <c r="BF153" s="1045"/>
      <c r="BG153" s="1046"/>
      <c r="BH153" s="1043"/>
      <c r="BI153" s="1043"/>
      <c r="BJ153" s="1045"/>
      <c r="BK153" s="1046"/>
      <c r="BL153" s="1043"/>
      <c r="BM153" s="1043"/>
      <c r="BN153" s="1045"/>
      <c r="BO153" s="1047"/>
      <c r="BP153" s="1048"/>
      <c r="BQ153" s="1045"/>
      <c r="BR153" s="1046"/>
      <c r="BS153" s="1043"/>
      <c r="BT153" s="1043"/>
      <c r="BU153" s="1045"/>
      <c r="BV153" s="1046"/>
      <c r="BW153" s="1043"/>
      <c r="BX153" s="1043"/>
      <c r="BY153" s="1045"/>
      <c r="BZ153" s="1046"/>
      <c r="CA153" s="1043"/>
      <c r="CB153" s="1043"/>
      <c r="CC153" s="1049"/>
      <c r="CD153" s="1050"/>
      <c r="CE153" s="1043"/>
      <c r="CF153" s="1045"/>
      <c r="CG153" s="1046"/>
      <c r="CH153" s="1043"/>
      <c r="CI153" s="1043"/>
      <c r="CJ153" s="1045"/>
      <c r="CK153" s="1046"/>
      <c r="CL153" s="1043"/>
      <c r="CM153" s="1043"/>
      <c r="CN153" s="1045"/>
      <c r="CO153" s="1046"/>
      <c r="CP153" s="1043"/>
      <c r="CQ153" s="1043"/>
      <c r="CR153" s="1044"/>
      <c r="CS153" s="1646">
        <v>0</v>
      </c>
      <c r="CT153" s="1616"/>
      <c r="CU153" s="1617"/>
      <c r="CV153" s="1617"/>
      <c r="CW153" s="1617"/>
      <c r="CX153" s="1617"/>
      <c r="CY153" s="1617"/>
      <c r="CZ153" s="1618"/>
      <c r="DO153" s="1027"/>
      <c r="DP153" s="1027"/>
      <c r="DQ153" s="1027"/>
    </row>
    <row r="154" spans="1:121" s="132" customFormat="1" ht="12.75" hidden="1" customHeight="1" thickBot="1" x14ac:dyDescent="0.3">
      <c r="A154" s="1650"/>
      <c r="B154" s="1644"/>
      <c r="C154" s="1645"/>
      <c r="D154" s="1060"/>
      <c r="E154" s="1061"/>
      <c r="F154" s="1062"/>
      <c r="G154" s="1063"/>
      <c r="H154" s="1064"/>
      <c r="I154" s="1060"/>
      <c r="J154" s="1060"/>
      <c r="K154" s="1063"/>
      <c r="L154" s="1064"/>
      <c r="M154" s="1060"/>
      <c r="N154" s="1060"/>
      <c r="O154" s="1063"/>
      <c r="P154" s="1064"/>
      <c r="Q154" s="1060"/>
      <c r="R154" s="1060"/>
      <c r="S154" s="1063"/>
      <c r="T154" s="1065"/>
      <c r="U154" s="1066"/>
      <c r="V154" s="1063"/>
      <c r="W154" s="1064"/>
      <c r="X154" s="1060"/>
      <c r="Y154" s="1060"/>
      <c r="Z154" s="1063"/>
      <c r="AA154" s="1064"/>
      <c r="AB154" s="1060"/>
      <c r="AC154" s="1060"/>
      <c r="AD154" s="1063"/>
      <c r="AE154" s="1064"/>
      <c r="AF154" s="1060"/>
      <c r="AG154" s="1060"/>
      <c r="AH154" s="1063"/>
      <c r="AI154" s="1065"/>
      <c r="AJ154" s="1060"/>
      <c r="AK154" s="1063"/>
      <c r="AL154" s="1064"/>
      <c r="AM154" s="1060"/>
      <c r="AN154" s="1060"/>
      <c r="AO154" s="1063"/>
      <c r="AP154" s="1064"/>
      <c r="AQ154" s="1060"/>
      <c r="AR154" s="1060"/>
      <c r="AS154" s="1063"/>
      <c r="AT154" s="1064"/>
      <c r="AU154" s="1060"/>
      <c r="AV154" s="1060"/>
      <c r="AW154" s="1061"/>
      <c r="AX154" s="1608"/>
      <c r="AY154" s="1060"/>
      <c r="AZ154" s="1061"/>
      <c r="BA154" s="1062"/>
      <c r="BB154" s="1063"/>
      <c r="BC154" s="1064"/>
      <c r="BD154" s="1060"/>
      <c r="BE154" s="1060"/>
      <c r="BF154" s="1063"/>
      <c r="BG154" s="1064"/>
      <c r="BH154" s="1060"/>
      <c r="BI154" s="1060"/>
      <c r="BJ154" s="1063"/>
      <c r="BK154" s="1064"/>
      <c r="BL154" s="1060"/>
      <c r="BM154" s="1060"/>
      <c r="BN154" s="1063"/>
      <c r="BO154" s="1065"/>
      <c r="BP154" s="1066"/>
      <c r="BQ154" s="1063"/>
      <c r="BR154" s="1064"/>
      <c r="BS154" s="1060"/>
      <c r="BT154" s="1060"/>
      <c r="BU154" s="1063"/>
      <c r="BV154" s="1064"/>
      <c r="BW154" s="1060"/>
      <c r="BX154" s="1060"/>
      <c r="BY154" s="1063"/>
      <c r="BZ154" s="1064"/>
      <c r="CA154" s="1060"/>
      <c r="CB154" s="1060"/>
      <c r="CC154" s="1063"/>
      <c r="CD154" s="1065"/>
      <c r="CE154" s="1060"/>
      <c r="CF154" s="1063"/>
      <c r="CG154" s="1064"/>
      <c r="CH154" s="1060"/>
      <c r="CI154" s="1060"/>
      <c r="CJ154" s="1063"/>
      <c r="CK154" s="1064"/>
      <c r="CL154" s="1060"/>
      <c r="CM154" s="1060"/>
      <c r="CN154" s="1063"/>
      <c r="CO154" s="1064"/>
      <c r="CP154" s="1060"/>
      <c r="CQ154" s="1060"/>
      <c r="CR154" s="1061"/>
      <c r="CS154" s="1608"/>
      <c r="CT154" s="1616"/>
      <c r="CU154" s="1617"/>
      <c r="CV154" s="1617"/>
      <c r="CW154" s="1617"/>
      <c r="CX154" s="1617"/>
      <c r="CY154" s="1617"/>
      <c r="CZ154" s="1618"/>
      <c r="DO154" s="1027"/>
      <c r="DP154" s="1027"/>
      <c r="DQ154" s="1027"/>
    </row>
    <row r="155" spans="1:121" ht="19.5" thickBot="1" x14ac:dyDescent="0.35">
      <c r="A155" s="1067" t="s">
        <v>266</v>
      </c>
      <c r="B155" s="607"/>
      <c r="C155" s="1068"/>
      <c r="D155" s="1662"/>
      <c r="E155" s="1663"/>
      <c r="F155" s="1663"/>
      <c r="G155" s="1664"/>
      <c r="H155" s="1662"/>
      <c r="I155" s="1663"/>
      <c r="J155" s="1663"/>
      <c r="K155" s="1664"/>
      <c r="L155" s="1662"/>
      <c r="M155" s="1663"/>
      <c r="N155" s="1663"/>
      <c r="O155" s="1664"/>
      <c r="P155" s="1662"/>
      <c r="Q155" s="1663"/>
      <c r="R155" s="1663"/>
      <c r="S155" s="1664"/>
      <c r="T155" s="1662"/>
      <c r="U155" s="1663"/>
      <c r="V155" s="1664"/>
      <c r="W155" s="1662"/>
      <c r="X155" s="1663"/>
      <c r="Y155" s="1663"/>
      <c r="Z155" s="1664"/>
      <c r="AA155" s="1662"/>
      <c r="AB155" s="1663"/>
      <c r="AC155" s="1663"/>
      <c r="AD155" s="1664"/>
      <c r="AE155" s="1662"/>
      <c r="AF155" s="1663"/>
      <c r="AG155" s="1663"/>
      <c r="AH155" s="1664"/>
      <c r="AI155" s="1662"/>
      <c r="AJ155" s="1663"/>
      <c r="AK155" s="1664"/>
      <c r="AL155" s="1662"/>
      <c r="AM155" s="1663"/>
      <c r="AN155" s="1663"/>
      <c r="AO155" s="1664"/>
      <c r="AP155" s="1662"/>
      <c r="AQ155" s="1663"/>
      <c r="AR155" s="1663"/>
      <c r="AS155" s="1664"/>
      <c r="AT155" s="1662"/>
      <c r="AU155" s="1663"/>
      <c r="AV155" s="1663"/>
      <c r="AW155" s="1664"/>
      <c r="AX155" s="1100">
        <f>AX107+AX110+AX113+AX116+AX125+AX137+AX140+AX143</f>
        <v>0</v>
      </c>
      <c r="AY155" s="1662"/>
      <c r="AZ155" s="1663"/>
      <c r="BA155" s="1663"/>
      <c r="BB155" s="1664"/>
      <c r="BC155" s="1662"/>
      <c r="BD155" s="1663"/>
      <c r="BE155" s="1663"/>
      <c r="BF155" s="1664"/>
      <c r="BG155" s="1662"/>
      <c r="BH155" s="1663"/>
      <c r="BI155" s="1663"/>
      <c r="BJ155" s="1664"/>
      <c r="BK155" s="1662"/>
      <c r="BL155" s="1663"/>
      <c r="BM155" s="1663"/>
      <c r="BN155" s="1664"/>
      <c r="BO155" s="1662"/>
      <c r="BP155" s="1663"/>
      <c r="BQ155" s="1664"/>
      <c r="BR155" s="1662"/>
      <c r="BS155" s="1663"/>
      <c r="BT155" s="1663"/>
      <c r="BU155" s="1664"/>
      <c r="BV155" s="1662"/>
      <c r="BW155" s="1663"/>
      <c r="BX155" s="1663"/>
      <c r="BY155" s="1664"/>
      <c r="BZ155" s="1662"/>
      <c r="CA155" s="1663"/>
      <c r="CB155" s="1663"/>
      <c r="CC155" s="1664"/>
      <c r="CD155" s="1662"/>
      <c r="CE155" s="1663"/>
      <c r="CF155" s="1664"/>
      <c r="CG155" s="1662"/>
      <c r="CH155" s="1663"/>
      <c r="CI155" s="1663"/>
      <c r="CJ155" s="1664"/>
      <c r="CK155" s="1662"/>
      <c r="CL155" s="1663"/>
      <c r="CM155" s="1663"/>
      <c r="CN155" s="1664"/>
      <c r="CO155" s="1662"/>
      <c r="CP155" s="1663"/>
      <c r="CQ155" s="1663"/>
      <c r="CR155" s="1664"/>
      <c r="CS155" s="1100">
        <f>CS107+CS110+CS113+CS116+CS125+CS137+CS140</f>
        <v>0</v>
      </c>
      <c r="CT155" s="1659">
        <f>AX155+CS155</f>
        <v>0</v>
      </c>
      <c r="CU155" s="1660"/>
      <c r="CV155" s="1660"/>
      <c r="CW155" s="1660"/>
      <c r="CX155" s="1660"/>
      <c r="CY155" s="1660"/>
      <c r="CZ155" s="1661"/>
    </row>
    <row r="156" spans="1:121" ht="20.25" customHeight="1" thickBot="1" x14ac:dyDescent="0.35">
      <c r="A156" s="404" t="s">
        <v>161</v>
      </c>
      <c r="B156" s="1764"/>
      <c r="C156" s="1764"/>
      <c r="D156" s="1764"/>
      <c r="E156" s="1764"/>
      <c r="F156" s="1764"/>
      <c r="G156" s="1764"/>
      <c r="H156" s="1764"/>
      <c r="I156" s="1764"/>
      <c r="J156" s="1764"/>
      <c r="K156" s="1764"/>
      <c r="L156" s="1764"/>
      <c r="M156" s="1764"/>
      <c r="N156" s="1764"/>
      <c r="O156" s="1764"/>
      <c r="P156" s="1764"/>
      <c r="Q156" s="1764"/>
      <c r="R156" s="1764"/>
      <c r="S156" s="1764"/>
      <c r="T156" s="1764"/>
      <c r="U156" s="1764"/>
      <c r="V156" s="1764"/>
      <c r="W156" s="1764"/>
      <c r="X156" s="1764"/>
      <c r="Y156" s="1764"/>
      <c r="Z156" s="1764"/>
      <c r="AA156" s="1764"/>
      <c r="AB156" s="1764"/>
      <c r="AC156" s="1764"/>
      <c r="AD156" s="1764"/>
      <c r="AE156" s="1764"/>
      <c r="AF156" s="1764"/>
      <c r="AG156" s="1764"/>
      <c r="AH156" s="1764"/>
      <c r="AI156" s="1764"/>
      <c r="AJ156" s="1764"/>
      <c r="AK156" s="1764"/>
      <c r="AL156" s="1764"/>
      <c r="AM156" s="1764"/>
      <c r="AN156" s="1764"/>
      <c r="AO156" s="1764"/>
      <c r="AP156" s="1764"/>
      <c r="AQ156" s="1764"/>
      <c r="AR156" s="1764"/>
      <c r="AS156" s="1764"/>
      <c r="AT156" s="1764"/>
      <c r="AU156" s="1764"/>
      <c r="AV156" s="1764"/>
      <c r="AW156" s="1764"/>
      <c r="AX156" s="1764"/>
      <c r="AY156" s="1764"/>
      <c r="AZ156" s="1764"/>
      <c r="BA156" s="1764"/>
      <c r="BB156" s="1764"/>
      <c r="BC156" s="1764"/>
      <c r="BD156" s="1764"/>
      <c r="BE156" s="1764"/>
      <c r="BF156" s="1764"/>
      <c r="BG156" s="1764"/>
      <c r="BH156" s="1764"/>
      <c r="BI156" s="1764"/>
      <c r="BJ156" s="1764"/>
      <c r="BK156" s="1764"/>
      <c r="BL156" s="1764"/>
      <c r="BM156" s="1764"/>
      <c r="BN156" s="1764"/>
      <c r="BO156" s="1764"/>
      <c r="BP156" s="1764"/>
      <c r="BQ156" s="1764"/>
      <c r="BR156" s="1764"/>
      <c r="BS156" s="1764"/>
      <c r="BT156" s="1764"/>
      <c r="BU156" s="1764"/>
      <c r="BV156" s="1764"/>
      <c r="BW156" s="1764"/>
      <c r="BX156" s="1764"/>
      <c r="BY156" s="1764"/>
      <c r="BZ156" s="1764"/>
      <c r="CA156" s="1764"/>
      <c r="CB156" s="1764"/>
      <c r="CC156" s="1764"/>
      <c r="CD156" s="1764"/>
      <c r="CE156" s="1764"/>
      <c r="CF156" s="1764"/>
      <c r="CG156" s="1764"/>
      <c r="CH156" s="1764"/>
      <c r="CI156" s="1764"/>
      <c r="CJ156" s="1764"/>
      <c r="CK156" s="1764"/>
      <c r="CL156" s="1764"/>
      <c r="CM156" s="1764"/>
      <c r="CN156" s="1764"/>
      <c r="CO156" s="1764"/>
      <c r="CP156" s="1764"/>
      <c r="CQ156" s="1764"/>
      <c r="CR156" s="1764"/>
      <c r="CS156" s="1764"/>
      <c r="CT156" s="1764"/>
      <c r="CU156" s="1764"/>
      <c r="CV156" s="1764"/>
      <c r="CW156" s="1764"/>
      <c r="CX156" s="1764"/>
      <c r="CY156" s="1764"/>
      <c r="CZ156" s="1765"/>
    </row>
    <row r="157" spans="1:121" ht="20.25" customHeight="1" x14ac:dyDescent="0.3">
      <c r="A157" s="220"/>
      <c r="C157" s="92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</row>
    <row r="158" spans="1:121" x14ac:dyDescent="0.3">
      <c r="A158" s="220"/>
      <c r="D158" s="1595" t="s">
        <v>268</v>
      </c>
      <c r="E158" s="1595"/>
      <c r="F158" s="1595"/>
      <c r="G158" s="1595"/>
      <c r="H158" s="1595"/>
      <c r="I158" s="1595"/>
      <c r="J158" s="1595"/>
      <c r="K158" s="1595"/>
      <c r="L158" s="1595"/>
      <c r="M158" s="1595"/>
      <c r="N158" s="1595"/>
      <c r="O158" s="1595"/>
      <c r="P158" s="1595"/>
      <c r="Q158" s="310"/>
      <c r="R158" s="1595" t="s">
        <v>269</v>
      </c>
      <c r="S158" s="1595"/>
      <c r="T158" s="1595"/>
      <c r="U158" s="1595"/>
      <c r="V158" s="1595"/>
      <c r="W158" s="1595"/>
      <c r="X158" s="1595"/>
      <c r="Y158" s="1595"/>
      <c r="Z158" s="1595"/>
      <c r="AA158" s="1595"/>
      <c r="AB158" s="1595"/>
      <c r="AC158" s="1595"/>
      <c r="AD158" s="1595"/>
      <c r="AE158" s="923"/>
      <c r="AF158" s="1595" t="s">
        <v>162</v>
      </c>
      <c r="AG158" s="1595"/>
      <c r="AH158" s="1595"/>
      <c r="AI158" s="1595"/>
      <c r="AJ158" s="1595"/>
      <c r="AK158" s="1595"/>
      <c r="AL158" s="1595"/>
      <c r="AM158" s="1595"/>
      <c r="AN158" s="1595"/>
      <c r="AO158" s="1595"/>
      <c r="AP158" s="1595"/>
      <c r="AQ158" s="1595"/>
      <c r="AR158" s="1595"/>
      <c r="AS158" s="923"/>
      <c r="AT158" s="1726" t="s">
        <v>271</v>
      </c>
      <c r="AU158" s="1726"/>
      <c r="AV158" s="1726"/>
      <c r="AW158" s="1726"/>
      <c r="AX158" s="1726"/>
      <c r="AY158" s="924"/>
      <c r="AZ158" s="1595" t="s">
        <v>81</v>
      </c>
      <c r="BA158" s="1595"/>
      <c r="BB158" s="1595"/>
      <c r="BC158" s="1595"/>
      <c r="BD158" s="1595"/>
      <c r="BE158" s="1595"/>
      <c r="BF158" s="1595"/>
      <c r="BG158" s="1595"/>
      <c r="BH158" s="1595"/>
      <c r="BI158" s="1595"/>
      <c r="BJ158" s="1595"/>
      <c r="BK158" s="1595"/>
      <c r="BL158" s="1"/>
      <c r="BM158" s="1595" t="s">
        <v>163</v>
      </c>
      <c r="BN158" s="1595"/>
      <c r="BO158" s="1595"/>
      <c r="BP158" s="1595"/>
      <c r="BQ158" s="1595"/>
      <c r="BR158" s="1595"/>
      <c r="BS158" s="1595"/>
      <c r="BT158" s="1595"/>
      <c r="BU158" s="1595"/>
      <c r="BV158" s="1595"/>
      <c r="BW158" s="1595"/>
      <c r="BX158" s="1595"/>
      <c r="BY158" s="1595"/>
      <c r="BZ158" s="1"/>
      <c r="CA158" s="1595" t="s">
        <v>270</v>
      </c>
      <c r="CB158" s="1595"/>
      <c r="CC158" s="1595"/>
      <c r="CD158" s="1595"/>
      <c r="CE158" s="1595"/>
      <c r="CF158" s="1595"/>
      <c r="CG158" s="1595"/>
      <c r="CH158" s="1595"/>
      <c r="CI158" s="1595"/>
      <c r="CJ158" s="1595"/>
      <c r="CK158" s="1595"/>
      <c r="CL158" s="1595"/>
      <c r="CM158" s="1595"/>
    </row>
    <row r="159" spans="1:121" ht="9.75" customHeight="1" x14ac:dyDescent="0.3">
      <c r="A159" s="220"/>
      <c r="D159" s="1749"/>
      <c r="E159" s="1749"/>
      <c r="F159" s="1749"/>
      <c r="G159" s="1749"/>
      <c r="H159" s="1749"/>
      <c r="I159" s="1749"/>
      <c r="J159" s="1749"/>
      <c r="K159" s="1749"/>
      <c r="L159" s="1749"/>
      <c r="M159" s="1749"/>
      <c r="N159" s="1749"/>
      <c r="O159" s="1749"/>
      <c r="P159" s="1749"/>
      <c r="Q159" s="310"/>
      <c r="R159" s="1745"/>
      <c r="S159" s="1745"/>
      <c r="T159" s="1745"/>
      <c r="U159" s="1745"/>
      <c r="V159" s="1745"/>
      <c r="W159" s="1745"/>
      <c r="X159" s="1745"/>
      <c r="Y159" s="1745"/>
      <c r="Z159" s="1745"/>
      <c r="AA159" s="1745"/>
      <c r="AB159" s="1745"/>
      <c r="AC159" s="1745"/>
      <c r="AD159" s="1745"/>
      <c r="AE159" s="923"/>
      <c r="AF159" s="1750"/>
      <c r="AG159" s="1750"/>
      <c r="AH159" s="1750"/>
      <c r="AI159" s="1750"/>
      <c r="AJ159" s="1750"/>
      <c r="AK159" s="1750"/>
      <c r="AL159" s="1750"/>
      <c r="AM159" s="1750"/>
      <c r="AN159" s="1750"/>
      <c r="AO159" s="1750"/>
      <c r="AP159" s="1750"/>
      <c r="AQ159" s="1750"/>
      <c r="AR159" s="1750"/>
      <c r="AS159" s="923"/>
      <c r="AT159" s="1751"/>
      <c r="AU159" s="1751"/>
      <c r="AV159" s="1751"/>
      <c r="AW159" s="1751"/>
      <c r="AX159" s="1751"/>
      <c r="AY159" s="925"/>
      <c r="AZ159" s="1752"/>
      <c r="BA159" s="1752"/>
      <c r="BB159" s="1752"/>
      <c r="BC159" s="1752"/>
      <c r="BD159" s="1752"/>
      <c r="BE159" s="1752"/>
      <c r="BF159" s="1752"/>
      <c r="BG159" s="1752"/>
      <c r="BH159" s="1752"/>
      <c r="BI159" s="1752"/>
      <c r="BJ159" s="1752"/>
      <c r="BK159" s="1752"/>
      <c r="BL159" s="1"/>
      <c r="BM159" s="1753"/>
      <c r="BN159" s="1753"/>
      <c r="BO159" s="1753"/>
      <c r="BP159" s="1753"/>
      <c r="BQ159" s="1753"/>
      <c r="BR159" s="1753"/>
      <c r="BS159" s="1753"/>
      <c r="BT159" s="1753"/>
      <c r="BU159" s="1753"/>
      <c r="BV159" s="1753"/>
      <c r="BW159" s="1753"/>
      <c r="BX159" s="1753"/>
      <c r="BY159" s="1753"/>
      <c r="BZ159" s="1"/>
      <c r="CA159" s="1754"/>
      <c r="CB159" s="1755"/>
      <c r="CC159" s="1755"/>
      <c r="CD159" s="1755"/>
      <c r="CE159" s="1755"/>
      <c r="CF159" s="1755"/>
      <c r="CG159" s="1755"/>
      <c r="CH159" s="1755"/>
      <c r="CI159" s="1755"/>
      <c r="CJ159" s="1755"/>
      <c r="CK159" s="1755"/>
      <c r="CL159" s="1755"/>
      <c r="CM159" s="1756"/>
    </row>
    <row r="160" spans="1:121" x14ac:dyDescent="0.3">
      <c r="A160" s="220"/>
    </row>
    <row r="161" spans="1:16" x14ac:dyDescent="0.3">
      <c r="A161" s="220"/>
      <c r="D161" s="1595" t="s">
        <v>288</v>
      </c>
      <c r="E161" s="1595"/>
      <c r="F161" s="1595"/>
      <c r="G161" s="1595"/>
      <c r="H161" s="1595"/>
      <c r="I161" s="1595"/>
      <c r="J161" s="1595"/>
      <c r="K161" s="1595"/>
      <c r="L161" s="1595"/>
      <c r="M161" s="1595"/>
      <c r="N161" s="1595"/>
      <c r="O161" s="1595"/>
      <c r="P161" s="1595"/>
    </row>
    <row r="162" spans="1:16" ht="10.5" customHeight="1" x14ac:dyDescent="0.3">
      <c r="A162" s="220"/>
      <c r="D162" s="1744"/>
      <c r="E162" s="1744"/>
      <c r="F162" s="1744"/>
      <c r="G162" s="1744"/>
      <c r="H162" s="1744"/>
      <c r="I162" s="1744"/>
      <c r="J162" s="1744"/>
      <c r="K162" s="1744"/>
      <c r="L162" s="1744"/>
      <c r="M162" s="1744"/>
      <c r="N162" s="1744"/>
      <c r="O162" s="1744"/>
      <c r="P162" s="1744"/>
    </row>
    <row r="163" spans="1:16" x14ac:dyDescent="0.3">
      <c r="A163" s="220"/>
    </row>
    <row r="164" spans="1:16" x14ac:dyDescent="0.3">
      <c r="A164" s="220"/>
    </row>
    <row r="165" spans="1:16" x14ac:dyDescent="0.3">
      <c r="A165" s="220"/>
    </row>
    <row r="166" spans="1:16" x14ac:dyDescent="0.3">
      <c r="A166" s="220"/>
    </row>
    <row r="167" spans="1:16" x14ac:dyDescent="0.3">
      <c r="A167" s="220"/>
    </row>
    <row r="168" spans="1:16" x14ac:dyDescent="0.3">
      <c r="A168" s="220"/>
    </row>
    <row r="169" spans="1:16" x14ac:dyDescent="0.3">
      <c r="A169" s="220"/>
    </row>
    <row r="170" spans="1:16" x14ac:dyDescent="0.3">
      <c r="A170" s="220"/>
    </row>
    <row r="171" spans="1:16" x14ac:dyDescent="0.3">
      <c r="A171" s="220"/>
    </row>
    <row r="172" spans="1:16" x14ac:dyDescent="0.3">
      <c r="A172" s="220"/>
    </row>
    <row r="173" spans="1:16" x14ac:dyDescent="0.3">
      <c r="A173" s="220"/>
    </row>
    <row r="174" spans="1:16" x14ac:dyDescent="0.3">
      <c r="A174" s="220"/>
    </row>
    <row r="175" spans="1:16" x14ac:dyDescent="0.3">
      <c r="A175" s="220"/>
    </row>
    <row r="176" spans="1:16" x14ac:dyDescent="0.3">
      <c r="A176" s="220"/>
    </row>
    <row r="177" spans="1:1" x14ac:dyDescent="0.3">
      <c r="A177" s="220"/>
    </row>
    <row r="178" spans="1:1" x14ac:dyDescent="0.3">
      <c r="A178" s="220"/>
    </row>
    <row r="179" spans="1:1" x14ac:dyDescent="0.3">
      <c r="A179" s="220"/>
    </row>
    <row r="180" spans="1:1" x14ac:dyDescent="0.3">
      <c r="A180" s="220"/>
    </row>
    <row r="181" spans="1:1" x14ac:dyDescent="0.3">
      <c r="A181" s="220"/>
    </row>
    <row r="182" spans="1:1" x14ac:dyDescent="0.3">
      <c r="A182" s="220"/>
    </row>
    <row r="183" spans="1:1" x14ac:dyDescent="0.3">
      <c r="A183" s="220"/>
    </row>
    <row r="184" spans="1:1" x14ac:dyDescent="0.3">
      <c r="A184" s="220"/>
    </row>
    <row r="185" spans="1:1" x14ac:dyDescent="0.3">
      <c r="A185" s="220"/>
    </row>
    <row r="186" spans="1:1" x14ac:dyDescent="0.3">
      <c r="A186" s="220"/>
    </row>
    <row r="187" spans="1:1" x14ac:dyDescent="0.3">
      <c r="A187" s="220"/>
    </row>
    <row r="188" spans="1:1" x14ac:dyDescent="0.3">
      <c r="A188" s="220"/>
    </row>
    <row r="189" spans="1:1" x14ac:dyDescent="0.3">
      <c r="A189" s="220"/>
    </row>
    <row r="190" spans="1:1" x14ac:dyDescent="0.3">
      <c r="A190" s="220"/>
    </row>
    <row r="191" spans="1:1" x14ac:dyDescent="0.3">
      <c r="A191" s="220"/>
    </row>
    <row r="192" spans="1:1" x14ac:dyDescent="0.3">
      <c r="A192" s="220"/>
    </row>
    <row r="193" spans="1:1" x14ac:dyDescent="0.3">
      <c r="A193" s="220"/>
    </row>
    <row r="194" spans="1:1" x14ac:dyDescent="0.3">
      <c r="A194" s="220"/>
    </row>
    <row r="195" spans="1:1" x14ac:dyDescent="0.3">
      <c r="A195" s="220"/>
    </row>
    <row r="196" spans="1:1" x14ac:dyDescent="0.3">
      <c r="A196" s="220"/>
    </row>
    <row r="197" spans="1:1" x14ac:dyDescent="0.3">
      <c r="A197" s="220"/>
    </row>
    <row r="198" spans="1:1" x14ac:dyDescent="0.3">
      <c r="A198" s="220"/>
    </row>
    <row r="199" spans="1:1" x14ac:dyDescent="0.3">
      <c r="A199" s="220"/>
    </row>
    <row r="200" spans="1:1" x14ac:dyDescent="0.3">
      <c r="A200" s="220"/>
    </row>
    <row r="201" spans="1:1" x14ac:dyDescent="0.3">
      <c r="A201" s="220"/>
    </row>
    <row r="202" spans="1:1" x14ac:dyDescent="0.3">
      <c r="A202" s="220"/>
    </row>
    <row r="203" spans="1:1" x14ac:dyDescent="0.3">
      <c r="A203" s="220"/>
    </row>
    <row r="204" spans="1:1" x14ac:dyDescent="0.3">
      <c r="A204" s="220"/>
    </row>
    <row r="205" spans="1:1" x14ac:dyDescent="0.3">
      <c r="A205" s="220"/>
    </row>
    <row r="206" spans="1:1" x14ac:dyDescent="0.3">
      <c r="A206" s="220"/>
    </row>
    <row r="207" spans="1:1" x14ac:dyDescent="0.3">
      <c r="A207" s="220"/>
    </row>
    <row r="208" spans="1:1" x14ac:dyDescent="0.3">
      <c r="A208" s="220"/>
    </row>
    <row r="209" spans="1:1" x14ac:dyDescent="0.3">
      <c r="A209" s="220"/>
    </row>
    <row r="210" spans="1:1" x14ac:dyDescent="0.3">
      <c r="A210" s="220"/>
    </row>
    <row r="211" spans="1:1" x14ac:dyDescent="0.3">
      <c r="A211" s="220"/>
    </row>
    <row r="212" spans="1:1" x14ac:dyDescent="0.3">
      <c r="A212" s="220"/>
    </row>
    <row r="213" spans="1:1" x14ac:dyDescent="0.3">
      <c r="A213" s="220"/>
    </row>
    <row r="214" spans="1:1" x14ac:dyDescent="0.3">
      <c r="A214" s="220"/>
    </row>
    <row r="215" spans="1:1" x14ac:dyDescent="0.3">
      <c r="A215" s="220"/>
    </row>
    <row r="216" spans="1:1" x14ac:dyDescent="0.3">
      <c r="A216" s="220"/>
    </row>
    <row r="217" spans="1:1" x14ac:dyDescent="0.3">
      <c r="A217" s="220"/>
    </row>
    <row r="218" spans="1:1" x14ac:dyDescent="0.3">
      <c r="A218" s="220"/>
    </row>
    <row r="219" spans="1:1" x14ac:dyDescent="0.3">
      <c r="A219" s="220"/>
    </row>
    <row r="220" spans="1:1" x14ac:dyDescent="0.3">
      <c r="A220" s="220"/>
    </row>
    <row r="221" spans="1:1" x14ac:dyDescent="0.3">
      <c r="A221" s="220"/>
    </row>
    <row r="222" spans="1:1" x14ac:dyDescent="0.3">
      <c r="A222" s="220"/>
    </row>
    <row r="223" spans="1:1" x14ac:dyDescent="0.3">
      <c r="A223" s="220"/>
    </row>
    <row r="224" spans="1:1" x14ac:dyDescent="0.3">
      <c r="A224" s="220"/>
    </row>
    <row r="225" spans="1:1" x14ac:dyDescent="0.3">
      <c r="A225" s="220"/>
    </row>
    <row r="226" spans="1:1" x14ac:dyDescent="0.3">
      <c r="A226" s="220"/>
    </row>
    <row r="227" spans="1:1" x14ac:dyDescent="0.3">
      <c r="A227" s="220"/>
    </row>
    <row r="228" spans="1:1" x14ac:dyDescent="0.3">
      <c r="A228" s="220"/>
    </row>
    <row r="229" spans="1:1" x14ac:dyDescent="0.3">
      <c r="A229" s="220"/>
    </row>
    <row r="230" spans="1:1" x14ac:dyDescent="0.3">
      <c r="A230" s="220"/>
    </row>
    <row r="231" spans="1:1" x14ac:dyDescent="0.3">
      <c r="A231" s="220"/>
    </row>
    <row r="232" spans="1:1" x14ac:dyDescent="0.3">
      <c r="A232" s="220"/>
    </row>
    <row r="233" spans="1:1" x14ac:dyDescent="0.3">
      <c r="A233" s="220"/>
    </row>
    <row r="234" spans="1:1" x14ac:dyDescent="0.3">
      <c r="A234" s="220"/>
    </row>
    <row r="235" spans="1:1" x14ac:dyDescent="0.3">
      <c r="A235" s="220"/>
    </row>
    <row r="236" spans="1:1" x14ac:dyDescent="0.3">
      <c r="A236" s="220"/>
    </row>
    <row r="237" spans="1:1" x14ac:dyDescent="0.3">
      <c r="A237" s="220"/>
    </row>
    <row r="238" spans="1:1" x14ac:dyDescent="0.3">
      <c r="A238" s="220"/>
    </row>
    <row r="239" spans="1:1" x14ac:dyDescent="0.3">
      <c r="A239" s="220"/>
    </row>
    <row r="240" spans="1:1" x14ac:dyDescent="0.3">
      <c r="A240" s="220"/>
    </row>
    <row r="241" spans="1:1" x14ac:dyDescent="0.3">
      <c r="A241" s="220"/>
    </row>
    <row r="242" spans="1:1" x14ac:dyDescent="0.3">
      <c r="A242" s="220"/>
    </row>
    <row r="243" spans="1:1" x14ac:dyDescent="0.3">
      <c r="A243" s="220"/>
    </row>
    <row r="244" spans="1:1" x14ac:dyDescent="0.3">
      <c r="A244" s="220"/>
    </row>
    <row r="245" spans="1:1" x14ac:dyDescent="0.3">
      <c r="A245" s="220"/>
    </row>
    <row r="246" spans="1:1" x14ac:dyDescent="0.3">
      <c r="A246" s="220"/>
    </row>
    <row r="247" spans="1:1" x14ac:dyDescent="0.3">
      <c r="A247" s="220"/>
    </row>
    <row r="248" spans="1:1" x14ac:dyDescent="0.3">
      <c r="A248" s="220"/>
    </row>
    <row r="249" spans="1:1" x14ac:dyDescent="0.3">
      <c r="A249" s="220"/>
    </row>
    <row r="250" spans="1:1" x14ac:dyDescent="0.3">
      <c r="A250" s="220"/>
    </row>
    <row r="251" spans="1:1" x14ac:dyDescent="0.3">
      <c r="A251" s="220"/>
    </row>
    <row r="252" spans="1:1" x14ac:dyDescent="0.3">
      <c r="A252" s="220"/>
    </row>
    <row r="253" spans="1:1" x14ac:dyDescent="0.3">
      <c r="A253" s="220"/>
    </row>
    <row r="254" spans="1:1" x14ac:dyDescent="0.3">
      <c r="A254" s="220"/>
    </row>
    <row r="255" spans="1:1" x14ac:dyDescent="0.3">
      <c r="A255" s="220"/>
    </row>
    <row r="256" spans="1:1" x14ac:dyDescent="0.3">
      <c r="A256" s="220"/>
    </row>
    <row r="257" spans="1:1" x14ac:dyDescent="0.3">
      <c r="A257" s="220"/>
    </row>
    <row r="258" spans="1:1" x14ac:dyDescent="0.3">
      <c r="A258" s="220"/>
    </row>
    <row r="259" spans="1:1" x14ac:dyDescent="0.3">
      <c r="A259" s="220"/>
    </row>
    <row r="260" spans="1:1" x14ac:dyDescent="0.3">
      <c r="A260" s="220"/>
    </row>
    <row r="261" spans="1:1" x14ac:dyDescent="0.3">
      <c r="A261" s="220"/>
    </row>
    <row r="262" spans="1:1" x14ac:dyDescent="0.3">
      <c r="A262" s="220"/>
    </row>
    <row r="263" spans="1:1" x14ac:dyDescent="0.3">
      <c r="A263" s="220"/>
    </row>
    <row r="264" spans="1:1" x14ac:dyDescent="0.3">
      <c r="A264" s="220"/>
    </row>
    <row r="265" spans="1:1" x14ac:dyDescent="0.3">
      <c r="A265" s="220"/>
    </row>
    <row r="266" spans="1:1" x14ac:dyDescent="0.3">
      <c r="A266" s="220"/>
    </row>
    <row r="267" spans="1:1" x14ac:dyDescent="0.3">
      <c r="A267" s="220"/>
    </row>
    <row r="268" spans="1:1" x14ac:dyDescent="0.3">
      <c r="A268" s="220"/>
    </row>
    <row r="269" spans="1:1" x14ac:dyDescent="0.3">
      <c r="A269" s="220"/>
    </row>
    <row r="270" spans="1:1" x14ac:dyDescent="0.3">
      <c r="A270" s="220"/>
    </row>
    <row r="271" spans="1:1" x14ac:dyDescent="0.3">
      <c r="A271" s="220"/>
    </row>
    <row r="272" spans="1:1" x14ac:dyDescent="0.3">
      <c r="A272" s="220"/>
    </row>
    <row r="273" spans="1:1" x14ac:dyDescent="0.3">
      <c r="A273" s="220"/>
    </row>
    <row r="274" spans="1:1" x14ac:dyDescent="0.3">
      <c r="A274" s="220"/>
    </row>
    <row r="275" spans="1:1" x14ac:dyDescent="0.3">
      <c r="A275" s="220"/>
    </row>
    <row r="276" spans="1:1" x14ac:dyDescent="0.3">
      <c r="A276" s="220"/>
    </row>
    <row r="277" spans="1:1" x14ac:dyDescent="0.3">
      <c r="A277" s="220"/>
    </row>
    <row r="278" spans="1:1" x14ac:dyDescent="0.3">
      <c r="A278" s="220"/>
    </row>
    <row r="279" spans="1:1" x14ac:dyDescent="0.3">
      <c r="A279" s="220"/>
    </row>
    <row r="280" spans="1:1" x14ac:dyDescent="0.3">
      <c r="A280" s="220"/>
    </row>
    <row r="281" spans="1:1" x14ac:dyDescent="0.3">
      <c r="A281" s="220"/>
    </row>
    <row r="282" spans="1:1" x14ac:dyDescent="0.3">
      <c r="A282" s="220"/>
    </row>
    <row r="283" spans="1:1" x14ac:dyDescent="0.3">
      <c r="A283" s="220"/>
    </row>
    <row r="284" spans="1:1" x14ac:dyDescent="0.3">
      <c r="A284" s="220"/>
    </row>
    <row r="285" spans="1:1" x14ac:dyDescent="0.3">
      <c r="A285" s="220"/>
    </row>
    <row r="286" spans="1:1" x14ac:dyDescent="0.3">
      <c r="A286" s="220"/>
    </row>
    <row r="287" spans="1:1" x14ac:dyDescent="0.3">
      <c r="A287" s="220"/>
    </row>
    <row r="288" spans="1:1" x14ac:dyDescent="0.3">
      <c r="A288" s="220"/>
    </row>
    <row r="289" spans="1:1" x14ac:dyDescent="0.3">
      <c r="A289" s="220"/>
    </row>
    <row r="290" spans="1:1" x14ac:dyDescent="0.3">
      <c r="A290" s="220"/>
    </row>
    <row r="291" spans="1:1" x14ac:dyDescent="0.3">
      <c r="A291" s="220"/>
    </row>
    <row r="292" spans="1:1" x14ac:dyDescent="0.3">
      <c r="A292" s="220"/>
    </row>
    <row r="293" spans="1:1" x14ac:dyDescent="0.3">
      <c r="A293" s="220"/>
    </row>
    <row r="294" spans="1:1" x14ac:dyDescent="0.3">
      <c r="A294" s="220"/>
    </row>
    <row r="295" spans="1:1" x14ac:dyDescent="0.3">
      <c r="A295" s="220"/>
    </row>
    <row r="296" spans="1:1" x14ac:dyDescent="0.3">
      <c r="A296" s="220"/>
    </row>
    <row r="297" spans="1:1" x14ac:dyDescent="0.3">
      <c r="A297" s="220"/>
    </row>
    <row r="298" spans="1:1" x14ac:dyDescent="0.3">
      <c r="A298" s="220"/>
    </row>
    <row r="299" spans="1:1" x14ac:dyDescent="0.3">
      <c r="A299" s="220"/>
    </row>
    <row r="300" spans="1:1" x14ac:dyDescent="0.3">
      <c r="A300" s="220"/>
    </row>
    <row r="301" spans="1:1" x14ac:dyDescent="0.3">
      <c r="A301" s="220"/>
    </row>
    <row r="302" spans="1:1" x14ac:dyDescent="0.3">
      <c r="A302" s="220"/>
    </row>
    <row r="303" spans="1:1" x14ac:dyDescent="0.3">
      <c r="A303" s="220"/>
    </row>
    <row r="304" spans="1:1" x14ac:dyDescent="0.3">
      <c r="A304" s="220"/>
    </row>
    <row r="305" spans="1:1" x14ac:dyDescent="0.3">
      <c r="A305" s="220"/>
    </row>
    <row r="306" spans="1:1" x14ac:dyDescent="0.3">
      <c r="A306" s="220"/>
    </row>
    <row r="307" spans="1:1" x14ac:dyDescent="0.3">
      <c r="A307" s="220"/>
    </row>
    <row r="308" spans="1:1" x14ac:dyDescent="0.3">
      <c r="A308" s="220"/>
    </row>
    <row r="309" spans="1:1" x14ac:dyDescent="0.3">
      <c r="A309" s="220"/>
    </row>
    <row r="310" spans="1:1" x14ac:dyDescent="0.3">
      <c r="A310" s="220"/>
    </row>
    <row r="311" spans="1:1" x14ac:dyDescent="0.3">
      <c r="A311" s="220"/>
    </row>
    <row r="312" spans="1:1" x14ac:dyDescent="0.3">
      <c r="A312" s="220"/>
    </row>
    <row r="313" spans="1:1" x14ac:dyDescent="0.3">
      <c r="A313" s="220"/>
    </row>
    <row r="314" spans="1:1" x14ac:dyDescent="0.3">
      <c r="A314" s="220"/>
    </row>
    <row r="315" spans="1:1" x14ac:dyDescent="0.3">
      <c r="A315" s="220"/>
    </row>
    <row r="316" spans="1:1" x14ac:dyDescent="0.3">
      <c r="A316" s="220"/>
    </row>
    <row r="317" spans="1:1" x14ac:dyDescent="0.3">
      <c r="A317" s="220"/>
    </row>
    <row r="318" spans="1:1" x14ac:dyDescent="0.3">
      <c r="A318" s="220"/>
    </row>
    <row r="319" spans="1:1" x14ac:dyDescent="0.3">
      <c r="A319" s="220"/>
    </row>
    <row r="320" spans="1:1" x14ac:dyDescent="0.3">
      <c r="A320" s="220"/>
    </row>
    <row r="321" spans="1:1" x14ac:dyDescent="0.3">
      <c r="A321" s="220"/>
    </row>
    <row r="322" spans="1:1" x14ac:dyDescent="0.3">
      <c r="A322" s="220"/>
    </row>
    <row r="323" spans="1:1" x14ac:dyDescent="0.3">
      <c r="A323" s="220"/>
    </row>
    <row r="324" spans="1:1" x14ac:dyDescent="0.3">
      <c r="A324" s="220"/>
    </row>
    <row r="325" spans="1:1" x14ac:dyDescent="0.3">
      <c r="A325" s="220"/>
    </row>
    <row r="326" spans="1:1" x14ac:dyDescent="0.3">
      <c r="A326" s="220"/>
    </row>
    <row r="15882" spans="35:41" ht="19.5" thickBot="1" x14ac:dyDescent="0.35"/>
    <row r="15883" spans="35:41" ht="19.5" thickBot="1" x14ac:dyDescent="0.35">
      <c r="AI15883" s="1746" t="s">
        <v>150</v>
      </c>
      <c r="AJ15883" s="1747"/>
      <c r="AK15883" s="1748"/>
      <c r="AL15883" s="198"/>
      <c r="AM15883" s="198"/>
      <c r="AN15883" s="198"/>
      <c r="AO15883" s="198"/>
    </row>
    <row r="15884" spans="35:41" ht="19.5" thickBot="1" x14ac:dyDescent="0.35">
      <c r="AI15884" s="1746" t="s">
        <v>150</v>
      </c>
      <c r="AJ15884" s="1747"/>
      <c r="AK15884" s="1748"/>
      <c r="AL15884" s="198"/>
      <c r="AM15884" s="198"/>
      <c r="AN15884" s="198"/>
      <c r="AO15884" s="198"/>
    </row>
    <row r="15885" spans="35:41" ht="19.5" thickBot="1" x14ac:dyDescent="0.35">
      <c r="AI15885" s="1746" t="s">
        <v>150</v>
      </c>
      <c r="AJ15885" s="1747"/>
      <c r="AK15885" s="1748"/>
      <c r="AL15885" s="198"/>
      <c r="AM15885" s="198"/>
      <c r="AN15885" s="198"/>
      <c r="AO15885" s="198"/>
    </row>
    <row r="15886" spans="35:41" ht="19.5" thickBot="1" x14ac:dyDescent="0.35">
      <c r="AI15886" s="1746" t="s">
        <v>150</v>
      </c>
      <c r="AJ15886" s="1747"/>
      <c r="AK15886" s="1748"/>
      <c r="AL15886" s="198"/>
      <c r="AM15886" s="198"/>
      <c r="AN15886" s="198"/>
      <c r="AO15886" s="198"/>
    </row>
    <row r="15887" spans="35:41" ht="19.5" thickBot="1" x14ac:dyDescent="0.35">
      <c r="AI15887" s="1746" t="s">
        <v>150</v>
      </c>
      <c r="AJ15887" s="1747"/>
      <c r="AK15887" s="1748"/>
      <c r="AL15887" s="198"/>
      <c r="AM15887" s="198"/>
      <c r="AN15887" s="198"/>
      <c r="AO15887" s="198"/>
    </row>
    <row r="15888" spans="35:41" ht="19.5" thickBot="1" x14ac:dyDescent="0.35">
      <c r="AI15888" s="1746" t="s">
        <v>150</v>
      </c>
      <c r="AJ15888" s="1747"/>
      <c r="AK15888" s="1748"/>
      <c r="AL15888" s="198"/>
      <c r="AM15888" s="198"/>
      <c r="AN15888" s="198"/>
      <c r="AO15888" s="198"/>
    </row>
    <row r="15889" spans="35:41" ht="19.5" thickBot="1" x14ac:dyDescent="0.35">
      <c r="AI15889" s="1746" t="s">
        <v>150</v>
      </c>
      <c r="AJ15889" s="1747"/>
      <c r="AK15889" s="1748"/>
      <c r="AL15889" s="198"/>
      <c r="AM15889" s="198"/>
      <c r="AN15889" s="198"/>
      <c r="AO15889" s="198"/>
    </row>
    <row r="15890" spans="35:41" ht="19.5" thickBot="1" x14ac:dyDescent="0.35">
      <c r="AI15890" s="1746" t="s">
        <v>150</v>
      </c>
      <c r="AJ15890" s="1747"/>
      <c r="AK15890" s="1748"/>
      <c r="AL15890" s="198"/>
      <c r="AM15890" s="198"/>
      <c r="AN15890" s="198"/>
      <c r="AO15890" s="198"/>
    </row>
    <row r="15891" spans="35:41" ht="19.5" thickBot="1" x14ac:dyDescent="0.35">
      <c r="AI15891" s="1746" t="s">
        <v>150</v>
      </c>
      <c r="AJ15891" s="1747"/>
      <c r="AK15891" s="1748"/>
      <c r="AL15891" s="198"/>
      <c r="AM15891" s="198"/>
      <c r="AN15891" s="198"/>
      <c r="AO15891" s="198"/>
    </row>
    <row r="15892" spans="35:41" ht="19.5" thickBot="1" x14ac:dyDescent="0.35">
      <c r="AI15892" s="1746" t="s">
        <v>150</v>
      </c>
      <c r="AJ15892" s="1747"/>
      <c r="AK15892" s="1748"/>
      <c r="AL15892" s="198"/>
      <c r="AM15892" s="198"/>
      <c r="AN15892" s="198"/>
      <c r="AO15892" s="198"/>
    </row>
    <row r="15893" spans="35:41" ht="19.5" thickBot="1" x14ac:dyDescent="0.35">
      <c r="AI15893" s="1746" t="s">
        <v>150</v>
      </c>
      <c r="AJ15893" s="1747"/>
      <c r="AK15893" s="1748"/>
      <c r="AL15893" s="198"/>
      <c r="AM15893" s="198"/>
      <c r="AN15893" s="198"/>
      <c r="AO15893" s="198"/>
    </row>
    <row r="15894" spans="35:41" ht="19.5" thickBot="1" x14ac:dyDescent="0.35">
      <c r="AI15894" s="1746" t="s">
        <v>150</v>
      </c>
      <c r="AJ15894" s="1747"/>
      <c r="AK15894" s="1748"/>
      <c r="AL15894" s="198"/>
      <c r="AM15894" s="198"/>
      <c r="AN15894" s="198"/>
      <c r="AO15894" s="198"/>
    </row>
    <row r="15895" spans="35:41" ht="19.5" thickBot="1" x14ac:dyDescent="0.35">
      <c r="AI15895" s="1746" t="s">
        <v>150</v>
      </c>
      <c r="AJ15895" s="1747"/>
      <c r="AK15895" s="1748"/>
      <c r="AL15895" s="198"/>
      <c r="AM15895" s="198"/>
      <c r="AN15895" s="198"/>
      <c r="AO15895" s="198"/>
    </row>
    <row r="15896" spans="35:41" ht="19.5" thickBot="1" x14ac:dyDescent="0.35">
      <c r="AI15896" s="1746" t="s">
        <v>150</v>
      </c>
      <c r="AJ15896" s="1747"/>
      <c r="AK15896" s="1748"/>
      <c r="AL15896" s="198"/>
      <c r="AM15896" s="198"/>
      <c r="AN15896" s="198"/>
      <c r="AO15896" s="198"/>
    </row>
    <row r="15897" spans="35:41" ht="19.5" thickBot="1" x14ac:dyDescent="0.35">
      <c r="AI15897" s="1746" t="s">
        <v>150</v>
      </c>
      <c r="AJ15897" s="1747"/>
      <c r="AK15897" s="1748"/>
      <c r="AL15897" s="198"/>
      <c r="AM15897" s="198"/>
      <c r="AN15897" s="198"/>
      <c r="AO15897" s="198"/>
    </row>
    <row r="15898" spans="35:41" ht="19.5" thickBot="1" x14ac:dyDescent="0.35">
      <c r="AI15898" s="1746" t="s">
        <v>150</v>
      </c>
      <c r="AJ15898" s="1747"/>
      <c r="AK15898" s="1748"/>
      <c r="AL15898" s="198"/>
      <c r="AM15898" s="198"/>
      <c r="AN15898" s="198"/>
      <c r="AO15898" s="198"/>
    </row>
    <row r="15899" spans="35:41" ht="19.5" thickBot="1" x14ac:dyDescent="0.35">
      <c r="AI15899" s="1746" t="s">
        <v>150</v>
      </c>
      <c r="AJ15899" s="1747"/>
      <c r="AK15899" s="1748"/>
      <c r="AL15899" s="198"/>
      <c r="AM15899" s="198"/>
      <c r="AN15899" s="198"/>
      <c r="AO15899" s="198"/>
    </row>
    <row r="15900" spans="35:41" ht="19.5" thickBot="1" x14ac:dyDescent="0.35">
      <c r="AI15900" s="1746" t="s">
        <v>150</v>
      </c>
      <c r="AJ15900" s="1747"/>
      <c r="AK15900" s="1748"/>
      <c r="AL15900" s="198"/>
      <c r="AM15900" s="198"/>
      <c r="AN15900" s="198"/>
      <c r="AO15900" s="198"/>
    </row>
    <row r="15901" spans="35:41" ht="19.5" thickBot="1" x14ac:dyDescent="0.35">
      <c r="AI15901" s="1746" t="s">
        <v>150</v>
      </c>
      <c r="AJ15901" s="1747"/>
      <c r="AK15901" s="1748"/>
      <c r="AL15901" s="198"/>
      <c r="AM15901" s="198"/>
      <c r="AN15901" s="198"/>
      <c r="AO15901" s="198"/>
    </row>
    <row r="15902" spans="35:41" ht="19.5" thickBot="1" x14ac:dyDescent="0.35">
      <c r="AI15902" s="1746" t="s">
        <v>150</v>
      </c>
      <c r="AJ15902" s="1747"/>
      <c r="AK15902" s="1748"/>
      <c r="AL15902" s="198"/>
      <c r="AM15902" s="198"/>
      <c r="AN15902" s="198"/>
      <c r="AO15902" s="198"/>
    </row>
    <row r="15903" spans="35:41" ht="19.5" thickBot="1" x14ac:dyDescent="0.35">
      <c r="AI15903" s="1746" t="s">
        <v>150</v>
      </c>
      <c r="AJ15903" s="1747"/>
      <c r="AK15903" s="1748"/>
      <c r="AL15903" s="198"/>
      <c r="AM15903" s="198"/>
      <c r="AN15903" s="198"/>
      <c r="AO15903" s="198"/>
    </row>
    <row r="15904" spans="35:41" ht="19.5" thickBot="1" x14ac:dyDescent="0.35">
      <c r="AI15904" s="1746" t="s">
        <v>150</v>
      </c>
      <c r="AJ15904" s="1747"/>
      <c r="AK15904" s="1748"/>
      <c r="AL15904" s="198"/>
      <c r="AM15904" s="198"/>
      <c r="AN15904" s="198"/>
      <c r="AO15904" s="198"/>
    </row>
    <row r="15905" spans="35:41" ht="19.5" thickBot="1" x14ac:dyDescent="0.35">
      <c r="AI15905" s="1746" t="s">
        <v>150</v>
      </c>
      <c r="AJ15905" s="1747"/>
      <c r="AK15905" s="1748"/>
      <c r="AL15905" s="198"/>
      <c r="AM15905" s="198"/>
      <c r="AN15905" s="198"/>
      <c r="AO15905" s="198"/>
    </row>
    <row r="15906" spans="35:41" ht="19.5" thickBot="1" x14ac:dyDescent="0.35">
      <c r="AI15906" s="1746" t="s">
        <v>150</v>
      </c>
      <c r="AJ15906" s="1747"/>
      <c r="AK15906" s="1748"/>
      <c r="AL15906" s="198"/>
      <c r="AM15906" s="198"/>
      <c r="AN15906" s="198"/>
      <c r="AO15906" s="198"/>
    </row>
    <row r="15907" spans="35:41" ht="19.5" thickBot="1" x14ac:dyDescent="0.35">
      <c r="AI15907" s="1746" t="s">
        <v>150</v>
      </c>
      <c r="AJ15907" s="1747"/>
      <c r="AK15907" s="1748"/>
      <c r="AL15907" s="198"/>
      <c r="AM15907" s="198"/>
      <c r="AN15907" s="198"/>
      <c r="AO15907" s="198"/>
    </row>
    <row r="15908" spans="35:41" ht="19.5" thickBot="1" x14ac:dyDescent="0.35">
      <c r="AI15908" s="1746" t="s">
        <v>150</v>
      </c>
      <c r="AJ15908" s="1747"/>
      <c r="AK15908" s="1748"/>
      <c r="AL15908" s="198"/>
      <c r="AM15908" s="198"/>
      <c r="AN15908" s="198"/>
      <c r="AO15908" s="198"/>
    </row>
    <row r="15909" spans="35:41" ht="19.5" thickBot="1" x14ac:dyDescent="0.35">
      <c r="AI15909" s="1746" t="s">
        <v>150</v>
      </c>
      <c r="AJ15909" s="1747"/>
      <c r="AK15909" s="1748"/>
      <c r="AL15909" s="198"/>
      <c r="AM15909" s="198"/>
      <c r="AN15909" s="198"/>
      <c r="AO15909" s="198"/>
    </row>
    <row r="15910" spans="35:41" ht="19.5" thickBot="1" x14ac:dyDescent="0.35">
      <c r="AI15910" s="1746" t="s">
        <v>150</v>
      </c>
      <c r="AJ15910" s="1747"/>
      <c r="AK15910" s="1748"/>
      <c r="AL15910" s="198"/>
      <c r="AM15910" s="198"/>
      <c r="AN15910" s="198"/>
      <c r="AO15910" s="198"/>
    </row>
    <row r="15911" spans="35:41" ht="19.5" thickBot="1" x14ac:dyDescent="0.35">
      <c r="AI15911" s="1746" t="s">
        <v>150</v>
      </c>
      <c r="AJ15911" s="1747"/>
      <c r="AK15911" s="1748"/>
      <c r="AL15911" s="198"/>
      <c r="AM15911" s="198"/>
      <c r="AN15911" s="198"/>
      <c r="AO15911" s="198"/>
    </row>
    <row r="15912" spans="35:41" ht="19.5" thickBot="1" x14ac:dyDescent="0.35">
      <c r="AI15912" s="1746" t="s">
        <v>150</v>
      </c>
      <c r="AJ15912" s="1747"/>
      <c r="AK15912" s="1748"/>
      <c r="AL15912" s="198"/>
      <c r="AM15912" s="198"/>
      <c r="AN15912" s="198"/>
      <c r="AO15912" s="198"/>
    </row>
    <row r="15913" spans="35:41" ht="19.5" thickBot="1" x14ac:dyDescent="0.35">
      <c r="AI15913" s="1746" t="s">
        <v>150</v>
      </c>
      <c r="AJ15913" s="1747"/>
      <c r="AK15913" s="1748"/>
      <c r="AL15913" s="198"/>
      <c r="AM15913" s="198"/>
      <c r="AN15913" s="198"/>
      <c r="AO15913" s="198"/>
    </row>
    <row r="15914" spans="35:41" ht="19.5" thickBot="1" x14ac:dyDescent="0.35">
      <c r="AI15914" s="1746" t="s">
        <v>150</v>
      </c>
      <c r="AJ15914" s="1747"/>
      <c r="AK15914" s="1748"/>
      <c r="AL15914" s="198"/>
      <c r="AM15914" s="198"/>
      <c r="AN15914" s="198"/>
      <c r="AO15914" s="198"/>
    </row>
    <row r="15915" spans="35:41" ht="19.5" thickBot="1" x14ac:dyDescent="0.35">
      <c r="AI15915" s="1746" t="s">
        <v>150</v>
      </c>
      <c r="AJ15915" s="1747"/>
      <c r="AK15915" s="1748"/>
      <c r="AL15915" s="198"/>
      <c r="AM15915" s="198"/>
      <c r="AN15915" s="198"/>
      <c r="AO15915" s="198"/>
    </row>
    <row r="15916" spans="35:41" ht="19.5" thickBot="1" x14ac:dyDescent="0.35">
      <c r="AI15916" s="1746" t="s">
        <v>150</v>
      </c>
      <c r="AJ15916" s="1747"/>
      <c r="AK15916" s="1748"/>
      <c r="AL15916" s="198"/>
      <c r="AM15916" s="198"/>
      <c r="AN15916" s="198"/>
      <c r="AO15916" s="198"/>
    </row>
    <row r="15917" spans="35:41" ht="19.5" thickBot="1" x14ac:dyDescent="0.35">
      <c r="AI15917" s="1746" t="s">
        <v>150</v>
      </c>
      <c r="AJ15917" s="1747"/>
      <c r="AK15917" s="1748"/>
      <c r="AL15917" s="198"/>
      <c r="AM15917" s="198"/>
      <c r="AN15917" s="198"/>
      <c r="AO15917" s="198"/>
    </row>
    <row r="15918" spans="35:41" ht="19.5" thickBot="1" x14ac:dyDescent="0.35">
      <c r="AI15918" s="1746" t="s">
        <v>150</v>
      </c>
      <c r="AJ15918" s="1747"/>
      <c r="AK15918" s="1748"/>
      <c r="AL15918" s="198"/>
      <c r="AM15918" s="198"/>
      <c r="AN15918" s="198"/>
      <c r="AO15918" s="198"/>
    </row>
    <row r="15919" spans="35:41" ht="19.5" thickBot="1" x14ac:dyDescent="0.35">
      <c r="AI15919" s="1746" t="s">
        <v>150</v>
      </c>
      <c r="AJ15919" s="1747"/>
      <c r="AK15919" s="1748"/>
      <c r="AL15919" s="198"/>
      <c r="AM15919" s="198"/>
      <c r="AN15919" s="198"/>
      <c r="AO15919" s="198"/>
    </row>
    <row r="15920" spans="35:41" ht="19.5" thickBot="1" x14ac:dyDescent="0.35">
      <c r="AI15920" s="1746" t="s">
        <v>150</v>
      </c>
      <c r="AJ15920" s="1747"/>
      <c r="AK15920" s="1748"/>
      <c r="AL15920" s="198"/>
      <c r="AM15920" s="198"/>
      <c r="AN15920" s="198"/>
      <c r="AO15920" s="198"/>
    </row>
    <row r="15921" spans="35:41" ht="19.5" thickBot="1" x14ac:dyDescent="0.35">
      <c r="AI15921" s="1746" t="s">
        <v>150</v>
      </c>
      <c r="AJ15921" s="1747"/>
      <c r="AK15921" s="1748"/>
      <c r="AL15921" s="198"/>
      <c r="AM15921" s="198"/>
      <c r="AN15921" s="198"/>
      <c r="AO15921" s="198"/>
    </row>
    <row r="15922" spans="35:41" ht="19.5" thickBot="1" x14ac:dyDescent="0.35">
      <c r="AI15922" s="1746" t="s">
        <v>150</v>
      </c>
      <c r="AJ15922" s="1747"/>
      <c r="AK15922" s="1748"/>
      <c r="AL15922" s="198"/>
      <c r="AM15922" s="198"/>
      <c r="AN15922" s="198"/>
      <c r="AO15922" s="198"/>
    </row>
    <row r="15923" spans="35:41" ht="19.5" thickBot="1" x14ac:dyDescent="0.35">
      <c r="AI15923" s="1746" t="s">
        <v>150</v>
      </c>
      <c r="AJ15923" s="1747"/>
      <c r="AK15923" s="1748"/>
      <c r="AL15923" s="198"/>
      <c r="AM15923" s="198"/>
      <c r="AN15923" s="198"/>
      <c r="AO15923" s="198"/>
    </row>
    <row r="15924" spans="35:41" ht="19.5" thickBot="1" x14ac:dyDescent="0.35">
      <c r="AI15924" s="1746" t="s">
        <v>150</v>
      </c>
      <c r="AJ15924" s="1747"/>
      <c r="AK15924" s="1748"/>
      <c r="AL15924" s="198"/>
      <c r="AM15924" s="198"/>
      <c r="AN15924" s="198"/>
      <c r="AO15924" s="198"/>
    </row>
    <row r="15925" spans="35:41" ht="19.5" thickBot="1" x14ac:dyDescent="0.35">
      <c r="AI15925" s="1746" t="s">
        <v>150</v>
      </c>
      <c r="AJ15925" s="1747"/>
      <c r="AK15925" s="1748"/>
      <c r="AL15925" s="198"/>
      <c r="AM15925" s="198"/>
      <c r="AN15925" s="198"/>
      <c r="AO15925" s="198"/>
    </row>
    <row r="15926" spans="35:41" ht="19.5" thickBot="1" x14ac:dyDescent="0.35">
      <c r="AI15926" s="1746" t="s">
        <v>150</v>
      </c>
      <c r="AJ15926" s="1747"/>
      <c r="AK15926" s="1748"/>
      <c r="AL15926" s="198"/>
      <c r="AM15926" s="198"/>
      <c r="AN15926" s="198"/>
      <c r="AO15926" s="198"/>
    </row>
    <row r="15927" spans="35:41" ht="19.5" thickBot="1" x14ac:dyDescent="0.35">
      <c r="AI15927" s="1746" t="s">
        <v>150</v>
      </c>
      <c r="AJ15927" s="1747"/>
      <c r="AK15927" s="1748"/>
      <c r="AL15927" s="198"/>
      <c r="AM15927" s="198"/>
      <c r="AN15927" s="198"/>
      <c r="AO15927" s="198"/>
    </row>
    <row r="15928" spans="35:41" ht="19.5" thickBot="1" x14ac:dyDescent="0.35">
      <c r="AI15928" s="1746" t="s">
        <v>150</v>
      </c>
      <c r="AJ15928" s="1747"/>
      <c r="AK15928" s="1748"/>
      <c r="AL15928" s="198"/>
      <c r="AM15928" s="198"/>
      <c r="AN15928" s="198"/>
      <c r="AO15928" s="198"/>
    </row>
    <row r="15929" spans="35:41" ht="19.5" thickBot="1" x14ac:dyDescent="0.35">
      <c r="AI15929" s="1746" t="s">
        <v>150</v>
      </c>
      <c r="AJ15929" s="1747"/>
      <c r="AK15929" s="1748"/>
      <c r="AL15929" s="198"/>
      <c r="AM15929" s="198"/>
      <c r="AN15929" s="198"/>
      <c r="AO15929" s="198"/>
    </row>
    <row r="15930" spans="35:41" ht="19.5" thickBot="1" x14ac:dyDescent="0.35">
      <c r="AI15930" s="1746" t="s">
        <v>150</v>
      </c>
      <c r="AJ15930" s="1747"/>
      <c r="AK15930" s="1748"/>
      <c r="AL15930" s="198"/>
      <c r="AM15930" s="198"/>
      <c r="AN15930" s="198"/>
      <c r="AO15930" s="198"/>
    </row>
    <row r="15931" spans="35:41" ht="19.5" thickBot="1" x14ac:dyDescent="0.35">
      <c r="AI15931" s="1746" t="s">
        <v>150</v>
      </c>
      <c r="AJ15931" s="1747"/>
      <c r="AK15931" s="1748"/>
      <c r="AL15931" s="198"/>
      <c r="AM15931" s="198"/>
      <c r="AN15931" s="198"/>
      <c r="AO15931" s="198"/>
    </row>
    <row r="15932" spans="35:41" ht="19.5" thickBot="1" x14ac:dyDescent="0.35">
      <c r="AI15932" s="1746" t="s">
        <v>150</v>
      </c>
      <c r="AJ15932" s="1747"/>
      <c r="AK15932" s="1748"/>
      <c r="AL15932" s="198"/>
      <c r="AM15932" s="198"/>
      <c r="AN15932" s="198"/>
      <c r="AO15932" s="198"/>
    </row>
    <row r="15933" spans="35:41" ht="19.5" thickBot="1" x14ac:dyDescent="0.35">
      <c r="AI15933" s="1746" t="s">
        <v>150</v>
      </c>
      <c r="AJ15933" s="1747"/>
      <c r="AK15933" s="1748"/>
      <c r="AL15933" s="198"/>
      <c r="AM15933" s="198"/>
      <c r="AN15933" s="198"/>
      <c r="AO15933" s="198"/>
    </row>
    <row r="15934" spans="35:41" ht="19.5" thickBot="1" x14ac:dyDescent="0.35">
      <c r="AI15934" s="1746" t="s">
        <v>150</v>
      </c>
      <c r="AJ15934" s="1747"/>
      <c r="AK15934" s="1748"/>
      <c r="AL15934" s="198"/>
      <c r="AM15934" s="198"/>
      <c r="AN15934" s="198"/>
      <c r="AO15934" s="198"/>
    </row>
    <row r="15935" spans="35:41" ht="19.5" thickBot="1" x14ac:dyDescent="0.35">
      <c r="AI15935" s="1746" t="s">
        <v>150</v>
      </c>
      <c r="AJ15935" s="1747"/>
      <c r="AK15935" s="1748"/>
      <c r="AL15935" s="198"/>
      <c r="AM15935" s="198"/>
      <c r="AN15935" s="198"/>
      <c r="AO15935" s="198"/>
    </row>
    <row r="15936" spans="35:41" ht="19.5" thickBot="1" x14ac:dyDescent="0.35">
      <c r="AI15936" s="1746" t="s">
        <v>150</v>
      </c>
      <c r="AJ15936" s="1747"/>
      <c r="AK15936" s="1748"/>
      <c r="AL15936" s="198"/>
      <c r="AM15936" s="198"/>
      <c r="AN15936" s="198"/>
      <c r="AO15936" s="198"/>
    </row>
    <row r="15937" spans="35:41" ht="19.5" thickBot="1" x14ac:dyDescent="0.35">
      <c r="AI15937" s="1746" t="s">
        <v>150</v>
      </c>
      <c r="AJ15937" s="1747"/>
      <c r="AK15937" s="1748"/>
      <c r="AL15937" s="198"/>
      <c r="AM15937" s="198"/>
      <c r="AN15937" s="198"/>
      <c r="AO15937" s="198"/>
    </row>
    <row r="15938" spans="35:41" ht="19.5" thickBot="1" x14ac:dyDescent="0.35">
      <c r="AI15938" s="1746" t="s">
        <v>150</v>
      </c>
      <c r="AJ15938" s="1747"/>
      <c r="AK15938" s="1748"/>
      <c r="AL15938" s="198"/>
      <c r="AM15938" s="198"/>
      <c r="AN15938" s="198"/>
      <c r="AO15938" s="198"/>
    </row>
    <row r="15939" spans="35:41" ht="19.5" thickBot="1" x14ac:dyDescent="0.35">
      <c r="AI15939" s="1746" t="s">
        <v>150</v>
      </c>
      <c r="AJ15939" s="1747"/>
      <c r="AK15939" s="1748"/>
      <c r="AL15939" s="198"/>
      <c r="AM15939" s="198"/>
      <c r="AN15939" s="198"/>
      <c r="AO15939" s="198"/>
    </row>
    <row r="15940" spans="35:41" ht="19.5" thickBot="1" x14ac:dyDescent="0.35">
      <c r="AI15940" s="1746" t="s">
        <v>150</v>
      </c>
      <c r="AJ15940" s="1747"/>
      <c r="AK15940" s="1748"/>
      <c r="AL15940" s="198"/>
      <c r="AM15940" s="198"/>
      <c r="AN15940" s="198"/>
      <c r="AO15940" s="198"/>
    </row>
    <row r="15941" spans="35:41" ht="19.5" thickBot="1" x14ac:dyDescent="0.35">
      <c r="AI15941" s="1746" t="s">
        <v>150</v>
      </c>
      <c r="AJ15941" s="1747"/>
      <c r="AK15941" s="1748"/>
      <c r="AL15941" s="198"/>
      <c r="AM15941" s="198"/>
      <c r="AN15941" s="198"/>
      <c r="AO15941" s="198"/>
    </row>
    <row r="15942" spans="35:41" ht="19.5" thickBot="1" x14ac:dyDescent="0.35">
      <c r="AI15942" s="1746" t="s">
        <v>150</v>
      </c>
      <c r="AJ15942" s="1747"/>
      <c r="AK15942" s="1748"/>
      <c r="AL15942" s="198"/>
      <c r="AM15942" s="198"/>
      <c r="AN15942" s="198"/>
      <c r="AO15942" s="198"/>
    </row>
    <row r="15943" spans="35:41" ht="19.5" thickBot="1" x14ac:dyDescent="0.35">
      <c r="AI15943" s="1746" t="s">
        <v>150</v>
      </c>
      <c r="AJ15943" s="1747"/>
      <c r="AK15943" s="1748"/>
      <c r="AL15943" s="198"/>
      <c r="AM15943" s="198"/>
      <c r="AN15943" s="198"/>
      <c r="AO15943" s="198"/>
    </row>
    <row r="15944" spans="35:41" ht="19.5" thickBot="1" x14ac:dyDescent="0.35">
      <c r="AI15944" s="1746" t="s">
        <v>150</v>
      </c>
      <c r="AJ15944" s="1747"/>
      <c r="AK15944" s="1748"/>
      <c r="AL15944" s="198"/>
      <c r="AM15944" s="198"/>
      <c r="AN15944" s="198"/>
      <c r="AO15944" s="198"/>
    </row>
    <row r="15945" spans="35:41" ht="19.5" thickBot="1" x14ac:dyDescent="0.35">
      <c r="AI15945" s="1746" t="s">
        <v>150</v>
      </c>
      <c r="AJ15945" s="1747"/>
      <c r="AK15945" s="1748"/>
      <c r="AL15945" s="198"/>
      <c r="AM15945" s="198"/>
      <c r="AN15945" s="198"/>
      <c r="AO15945" s="198"/>
    </row>
    <row r="15946" spans="35:41" ht="19.5" thickBot="1" x14ac:dyDescent="0.35">
      <c r="AI15946" s="1746" t="s">
        <v>150</v>
      </c>
      <c r="AJ15946" s="1747"/>
      <c r="AK15946" s="1748"/>
      <c r="AL15946" s="198"/>
      <c r="AM15946" s="198"/>
      <c r="AN15946" s="198"/>
      <c r="AO15946" s="198"/>
    </row>
    <row r="15947" spans="35:41" ht="19.5" thickBot="1" x14ac:dyDescent="0.35">
      <c r="AI15947" s="1746" t="s">
        <v>150</v>
      </c>
      <c r="AJ15947" s="1747"/>
      <c r="AK15947" s="1748"/>
      <c r="AL15947" s="198"/>
      <c r="AM15947" s="198"/>
      <c r="AN15947" s="198"/>
      <c r="AO15947" s="198"/>
    </row>
    <row r="15948" spans="35:41" ht="19.5" thickBot="1" x14ac:dyDescent="0.35">
      <c r="AI15948" s="1746" t="s">
        <v>150</v>
      </c>
      <c r="AJ15948" s="1747"/>
      <c r="AK15948" s="1748"/>
      <c r="AL15948" s="198"/>
      <c r="AM15948" s="198"/>
      <c r="AN15948" s="198"/>
      <c r="AO15948" s="198"/>
    </row>
    <row r="15949" spans="35:41" ht="19.5" thickBot="1" x14ac:dyDescent="0.35">
      <c r="AI15949" s="1746" t="s">
        <v>150</v>
      </c>
      <c r="AJ15949" s="1747"/>
      <c r="AK15949" s="1748"/>
      <c r="AL15949" s="198"/>
      <c r="AM15949" s="198"/>
      <c r="AN15949" s="198"/>
      <c r="AO15949" s="198"/>
    </row>
    <row r="15950" spans="35:41" ht="19.5" thickBot="1" x14ac:dyDescent="0.35">
      <c r="AI15950" s="1746" t="s">
        <v>150</v>
      </c>
      <c r="AJ15950" s="1747"/>
      <c r="AK15950" s="1748"/>
      <c r="AL15950" s="198"/>
      <c r="AM15950" s="198"/>
      <c r="AN15950" s="198"/>
      <c r="AO15950" s="198"/>
    </row>
    <row r="15951" spans="35:41" ht="19.5" thickBot="1" x14ac:dyDescent="0.35">
      <c r="AI15951" s="1746" t="s">
        <v>150</v>
      </c>
      <c r="AJ15951" s="1747"/>
      <c r="AK15951" s="1748"/>
      <c r="AL15951" s="198"/>
      <c r="AM15951" s="198"/>
      <c r="AN15951" s="198"/>
      <c r="AO15951" s="198"/>
    </row>
    <row r="15952" spans="35:41" ht="19.5" thickBot="1" x14ac:dyDescent="0.35">
      <c r="AI15952" s="1746" t="s">
        <v>150</v>
      </c>
      <c r="AJ15952" s="1747"/>
      <c r="AK15952" s="1748"/>
      <c r="AL15952" s="198"/>
      <c r="AM15952" s="198"/>
      <c r="AN15952" s="198"/>
      <c r="AO15952" s="198"/>
    </row>
    <row r="15953" spans="35:41" ht="19.5" thickBot="1" x14ac:dyDescent="0.35">
      <c r="AI15953" s="1746" t="s">
        <v>150</v>
      </c>
      <c r="AJ15953" s="1747"/>
      <c r="AK15953" s="1748"/>
      <c r="AL15953" s="198"/>
      <c r="AM15953" s="198"/>
      <c r="AN15953" s="198"/>
      <c r="AO15953" s="198"/>
    </row>
    <row r="15954" spans="35:41" ht="19.5" thickBot="1" x14ac:dyDescent="0.35">
      <c r="AI15954" s="1746" t="s">
        <v>150</v>
      </c>
      <c r="AJ15954" s="1747"/>
      <c r="AK15954" s="1748"/>
      <c r="AL15954" s="198"/>
      <c r="AM15954" s="198"/>
      <c r="AN15954" s="198"/>
      <c r="AO15954" s="198"/>
    </row>
    <row r="15955" spans="35:41" ht="19.5" thickBot="1" x14ac:dyDescent="0.35">
      <c r="AI15955" s="1746" t="s">
        <v>150</v>
      </c>
      <c r="AJ15955" s="1747"/>
      <c r="AK15955" s="1748"/>
      <c r="AL15955" s="198"/>
      <c r="AM15955" s="198"/>
      <c r="AN15955" s="198"/>
      <c r="AO15955" s="198"/>
    </row>
    <row r="15956" spans="35:41" ht="19.5" thickBot="1" x14ac:dyDescent="0.35">
      <c r="AI15956" s="1746" t="s">
        <v>150</v>
      </c>
      <c r="AJ15956" s="1747"/>
      <c r="AK15956" s="1748"/>
      <c r="AL15956" s="198"/>
      <c r="AM15956" s="198"/>
      <c r="AN15956" s="198"/>
      <c r="AO15956" s="198"/>
    </row>
    <row r="15957" spans="35:41" ht="19.5" thickBot="1" x14ac:dyDescent="0.35">
      <c r="AI15957" s="1746" t="s">
        <v>150</v>
      </c>
      <c r="AJ15957" s="1747"/>
      <c r="AK15957" s="1748"/>
      <c r="AL15957" s="198"/>
      <c r="AM15957" s="198"/>
      <c r="AN15957" s="198"/>
      <c r="AO15957" s="198"/>
    </row>
    <row r="15958" spans="35:41" ht="19.5" thickBot="1" x14ac:dyDescent="0.35">
      <c r="AI15958" s="1746" t="s">
        <v>150</v>
      </c>
      <c r="AJ15958" s="1747"/>
      <c r="AK15958" s="1748"/>
      <c r="AL15958" s="198"/>
      <c r="AM15958" s="198"/>
      <c r="AN15958" s="198"/>
      <c r="AO15958" s="198"/>
    </row>
    <row r="15959" spans="35:41" ht="19.5" thickBot="1" x14ac:dyDescent="0.35">
      <c r="AI15959" s="1746" t="s">
        <v>150</v>
      </c>
      <c r="AJ15959" s="1747"/>
      <c r="AK15959" s="1748"/>
      <c r="AL15959" s="198"/>
      <c r="AM15959" s="198"/>
      <c r="AN15959" s="198"/>
      <c r="AO15959" s="198"/>
    </row>
    <row r="15960" spans="35:41" ht="19.5" thickBot="1" x14ac:dyDescent="0.35">
      <c r="AI15960" s="1746" t="s">
        <v>150</v>
      </c>
      <c r="AJ15960" s="1747"/>
      <c r="AK15960" s="1748"/>
      <c r="AL15960" s="198"/>
      <c r="AM15960" s="198"/>
      <c r="AN15960" s="198"/>
      <c r="AO15960" s="198"/>
    </row>
    <row r="15961" spans="35:41" ht="19.5" thickBot="1" x14ac:dyDescent="0.35">
      <c r="AI15961" s="1746" t="s">
        <v>150</v>
      </c>
      <c r="AJ15961" s="1747"/>
      <c r="AK15961" s="1748"/>
      <c r="AL15961" s="198"/>
      <c r="AM15961" s="198"/>
      <c r="AN15961" s="198"/>
      <c r="AO15961" s="198"/>
    </row>
    <row r="15962" spans="35:41" ht="19.5" thickBot="1" x14ac:dyDescent="0.35">
      <c r="AI15962" s="1746" t="s">
        <v>150</v>
      </c>
      <c r="AJ15962" s="1747"/>
      <c r="AK15962" s="1748"/>
      <c r="AL15962" s="198"/>
      <c r="AM15962" s="198"/>
      <c r="AN15962" s="198"/>
      <c r="AO15962" s="198"/>
    </row>
    <row r="15963" spans="35:41" ht="19.5" thickBot="1" x14ac:dyDescent="0.35">
      <c r="AI15963" s="1746" t="s">
        <v>150</v>
      </c>
      <c r="AJ15963" s="1747"/>
      <c r="AK15963" s="1748"/>
      <c r="AL15963" s="198"/>
      <c r="AM15963" s="198"/>
      <c r="AN15963" s="198"/>
      <c r="AO15963" s="198"/>
    </row>
    <row r="15964" spans="35:41" ht="19.5" thickBot="1" x14ac:dyDescent="0.35">
      <c r="AI15964" s="1746" t="s">
        <v>150</v>
      </c>
      <c r="AJ15964" s="1747"/>
      <c r="AK15964" s="1748"/>
      <c r="AL15964" s="198"/>
      <c r="AM15964" s="198"/>
      <c r="AN15964" s="198"/>
      <c r="AO15964" s="198"/>
    </row>
    <row r="15965" spans="35:41" ht="19.5" thickBot="1" x14ac:dyDescent="0.35">
      <c r="AI15965" s="1746" t="s">
        <v>150</v>
      </c>
      <c r="AJ15965" s="1747"/>
      <c r="AK15965" s="1748"/>
      <c r="AL15965" s="198"/>
      <c r="AM15965" s="198"/>
      <c r="AN15965" s="198"/>
      <c r="AO15965" s="198"/>
    </row>
    <row r="15966" spans="35:41" ht="19.5" thickBot="1" x14ac:dyDescent="0.35">
      <c r="AI15966" s="1746" t="s">
        <v>150</v>
      </c>
      <c r="AJ15966" s="1747"/>
      <c r="AK15966" s="1748"/>
      <c r="AL15966" s="198"/>
      <c r="AM15966" s="198"/>
      <c r="AN15966" s="198"/>
      <c r="AO15966" s="198"/>
    </row>
    <row r="15967" spans="35:41" ht="19.5" thickBot="1" x14ac:dyDescent="0.35">
      <c r="AI15967" s="1746" t="s">
        <v>150</v>
      </c>
      <c r="AJ15967" s="1747"/>
      <c r="AK15967" s="1748"/>
      <c r="AL15967" s="198"/>
      <c r="AM15967" s="198"/>
      <c r="AN15967" s="198"/>
      <c r="AO15967" s="198"/>
    </row>
    <row r="15968" spans="35:41" ht="19.5" thickBot="1" x14ac:dyDescent="0.35">
      <c r="AI15968" s="1746" t="s">
        <v>150</v>
      </c>
      <c r="AJ15968" s="1747"/>
      <c r="AK15968" s="1748"/>
      <c r="AL15968" s="198"/>
      <c r="AM15968" s="198"/>
      <c r="AN15968" s="198"/>
      <c r="AO15968" s="198"/>
    </row>
    <row r="15969" spans="35:41" ht="19.5" thickBot="1" x14ac:dyDescent="0.35">
      <c r="AI15969" s="1746" t="s">
        <v>150</v>
      </c>
      <c r="AJ15969" s="1747"/>
      <c r="AK15969" s="1748"/>
      <c r="AL15969" s="198"/>
      <c r="AM15969" s="198"/>
      <c r="AN15969" s="198"/>
      <c r="AO15969" s="198"/>
    </row>
    <row r="15970" spans="35:41" ht="19.5" thickBot="1" x14ac:dyDescent="0.35">
      <c r="AI15970" s="1746" t="s">
        <v>150</v>
      </c>
      <c r="AJ15970" s="1747"/>
      <c r="AK15970" s="1748"/>
      <c r="AL15970" s="198"/>
      <c r="AM15970" s="198"/>
      <c r="AN15970" s="198"/>
      <c r="AO15970" s="198"/>
    </row>
    <row r="15971" spans="35:41" ht="19.5" thickBot="1" x14ac:dyDescent="0.35">
      <c r="AI15971" s="1746" t="s">
        <v>150</v>
      </c>
      <c r="AJ15971" s="1747"/>
      <c r="AK15971" s="1748"/>
      <c r="AL15971" s="198"/>
      <c r="AM15971" s="198"/>
      <c r="AN15971" s="198"/>
      <c r="AO15971" s="198"/>
    </row>
    <row r="15972" spans="35:41" ht="19.5" thickBot="1" x14ac:dyDescent="0.35">
      <c r="AI15972" s="1746" t="s">
        <v>150</v>
      </c>
      <c r="AJ15972" s="1747"/>
      <c r="AK15972" s="1748"/>
      <c r="AL15972" s="198"/>
      <c r="AM15972" s="198"/>
      <c r="AN15972" s="198"/>
      <c r="AO15972" s="198"/>
    </row>
    <row r="15973" spans="35:41" ht="19.5" thickBot="1" x14ac:dyDescent="0.35">
      <c r="AI15973" s="1746" t="s">
        <v>150</v>
      </c>
      <c r="AJ15973" s="1747"/>
      <c r="AK15973" s="1748"/>
      <c r="AL15973" s="198"/>
      <c r="AM15973" s="198"/>
      <c r="AN15973" s="198"/>
      <c r="AO15973" s="198"/>
    </row>
    <row r="15974" spans="35:41" ht="19.5" thickBot="1" x14ac:dyDescent="0.35">
      <c r="AI15974" s="1746" t="s">
        <v>150</v>
      </c>
      <c r="AJ15974" s="1747"/>
      <c r="AK15974" s="1748"/>
      <c r="AL15974" s="198"/>
      <c r="AM15974" s="198"/>
      <c r="AN15974" s="198"/>
      <c r="AO15974" s="198"/>
    </row>
    <row r="15975" spans="35:41" ht="19.5" thickBot="1" x14ac:dyDescent="0.35">
      <c r="AI15975" s="1746" t="s">
        <v>150</v>
      </c>
      <c r="AJ15975" s="1747"/>
      <c r="AK15975" s="1748"/>
      <c r="AL15975" s="198"/>
      <c r="AM15975" s="198"/>
      <c r="AN15975" s="198"/>
      <c r="AO15975" s="198"/>
    </row>
    <row r="15976" spans="35:41" ht="19.5" thickBot="1" x14ac:dyDescent="0.35">
      <c r="AI15976" s="1746" t="s">
        <v>150</v>
      </c>
      <c r="AJ15976" s="1747"/>
      <c r="AK15976" s="1748"/>
      <c r="AL15976" s="198"/>
      <c r="AM15976" s="198"/>
      <c r="AN15976" s="198"/>
      <c r="AO15976" s="198"/>
    </row>
    <row r="15977" spans="35:41" ht="19.5" thickBot="1" x14ac:dyDescent="0.35">
      <c r="AI15977" s="1746" t="s">
        <v>150</v>
      </c>
      <c r="AJ15977" s="1747"/>
      <c r="AK15977" s="1748"/>
      <c r="AL15977" s="198"/>
      <c r="AM15977" s="198"/>
      <c r="AN15977" s="198"/>
      <c r="AO15977" s="198"/>
    </row>
    <row r="15978" spans="35:41" ht="19.5" thickBot="1" x14ac:dyDescent="0.35">
      <c r="AI15978" s="1746" t="s">
        <v>150</v>
      </c>
      <c r="AJ15978" s="1747"/>
      <c r="AK15978" s="1748"/>
      <c r="AL15978" s="198"/>
      <c r="AM15978" s="198"/>
      <c r="AN15978" s="198"/>
      <c r="AO15978" s="198"/>
    </row>
    <row r="15979" spans="35:41" ht="19.5" thickBot="1" x14ac:dyDescent="0.35">
      <c r="AI15979" s="1746" t="s">
        <v>150</v>
      </c>
      <c r="AJ15979" s="1747"/>
      <c r="AK15979" s="1748"/>
      <c r="AL15979" s="198"/>
      <c r="AM15979" s="198"/>
      <c r="AN15979" s="198"/>
      <c r="AO15979" s="198"/>
    </row>
    <row r="15980" spans="35:41" ht="19.5" thickBot="1" x14ac:dyDescent="0.35">
      <c r="AI15980" s="1746" t="s">
        <v>150</v>
      </c>
      <c r="AJ15980" s="1747"/>
      <c r="AK15980" s="1748"/>
      <c r="AL15980" s="198"/>
      <c r="AM15980" s="198"/>
      <c r="AN15980" s="198"/>
      <c r="AO15980" s="198"/>
    </row>
    <row r="15981" spans="35:41" ht="19.5" thickBot="1" x14ac:dyDescent="0.35">
      <c r="AI15981" s="1746" t="s">
        <v>150</v>
      </c>
      <c r="AJ15981" s="1747"/>
      <c r="AK15981" s="1748"/>
      <c r="AL15981" s="198"/>
      <c r="AM15981" s="198"/>
      <c r="AN15981" s="198"/>
      <c r="AO15981" s="198"/>
    </row>
    <row r="15982" spans="35:41" ht="19.5" thickBot="1" x14ac:dyDescent="0.35">
      <c r="AI15982" s="1746" t="s">
        <v>150</v>
      </c>
      <c r="AJ15982" s="1747"/>
      <c r="AK15982" s="1748"/>
      <c r="AL15982" s="198"/>
      <c r="AM15982" s="198"/>
      <c r="AN15982" s="198"/>
      <c r="AO15982" s="198"/>
    </row>
    <row r="15983" spans="35:41" ht="19.5" thickBot="1" x14ac:dyDescent="0.35">
      <c r="AI15983" s="1746" t="s">
        <v>150</v>
      </c>
      <c r="AJ15983" s="1747"/>
      <c r="AK15983" s="1748"/>
      <c r="AL15983" s="198"/>
      <c r="AM15983" s="198"/>
      <c r="AN15983" s="198"/>
      <c r="AO15983" s="198"/>
    </row>
    <row r="15984" spans="35:41" ht="19.5" thickBot="1" x14ac:dyDescent="0.35">
      <c r="AI15984" s="1746" t="s">
        <v>150</v>
      </c>
      <c r="AJ15984" s="1747"/>
      <c r="AK15984" s="1748"/>
      <c r="AL15984" s="198"/>
      <c r="AM15984" s="198"/>
      <c r="AN15984" s="198"/>
      <c r="AO15984" s="198"/>
    </row>
    <row r="15985" spans="35:41" ht="19.5" thickBot="1" x14ac:dyDescent="0.35">
      <c r="AI15985" s="1746" t="s">
        <v>150</v>
      </c>
      <c r="AJ15985" s="1747"/>
      <c r="AK15985" s="1748"/>
      <c r="AL15985" s="198"/>
      <c r="AM15985" s="198"/>
      <c r="AN15985" s="198"/>
      <c r="AO15985" s="198"/>
    </row>
    <row r="15986" spans="35:41" ht="19.5" thickBot="1" x14ac:dyDescent="0.35">
      <c r="AI15986" s="1746" t="s">
        <v>150</v>
      </c>
      <c r="AJ15986" s="1747"/>
      <c r="AK15986" s="1748"/>
      <c r="AL15986" s="198"/>
      <c r="AM15986" s="198"/>
      <c r="AN15986" s="198"/>
      <c r="AO15986" s="198"/>
    </row>
    <row r="15987" spans="35:41" ht="19.5" thickBot="1" x14ac:dyDescent="0.35">
      <c r="AI15987" s="1746" t="s">
        <v>150</v>
      </c>
      <c r="AJ15987" s="1747"/>
      <c r="AK15987" s="1748"/>
      <c r="AL15987" s="198"/>
      <c r="AM15987" s="198"/>
      <c r="AN15987" s="198"/>
      <c r="AO15987" s="198"/>
    </row>
    <row r="15988" spans="35:41" ht="19.5" thickBot="1" x14ac:dyDescent="0.35">
      <c r="AI15988" s="1746" t="s">
        <v>150</v>
      </c>
      <c r="AJ15988" s="1747"/>
      <c r="AK15988" s="1748"/>
      <c r="AL15988" s="198"/>
      <c r="AM15988" s="198"/>
      <c r="AN15988" s="198"/>
      <c r="AO15988" s="198"/>
    </row>
    <row r="15989" spans="35:41" ht="19.5" thickBot="1" x14ac:dyDescent="0.35">
      <c r="AI15989" s="1746" t="s">
        <v>150</v>
      </c>
      <c r="AJ15989" s="1747"/>
      <c r="AK15989" s="1748"/>
      <c r="AL15989" s="198"/>
      <c r="AM15989" s="198"/>
      <c r="AN15989" s="198"/>
      <c r="AO15989" s="198"/>
    </row>
    <row r="15990" spans="35:41" ht="19.5" thickBot="1" x14ac:dyDescent="0.35">
      <c r="AI15990" s="1746" t="s">
        <v>150</v>
      </c>
      <c r="AJ15990" s="1747"/>
      <c r="AK15990" s="1748"/>
      <c r="AL15990" s="198"/>
      <c r="AM15990" s="198"/>
      <c r="AN15990" s="198"/>
      <c r="AO15990" s="198"/>
    </row>
    <row r="15991" spans="35:41" ht="19.5" thickBot="1" x14ac:dyDescent="0.35">
      <c r="AI15991" s="1746" t="s">
        <v>150</v>
      </c>
      <c r="AJ15991" s="1747"/>
      <c r="AK15991" s="1748"/>
      <c r="AL15991" s="198"/>
      <c r="AM15991" s="198"/>
      <c r="AN15991" s="198"/>
      <c r="AO15991" s="198"/>
    </row>
    <row r="15992" spans="35:41" ht="19.5" thickBot="1" x14ac:dyDescent="0.35">
      <c r="AI15992" s="1746" t="s">
        <v>150</v>
      </c>
      <c r="AJ15992" s="1747"/>
      <c r="AK15992" s="1748"/>
      <c r="AL15992" s="198"/>
      <c r="AM15992" s="198"/>
      <c r="AN15992" s="198"/>
      <c r="AO15992" s="198"/>
    </row>
    <row r="15993" spans="35:41" ht="19.5" thickBot="1" x14ac:dyDescent="0.35">
      <c r="AI15993" s="1746" t="s">
        <v>150</v>
      </c>
      <c r="AJ15993" s="1747"/>
      <c r="AK15993" s="1748"/>
      <c r="AL15993" s="198"/>
      <c r="AM15993" s="198"/>
      <c r="AN15993" s="198"/>
      <c r="AO15993" s="198"/>
    </row>
    <row r="15994" spans="35:41" ht="19.5" thickBot="1" x14ac:dyDescent="0.35">
      <c r="AI15994" s="1746" t="s">
        <v>150</v>
      </c>
      <c r="AJ15994" s="1747"/>
      <c r="AK15994" s="1748"/>
      <c r="AL15994" s="198"/>
      <c r="AM15994" s="198"/>
      <c r="AN15994" s="198"/>
      <c r="AO15994" s="198"/>
    </row>
    <row r="15995" spans="35:41" ht="19.5" thickBot="1" x14ac:dyDescent="0.35">
      <c r="AI15995" s="1746" t="s">
        <v>150</v>
      </c>
      <c r="AJ15995" s="1747"/>
      <c r="AK15995" s="1748"/>
      <c r="AL15995" s="198"/>
      <c r="AM15995" s="198"/>
      <c r="AN15995" s="198"/>
      <c r="AO15995" s="198"/>
    </row>
    <row r="15996" spans="35:41" ht="19.5" thickBot="1" x14ac:dyDescent="0.35">
      <c r="AI15996" s="1746" t="s">
        <v>150</v>
      </c>
      <c r="AJ15996" s="1747"/>
      <c r="AK15996" s="1748"/>
      <c r="AL15996" s="198"/>
      <c r="AM15996" s="198"/>
      <c r="AN15996" s="198"/>
      <c r="AO15996" s="198"/>
    </row>
    <row r="15997" spans="35:41" ht="19.5" thickBot="1" x14ac:dyDescent="0.35">
      <c r="AI15997" s="1746" t="s">
        <v>150</v>
      </c>
      <c r="AJ15997" s="1747"/>
      <c r="AK15997" s="1748"/>
      <c r="AL15997" s="198"/>
      <c r="AM15997" s="198"/>
      <c r="AN15997" s="198"/>
      <c r="AO15997" s="198"/>
    </row>
    <row r="15998" spans="35:41" ht="19.5" thickBot="1" x14ac:dyDescent="0.35">
      <c r="AI15998" s="1746" t="s">
        <v>150</v>
      </c>
      <c r="AJ15998" s="1747"/>
      <c r="AK15998" s="1748"/>
      <c r="AL15998" s="198"/>
      <c r="AM15998" s="198"/>
      <c r="AN15998" s="198"/>
      <c r="AO15998" s="198"/>
    </row>
    <row r="15999" spans="35:41" ht="19.5" thickBot="1" x14ac:dyDescent="0.35">
      <c r="AI15999" s="1746" t="s">
        <v>150</v>
      </c>
      <c r="AJ15999" s="1747"/>
      <c r="AK15999" s="1748"/>
      <c r="AL15999" s="198"/>
      <c r="AM15999" s="198"/>
      <c r="AN15999" s="198"/>
      <c r="AO15999" s="198"/>
    </row>
    <row r="16000" spans="35:41" ht="19.5" thickBot="1" x14ac:dyDescent="0.35">
      <c r="AI16000" s="1746" t="s">
        <v>150</v>
      </c>
      <c r="AJ16000" s="1747"/>
      <c r="AK16000" s="1748"/>
      <c r="AL16000" s="198"/>
      <c r="AM16000" s="198"/>
      <c r="AN16000" s="198"/>
      <c r="AO16000" s="198"/>
    </row>
    <row r="16001" spans="35:41" ht="19.5" thickBot="1" x14ac:dyDescent="0.35">
      <c r="AI16001" s="1746" t="s">
        <v>150</v>
      </c>
      <c r="AJ16001" s="1747"/>
      <c r="AK16001" s="1748"/>
      <c r="AL16001" s="198"/>
      <c r="AM16001" s="198"/>
      <c r="AN16001" s="198"/>
      <c r="AO16001" s="198"/>
    </row>
    <row r="16002" spans="35:41" ht="19.5" thickBot="1" x14ac:dyDescent="0.35">
      <c r="AI16002" s="1746" t="s">
        <v>150</v>
      </c>
      <c r="AJ16002" s="1747"/>
      <c r="AK16002" s="1748"/>
      <c r="AL16002" s="198"/>
      <c r="AM16002" s="198"/>
      <c r="AN16002" s="198"/>
      <c r="AO16002" s="198"/>
    </row>
    <row r="16003" spans="35:41" ht="19.5" thickBot="1" x14ac:dyDescent="0.35">
      <c r="AI16003" s="1746" t="s">
        <v>150</v>
      </c>
      <c r="AJ16003" s="1747"/>
      <c r="AK16003" s="1748"/>
      <c r="AL16003" s="198"/>
      <c r="AM16003" s="198"/>
      <c r="AN16003" s="198"/>
      <c r="AO16003" s="198"/>
    </row>
    <row r="16004" spans="35:41" ht="19.5" thickBot="1" x14ac:dyDescent="0.35">
      <c r="AI16004" s="1746" t="s">
        <v>150</v>
      </c>
      <c r="AJ16004" s="1747"/>
      <c r="AK16004" s="1748"/>
      <c r="AL16004" s="198"/>
      <c r="AM16004" s="198"/>
      <c r="AN16004" s="198"/>
      <c r="AO16004" s="198"/>
    </row>
    <row r="16005" spans="35:41" ht="19.5" thickBot="1" x14ac:dyDescent="0.35">
      <c r="AI16005" s="1746" t="s">
        <v>150</v>
      </c>
      <c r="AJ16005" s="1747"/>
      <c r="AK16005" s="1748"/>
      <c r="AL16005" s="198"/>
      <c r="AM16005" s="198"/>
      <c r="AN16005" s="198"/>
      <c r="AO16005" s="198"/>
    </row>
    <row r="16006" spans="35:41" ht="19.5" thickBot="1" x14ac:dyDescent="0.35">
      <c r="AI16006" s="1746" t="s">
        <v>150</v>
      </c>
      <c r="AJ16006" s="1747"/>
      <c r="AK16006" s="1748"/>
      <c r="AL16006" s="198"/>
      <c r="AM16006" s="198"/>
      <c r="AN16006" s="198"/>
      <c r="AO16006" s="198"/>
    </row>
    <row r="16007" spans="35:41" ht="19.5" thickBot="1" x14ac:dyDescent="0.35">
      <c r="AI16007" s="1746" t="s">
        <v>150</v>
      </c>
      <c r="AJ16007" s="1747"/>
      <c r="AK16007" s="1748"/>
      <c r="AL16007" s="198"/>
      <c r="AM16007" s="198"/>
      <c r="AN16007" s="198"/>
      <c r="AO16007" s="198"/>
    </row>
    <row r="16008" spans="35:41" ht="19.5" thickBot="1" x14ac:dyDescent="0.35">
      <c r="AI16008" s="1746" t="s">
        <v>150</v>
      </c>
      <c r="AJ16008" s="1747"/>
      <c r="AK16008" s="1748"/>
      <c r="AL16008" s="198"/>
      <c r="AM16008" s="198"/>
      <c r="AN16008" s="198"/>
      <c r="AO16008" s="198"/>
    </row>
    <row r="16009" spans="35:41" ht="19.5" thickBot="1" x14ac:dyDescent="0.35">
      <c r="AI16009" s="1746" t="s">
        <v>150</v>
      </c>
      <c r="AJ16009" s="1747"/>
      <c r="AK16009" s="1748"/>
      <c r="AL16009" s="198"/>
      <c r="AM16009" s="198"/>
      <c r="AN16009" s="198"/>
      <c r="AO16009" s="198"/>
    </row>
    <row r="16010" spans="35:41" ht="19.5" thickBot="1" x14ac:dyDescent="0.35">
      <c r="AI16010" s="1746" t="s">
        <v>150</v>
      </c>
      <c r="AJ16010" s="1747"/>
      <c r="AK16010" s="1748"/>
      <c r="AL16010" s="198"/>
      <c r="AM16010" s="198"/>
      <c r="AN16010" s="198"/>
      <c r="AO16010" s="198"/>
    </row>
    <row r="16011" spans="35:41" ht="19.5" thickBot="1" x14ac:dyDescent="0.35">
      <c r="AI16011" s="1746" t="s">
        <v>150</v>
      </c>
      <c r="AJ16011" s="1747"/>
      <c r="AK16011" s="1748"/>
      <c r="AL16011" s="198"/>
      <c r="AM16011" s="198"/>
      <c r="AN16011" s="198"/>
      <c r="AO16011" s="198"/>
    </row>
    <row r="16012" spans="35:41" ht="19.5" thickBot="1" x14ac:dyDescent="0.35">
      <c r="AI16012" s="1746" t="s">
        <v>150</v>
      </c>
      <c r="AJ16012" s="1747"/>
      <c r="AK16012" s="1748"/>
      <c r="AL16012" s="198"/>
      <c r="AM16012" s="198"/>
      <c r="AN16012" s="198"/>
      <c r="AO16012" s="198"/>
    </row>
    <row r="16013" spans="35:41" ht="19.5" thickBot="1" x14ac:dyDescent="0.35">
      <c r="AI16013" s="1746" t="s">
        <v>150</v>
      </c>
      <c r="AJ16013" s="1747"/>
      <c r="AK16013" s="1748"/>
      <c r="AL16013" s="198"/>
      <c r="AM16013" s="198"/>
      <c r="AN16013" s="198"/>
      <c r="AO16013" s="198"/>
    </row>
    <row r="16014" spans="35:41" ht="19.5" thickBot="1" x14ac:dyDescent="0.35">
      <c r="AI16014" s="1746" t="s">
        <v>150</v>
      </c>
      <c r="AJ16014" s="1747"/>
      <c r="AK16014" s="1748"/>
      <c r="AL16014" s="198"/>
      <c r="AM16014" s="198"/>
      <c r="AN16014" s="198"/>
      <c r="AO16014" s="198"/>
    </row>
    <row r="16015" spans="35:41" ht="19.5" thickBot="1" x14ac:dyDescent="0.35">
      <c r="AI16015" s="1746" t="s">
        <v>150</v>
      </c>
      <c r="AJ16015" s="1747"/>
      <c r="AK16015" s="1748"/>
      <c r="AL16015" s="198"/>
      <c r="AM16015" s="198"/>
      <c r="AN16015" s="198"/>
      <c r="AO16015" s="198"/>
    </row>
    <row r="16016" spans="35:41" ht="19.5" thickBot="1" x14ac:dyDescent="0.35">
      <c r="AI16016" s="1746" t="s">
        <v>150</v>
      </c>
      <c r="AJ16016" s="1747"/>
      <c r="AK16016" s="1748"/>
      <c r="AL16016" s="198"/>
      <c r="AM16016" s="198"/>
      <c r="AN16016" s="198"/>
      <c r="AO16016" s="198"/>
    </row>
    <row r="16017" spans="35:41" ht="19.5" thickBot="1" x14ac:dyDescent="0.35">
      <c r="AI16017" s="1746" t="s">
        <v>150</v>
      </c>
      <c r="AJ16017" s="1747"/>
      <c r="AK16017" s="1748"/>
      <c r="AL16017" s="198"/>
      <c r="AM16017" s="198"/>
      <c r="AN16017" s="198"/>
      <c r="AO16017" s="198"/>
    </row>
    <row r="16018" spans="35:41" ht="19.5" thickBot="1" x14ac:dyDescent="0.35">
      <c r="AI16018" s="1746" t="s">
        <v>150</v>
      </c>
      <c r="AJ16018" s="1747"/>
      <c r="AK16018" s="1748"/>
      <c r="AL16018" s="198"/>
      <c r="AM16018" s="198"/>
      <c r="AN16018" s="198"/>
      <c r="AO16018" s="198"/>
    </row>
    <row r="16019" spans="35:41" ht="19.5" thickBot="1" x14ac:dyDescent="0.35">
      <c r="AI16019" s="1746" t="s">
        <v>150</v>
      </c>
      <c r="AJ16019" s="1747"/>
      <c r="AK16019" s="1748"/>
      <c r="AL16019" s="198"/>
      <c r="AM16019" s="198"/>
      <c r="AN16019" s="198"/>
      <c r="AO16019" s="198"/>
    </row>
    <row r="16020" spans="35:41" ht="19.5" thickBot="1" x14ac:dyDescent="0.35">
      <c r="AI16020" s="1746" t="s">
        <v>150</v>
      </c>
      <c r="AJ16020" s="1747"/>
      <c r="AK16020" s="1748"/>
      <c r="AL16020" s="198"/>
      <c r="AM16020" s="198"/>
      <c r="AN16020" s="198"/>
      <c r="AO16020" s="198"/>
    </row>
    <row r="16021" spans="35:41" ht="19.5" thickBot="1" x14ac:dyDescent="0.35">
      <c r="AI16021" s="1746" t="s">
        <v>150</v>
      </c>
      <c r="AJ16021" s="1747"/>
      <c r="AK16021" s="1748"/>
      <c r="AL16021" s="198"/>
      <c r="AM16021" s="198"/>
      <c r="AN16021" s="198"/>
      <c r="AO16021" s="198"/>
    </row>
    <row r="16022" spans="35:41" ht="19.5" thickBot="1" x14ac:dyDescent="0.35">
      <c r="AI16022" s="1746" t="s">
        <v>150</v>
      </c>
      <c r="AJ16022" s="1747"/>
      <c r="AK16022" s="1748"/>
      <c r="AL16022" s="198"/>
      <c r="AM16022" s="198"/>
      <c r="AN16022" s="198"/>
      <c r="AO16022" s="198"/>
    </row>
    <row r="16023" spans="35:41" ht="19.5" thickBot="1" x14ac:dyDescent="0.35">
      <c r="AI16023" s="1746" t="s">
        <v>150</v>
      </c>
      <c r="AJ16023" s="1747"/>
      <c r="AK16023" s="1748"/>
      <c r="AL16023" s="198"/>
      <c r="AM16023" s="198"/>
      <c r="AN16023" s="198"/>
      <c r="AO16023" s="198"/>
    </row>
    <row r="16024" spans="35:41" ht="19.5" thickBot="1" x14ac:dyDescent="0.35">
      <c r="AI16024" s="1746" t="s">
        <v>150</v>
      </c>
      <c r="AJ16024" s="1747"/>
      <c r="AK16024" s="1748"/>
      <c r="AL16024" s="198"/>
      <c r="AM16024" s="198"/>
      <c r="AN16024" s="198"/>
      <c r="AO16024" s="198"/>
    </row>
    <row r="16025" spans="35:41" ht="19.5" thickBot="1" x14ac:dyDescent="0.35">
      <c r="AI16025" s="1746" t="s">
        <v>150</v>
      </c>
      <c r="AJ16025" s="1747"/>
      <c r="AK16025" s="1748"/>
      <c r="AL16025" s="198"/>
      <c r="AM16025" s="198"/>
      <c r="AN16025" s="198"/>
      <c r="AO16025" s="198"/>
    </row>
    <row r="16026" spans="35:41" ht="19.5" thickBot="1" x14ac:dyDescent="0.35">
      <c r="AI16026" s="1746" t="s">
        <v>150</v>
      </c>
      <c r="AJ16026" s="1747"/>
      <c r="AK16026" s="1748"/>
      <c r="AL16026" s="198"/>
      <c r="AM16026" s="198"/>
      <c r="AN16026" s="198"/>
      <c r="AO16026" s="198"/>
    </row>
    <row r="16027" spans="35:41" ht="19.5" thickBot="1" x14ac:dyDescent="0.35">
      <c r="AI16027" s="1746" t="s">
        <v>150</v>
      </c>
      <c r="AJ16027" s="1747"/>
      <c r="AK16027" s="1748"/>
      <c r="AL16027" s="198"/>
      <c r="AM16027" s="198"/>
      <c r="AN16027" s="198"/>
      <c r="AO16027" s="198"/>
    </row>
    <row r="16028" spans="35:41" ht="19.5" thickBot="1" x14ac:dyDescent="0.35">
      <c r="AI16028" s="1746" t="s">
        <v>150</v>
      </c>
      <c r="AJ16028" s="1747"/>
      <c r="AK16028" s="1748"/>
      <c r="AL16028" s="198"/>
      <c r="AM16028" s="198"/>
      <c r="AN16028" s="198"/>
      <c r="AO16028" s="198"/>
    </row>
    <row r="16029" spans="35:41" ht="19.5" thickBot="1" x14ac:dyDescent="0.35">
      <c r="AI16029" s="1746" t="s">
        <v>150</v>
      </c>
      <c r="AJ16029" s="1747"/>
      <c r="AK16029" s="1748"/>
      <c r="AL16029" s="198"/>
      <c r="AM16029" s="198"/>
      <c r="AN16029" s="198"/>
      <c r="AO16029" s="198"/>
    </row>
    <row r="16030" spans="35:41" ht="19.5" thickBot="1" x14ac:dyDescent="0.35">
      <c r="AI16030" s="1746" t="s">
        <v>150</v>
      </c>
      <c r="AJ16030" s="1747"/>
      <c r="AK16030" s="1748"/>
      <c r="AL16030" s="198"/>
      <c r="AM16030" s="198"/>
      <c r="AN16030" s="198"/>
      <c r="AO16030" s="198"/>
    </row>
    <row r="16031" spans="35:41" ht="19.5" thickBot="1" x14ac:dyDescent="0.35">
      <c r="AI16031" s="1746" t="s">
        <v>150</v>
      </c>
      <c r="AJ16031" s="1747"/>
      <c r="AK16031" s="1748"/>
      <c r="AL16031" s="198"/>
      <c r="AM16031" s="198"/>
      <c r="AN16031" s="198"/>
      <c r="AO16031" s="198"/>
    </row>
    <row r="16032" spans="35:41" ht="19.5" thickBot="1" x14ac:dyDescent="0.35">
      <c r="AI16032" s="1746" t="s">
        <v>150</v>
      </c>
      <c r="AJ16032" s="1747"/>
      <c r="AK16032" s="1748"/>
      <c r="AL16032" s="198"/>
      <c r="AM16032" s="198"/>
      <c r="AN16032" s="198"/>
      <c r="AO16032" s="198"/>
    </row>
    <row r="16033" spans="35:41" ht="19.5" thickBot="1" x14ac:dyDescent="0.35">
      <c r="AI16033" s="1746" t="s">
        <v>150</v>
      </c>
      <c r="AJ16033" s="1747"/>
      <c r="AK16033" s="1748"/>
      <c r="AL16033" s="198"/>
      <c r="AM16033" s="198"/>
      <c r="AN16033" s="198"/>
      <c r="AO16033" s="198"/>
    </row>
    <row r="16034" spans="35:41" ht="19.5" thickBot="1" x14ac:dyDescent="0.35">
      <c r="AI16034" s="1746" t="s">
        <v>150</v>
      </c>
      <c r="AJ16034" s="1747"/>
      <c r="AK16034" s="1748"/>
      <c r="AL16034" s="198"/>
      <c r="AM16034" s="198"/>
      <c r="AN16034" s="198"/>
      <c r="AO16034" s="198"/>
    </row>
    <row r="16035" spans="35:41" ht="19.5" thickBot="1" x14ac:dyDescent="0.35">
      <c r="AI16035" s="1746" t="s">
        <v>150</v>
      </c>
      <c r="AJ16035" s="1747"/>
      <c r="AK16035" s="1748"/>
      <c r="AL16035" s="198"/>
      <c r="AM16035" s="198"/>
      <c r="AN16035" s="198"/>
      <c r="AO16035" s="198"/>
    </row>
    <row r="16036" spans="35:41" ht="19.5" thickBot="1" x14ac:dyDescent="0.35">
      <c r="AI16036" s="1746" t="s">
        <v>150</v>
      </c>
      <c r="AJ16036" s="1747"/>
      <c r="AK16036" s="1748"/>
      <c r="AL16036" s="198"/>
      <c r="AM16036" s="198"/>
      <c r="AN16036" s="198"/>
      <c r="AO16036" s="198"/>
    </row>
    <row r="16037" spans="35:41" ht="19.5" thickBot="1" x14ac:dyDescent="0.35">
      <c r="AI16037" s="1746" t="s">
        <v>150</v>
      </c>
      <c r="AJ16037" s="1747"/>
      <c r="AK16037" s="1748"/>
      <c r="AL16037" s="198"/>
      <c r="AM16037" s="198"/>
      <c r="AN16037" s="198"/>
      <c r="AO16037" s="198"/>
    </row>
    <row r="16038" spans="35:41" ht="19.5" thickBot="1" x14ac:dyDescent="0.35">
      <c r="AI16038" s="1746" t="s">
        <v>150</v>
      </c>
      <c r="AJ16038" s="1747"/>
      <c r="AK16038" s="1748"/>
      <c r="AL16038" s="198"/>
      <c r="AM16038" s="198"/>
      <c r="AN16038" s="198"/>
      <c r="AO16038" s="198"/>
    </row>
    <row r="16039" spans="35:41" ht="19.5" thickBot="1" x14ac:dyDescent="0.35">
      <c r="AI16039" s="1746" t="s">
        <v>150</v>
      </c>
      <c r="AJ16039" s="1747"/>
      <c r="AK16039" s="1748"/>
      <c r="AL16039" s="198"/>
      <c r="AM16039" s="198"/>
      <c r="AN16039" s="198"/>
      <c r="AO16039" s="198"/>
    </row>
    <row r="16040" spans="35:41" ht="19.5" thickBot="1" x14ac:dyDescent="0.35">
      <c r="AI16040" s="1746" t="s">
        <v>150</v>
      </c>
      <c r="AJ16040" s="1747"/>
      <c r="AK16040" s="1748"/>
      <c r="AL16040" s="198"/>
      <c r="AM16040" s="198"/>
      <c r="AN16040" s="198"/>
      <c r="AO16040" s="198"/>
    </row>
    <row r="16041" spans="35:41" ht="19.5" thickBot="1" x14ac:dyDescent="0.35">
      <c r="AI16041" s="1746" t="s">
        <v>150</v>
      </c>
      <c r="AJ16041" s="1747"/>
      <c r="AK16041" s="1748"/>
      <c r="AL16041" s="198"/>
      <c r="AM16041" s="198"/>
      <c r="AN16041" s="198"/>
      <c r="AO16041" s="198"/>
    </row>
    <row r="16042" spans="35:41" ht="19.5" thickBot="1" x14ac:dyDescent="0.35">
      <c r="AI16042" s="1746" t="s">
        <v>150</v>
      </c>
      <c r="AJ16042" s="1747"/>
      <c r="AK16042" s="1748"/>
      <c r="AL16042" s="198"/>
      <c r="AM16042" s="198"/>
      <c r="AN16042" s="198"/>
      <c r="AO16042" s="198"/>
    </row>
    <row r="16043" spans="35:41" ht="19.5" thickBot="1" x14ac:dyDescent="0.35">
      <c r="AI16043" s="1746" t="s">
        <v>150</v>
      </c>
      <c r="AJ16043" s="1747"/>
      <c r="AK16043" s="1748"/>
      <c r="AL16043" s="198"/>
      <c r="AM16043" s="198"/>
      <c r="AN16043" s="198"/>
      <c r="AO16043" s="198"/>
    </row>
    <row r="16044" spans="35:41" ht="19.5" thickBot="1" x14ac:dyDescent="0.35">
      <c r="AI16044" s="1746" t="s">
        <v>150</v>
      </c>
      <c r="AJ16044" s="1747"/>
      <c r="AK16044" s="1748"/>
      <c r="AL16044" s="198"/>
      <c r="AM16044" s="198"/>
      <c r="AN16044" s="198"/>
      <c r="AO16044" s="198"/>
    </row>
    <row r="16045" spans="35:41" ht="19.5" thickBot="1" x14ac:dyDescent="0.35">
      <c r="AI16045" s="1746" t="s">
        <v>150</v>
      </c>
      <c r="AJ16045" s="1747"/>
      <c r="AK16045" s="1748"/>
      <c r="AL16045" s="198"/>
      <c r="AM16045" s="198"/>
      <c r="AN16045" s="198"/>
      <c r="AO16045" s="198"/>
    </row>
    <row r="16046" spans="35:41" ht="19.5" thickBot="1" x14ac:dyDescent="0.35">
      <c r="AI16046" s="1746" t="s">
        <v>150</v>
      </c>
      <c r="AJ16046" s="1747"/>
      <c r="AK16046" s="1748"/>
      <c r="AL16046" s="198"/>
      <c r="AM16046" s="198"/>
      <c r="AN16046" s="198"/>
      <c r="AO16046" s="198"/>
    </row>
    <row r="16047" spans="35:41" ht="19.5" thickBot="1" x14ac:dyDescent="0.35">
      <c r="AI16047" s="1746" t="s">
        <v>150</v>
      </c>
      <c r="AJ16047" s="1747"/>
      <c r="AK16047" s="1748"/>
      <c r="AL16047" s="198"/>
      <c r="AM16047" s="198"/>
      <c r="AN16047" s="198"/>
      <c r="AO16047" s="198"/>
    </row>
    <row r="16048" spans="35:41" ht="19.5" thickBot="1" x14ac:dyDescent="0.35">
      <c r="AI16048" s="1746" t="s">
        <v>150</v>
      </c>
      <c r="AJ16048" s="1747"/>
      <c r="AK16048" s="1748"/>
      <c r="AL16048" s="198"/>
      <c r="AM16048" s="198"/>
      <c r="AN16048" s="198"/>
      <c r="AO16048" s="198"/>
    </row>
    <row r="16049" spans="35:41" ht="19.5" thickBot="1" x14ac:dyDescent="0.35">
      <c r="AI16049" s="1746" t="s">
        <v>150</v>
      </c>
      <c r="AJ16049" s="1747"/>
      <c r="AK16049" s="1748"/>
      <c r="AL16049" s="198"/>
      <c r="AM16049" s="198"/>
      <c r="AN16049" s="198"/>
      <c r="AO16049" s="198"/>
    </row>
    <row r="16050" spans="35:41" ht="19.5" thickBot="1" x14ac:dyDescent="0.35">
      <c r="AI16050" s="1746" t="s">
        <v>150</v>
      </c>
      <c r="AJ16050" s="1747"/>
      <c r="AK16050" s="1748"/>
      <c r="AL16050" s="198"/>
      <c r="AM16050" s="198"/>
      <c r="AN16050" s="198"/>
      <c r="AO16050" s="198"/>
    </row>
    <row r="16051" spans="35:41" ht="19.5" thickBot="1" x14ac:dyDescent="0.35">
      <c r="AI16051" s="1746" t="s">
        <v>150</v>
      </c>
      <c r="AJ16051" s="1747"/>
      <c r="AK16051" s="1748"/>
      <c r="AL16051" s="198"/>
      <c r="AM16051" s="198"/>
      <c r="AN16051" s="198"/>
      <c r="AO16051" s="198"/>
    </row>
    <row r="16052" spans="35:41" ht="19.5" thickBot="1" x14ac:dyDescent="0.35">
      <c r="AI16052" s="1746" t="s">
        <v>150</v>
      </c>
      <c r="AJ16052" s="1747"/>
      <c r="AK16052" s="1748"/>
      <c r="AL16052" s="198"/>
      <c r="AM16052" s="198"/>
      <c r="AN16052" s="198"/>
      <c r="AO16052" s="198"/>
    </row>
    <row r="16053" spans="35:41" ht="19.5" thickBot="1" x14ac:dyDescent="0.35">
      <c r="AI16053" s="1746" t="s">
        <v>150</v>
      </c>
      <c r="AJ16053" s="1747"/>
      <c r="AK16053" s="1748"/>
      <c r="AL16053" s="198"/>
      <c r="AM16053" s="198"/>
      <c r="AN16053" s="198"/>
      <c r="AO16053" s="198"/>
    </row>
    <row r="16054" spans="35:41" ht="19.5" thickBot="1" x14ac:dyDescent="0.35">
      <c r="AI16054" s="1746" t="s">
        <v>150</v>
      </c>
      <c r="AJ16054" s="1747"/>
      <c r="AK16054" s="1748"/>
      <c r="AL16054" s="198"/>
      <c r="AM16054" s="198"/>
      <c r="AN16054" s="198"/>
      <c r="AO16054" s="198"/>
    </row>
    <row r="16055" spans="35:41" ht="19.5" thickBot="1" x14ac:dyDescent="0.35">
      <c r="AI16055" s="1746" t="s">
        <v>150</v>
      </c>
      <c r="AJ16055" s="1747"/>
      <c r="AK16055" s="1748"/>
      <c r="AL16055" s="198"/>
      <c r="AM16055" s="198"/>
      <c r="AN16055" s="198"/>
      <c r="AO16055" s="198"/>
    </row>
    <row r="16056" spans="35:41" ht="19.5" thickBot="1" x14ac:dyDescent="0.35">
      <c r="AI16056" s="1746" t="s">
        <v>150</v>
      </c>
      <c r="AJ16056" s="1747"/>
      <c r="AK16056" s="1748"/>
      <c r="AL16056" s="198"/>
      <c r="AM16056" s="198"/>
      <c r="AN16056" s="198"/>
      <c r="AO16056" s="198"/>
    </row>
    <row r="16057" spans="35:41" ht="19.5" thickBot="1" x14ac:dyDescent="0.35">
      <c r="AI16057" s="1746" t="s">
        <v>150</v>
      </c>
      <c r="AJ16057" s="1747"/>
      <c r="AK16057" s="1748"/>
      <c r="AL16057" s="198"/>
      <c r="AM16057" s="198"/>
      <c r="AN16057" s="198"/>
      <c r="AO16057" s="198"/>
    </row>
    <row r="16058" spans="35:41" ht="19.5" thickBot="1" x14ac:dyDescent="0.35">
      <c r="AI16058" s="1746" t="s">
        <v>150</v>
      </c>
      <c r="AJ16058" s="1747"/>
      <c r="AK16058" s="1748"/>
      <c r="AL16058" s="198"/>
      <c r="AM16058" s="198"/>
      <c r="AN16058" s="198"/>
      <c r="AO16058" s="198"/>
    </row>
    <row r="16059" spans="35:41" ht="19.5" thickBot="1" x14ac:dyDescent="0.35">
      <c r="AI16059" s="1746" t="s">
        <v>150</v>
      </c>
      <c r="AJ16059" s="1747"/>
      <c r="AK16059" s="1748"/>
      <c r="AL16059" s="198"/>
      <c r="AM16059" s="198"/>
      <c r="AN16059" s="198"/>
      <c r="AO16059" s="198"/>
    </row>
    <row r="16060" spans="35:41" ht="19.5" thickBot="1" x14ac:dyDescent="0.35">
      <c r="AI16060" s="1746" t="s">
        <v>150</v>
      </c>
      <c r="AJ16060" s="1747"/>
      <c r="AK16060" s="1748"/>
      <c r="AL16060" s="198"/>
      <c r="AM16060" s="198"/>
      <c r="AN16060" s="198"/>
      <c r="AO16060" s="198"/>
    </row>
    <row r="16061" spans="35:41" ht="19.5" thickBot="1" x14ac:dyDescent="0.35">
      <c r="AI16061" s="1746" t="s">
        <v>150</v>
      </c>
      <c r="AJ16061" s="1747"/>
      <c r="AK16061" s="1748"/>
      <c r="AL16061" s="198"/>
      <c r="AM16061" s="198"/>
      <c r="AN16061" s="198"/>
      <c r="AO16061" s="198"/>
    </row>
    <row r="16062" spans="35:41" ht="19.5" thickBot="1" x14ac:dyDescent="0.35">
      <c r="AI16062" s="1746" t="s">
        <v>150</v>
      </c>
      <c r="AJ16062" s="1747"/>
      <c r="AK16062" s="1748"/>
      <c r="AL16062" s="198"/>
      <c r="AM16062" s="198"/>
      <c r="AN16062" s="198"/>
      <c r="AO16062" s="198"/>
    </row>
    <row r="16063" spans="35:41" ht="19.5" thickBot="1" x14ac:dyDescent="0.35">
      <c r="AI16063" s="1746" t="s">
        <v>150</v>
      </c>
      <c r="AJ16063" s="1747"/>
      <c r="AK16063" s="1748"/>
      <c r="AL16063" s="198"/>
      <c r="AM16063" s="198"/>
      <c r="AN16063" s="198"/>
      <c r="AO16063" s="198"/>
    </row>
    <row r="16064" spans="35:41" ht="19.5" thickBot="1" x14ac:dyDescent="0.35">
      <c r="AI16064" s="1746" t="s">
        <v>150</v>
      </c>
      <c r="AJ16064" s="1747"/>
      <c r="AK16064" s="1748"/>
      <c r="AL16064" s="198"/>
      <c r="AM16064" s="198"/>
      <c r="AN16064" s="198"/>
      <c r="AO16064" s="198"/>
    </row>
    <row r="16065" spans="35:41" ht="19.5" thickBot="1" x14ac:dyDescent="0.35">
      <c r="AI16065" s="1746" t="s">
        <v>150</v>
      </c>
      <c r="AJ16065" s="1747"/>
      <c r="AK16065" s="1748"/>
      <c r="AL16065" s="198"/>
      <c r="AM16065" s="198"/>
      <c r="AN16065" s="198"/>
      <c r="AO16065" s="198"/>
    </row>
    <row r="16066" spans="35:41" ht="19.5" thickBot="1" x14ac:dyDescent="0.35">
      <c r="AI16066" s="1746" t="s">
        <v>150</v>
      </c>
      <c r="AJ16066" s="1747"/>
      <c r="AK16066" s="1748"/>
      <c r="AL16066" s="198"/>
      <c r="AM16066" s="198"/>
      <c r="AN16066" s="198"/>
      <c r="AO16066" s="198"/>
    </row>
    <row r="16067" spans="35:41" ht="19.5" thickBot="1" x14ac:dyDescent="0.35">
      <c r="AI16067" s="1746" t="s">
        <v>150</v>
      </c>
      <c r="AJ16067" s="1747"/>
      <c r="AK16067" s="1748"/>
      <c r="AL16067" s="198"/>
      <c r="AM16067" s="198"/>
      <c r="AN16067" s="198"/>
      <c r="AO16067" s="198"/>
    </row>
    <row r="16068" spans="35:41" ht="19.5" thickBot="1" x14ac:dyDescent="0.35">
      <c r="AI16068" s="1746" t="s">
        <v>150</v>
      </c>
      <c r="AJ16068" s="1747"/>
      <c r="AK16068" s="1748"/>
      <c r="AL16068" s="198"/>
      <c r="AM16068" s="198"/>
      <c r="AN16068" s="198"/>
      <c r="AO16068" s="198"/>
    </row>
    <row r="16069" spans="35:41" ht="19.5" thickBot="1" x14ac:dyDescent="0.35">
      <c r="AI16069" s="1746" t="s">
        <v>150</v>
      </c>
      <c r="AJ16069" s="1747"/>
      <c r="AK16069" s="1748"/>
      <c r="AL16069" s="198"/>
      <c r="AM16069" s="198"/>
      <c r="AN16069" s="198"/>
      <c r="AO16069" s="198"/>
    </row>
    <row r="16070" spans="35:41" ht="19.5" thickBot="1" x14ac:dyDescent="0.35">
      <c r="AI16070" s="1746" t="s">
        <v>150</v>
      </c>
      <c r="AJ16070" s="1747"/>
      <c r="AK16070" s="1748"/>
      <c r="AL16070" s="198"/>
      <c r="AM16070" s="198"/>
      <c r="AN16070" s="198"/>
      <c r="AO16070" s="198"/>
    </row>
    <row r="16071" spans="35:41" ht="19.5" thickBot="1" x14ac:dyDescent="0.35">
      <c r="AI16071" s="1746" t="s">
        <v>150</v>
      </c>
      <c r="AJ16071" s="1747"/>
      <c r="AK16071" s="1748"/>
      <c r="AL16071" s="198"/>
      <c r="AM16071" s="198"/>
      <c r="AN16071" s="198"/>
      <c r="AO16071" s="198"/>
    </row>
    <row r="16072" spans="35:41" ht="19.5" thickBot="1" x14ac:dyDescent="0.35">
      <c r="AI16072" s="1746" t="s">
        <v>150</v>
      </c>
      <c r="AJ16072" s="1747"/>
      <c r="AK16072" s="1748"/>
      <c r="AL16072" s="198"/>
      <c r="AM16072" s="198"/>
      <c r="AN16072" s="198"/>
      <c r="AO16072" s="198"/>
    </row>
    <row r="16073" spans="35:41" ht="19.5" thickBot="1" x14ac:dyDescent="0.35">
      <c r="AI16073" s="1746" t="s">
        <v>150</v>
      </c>
      <c r="AJ16073" s="1747"/>
      <c r="AK16073" s="1748"/>
      <c r="AL16073" s="198"/>
      <c r="AM16073" s="198"/>
      <c r="AN16073" s="198"/>
      <c r="AO16073" s="198"/>
    </row>
    <row r="16074" spans="35:41" ht="19.5" thickBot="1" x14ac:dyDescent="0.35">
      <c r="AI16074" s="1746" t="s">
        <v>150</v>
      </c>
      <c r="AJ16074" s="1747"/>
      <c r="AK16074" s="1748"/>
      <c r="AL16074" s="198"/>
      <c r="AM16074" s="198"/>
      <c r="AN16074" s="198"/>
      <c r="AO16074" s="198"/>
    </row>
    <row r="16075" spans="35:41" ht="19.5" thickBot="1" x14ac:dyDescent="0.35">
      <c r="AI16075" s="1746" t="s">
        <v>150</v>
      </c>
      <c r="AJ16075" s="1747"/>
      <c r="AK16075" s="1748"/>
      <c r="AL16075" s="198"/>
      <c r="AM16075" s="198"/>
      <c r="AN16075" s="198"/>
      <c r="AO16075" s="198"/>
    </row>
    <row r="16076" spans="35:41" ht="19.5" thickBot="1" x14ac:dyDescent="0.35">
      <c r="AI16076" s="1746" t="s">
        <v>150</v>
      </c>
      <c r="AJ16076" s="1747"/>
      <c r="AK16076" s="1748"/>
      <c r="AL16076" s="198"/>
      <c r="AM16076" s="198"/>
      <c r="AN16076" s="198"/>
      <c r="AO16076" s="198"/>
    </row>
    <row r="16077" spans="35:41" ht="19.5" thickBot="1" x14ac:dyDescent="0.35">
      <c r="AI16077" s="1746" t="s">
        <v>150</v>
      </c>
      <c r="AJ16077" s="1747"/>
      <c r="AK16077" s="1748"/>
      <c r="AL16077" s="198"/>
      <c r="AM16077" s="198"/>
      <c r="AN16077" s="198"/>
      <c r="AO16077" s="198"/>
    </row>
    <row r="16078" spans="35:41" ht="19.5" thickBot="1" x14ac:dyDescent="0.35">
      <c r="AI16078" s="1746" t="s">
        <v>150</v>
      </c>
      <c r="AJ16078" s="1747"/>
      <c r="AK16078" s="1748"/>
      <c r="AL16078" s="198"/>
      <c r="AM16078" s="198"/>
      <c r="AN16078" s="198"/>
      <c r="AO16078" s="198"/>
    </row>
    <row r="16079" spans="35:41" ht="19.5" thickBot="1" x14ac:dyDescent="0.35">
      <c r="AI16079" s="1746" t="s">
        <v>150</v>
      </c>
      <c r="AJ16079" s="1747"/>
      <c r="AK16079" s="1748"/>
      <c r="AL16079" s="198"/>
      <c r="AM16079" s="198"/>
      <c r="AN16079" s="198"/>
      <c r="AO16079" s="198"/>
    </row>
    <row r="16080" spans="35:41" ht="19.5" thickBot="1" x14ac:dyDescent="0.35">
      <c r="AI16080" s="1746" t="s">
        <v>150</v>
      </c>
      <c r="AJ16080" s="1747"/>
      <c r="AK16080" s="1748"/>
      <c r="AL16080" s="198"/>
      <c r="AM16080" s="198"/>
      <c r="AN16080" s="198"/>
      <c r="AO16080" s="198"/>
    </row>
    <row r="16081" spans="35:41" ht="19.5" thickBot="1" x14ac:dyDescent="0.35">
      <c r="AI16081" s="1746" t="s">
        <v>150</v>
      </c>
      <c r="AJ16081" s="1747"/>
      <c r="AK16081" s="1748"/>
      <c r="AL16081" s="198"/>
      <c r="AM16081" s="198"/>
      <c r="AN16081" s="198"/>
      <c r="AO16081" s="198"/>
    </row>
    <row r="16082" spans="35:41" ht="19.5" thickBot="1" x14ac:dyDescent="0.35">
      <c r="AI16082" s="1746" t="s">
        <v>150</v>
      </c>
      <c r="AJ16082" s="1747"/>
      <c r="AK16082" s="1748"/>
      <c r="AL16082" s="198"/>
      <c r="AM16082" s="198"/>
      <c r="AN16082" s="198"/>
      <c r="AO16082" s="198"/>
    </row>
    <row r="16083" spans="35:41" ht="19.5" thickBot="1" x14ac:dyDescent="0.35">
      <c r="AI16083" s="1746" t="s">
        <v>150</v>
      </c>
      <c r="AJ16083" s="1747"/>
      <c r="AK16083" s="1748"/>
      <c r="AL16083" s="198"/>
      <c r="AM16083" s="198"/>
      <c r="AN16083" s="198"/>
      <c r="AO16083" s="198"/>
    </row>
    <row r="16084" spans="35:41" ht="19.5" thickBot="1" x14ac:dyDescent="0.35">
      <c r="AI16084" s="1746" t="s">
        <v>150</v>
      </c>
      <c r="AJ16084" s="1747"/>
      <c r="AK16084" s="1748"/>
      <c r="AL16084" s="198"/>
      <c r="AM16084" s="198"/>
      <c r="AN16084" s="198"/>
      <c r="AO16084" s="198"/>
    </row>
    <row r="16085" spans="35:41" ht="19.5" thickBot="1" x14ac:dyDescent="0.35">
      <c r="AI16085" s="1746" t="s">
        <v>150</v>
      </c>
      <c r="AJ16085" s="1747"/>
      <c r="AK16085" s="1748"/>
      <c r="AL16085" s="198"/>
      <c r="AM16085" s="198"/>
      <c r="AN16085" s="198"/>
      <c r="AO16085" s="198"/>
    </row>
    <row r="16086" spans="35:41" ht="19.5" thickBot="1" x14ac:dyDescent="0.35">
      <c r="AI16086" s="1746" t="s">
        <v>150</v>
      </c>
      <c r="AJ16086" s="1747"/>
      <c r="AK16086" s="1748"/>
      <c r="AL16086" s="198"/>
      <c r="AM16086" s="198"/>
      <c r="AN16086" s="198"/>
      <c r="AO16086" s="198"/>
    </row>
    <row r="16087" spans="35:41" ht="19.5" thickBot="1" x14ac:dyDescent="0.35">
      <c r="AI16087" s="1746" t="s">
        <v>150</v>
      </c>
      <c r="AJ16087" s="1747"/>
      <c r="AK16087" s="1748"/>
      <c r="AL16087" s="198"/>
      <c r="AM16087" s="198"/>
      <c r="AN16087" s="198"/>
      <c r="AO16087" s="198"/>
    </row>
    <row r="16088" spans="35:41" ht="19.5" thickBot="1" x14ac:dyDescent="0.35">
      <c r="AI16088" s="1746" t="s">
        <v>150</v>
      </c>
      <c r="AJ16088" s="1747"/>
      <c r="AK16088" s="1748"/>
      <c r="AL16088" s="198"/>
      <c r="AM16088" s="198"/>
      <c r="AN16088" s="198"/>
      <c r="AO16088" s="198"/>
    </row>
    <row r="16089" spans="35:41" ht="19.5" thickBot="1" x14ac:dyDescent="0.35">
      <c r="AI16089" s="1746" t="s">
        <v>150</v>
      </c>
      <c r="AJ16089" s="1747"/>
      <c r="AK16089" s="1748"/>
      <c r="AL16089" s="198"/>
      <c r="AM16089" s="198"/>
      <c r="AN16089" s="198"/>
      <c r="AO16089" s="198"/>
    </row>
    <row r="16090" spans="35:41" ht="19.5" thickBot="1" x14ac:dyDescent="0.35">
      <c r="AI16090" s="1746" t="s">
        <v>150</v>
      </c>
      <c r="AJ16090" s="1747"/>
      <c r="AK16090" s="1748"/>
      <c r="AL16090" s="198"/>
      <c r="AM16090" s="198"/>
      <c r="AN16090" s="198"/>
      <c r="AO16090" s="198"/>
    </row>
    <row r="16091" spans="35:41" ht="19.5" thickBot="1" x14ac:dyDescent="0.35">
      <c r="AI16091" s="1746" t="s">
        <v>150</v>
      </c>
      <c r="AJ16091" s="1747"/>
      <c r="AK16091" s="1748"/>
      <c r="AL16091" s="198"/>
      <c r="AM16091" s="198"/>
      <c r="AN16091" s="198"/>
      <c r="AO16091" s="198"/>
    </row>
    <row r="16092" spans="35:41" ht="19.5" thickBot="1" x14ac:dyDescent="0.35">
      <c r="AI16092" s="1746" t="s">
        <v>150</v>
      </c>
      <c r="AJ16092" s="1747"/>
      <c r="AK16092" s="1748"/>
      <c r="AL16092" s="198"/>
      <c r="AM16092" s="198"/>
      <c r="AN16092" s="198"/>
      <c r="AO16092" s="198"/>
    </row>
    <row r="16093" spans="35:41" ht="19.5" thickBot="1" x14ac:dyDescent="0.35">
      <c r="AI16093" s="1746" t="s">
        <v>150</v>
      </c>
      <c r="AJ16093" s="1747"/>
      <c r="AK16093" s="1748"/>
      <c r="AL16093" s="198"/>
      <c r="AM16093" s="198"/>
      <c r="AN16093" s="198"/>
      <c r="AO16093" s="198"/>
    </row>
    <row r="16094" spans="35:41" ht="19.5" thickBot="1" x14ac:dyDescent="0.35">
      <c r="AI16094" s="1746" t="s">
        <v>150</v>
      </c>
      <c r="AJ16094" s="1747"/>
      <c r="AK16094" s="1748"/>
      <c r="AL16094" s="198"/>
      <c r="AM16094" s="198"/>
      <c r="AN16094" s="198"/>
      <c r="AO16094" s="198"/>
    </row>
    <row r="16095" spans="35:41" ht="19.5" thickBot="1" x14ac:dyDescent="0.35">
      <c r="AI16095" s="1746" t="s">
        <v>150</v>
      </c>
      <c r="AJ16095" s="1747"/>
      <c r="AK16095" s="1748"/>
      <c r="AL16095" s="198"/>
      <c r="AM16095" s="198"/>
      <c r="AN16095" s="198"/>
      <c r="AO16095" s="198"/>
    </row>
    <row r="16096" spans="35:41" ht="19.5" thickBot="1" x14ac:dyDescent="0.35">
      <c r="AI16096" s="1746" t="s">
        <v>150</v>
      </c>
      <c r="AJ16096" s="1747"/>
      <c r="AK16096" s="1748"/>
      <c r="AL16096" s="198"/>
      <c r="AM16096" s="198"/>
      <c r="AN16096" s="198"/>
      <c r="AO16096" s="198"/>
    </row>
    <row r="16097" spans="35:41" ht="19.5" thickBot="1" x14ac:dyDescent="0.35">
      <c r="AI16097" s="1746" t="s">
        <v>150</v>
      </c>
      <c r="AJ16097" s="1747"/>
      <c r="AK16097" s="1748"/>
      <c r="AL16097" s="198"/>
      <c r="AM16097" s="198"/>
      <c r="AN16097" s="198"/>
      <c r="AO16097" s="198"/>
    </row>
    <row r="16098" spans="35:41" ht="19.5" thickBot="1" x14ac:dyDescent="0.35">
      <c r="AI16098" s="1746" t="s">
        <v>150</v>
      </c>
      <c r="AJ16098" s="1747"/>
      <c r="AK16098" s="1748"/>
      <c r="AL16098" s="198"/>
      <c r="AM16098" s="198"/>
      <c r="AN16098" s="198"/>
      <c r="AO16098" s="198"/>
    </row>
    <row r="16099" spans="35:41" ht="19.5" thickBot="1" x14ac:dyDescent="0.35">
      <c r="AI16099" s="1746" t="s">
        <v>150</v>
      </c>
      <c r="AJ16099" s="1747"/>
      <c r="AK16099" s="1748"/>
      <c r="AL16099" s="198"/>
      <c r="AM16099" s="198"/>
      <c r="AN16099" s="198"/>
      <c r="AO16099" s="198"/>
    </row>
    <row r="16100" spans="35:41" ht="19.5" thickBot="1" x14ac:dyDescent="0.35">
      <c r="AI16100" s="1746" t="s">
        <v>150</v>
      </c>
      <c r="AJ16100" s="1747"/>
      <c r="AK16100" s="1748"/>
      <c r="AL16100" s="198"/>
      <c r="AM16100" s="198"/>
      <c r="AN16100" s="198"/>
      <c r="AO16100" s="198"/>
    </row>
    <row r="16101" spans="35:41" ht="19.5" thickBot="1" x14ac:dyDescent="0.35">
      <c r="AI16101" s="1746" t="s">
        <v>150</v>
      </c>
      <c r="AJ16101" s="1747"/>
      <c r="AK16101" s="1748"/>
      <c r="AL16101" s="198"/>
      <c r="AM16101" s="198"/>
      <c r="AN16101" s="198"/>
      <c r="AO16101" s="198"/>
    </row>
    <row r="16102" spans="35:41" ht="19.5" thickBot="1" x14ac:dyDescent="0.35">
      <c r="AI16102" s="1746" t="s">
        <v>150</v>
      </c>
      <c r="AJ16102" s="1747"/>
      <c r="AK16102" s="1748"/>
      <c r="AL16102" s="198"/>
      <c r="AM16102" s="198"/>
      <c r="AN16102" s="198"/>
      <c r="AO16102" s="198"/>
    </row>
    <row r="16103" spans="35:41" ht="19.5" thickBot="1" x14ac:dyDescent="0.35">
      <c r="AI16103" s="1746" t="s">
        <v>150</v>
      </c>
      <c r="AJ16103" s="1747"/>
      <c r="AK16103" s="1748"/>
      <c r="AL16103" s="198"/>
      <c r="AM16103" s="198"/>
      <c r="AN16103" s="198"/>
      <c r="AO16103" s="198"/>
    </row>
    <row r="16104" spans="35:41" ht="19.5" thickBot="1" x14ac:dyDescent="0.35">
      <c r="AI16104" s="1746" t="s">
        <v>150</v>
      </c>
      <c r="AJ16104" s="1747"/>
      <c r="AK16104" s="1748"/>
      <c r="AL16104" s="198"/>
      <c r="AM16104" s="198"/>
      <c r="AN16104" s="198"/>
      <c r="AO16104" s="198"/>
    </row>
    <row r="16105" spans="35:41" ht="19.5" thickBot="1" x14ac:dyDescent="0.35">
      <c r="AI16105" s="1746" t="s">
        <v>150</v>
      </c>
      <c r="AJ16105" s="1747"/>
      <c r="AK16105" s="1748"/>
      <c r="AL16105" s="198"/>
      <c r="AM16105" s="198"/>
      <c r="AN16105" s="198"/>
      <c r="AO16105" s="198"/>
    </row>
    <row r="16106" spans="35:41" ht="19.5" thickBot="1" x14ac:dyDescent="0.35">
      <c r="AI16106" s="1746" t="s">
        <v>150</v>
      </c>
      <c r="AJ16106" s="1747"/>
      <c r="AK16106" s="1748"/>
      <c r="AL16106" s="198"/>
      <c r="AM16106" s="198"/>
      <c r="AN16106" s="198"/>
      <c r="AO16106" s="198"/>
    </row>
    <row r="16107" spans="35:41" ht="19.5" thickBot="1" x14ac:dyDescent="0.35">
      <c r="AI16107" s="1746" t="s">
        <v>150</v>
      </c>
      <c r="AJ16107" s="1747"/>
      <c r="AK16107" s="1748"/>
      <c r="AL16107" s="198"/>
      <c r="AM16107" s="198"/>
      <c r="AN16107" s="198"/>
      <c r="AO16107" s="198"/>
    </row>
    <row r="16108" spans="35:41" ht="19.5" thickBot="1" x14ac:dyDescent="0.35">
      <c r="AI16108" s="1746" t="s">
        <v>150</v>
      </c>
      <c r="AJ16108" s="1747"/>
      <c r="AK16108" s="1748"/>
      <c r="AL16108" s="198"/>
      <c r="AM16108" s="198"/>
      <c r="AN16108" s="198"/>
      <c r="AO16108" s="198"/>
    </row>
    <row r="16109" spans="35:41" ht="19.5" thickBot="1" x14ac:dyDescent="0.35">
      <c r="AI16109" s="1746" t="s">
        <v>150</v>
      </c>
      <c r="AJ16109" s="1747"/>
      <c r="AK16109" s="1748"/>
      <c r="AL16109" s="198"/>
      <c r="AM16109" s="198"/>
      <c r="AN16109" s="198"/>
      <c r="AO16109" s="198"/>
    </row>
    <row r="16110" spans="35:41" ht="19.5" thickBot="1" x14ac:dyDescent="0.35">
      <c r="AI16110" s="1746" t="s">
        <v>150</v>
      </c>
      <c r="AJ16110" s="1747"/>
      <c r="AK16110" s="1748"/>
      <c r="AL16110" s="198"/>
      <c r="AM16110" s="198"/>
      <c r="AN16110" s="198"/>
      <c r="AO16110" s="198"/>
    </row>
    <row r="16111" spans="35:41" ht="19.5" thickBot="1" x14ac:dyDescent="0.35">
      <c r="AI16111" s="1746" t="s">
        <v>150</v>
      </c>
      <c r="AJ16111" s="1747"/>
      <c r="AK16111" s="1748"/>
      <c r="AL16111" s="198"/>
      <c r="AM16111" s="198"/>
      <c r="AN16111" s="198"/>
      <c r="AO16111" s="198"/>
    </row>
    <row r="16112" spans="35:41" ht="19.5" thickBot="1" x14ac:dyDescent="0.35">
      <c r="AI16112" s="1746" t="s">
        <v>150</v>
      </c>
      <c r="AJ16112" s="1747"/>
      <c r="AK16112" s="1748"/>
      <c r="AL16112" s="198"/>
      <c r="AM16112" s="198"/>
      <c r="AN16112" s="198"/>
      <c r="AO16112" s="198"/>
    </row>
    <row r="16113" spans="35:41" ht="19.5" thickBot="1" x14ac:dyDescent="0.35">
      <c r="AI16113" s="1746" t="s">
        <v>150</v>
      </c>
      <c r="AJ16113" s="1747"/>
      <c r="AK16113" s="1748"/>
      <c r="AL16113" s="198"/>
      <c r="AM16113" s="198"/>
      <c r="AN16113" s="198"/>
      <c r="AO16113" s="198"/>
    </row>
    <row r="16114" spans="35:41" ht="19.5" thickBot="1" x14ac:dyDescent="0.35">
      <c r="AI16114" s="1746" t="s">
        <v>150</v>
      </c>
      <c r="AJ16114" s="1747"/>
      <c r="AK16114" s="1748"/>
      <c r="AL16114" s="198"/>
      <c r="AM16114" s="198"/>
      <c r="AN16114" s="198"/>
      <c r="AO16114" s="198"/>
    </row>
    <row r="16115" spans="35:41" ht="19.5" thickBot="1" x14ac:dyDescent="0.35">
      <c r="AI16115" s="1746" t="s">
        <v>150</v>
      </c>
      <c r="AJ16115" s="1747"/>
      <c r="AK16115" s="1748"/>
      <c r="AL16115" s="198"/>
      <c r="AM16115" s="198"/>
      <c r="AN16115" s="198"/>
      <c r="AO16115" s="198"/>
    </row>
    <row r="16116" spans="35:41" ht="19.5" thickBot="1" x14ac:dyDescent="0.35">
      <c r="AI16116" s="1746" t="s">
        <v>150</v>
      </c>
      <c r="AJ16116" s="1747"/>
      <c r="AK16116" s="1748"/>
      <c r="AL16116" s="198"/>
      <c r="AM16116" s="198"/>
      <c r="AN16116" s="198"/>
      <c r="AO16116" s="198"/>
    </row>
    <row r="16117" spans="35:41" ht="19.5" thickBot="1" x14ac:dyDescent="0.35">
      <c r="AI16117" s="1746" t="s">
        <v>150</v>
      </c>
      <c r="AJ16117" s="1747"/>
      <c r="AK16117" s="1748"/>
      <c r="AL16117" s="198"/>
      <c r="AM16117" s="198"/>
      <c r="AN16117" s="198"/>
      <c r="AO16117" s="198"/>
    </row>
    <row r="16118" spans="35:41" ht="19.5" thickBot="1" x14ac:dyDescent="0.35">
      <c r="AI16118" s="1746" t="s">
        <v>150</v>
      </c>
      <c r="AJ16118" s="1747"/>
      <c r="AK16118" s="1748"/>
      <c r="AL16118" s="198"/>
      <c r="AM16118" s="198"/>
      <c r="AN16118" s="198"/>
      <c r="AO16118" s="198"/>
    </row>
    <row r="16119" spans="35:41" ht="19.5" thickBot="1" x14ac:dyDescent="0.35">
      <c r="AI16119" s="1746" t="s">
        <v>150</v>
      </c>
      <c r="AJ16119" s="1747"/>
      <c r="AK16119" s="1748"/>
      <c r="AL16119" s="198"/>
      <c r="AM16119" s="198"/>
      <c r="AN16119" s="198"/>
      <c r="AO16119" s="198"/>
    </row>
    <row r="16120" spans="35:41" ht="19.5" thickBot="1" x14ac:dyDescent="0.35">
      <c r="AI16120" s="1746" t="s">
        <v>150</v>
      </c>
      <c r="AJ16120" s="1747"/>
      <c r="AK16120" s="1748"/>
      <c r="AL16120" s="198"/>
      <c r="AM16120" s="198"/>
      <c r="AN16120" s="198"/>
      <c r="AO16120" s="198"/>
    </row>
    <row r="16121" spans="35:41" ht="19.5" thickBot="1" x14ac:dyDescent="0.35">
      <c r="AI16121" s="1746" t="s">
        <v>150</v>
      </c>
      <c r="AJ16121" s="1747"/>
      <c r="AK16121" s="1748"/>
      <c r="AL16121" s="198"/>
      <c r="AM16121" s="198"/>
      <c r="AN16121" s="198"/>
      <c r="AO16121" s="198"/>
    </row>
    <row r="16122" spans="35:41" ht="19.5" thickBot="1" x14ac:dyDescent="0.35">
      <c r="AI16122" s="1746" t="s">
        <v>150</v>
      </c>
      <c r="AJ16122" s="1747"/>
      <c r="AK16122" s="1748"/>
      <c r="AL16122" s="198"/>
      <c r="AM16122" s="198"/>
      <c r="AN16122" s="198"/>
      <c r="AO16122" s="198"/>
    </row>
    <row r="16123" spans="35:41" ht="19.5" thickBot="1" x14ac:dyDescent="0.35">
      <c r="AI16123" s="1746" t="s">
        <v>150</v>
      </c>
      <c r="AJ16123" s="1747"/>
      <c r="AK16123" s="1748"/>
      <c r="AL16123" s="198"/>
      <c r="AM16123" s="198"/>
      <c r="AN16123" s="198"/>
      <c r="AO16123" s="198"/>
    </row>
    <row r="16124" spans="35:41" ht="19.5" thickBot="1" x14ac:dyDescent="0.35">
      <c r="AI16124" s="1746" t="s">
        <v>150</v>
      </c>
      <c r="AJ16124" s="1747"/>
      <c r="AK16124" s="1748"/>
      <c r="AL16124" s="198"/>
      <c r="AM16124" s="198"/>
      <c r="AN16124" s="198"/>
      <c r="AO16124" s="198"/>
    </row>
    <row r="16125" spans="35:41" ht="19.5" thickBot="1" x14ac:dyDescent="0.35">
      <c r="AI16125" s="1746" t="s">
        <v>150</v>
      </c>
      <c r="AJ16125" s="1747"/>
      <c r="AK16125" s="1748"/>
      <c r="AL16125" s="198"/>
      <c r="AM16125" s="198"/>
      <c r="AN16125" s="198"/>
      <c r="AO16125" s="198"/>
    </row>
    <row r="16126" spans="35:41" ht="19.5" thickBot="1" x14ac:dyDescent="0.35">
      <c r="AI16126" s="1746" t="s">
        <v>150</v>
      </c>
      <c r="AJ16126" s="1747"/>
      <c r="AK16126" s="1748"/>
      <c r="AL16126" s="198"/>
      <c r="AM16126" s="198"/>
      <c r="AN16126" s="198"/>
      <c r="AO16126" s="198"/>
    </row>
    <row r="16127" spans="35:41" ht="19.5" thickBot="1" x14ac:dyDescent="0.35">
      <c r="AI16127" s="1746" t="s">
        <v>150</v>
      </c>
      <c r="AJ16127" s="1747"/>
      <c r="AK16127" s="1748"/>
      <c r="AL16127" s="198"/>
      <c r="AM16127" s="198"/>
      <c r="AN16127" s="198"/>
      <c r="AO16127" s="198"/>
    </row>
    <row r="16128" spans="35:41" ht="19.5" thickBot="1" x14ac:dyDescent="0.35">
      <c r="AI16128" s="1746" t="s">
        <v>150</v>
      </c>
      <c r="AJ16128" s="1747"/>
      <c r="AK16128" s="1748"/>
      <c r="AL16128" s="198"/>
      <c r="AM16128" s="198"/>
      <c r="AN16128" s="198"/>
      <c r="AO16128" s="198"/>
    </row>
    <row r="16129" spans="35:41" ht="19.5" thickBot="1" x14ac:dyDescent="0.35">
      <c r="AI16129" s="1746" t="s">
        <v>150</v>
      </c>
      <c r="AJ16129" s="1747"/>
      <c r="AK16129" s="1748"/>
      <c r="AL16129" s="198"/>
      <c r="AM16129" s="198"/>
      <c r="AN16129" s="198"/>
      <c r="AO16129" s="198"/>
    </row>
    <row r="16130" spans="35:41" ht="19.5" thickBot="1" x14ac:dyDescent="0.35">
      <c r="AI16130" s="1746" t="s">
        <v>150</v>
      </c>
      <c r="AJ16130" s="1747"/>
      <c r="AK16130" s="1748"/>
      <c r="AL16130" s="198"/>
      <c r="AM16130" s="198"/>
      <c r="AN16130" s="198"/>
      <c r="AO16130" s="198"/>
    </row>
    <row r="16131" spans="35:41" ht="19.5" thickBot="1" x14ac:dyDescent="0.35">
      <c r="AI16131" s="1746" t="s">
        <v>150</v>
      </c>
      <c r="AJ16131" s="1747"/>
      <c r="AK16131" s="1748"/>
      <c r="AL16131" s="198"/>
      <c r="AM16131" s="198"/>
      <c r="AN16131" s="198"/>
      <c r="AO16131" s="198"/>
    </row>
    <row r="16132" spans="35:41" ht="19.5" thickBot="1" x14ac:dyDescent="0.35">
      <c r="AI16132" s="1746" t="s">
        <v>150</v>
      </c>
      <c r="AJ16132" s="1747"/>
      <c r="AK16132" s="1748"/>
      <c r="AL16132" s="198"/>
      <c r="AM16132" s="198"/>
      <c r="AN16132" s="198"/>
      <c r="AO16132" s="198"/>
    </row>
    <row r="16133" spans="35:41" ht="19.5" thickBot="1" x14ac:dyDescent="0.35">
      <c r="AI16133" s="1746" t="s">
        <v>150</v>
      </c>
      <c r="AJ16133" s="1747"/>
      <c r="AK16133" s="1748"/>
      <c r="AL16133" s="198"/>
      <c r="AM16133" s="198"/>
      <c r="AN16133" s="198"/>
      <c r="AO16133" s="198"/>
    </row>
    <row r="16134" spans="35:41" ht="19.5" thickBot="1" x14ac:dyDescent="0.35">
      <c r="AI16134" s="1746" t="s">
        <v>150</v>
      </c>
      <c r="AJ16134" s="1747"/>
      <c r="AK16134" s="1748"/>
      <c r="AL16134" s="198"/>
      <c r="AM16134" s="198"/>
      <c r="AN16134" s="198"/>
      <c r="AO16134" s="198"/>
    </row>
    <row r="16135" spans="35:41" ht="19.5" thickBot="1" x14ac:dyDescent="0.35">
      <c r="AI16135" s="1746" t="s">
        <v>150</v>
      </c>
      <c r="AJ16135" s="1747"/>
      <c r="AK16135" s="1748"/>
      <c r="AL16135" s="198"/>
      <c r="AM16135" s="198"/>
      <c r="AN16135" s="198"/>
      <c r="AO16135" s="198"/>
    </row>
    <row r="16136" spans="35:41" ht="19.5" thickBot="1" x14ac:dyDescent="0.35">
      <c r="AI16136" s="1746" t="s">
        <v>150</v>
      </c>
      <c r="AJ16136" s="1747"/>
      <c r="AK16136" s="1748"/>
      <c r="AL16136" s="198"/>
      <c r="AM16136" s="198"/>
      <c r="AN16136" s="198"/>
      <c r="AO16136" s="198"/>
    </row>
    <row r="16137" spans="35:41" ht="19.5" thickBot="1" x14ac:dyDescent="0.35">
      <c r="AI16137" s="1746" t="s">
        <v>150</v>
      </c>
      <c r="AJ16137" s="1747"/>
      <c r="AK16137" s="1748"/>
      <c r="AL16137" s="198"/>
      <c r="AM16137" s="198"/>
      <c r="AN16137" s="198"/>
      <c r="AO16137" s="198"/>
    </row>
    <row r="16138" spans="35:41" ht="19.5" thickBot="1" x14ac:dyDescent="0.35">
      <c r="AI16138" s="1746" t="s">
        <v>150</v>
      </c>
      <c r="AJ16138" s="1747"/>
      <c r="AK16138" s="1748"/>
      <c r="AL16138" s="198"/>
      <c r="AM16138" s="198"/>
      <c r="AN16138" s="198"/>
      <c r="AO16138" s="198"/>
    </row>
    <row r="16139" spans="35:41" ht="19.5" thickBot="1" x14ac:dyDescent="0.35">
      <c r="AI16139" s="1746" t="s">
        <v>150</v>
      </c>
      <c r="AJ16139" s="1747"/>
      <c r="AK16139" s="1748"/>
      <c r="AL16139" s="198"/>
      <c r="AM16139" s="198"/>
      <c r="AN16139" s="198"/>
      <c r="AO16139" s="198"/>
    </row>
    <row r="16140" spans="35:41" ht="19.5" thickBot="1" x14ac:dyDescent="0.35">
      <c r="AI16140" s="1746" t="s">
        <v>150</v>
      </c>
      <c r="AJ16140" s="1747"/>
      <c r="AK16140" s="1748"/>
      <c r="AL16140" s="198"/>
      <c r="AM16140" s="198"/>
      <c r="AN16140" s="198"/>
      <c r="AO16140" s="198"/>
    </row>
    <row r="16141" spans="35:41" ht="19.5" thickBot="1" x14ac:dyDescent="0.35">
      <c r="AI16141" s="1746" t="s">
        <v>150</v>
      </c>
      <c r="AJ16141" s="1747"/>
      <c r="AK16141" s="1748"/>
      <c r="AL16141" s="198"/>
      <c r="AM16141" s="198"/>
      <c r="AN16141" s="198"/>
      <c r="AO16141" s="198"/>
    </row>
    <row r="16142" spans="35:41" ht="19.5" thickBot="1" x14ac:dyDescent="0.35">
      <c r="AI16142" s="1746" t="s">
        <v>150</v>
      </c>
      <c r="AJ16142" s="1747"/>
      <c r="AK16142" s="1748"/>
      <c r="AL16142" s="198"/>
      <c r="AM16142" s="198"/>
      <c r="AN16142" s="198"/>
      <c r="AO16142" s="198"/>
    </row>
    <row r="16143" spans="35:41" ht="19.5" thickBot="1" x14ac:dyDescent="0.35">
      <c r="AI16143" s="1746" t="s">
        <v>150</v>
      </c>
      <c r="AJ16143" s="1747"/>
      <c r="AK16143" s="1748"/>
      <c r="AL16143" s="198"/>
      <c r="AM16143" s="198"/>
      <c r="AN16143" s="198"/>
      <c r="AO16143" s="198"/>
    </row>
    <row r="16144" spans="35:41" ht="19.5" thickBot="1" x14ac:dyDescent="0.35">
      <c r="AI16144" s="1746" t="s">
        <v>150</v>
      </c>
      <c r="AJ16144" s="1747"/>
      <c r="AK16144" s="1748"/>
      <c r="AL16144" s="198"/>
      <c r="AM16144" s="198"/>
      <c r="AN16144" s="198"/>
      <c r="AO16144" s="198"/>
    </row>
    <row r="16145" spans="35:41" ht="19.5" thickBot="1" x14ac:dyDescent="0.35">
      <c r="AI16145" s="1746" t="s">
        <v>150</v>
      </c>
      <c r="AJ16145" s="1747"/>
      <c r="AK16145" s="1748"/>
      <c r="AL16145" s="198"/>
      <c r="AM16145" s="198"/>
      <c r="AN16145" s="198"/>
      <c r="AO16145" s="198"/>
    </row>
    <row r="16146" spans="35:41" ht="19.5" thickBot="1" x14ac:dyDescent="0.35">
      <c r="AI16146" s="1746" t="s">
        <v>150</v>
      </c>
      <c r="AJ16146" s="1747"/>
      <c r="AK16146" s="1748"/>
      <c r="AL16146" s="198"/>
      <c r="AM16146" s="198"/>
      <c r="AN16146" s="198"/>
      <c r="AO16146" s="198"/>
    </row>
    <row r="16147" spans="35:41" ht="19.5" thickBot="1" x14ac:dyDescent="0.35">
      <c r="AI16147" s="1746" t="s">
        <v>150</v>
      </c>
      <c r="AJ16147" s="1747"/>
      <c r="AK16147" s="1748"/>
      <c r="AL16147" s="198"/>
      <c r="AM16147" s="198"/>
      <c r="AN16147" s="198"/>
      <c r="AO16147" s="198"/>
    </row>
    <row r="16148" spans="35:41" ht="19.5" thickBot="1" x14ac:dyDescent="0.35">
      <c r="AI16148" s="1746" t="s">
        <v>150</v>
      </c>
      <c r="AJ16148" s="1747"/>
      <c r="AK16148" s="1748"/>
      <c r="AL16148" s="198"/>
      <c r="AM16148" s="198"/>
      <c r="AN16148" s="198"/>
      <c r="AO16148" s="198"/>
    </row>
    <row r="16149" spans="35:41" ht="19.5" thickBot="1" x14ac:dyDescent="0.35">
      <c r="AI16149" s="1746" t="s">
        <v>150</v>
      </c>
      <c r="AJ16149" s="1747"/>
      <c r="AK16149" s="1748"/>
      <c r="AL16149" s="198"/>
      <c r="AM16149" s="198"/>
      <c r="AN16149" s="198"/>
      <c r="AO16149" s="198"/>
    </row>
    <row r="16150" spans="35:41" ht="19.5" thickBot="1" x14ac:dyDescent="0.35">
      <c r="AI16150" s="1746" t="s">
        <v>150</v>
      </c>
      <c r="AJ16150" s="1747"/>
      <c r="AK16150" s="1748"/>
      <c r="AL16150" s="198"/>
      <c r="AM16150" s="198"/>
      <c r="AN16150" s="198"/>
      <c r="AO16150" s="198"/>
    </row>
    <row r="16151" spans="35:41" ht="19.5" thickBot="1" x14ac:dyDescent="0.35">
      <c r="AI16151" s="1746" t="s">
        <v>150</v>
      </c>
      <c r="AJ16151" s="1747"/>
      <c r="AK16151" s="1748"/>
      <c r="AL16151" s="198"/>
      <c r="AM16151" s="198"/>
      <c r="AN16151" s="198"/>
      <c r="AO16151" s="198"/>
    </row>
    <row r="16152" spans="35:41" ht="19.5" thickBot="1" x14ac:dyDescent="0.35">
      <c r="AI16152" s="1746" t="s">
        <v>150</v>
      </c>
      <c r="AJ16152" s="1747"/>
      <c r="AK16152" s="1748"/>
      <c r="AL16152" s="198"/>
      <c r="AM16152" s="198"/>
      <c r="AN16152" s="198"/>
      <c r="AO16152" s="198"/>
    </row>
    <row r="16153" spans="35:41" ht="19.5" thickBot="1" x14ac:dyDescent="0.35">
      <c r="AI16153" s="1746" t="s">
        <v>150</v>
      </c>
      <c r="AJ16153" s="1747"/>
      <c r="AK16153" s="1748"/>
      <c r="AL16153" s="198"/>
      <c r="AM16153" s="198"/>
      <c r="AN16153" s="198"/>
      <c r="AO16153" s="198"/>
    </row>
    <row r="16154" spans="35:41" ht="19.5" thickBot="1" x14ac:dyDescent="0.35">
      <c r="AI16154" s="1746" t="s">
        <v>150</v>
      </c>
      <c r="AJ16154" s="1747"/>
      <c r="AK16154" s="1748"/>
      <c r="AL16154" s="198"/>
      <c r="AM16154" s="198"/>
      <c r="AN16154" s="198"/>
      <c r="AO16154" s="198"/>
    </row>
    <row r="16155" spans="35:41" ht="19.5" thickBot="1" x14ac:dyDescent="0.35">
      <c r="AI16155" s="1746" t="s">
        <v>150</v>
      </c>
      <c r="AJ16155" s="1747"/>
      <c r="AK16155" s="1748"/>
      <c r="AL16155" s="198"/>
      <c r="AM16155" s="198"/>
      <c r="AN16155" s="198"/>
      <c r="AO16155" s="198"/>
    </row>
    <row r="16156" spans="35:41" ht="19.5" thickBot="1" x14ac:dyDescent="0.35">
      <c r="AI16156" s="1746" t="s">
        <v>150</v>
      </c>
      <c r="AJ16156" s="1747"/>
      <c r="AK16156" s="1748"/>
      <c r="AL16156" s="198"/>
      <c r="AM16156" s="198"/>
      <c r="AN16156" s="198"/>
      <c r="AO16156" s="198"/>
    </row>
    <row r="16157" spans="35:41" ht="19.5" thickBot="1" x14ac:dyDescent="0.35">
      <c r="AI16157" s="1746" t="s">
        <v>150</v>
      </c>
      <c r="AJ16157" s="1747"/>
      <c r="AK16157" s="1748"/>
      <c r="AL16157" s="198"/>
      <c r="AM16157" s="198"/>
      <c r="AN16157" s="198"/>
      <c r="AO16157" s="198"/>
    </row>
    <row r="16158" spans="35:41" ht="19.5" thickBot="1" x14ac:dyDescent="0.35">
      <c r="AI16158" s="1746" t="s">
        <v>150</v>
      </c>
      <c r="AJ16158" s="1747"/>
      <c r="AK16158" s="1748"/>
      <c r="AL16158" s="198"/>
      <c r="AM16158" s="198"/>
      <c r="AN16158" s="198"/>
      <c r="AO16158" s="198"/>
    </row>
    <row r="16159" spans="35:41" ht="19.5" thickBot="1" x14ac:dyDescent="0.35">
      <c r="AI16159" s="1746" t="s">
        <v>150</v>
      </c>
      <c r="AJ16159" s="1747"/>
      <c r="AK16159" s="1748"/>
      <c r="AL16159" s="198"/>
      <c r="AM16159" s="198"/>
      <c r="AN16159" s="198"/>
      <c r="AO16159" s="198"/>
    </row>
    <row r="16160" spans="35:41" ht="19.5" thickBot="1" x14ac:dyDescent="0.35">
      <c r="AI16160" s="1746" t="s">
        <v>150</v>
      </c>
      <c r="AJ16160" s="1747"/>
      <c r="AK16160" s="1748"/>
      <c r="AL16160" s="198"/>
      <c r="AM16160" s="198"/>
      <c r="AN16160" s="198"/>
      <c r="AO16160" s="198"/>
    </row>
    <row r="16161" spans="35:41" ht="19.5" thickBot="1" x14ac:dyDescent="0.35">
      <c r="AI16161" s="1746" t="s">
        <v>150</v>
      </c>
      <c r="AJ16161" s="1747"/>
      <c r="AK16161" s="1748"/>
      <c r="AL16161" s="198"/>
      <c r="AM16161" s="198"/>
      <c r="AN16161" s="198"/>
      <c r="AO16161" s="198"/>
    </row>
    <row r="16162" spans="35:41" ht="19.5" thickBot="1" x14ac:dyDescent="0.35">
      <c r="AI16162" s="1746" t="s">
        <v>150</v>
      </c>
      <c r="AJ16162" s="1747"/>
      <c r="AK16162" s="1748"/>
      <c r="AL16162" s="198"/>
      <c r="AM16162" s="198"/>
      <c r="AN16162" s="198"/>
      <c r="AO16162" s="198"/>
    </row>
    <row r="16163" spans="35:41" ht="19.5" thickBot="1" x14ac:dyDescent="0.35">
      <c r="AI16163" s="1746" t="s">
        <v>150</v>
      </c>
      <c r="AJ16163" s="1747"/>
      <c r="AK16163" s="1748"/>
      <c r="AL16163" s="198"/>
      <c r="AM16163" s="198"/>
      <c r="AN16163" s="198"/>
      <c r="AO16163" s="198"/>
    </row>
    <row r="16164" spans="35:41" ht="19.5" thickBot="1" x14ac:dyDescent="0.35">
      <c r="AI16164" s="1746" t="s">
        <v>150</v>
      </c>
      <c r="AJ16164" s="1747"/>
      <c r="AK16164" s="1748"/>
      <c r="AL16164" s="198"/>
      <c r="AM16164" s="198"/>
      <c r="AN16164" s="198"/>
      <c r="AO16164" s="198"/>
    </row>
    <row r="16165" spans="35:41" ht="19.5" thickBot="1" x14ac:dyDescent="0.35">
      <c r="AI16165" s="1746" t="s">
        <v>150</v>
      </c>
      <c r="AJ16165" s="1747"/>
      <c r="AK16165" s="1748"/>
      <c r="AL16165" s="198"/>
      <c r="AM16165" s="198"/>
      <c r="AN16165" s="198"/>
      <c r="AO16165" s="198"/>
    </row>
    <row r="16166" spans="35:41" ht="19.5" thickBot="1" x14ac:dyDescent="0.35">
      <c r="AI16166" s="1746" t="s">
        <v>150</v>
      </c>
      <c r="AJ16166" s="1747"/>
      <c r="AK16166" s="1748"/>
      <c r="AL16166" s="198"/>
      <c r="AM16166" s="198"/>
      <c r="AN16166" s="198"/>
      <c r="AO16166" s="198"/>
    </row>
    <row r="16167" spans="35:41" ht="19.5" thickBot="1" x14ac:dyDescent="0.35">
      <c r="AI16167" s="1746" t="s">
        <v>150</v>
      </c>
      <c r="AJ16167" s="1747"/>
      <c r="AK16167" s="1748"/>
      <c r="AL16167" s="198"/>
      <c r="AM16167" s="198"/>
      <c r="AN16167" s="198"/>
      <c r="AO16167" s="198"/>
    </row>
    <row r="16168" spans="35:41" ht="19.5" thickBot="1" x14ac:dyDescent="0.35">
      <c r="AI16168" s="1746" t="s">
        <v>150</v>
      </c>
      <c r="AJ16168" s="1747"/>
      <c r="AK16168" s="1748"/>
      <c r="AL16168" s="198"/>
      <c r="AM16168" s="198"/>
      <c r="AN16168" s="198"/>
      <c r="AO16168" s="198"/>
    </row>
    <row r="16169" spans="35:41" ht="19.5" thickBot="1" x14ac:dyDescent="0.35">
      <c r="AI16169" s="1746" t="s">
        <v>150</v>
      </c>
      <c r="AJ16169" s="1747"/>
      <c r="AK16169" s="1748"/>
      <c r="AL16169" s="198"/>
      <c r="AM16169" s="198"/>
      <c r="AN16169" s="198"/>
      <c r="AO16169" s="198"/>
    </row>
    <row r="16170" spans="35:41" ht="19.5" thickBot="1" x14ac:dyDescent="0.35">
      <c r="AI16170" s="1746" t="s">
        <v>150</v>
      </c>
      <c r="AJ16170" s="1747"/>
      <c r="AK16170" s="1748"/>
      <c r="AL16170" s="198"/>
      <c r="AM16170" s="198"/>
      <c r="AN16170" s="198"/>
      <c r="AO16170" s="198"/>
    </row>
    <row r="16171" spans="35:41" ht="19.5" thickBot="1" x14ac:dyDescent="0.35">
      <c r="AI16171" s="1746" t="s">
        <v>150</v>
      </c>
      <c r="AJ16171" s="1747"/>
      <c r="AK16171" s="1748"/>
      <c r="AL16171" s="198"/>
      <c r="AM16171" s="198"/>
      <c r="AN16171" s="198"/>
      <c r="AO16171" s="198"/>
    </row>
    <row r="16172" spans="35:41" ht="19.5" thickBot="1" x14ac:dyDescent="0.35">
      <c r="AI16172" s="1746" t="s">
        <v>150</v>
      </c>
      <c r="AJ16172" s="1747"/>
      <c r="AK16172" s="1748"/>
      <c r="AL16172" s="198"/>
      <c r="AM16172" s="198"/>
      <c r="AN16172" s="198"/>
      <c r="AO16172" s="198"/>
    </row>
    <row r="16173" spans="35:41" ht="19.5" thickBot="1" x14ac:dyDescent="0.35">
      <c r="AI16173" s="1746" t="s">
        <v>150</v>
      </c>
      <c r="AJ16173" s="1747"/>
      <c r="AK16173" s="1748"/>
      <c r="AL16173" s="198"/>
      <c r="AM16173" s="198"/>
      <c r="AN16173" s="198"/>
      <c r="AO16173" s="198"/>
    </row>
    <row r="16174" spans="35:41" ht="19.5" thickBot="1" x14ac:dyDescent="0.35">
      <c r="AI16174" s="1746" t="s">
        <v>150</v>
      </c>
      <c r="AJ16174" s="1747"/>
      <c r="AK16174" s="1748"/>
      <c r="AL16174" s="198"/>
      <c r="AM16174" s="198"/>
      <c r="AN16174" s="198"/>
      <c r="AO16174" s="198"/>
    </row>
    <row r="16175" spans="35:41" ht="19.5" thickBot="1" x14ac:dyDescent="0.35">
      <c r="AI16175" s="1746" t="s">
        <v>150</v>
      </c>
      <c r="AJ16175" s="1747"/>
      <c r="AK16175" s="1748"/>
      <c r="AL16175" s="198"/>
      <c r="AM16175" s="198"/>
      <c r="AN16175" s="198"/>
      <c r="AO16175" s="198"/>
    </row>
    <row r="16176" spans="35:41" ht="19.5" thickBot="1" x14ac:dyDescent="0.35">
      <c r="AI16176" s="1746" t="s">
        <v>150</v>
      </c>
      <c r="AJ16176" s="1747"/>
      <c r="AK16176" s="1748"/>
      <c r="AL16176" s="198"/>
      <c r="AM16176" s="198"/>
      <c r="AN16176" s="198"/>
      <c r="AO16176" s="198"/>
    </row>
    <row r="16177" spans="35:41" ht="19.5" thickBot="1" x14ac:dyDescent="0.35">
      <c r="AI16177" s="1746" t="s">
        <v>150</v>
      </c>
      <c r="AJ16177" s="1747"/>
      <c r="AK16177" s="1748"/>
      <c r="AL16177" s="198"/>
      <c r="AM16177" s="198"/>
      <c r="AN16177" s="198"/>
      <c r="AO16177" s="198"/>
    </row>
    <row r="16178" spans="35:41" ht="19.5" thickBot="1" x14ac:dyDescent="0.35">
      <c r="AI16178" s="1746" t="s">
        <v>150</v>
      </c>
      <c r="AJ16178" s="1747"/>
      <c r="AK16178" s="1748"/>
      <c r="AL16178" s="198"/>
      <c r="AM16178" s="198"/>
      <c r="AN16178" s="198"/>
      <c r="AO16178" s="198"/>
    </row>
    <row r="16179" spans="35:41" ht="19.5" thickBot="1" x14ac:dyDescent="0.35">
      <c r="AI16179" s="1746" t="s">
        <v>150</v>
      </c>
      <c r="AJ16179" s="1747"/>
      <c r="AK16179" s="1748"/>
      <c r="AL16179" s="198"/>
      <c r="AM16179" s="198"/>
      <c r="AN16179" s="198"/>
      <c r="AO16179" s="198"/>
    </row>
    <row r="16180" spans="35:41" ht="19.5" thickBot="1" x14ac:dyDescent="0.35">
      <c r="AI16180" s="1746" t="s">
        <v>150</v>
      </c>
      <c r="AJ16180" s="1747"/>
      <c r="AK16180" s="1748"/>
      <c r="AL16180" s="198"/>
      <c r="AM16180" s="198"/>
      <c r="AN16180" s="198"/>
      <c r="AO16180" s="198"/>
    </row>
    <row r="16181" spans="35:41" ht="19.5" thickBot="1" x14ac:dyDescent="0.35">
      <c r="AI16181" s="1746" t="s">
        <v>150</v>
      </c>
      <c r="AJ16181" s="1747"/>
      <c r="AK16181" s="1748"/>
      <c r="AL16181" s="198"/>
      <c r="AM16181" s="198"/>
      <c r="AN16181" s="198"/>
      <c r="AO16181" s="198"/>
    </row>
    <row r="16182" spans="35:41" ht="19.5" thickBot="1" x14ac:dyDescent="0.35">
      <c r="AI16182" s="1746" t="s">
        <v>150</v>
      </c>
      <c r="AJ16182" s="1747"/>
      <c r="AK16182" s="1748"/>
      <c r="AL16182" s="198"/>
      <c r="AM16182" s="198"/>
      <c r="AN16182" s="198"/>
      <c r="AO16182" s="198"/>
    </row>
    <row r="16183" spans="35:41" ht="19.5" thickBot="1" x14ac:dyDescent="0.35">
      <c r="AI16183" s="1746" t="s">
        <v>150</v>
      </c>
      <c r="AJ16183" s="1747"/>
      <c r="AK16183" s="1748"/>
      <c r="AL16183" s="198"/>
      <c r="AM16183" s="198"/>
      <c r="AN16183" s="198"/>
      <c r="AO16183" s="198"/>
    </row>
    <row r="16184" spans="35:41" ht="19.5" thickBot="1" x14ac:dyDescent="0.35">
      <c r="AI16184" s="1746" t="s">
        <v>150</v>
      </c>
      <c r="AJ16184" s="1747"/>
      <c r="AK16184" s="1748"/>
      <c r="AL16184" s="198"/>
      <c r="AM16184" s="198"/>
      <c r="AN16184" s="198"/>
      <c r="AO16184" s="198"/>
    </row>
    <row r="16185" spans="35:41" ht="19.5" thickBot="1" x14ac:dyDescent="0.35">
      <c r="AI16185" s="1746" t="s">
        <v>150</v>
      </c>
      <c r="AJ16185" s="1747"/>
      <c r="AK16185" s="1748"/>
      <c r="AL16185" s="198"/>
      <c r="AM16185" s="198"/>
      <c r="AN16185" s="198"/>
      <c r="AO16185" s="198"/>
    </row>
    <row r="16186" spans="35:41" ht="19.5" thickBot="1" x14ac:dyDescent="0.35">
      <c r="AI16186" s="1746" t="s">
        <v>150</v>
      </c>
      <c r="AJ16186" s="1747"/>
      <c r="AK16186" s="1748"/>
      <c r="AL16186" s="198"/>
      <c r="AM16186" s="198"/>
      <c r="AN16186" s="198"/>
      <c r="AO16186" s="198"/>
    </row>
    <row r="16187" spans="35:41" ht="19.5" thickBot="1" x14ac:dyDescent="0.35">
      <c r="AI16187" s="1746" t="s">
        <v>150</v>
      </c>
      <c r="AJ16187" s="1747"/>
      <c r="AK16187" s="1748"/>
      <c r="AL16187" s="198"/>
      <c r="AM16187" s="198"/>
      <c r="AN16187" s="198"/>
      <c r="AO16187" s="198"/>
    </row>
    <row r="16188" spans="35:41" ht="19.5" thickBot="1" x14ac:dyDescent="0.35">
      <c r="AI16188" s="1746" t="s">
        <v>150</v>
      </c>
      <c r="AJ16188" s="1747"/>
      <c r="AK16188" s="1748"/>
      <c r="AL16188" s="198"/>
      <c r="AM16188" s="198"/>
      <c r="AN16188" s="198"/>
      <c r="AO16188" s="198"/>
    </row>
    <row r="16189" spans="35:41" ht="19.5" thickBot="1" x14ac:dyDescent="0.35">
      <c r="AI16189" s="1746" t="s">
        <v>150</v>
      </c>
      <c r="AJ16189" s="1747"/>
      <c r="AK16189" s="1748"/>
      <c r="AL16189" s="198"/>
      <c r="AM16189" s="198"/>
      <c r="AN16189" s="198"/>
      <c r="AO16189" s="198"/>
    </row>
    <row r="16190" spans="35:41" ht="19.5" thickBot="1" x14ac:dyDescent="0.35">
      <c r="AI16190" s="1746" t="s">
        <v>150</v>
      </c>
      <c r="AJ16190" s="1747"/>
      <c r="AK16190" s="1748"/>
      <c r="AL16190" s="198"/>
      <c r="AM16190" s="198"/>
      <c r="AN16190" s="198"/>
      <c r="AO16190" s="198"/>
    </row>
    <row r="16191" spans="35:41" ht="19.5" thickBot="1" x14ac:dyDescent="0.35">
      <c r="AI16191" s="1746" t="s">
        <v>150</v>
      </c>
      <c r="AJ16191" s="1747"/>
      <c r="AK16191" s="1748"/>
      <c r="AL16191" s="198"/>
      <c r="AM16191" s="198"/>
      <c r="AN16191" s="198"/>
      <c r="AO16191" s="198"/>
    </row>
    <row r="16192" spans="35:41" ht="19.5" thickBot="1" x14ac:dyDescent="0.35">
      <c r="AI16192" s="1746" t="s">
        <v>150</v>
      </c>
      <c r="AJ16192" s="1747"/>
      <c r="AK16192" s="1748"/>
      <c r="AL16192" s="198"/>
      <c r="AM16192" s="198"/>
      <c r="AN16192" s="198"/>
      <c r="AO16192" s="198"/>
    </row>
    <row r="16193" spans="35:41" ht="19.5" thickBot="1" x14ac:dyDescent="0.35">
      <c r="AI16193" s="1746" t="s">
        <v>150</v>
      </c>
      <c r="AJ16193" s="1747"/>
      <c r="AK16193" s="1748"/>
      <c r="AL16193" s="198"/>
      <c r="AM16193" s="198"/>
      <c r="AN16193" s="198"/>
      <c r="AO16193" s="198"/>
    </row>
    <row r="16194" spans="35:41" ht="19.5" thickBot="1" x14ac:dyDescent="0.35">
      <c r="AI16194" s="1746" t="s">
        <v>150</v>
      </c>
      <c r="AJ16194" s="1747"/>
      <c r="AK16194" s="1748"/>
      <c r="AL16194" s="198"/>
      <c r="AM16194" s="198"/>
      <c r="AN16194" s="198"/>
      <c r="AO16194" s="198"/>
    </row>
    <row r="16195" spans="35:41" ht="19.5" thickBot="1" x14ac:dyDescent="0.35">
      <c r="AI16195" s="1746" t="s">
        <v>150</v>
      </c>
      <c r="AJ16195" s="1747"/>
      <c r="AK16195" s="1748"/>
      <c r="AL16195" s="198"/>
      <c r="AM16195" s="198"/>
      <c r="AN16195" s="198"/>
      <c r="AO16195" s="198"/>
    </row>
    <row r="16196" spans="35:41" ht="19.5" thickBot="1" x14ac:dyDescent="0.35">
      <c r="AI16196" s="1746" t="s">
        <v>150</v>
      </c>
      <c r="AJ16196" s="1747"/>
      <c r="AK16196" s="1748"/>
      <c r="AL16196" s="198"/>
      <c r="AM16196" s="198"/>
      <c r="AN16196" s="198"/>
      <c r="AO16196" s="198"/>
    </row>
    <row r="16197" spans="35:41" ht="19.5" thickBot="1" x14ac:dyDescent="0.35">
      <c r="AI16197" s="1746" t="s">
        <v>150</v>
      </c>
      <c r="AJ16197" s="1747"/>
      <c r="AK16197" s="1748"/>
      <c r="AL16197" s="198"/>
      <c r="AM16197" s="198"/>
      <c r="AN16197" s="198"/>
      <c r="AO16197" s="198"/>
    </row>
    <row r="16198" spans="35:41" ht="19.5" thickBot="1" x14ac:dyDescent="0.35">
      <c r="AI16198" s="1746" t="s">
        <v>150</v>
      </c>
      <c r="AJ16198" s="1747"/>
      <c r="AK16198" s="1748"/>
      <c r="AL16198" s="198"/>
      <c r="AM16198" s="198"/>
      <c r="AN16198" s="198"/>
      <c r="AO16198" s="198"/>
    </row>
    <row r="16199" spans="35:41" ht="19.5" thickBot="1" x14ac:dyDescent="0.35">
      <c r="AI16199" s="1746" t="s">
        <v>150</v>
      </c>
      <c r="AJ16199" s="1747"/>
      <c r="AK16199" s="1748"/>
      <c r="AL16199" s="198"/>
      <c r="AM16199" s="198"/>
      <c r="AN16199" s="198"/>
      <c r="AO16199" s="198"/>
    </row>
    <row r="16200" spans="35:41" ht="19.5" thickBot="1" x14ac:dyDescent="0.35">
      <c r="AI16200" s="1746" t="s">
        <v>150</v>
      </c>
      <c r="AJ16200" s="1747"/>
      <c r="AK16200" s="1748"/>
      <c r="AL16200" s="198"/>
      <c r="AM16200" s="198"/>
      <c r="AN16200" s="198"/>
      <c r="AO16200" s="198"/>
    </row>
    <row r="16201" spans="35:41" ht="19.5" thickBot="1" x14ac:dyDescent="0.35">
      <c r="AI16201" s="1746" t="s">
        <v>150</v>
      </c>
      <c r="AJ16201" s="1747"/>
      <c r="AK16201" s="1748"/>
      <c r="AL16201" s="198"/>
      <c r="AM16201" s="198"/>
      <c r="AN16201" s="198"/>
      <c r="AO16201" s="198"/>
    </row>
    <row r="16202" spans="35:41" ht="19.5" thickBot="1" x14ac:dyDescent="0.35">
      <c r="AI16202" s="1746" t="s">
        <v>150</v>
      </c>
      <c r="AJ16202" s="1747"/>
      <c r="AK16202" s="1748"/>
      <c r="AL16202" s="198"/>
      <c r="AM16202" s="198"/>
      <c r="AN16202" s="198"/>
      <c r="AO16202" s="198"/>
    </row>
    <row r="16203" spans="35:41" ht="19.5" thickBot="1" x14ac:dyDescent="0.35">
      <c r="AI16203" s="1746" t="s">
        <v>150</v>
      </c>
      <c r="AJ16203" s="1747"/>
      <c r="AK16203" s="1748"/>
      <c r="AL16203" s="198"/>
      <c r="AM16203" s="198"/>
      <c r="AN16203" s="198"/>
      <c r="AO16203" s="198"/>
    </row>
    <row r="16204" spans="35:41" ht="19.5" thickBot="1" x14ac:dyDescent="0.35">
      <c r="AI16204" s="1746" t="s">
        <v>150</v>
      </c>
      <c r="AJ16204" s="1747"/>
      <c r="AK16204" s="1748"/>
      <c r="AL16204" s="198"/>
      <c r="AM16204" s="198"/>
      <c r="AN16204" s="198"/>
      <c r="AO16204" s="198"/>
    </row>
    <row r="16205" spans="35:41" ht="19.5" thickBot="1" x14ac:dyDescent="0.35">
      <c r="AI16205" s="1746" t="s">
        <v>150</v>
      </c>
      <c r="AJ16205" s="1747"/>
      <c r="AK16205" s="1748"/>
      <c r="AL16205" s="198"/>
      <c r="AM16205" s="198"/>
      <c r="AN16205" s="198"/>
      <c r="AO16205" s="198"/>
    </row>
    <row r="16206" spans="35:41" ht="19.5" thickBot="1" x14ac:dyDescent="0.35">
      <c r="AI16206" s="1746" t="s">
        <v>150</v>
      </c>
      <c r="AJ16206" s="1747"/>
      <c r="AK16206" s="1748"/>
      <c r="AL16206" s="198"/>
      <c r="AM16206" s="198"/>
      <c r="AN16206" s="198"/>
      <c r="AO16206" s="198"/>
    </row>
    <row r="16207" spans="35:41" ht="19.5" thickBot="1" x14ac:dyDescent="0.35">
      <c r="AI16207" s="1746" t="s">
        <v>150</v>
      </c>
      <c r="AJ16207" s="1747"/>
      <c r="AK16207" s="1748"/>
      <c r="AL16207" s="198"/>
      <c r="AM16207" s="198"/>
      <c r="AN16207" s="198"/>
      <c r="AO16207" s="198"/>
    </row>
    <row r="16208" spans="35:41" ht="19.5" thickBot="1" x14ac:dyDescent="0.35">
      <c r="AI16208" s="1746" t="s">
        <v>150</v>
      </c>
      <c r="AJ16208" s="1747"/>
      <c r="AK16208" s="1748"/>
      <c r="AL16208" s="198"/>
      <c r="AM16208" s="198"/>
      <c r="AN16208" s="198"/>
      <c r="AO16208" s="198"/>
    </row>
    <row r="16209" spans="35:41" ht="19.5" thickBot="1" x14ac:dyDescent="0.35">
      <c r="AI16209" s="1746" t="s">
        <v>150</v>
      </c>
      <c r="AJ16209" s="1747"/>
      <c r="AK16209" s="1748"/>
      <c r="AL16209" s="198"/>
      <c r="AM16209" s="198"/>
      <c r="AN16209" s="198"/>
      <c r="AO16209" s="198"/>
    </row>
    <row r="16210" spans="35:41" ht="19.5" thickBot="1" x14ac:dyDescent="0.35">
      <c r="AI16210" s="1746" t="s">
        <v>150</v>
      </c>
      <c r="AJ16210" s="1747"/>
      <c r="AK16210" s="1748"/>
      <c r="AL16210" s="198"/>
      <c r="AM16210" s="198"/>
      <c r="AN16210" s="198"/>
      <c r="AO16210" s="198"/>
    </row>
    <row r="16211" spans="35:41" ht="19.5" thickBot="1" x14ac:dyDescent="0.35">
      <c r="AI16211" s="1746" t="s">
        <v>150</v>
      </c>
      <c r="AJ16211" s="1747"/>
      <c r="AK16211" s="1748"/>
      <c r="AL16211" s="198"/>
      <c r="AM16211" s="198"/>
      <c r="AN16211" s="198"/>
      <c r="AO16211" s="198"/>
    </row>
    <row r="16212" spans="35:41" ht="19.5" thickBot="1" x14ac:dyDescent="0.35">
      <c r="AI16212" s="1746" t="s">
        <v>150</v>
      </c>
      <c r="AJ16212" s="1747"/>
      <c r="AK16212" s="1748"/>
      <c r="AL16212" s="198"/>
      <c r="AM16212" s="198"/>
      <c r="AN16212" s="198"/>
      <c r="AO16212" s="198"/>
    </row>
    <row r="16213" spans="35:41" ht="19.5" thickBot="1" x14ac:dyDescent="0.35">
      <c r="AI16213" s="1746" t="s">
        <v>150</v>
      </c>
      <c r="AJ16213" s="1747"/>
      <c r="AK16213" s="1748"/>
      <c r="AL16213" s="198"/>
      <c r="AM16213" s="198"/>
      <c r="AN16213" s="198"/>
      <c r="AO16213" s="198"/>
    </row>
    <row r="16214" spans="35:41" ht="19.5" thickBot="1" x14ac:dyDescent="0.35">
      <c r="AI16214" s="1746" t="s">
        <v>150</v>
      </c>
      <c r="AJ16214" s="1747"/>
      <c r="AK16214" s="1748"/>
      <c r="AL16214" s="198"/>
      <c r="AM16214" s="198"/>
      <c r="AN16214" s="198"/>
      <c r="AO16214" s="198"/>
    </row>
    <row r="16215" spans="35:41" ht="19.5" thickBot="1" x14ac:dyDescent="0.35">
      <c r="AI16215" s="1746" t="s">
        <v>150</v>
      </c>
      <c r="AJ16215" s="1747"/>
      <c r="AK16215" s="1748"/>
      <c r="AL16215" s="198"/>
      <c r="AM16215" s="198"/>
      <c r="AN16215" s="198"/>
      <c r="AO16215" s="198"/>
    </row>
    <row r="16216" spans="35:41" ht="19.5" thickBot="1" x14ac:dyDescent="0.35">
      <c r="AI16216" s="1746" t="s">
        <v>150</v>
      </c>
      <c r="AJ16216" s="1747"/>
      <c r="AK16216" s="1748"/>
      <c r="AL16216" s="198"/>
      <c r="AM16216" s="198"/>
      <c r="AN16216" s="198"/>
      <c r="AO16216" s="198"/>
    </row>
    <row r="16217" spans="35:41" ht="19.5" thickBot="1" x14ac:dyDescent="0.35">
      <c r="AI16217" s="1746" t="s">
        <v>150</v>
      </c>
      <c r="AJ16217" s="1747"/>
      <c r="AK16217" s="1748"/>
      <c r="AL16217" s="198"/>
      <c r="AM16217" s="198"/>
      <c r="AN16217" s="198"/>
      <c r="AO16217" s="198"/>
    </row>
    <row r="16218" spans="35:41" ht="19.5" thickBot="1" x14ac:dyDescent="0.35">
      <c r="AI16218" s="1746" t="s">
        <v>150</v>
      </c>
      <c r="AJ16218" s="1747"/>
      <c r="AK16218" s="1748"/>
      <c r="AL16218" s="198"/>
      <c r="AM16218" s="198"/>
      <c r="AN16218" s="198"/>
      <c r="AO16218" s="198"/>
    </row>
    <row r="16219" spans="35:41" ht="19.5" thickBot="1" x14ac:dyDescent="0.35">
      <c r="AI16219" s="1746" t="s">
        <v>150</v>
      </c>
      <c r="AJ16219" s="1747"/>
      <c r="AK16219" s="1748"/>
      <c r="AL16219" s="198"/>
      <c r="AM16219" s="198"/>
      <c r="AN16219" s="198"/>
      <c r="AO16219" s="198"/>
    </row>
    <row r="16220" spans="35:41" ht="19.5" thickBot="1" x14ac:dyDescent="0.35">
      <c r="AI16220" s="1746" t="s">
        <v>150</v>
      </c>
      <c r="AJ16220" s="1747"/>
      <c r="AK16220" s="1748"/>
      <c r="AL16220" s="198"/>
      <c r="AM16220" s="198"/>
      <c r="AN16220" s="198"/>
      <c r="AO16220" s="198"/>
    </row>
    <row r="16221" spans="35:41" ht="19.5" thickBot="1" x14ac:dyDescent="0.35">
      <c r="AI16221" s="1746" t="s">
        <v>150</v>
      </c>
      <c r="AJ16221" s="1747"/>
      <c r="AK16221" s="1748"/>
      <c r="AL16221" s="198"/>
      <c r="AM16221" s="198"/>
      <c r="AN16221" s="198"/>
      <c r="AO16221" s="198"/>
    </row>
    <row r="16222" spans="35:41" ht="19.5" thickBot="1" x14ac:dyDescent="0.35">
      <c r="AI16222" s="1746" t="s">
        <v>150</v>
      </c>
      <c r="AJ16222" s="1747"/>
      <c r="AK16222" s="1748"/>
      <c r="AL16222" s="198"/>
      <c r="AM16222" s="198"/>
      <c r="AN16222" s="198"/>
      <c r="AO16222" s="198"/>
    </row>
    <row r="16223" spans="35:41" ht="19.5" thickBot="1" x14ac:dyDescent="0.35">
      <c r="AI16223" s="1746" t="s">
        <v>150</v>
      </c>
      <c r="AJ16223" s="1747"/>
      <c r="AK16223" s="1748"/>
      <c r="AL16223" s="198"/>
      <c r="AM16223" s="198"/>
      <c r="AN16223" s="198"/>
      <c r="AO16223" s="198"/>
    </row>
    <row r="16224" spans="35:41" ht="19.5" thickBot="1" x14ac:dyDescent="0.35">
      <c r="AI16224" s="1746" t="s">
        <v>150</v>
      </c>
      <c r="AJ16224" s="1747"/>
      <c r="AK16224" s="1748"/>
      <c r="AL16224" s="198"/>
      <c r="AM16224" s="198"/>
      <c r="AN16224" s="198"/>
      <c r="AO16224" s="198"/>
    </row>
    <row r="16225" spans="35:41" ht="19.5" thickBot="1" x14ac:dyDescent="0.35">
      <c r="AI16225" s="1746" t="s">
        <v>150</v>
      </c>
      <c r="AJ16225" s="1747"/>
      <c r="AK16225" s="1748"/>
      <c r="AL16225" s="198"/>
      <c r="AM16225" s="198"/>
      <c r="AN16225" s="198"/>
      <c r="AO16225" s="198"/>
    </row>
    <row r="16226" spans="35:41" ht="19.5" thickBot="1" x14ac:dyDescent="0.35">
      <c r="AI16226" s="1746" t="s">
        <v>150</v>
      </c>
      <c r="AJ16226" s="1747"/>
      <c r="AK16226" s="1748"/>
      <c r="AL16226" s="198"/>
      <c r="AM16226" s="198"/>
      <c r="AN16226" s="198"/>
      <c r="AO16226" s="198"/>
    </row>
    <row r="16227" spans="35:41" ht="19.5" thickBot="1" x14ac:dyDescent="0.35">
      <c r="AI16227" s="1746" t="s">
        <v>150</v>
      </c>
      <c r="AJ16227" s="1747"/>
      <c r="AK16227" s="1748"/>
      <c r="AL16227" s="198"/>
      <c r="AM16227" s="198"/>
      <c r="AN16227" s="198"/>
      <c r="AO16227" s="198"/>
    </row>
    <row r="16228" spans="35:41" ht="19.5" thickBot="1" x14ac:dyDescent="0.35">
      <c r="AI16228" s="1746" t="s">
        <v>150</v>
      </c>
      <c r="AJ16228" s="1747"/>
      <c r="AK16228" s="1748"/>
      <c r="AL16228" s="198"/>
      <c r="AM16228" s="198"/>
      <c r="AN16228" s="198"/>
      <c r="AO16228" s="198"/>
    </row>
    <row r="16229" spans="35:41" ht="19.5" thickBot="1" x14ac:dyDescent="0.35">
      <c r="AI16229" s="1746" t="s">
        <v>150</v>
      </c>
      <c r="AJ16229" s="1747"/>
      <c r="AK16229" s="1748"/>
      <c r="AL16229" s="198"/>
      <c r="AM16229" s="198"/>
      <c r="AN16229" s="198"/>
      <c r="AO16229" s="198"/>
    </row>
    <row r="16230" spans="35:41" ht="19.5" thickBot="1" x14ac:dyDescent="0.35">
      <c r="AI16230" s="1746" t="s">
        <v>150</v>
      </c>
      <c r="AJ16230" s="1747"/>
      <c r="AK16230" s="1748"/>
      <c r="AL16230" s="198"/>
      <c r="AM16230" s="198"/>
      <c r="AN16230" s="198"/>
      <c r="AO16230" s="198"/>
    </row>
    <row r="16231" spans="35:41" ht="19.5" thickBot="1" x14ac:dyDescent="0.35">
      <c r="AI16231" s="1746" t="s">
        <v>150</v>
      </c>
      <c r="AJ16231" s="1747"/>
      <c r="AK16231" s="1748"/>
      <c r="AL16231" s="198"/>
      <c r="AM16231" s="198"/>
      <c r="AN16231" s="198"/>
      <c r="AO16231" s="198"/>
    </row>
    <row r="16232" spans="35:41" ht="19.5" thickBot="1" x14ac:dyDescent="0.35">
      <c r="AI16232" s="1746" t="s">
        <v>150</v>
      </c>
      <c r="AJ16232" s="1747"/>
      <c r="AK16232" s="1748"/>
      <c r="AL16232" s="198"/>
      <c r="AM16232" s="198"/>
      <c r="AN16232" s="198"/>
      <c r="AO16232" s="198"/>
    </row>
    <row r="16233" spans="35:41" ht="19.5" thickBot="1" x14ac:dyDescent="0.35">
      <c r="AI16233" s="1746" t="s">
        <v>150</v>
      </c>
      <c r="AJ16233" s="1747"/>
      <c r="AK16233" s="1748"/>
      <c r="AL16233" s="198"/>
      <c r="AM16233" s="198"/>
      <c r="AN16233" s="198"/>
      <c r="AO16233" s="198"/>
    </row>
    <row r="16234" spans="35:41" ht="19.5" thickBot="1" x14ac:dyDescent="0.35">
      <c r="AI16234" s="1746" t="s">
        <v>150</v>
      </c>
      <c r="AJ16234" s="1747"/>
      <c r="AK16234" s="1748"/>
      <c r="AL16234" s="198"/>
      <c r="AM16234" s="198"/>
      <c r="AN16234" s="198"/>
      <c r="AO16234" s="198"/>
    </row>
    <row r="16235" spans="35:41" ht="19.5" thickBot="1" x14ac:dyDescent="0.35">
      <c r="AI16235" s="1746" t="s">
        <v>150</v>
      </c>
      <c r="AJ16235" s="1747"/>
      <c r="AK16235" s="1748"/>
      <c r="AL16235" s="198"/>
      <c r="AM16235" s="198"/>
      <c r="AN16235" s="198"/>
      <c r="AO16235" s="198"/>
    </row>
    <row r="16236" spans="35:41" ht="19.5" thickBot="1" x14ac:dyDescent="0.35">
      <c r="AI16236" s="1746" t="s">
        <v>150</v>
      </c>
      <c r="AJ16236" s="1747"/>
      <c r="AK16236" s="1748"/>
      <c r="AL16236" s="198"/>
      <c r="AM16236" s="198"/>
      <c r="AN16236" s="198"/>
      <c r="AO16236" s="198"/>
    </row>
    <row r="16237" spans="35:41" ht="19.5" thickBot="1" x14ac:dyDescent="0.35">
      <c r="AI16237" s="1746" t="s">
        <v>150</v>
      </c>
      <c r="AJ16237" s="1747"/>
      <c r="AK16237" s="1748"/>
      <c r="AL16237" s="198"/>
      <c r="AM16237" s="198"/>
      <c r="AN16237" s="198"/>
      <c r="AO16237" s="198"/>
    </row>
    <row r="16238" spans="35:41" ht="19.5" thickBot="1" x14ac:dyDescent="0.35">
      <c r="AI16238" s="1746" t="s">
        <v>150</v>
      </c>
      <c r="AJ16238" s="1747"/>
      <c r="AK16238" s="1748"/>
      <c r="AL16238" s="198"/>
      <c r="AM16238" s="198"/>
      <c r="AN16238" s="198"/>
      <c r="AO16238" s="198"/>
    </row>
    <row r="16239" spans="35:41" ht="19.5" thickBot="1" x14ac:dyDescent="0.35">
      <c r="AI16239" s="1746" t="s">
        <v>150</v>
      </c>
      <c r="AJ16239" s="1747"/>
      <c r="AK16239" s="1748"/>
      <c r="AL16239" s="198"/>
      <c r="AM16239" s="198"/>
      <c r="AN16239" s="198"/>
      <c r="AO16239" s="198"/>
    </row>
    <row r="16240" spans="35:41" ht="19.5" thickBot="1" x14ac:dyDescent="0.35">
      <c r="AI16240" s="1746" t="s">
        <v>150</v>
      </c>
      <c r="AJ16240" s="1747"/>
      <c r="AK16240" s="1748"/>
      <c r="AL16240" s="198"/>
      <c r="AM16240" s="198"/>
      <c r="AN16240" s="198"/>
      <c r="AO16240" s="198"/>
    </row>
    <row r="16241" spans="35:41" ht="19.5" thickBot="1" x14ac:dyDescent="0.35">
      <c r="AI16241" s="1746" t="s">
        <v>150</v>
      </c>
      <c r="AJ16241" s="1747"/>
      <c r="AK16241" s="1748"/>
      <c r="AL16241" s="198"/>
      <c r="AM16241" s="198"/>
      <c r="AN16241" s="198"/>
      <c r="AO16241" s="198"/>
    </row>
    <row r="16242" spans="35:41" ht="19.5" thickBot="1" x14ac:dyDescent="0.35">
      <c r="AI16242" s="1746" t="s">
        <v>150</v>
      </c>
      <c r="AJ16242" s="1747"/>
      <c r="AK16242" s="1748"/>
      <c r="AL16242" s="198"/>
      <c r="AM16242" s="198"/>
      <c r="AN16242" s="198"/>
      <c r="AO16242" s="198"/>
    </row>
    <row r="16243" spans="35:41" ht="19.5" thickBot="1" x14ac:dyDescent="0.35">
      <c r="AI16243" s="1746" t="s">
        <v>150</v>
      </c>
      <c r="AJ16243" s="1747"/>
      <c r="AK16243" s="1748"/>
      <c r="AL16243" s="198"/>
      <c r="AM16243" s="198"/>
      <c r="AN16243" s="198"/>
      <c r="AO16243" s="198"/>
    </row>
    <row r="16244" spans="35:41" ht="19.5" thickBot="1" x14ac:dyDescent="0.35">
      <c r="AI16244" s="1746" t="s">
        <v>150</v>
      </c>
      <c r="AJ16244" s="1747"/>
      <c r="AK16244" s="1748"/>
      <c r="AL16244" s="198"/>
      <c r="AM16244" s="198"/>
      <c r="AN16244" s="198"/>
      <c r="AO16244" s="198"/>
    </row>
    <row r="16245" spans="35:41" ht="19.5" thickBot="1" x14ac:dyDescent="0.35">
      <c r="AI16245" s="1746" t="s">
        <v>150</v>
      </c>
      <c r="AJ16245" s="1747"/>
      <c r="AK16245" s="1748"/>
      <c r="AL16245" s="198"/>
      <c r="AM16245" s="198"/>
      <c r="AN16245" s="198"/>
      <c r="AO16245" s="198"/>
    </row>
    <row r="16246" spans="35:41" ht="19.5" thickBot="1" x14ac:dyDescent="0.35">
      <c r="AI16246" s="1746" t="s">
        <v>150</v>
      </c>
      <c r="AJ16246" s="1747"/>
      <c r="AK16246" s="1748"/>
      <c r="AL16246" s="198"/>
      <c r="AM16246" s="198"/>
      <c r="AN16246" s="198"/>
      <c r="AO16246" s="198"/>
    </row>
    <row r="16247" spans="35:41" ht="19.5" thickBot="1" x14ac:dyDescent="0.35">
      <c r="AI16247" s="1746" t="s">
        <v>150</v>
      </c>
      <c r="AJ16247" s="1747"/>
      <c r="AK16247" s="1748"/>
      <c r="AL16247" s="198"/>
      <c r="AM16247" s="198"/>
      <c r="AN16247" s="198"/>
      <c r="AO16247" s="198"/>
    </row>
    <row r="16248" spans="35:41" ht="19.5" thickBot="1" x14ac:dyDescent="0.35">
      <c r="AI16248" s="1746" t="s">
        <v>150</v>
      </c>
      <c r="AJ16248" s="1747"/>
      <c r="AK16248" s="1748"/>
      <c r="AL16248" s="198"/>
      <c r="AM16248" s="198"/>
      <c r="AN16248" s="198"/>
      <c r="AO16248" s="198"/>
    </row>
    <row r="16249" spans="35:41" ht="19.5" thickBot="1" x14ac:dyDescent="0.35">
      <c r="AI16249" s="1746" t="s">
        <v>150</v>
      </c>
      <c r="AJ16249" s="1747"/>
      <c r="AK16249" s="1748"/>
      <c r="AL16249" s="198"/>
      <c r="AM16249" s="198"/>
      <c r="AN16249" s="198"/>
      <c r="AO16249" s="198"/>
    </row>
    <row r="16250" spans="35:41" ht="19.5" thickBot="1" x14ac:dyDescent="0.35">
      <c r="AI16250" s="1746" t="s">
        <v>150</v>
      </c>
      <c r="AJ16250" s="1747"/>
      <c r="AK16250" s="1748"/>
      <c r="AL16250" s="198"/>
      <c r="AM16250" s="198"/>
      <c r="AN16250" s="198"/>
      <c r="AO16250" s="198"/>
    </row>
    <row r="16251" spans="35:41" ht="19.5" thickBot="1" x14ac:dyDescent="0.35">
      <c r="AI16251" s="1746" t="s">
        <v>150</v>
      </c>
      <c r="AJ16251" s="1747"/>
      <c r="AK16251" s="1748"/>
      <c r="AL16251" s="198"/>
      <c r="AM16251" s="198"/>
      <c r="AN16251" s="198"/>
      <c r="AO16251" s="198"/>
    </row>
    <row r="16252" spans="35:41" ht="19.5" thickBot="1" x14ac:dyDescent="0.35">
      <c r="AI16252" s="1746" t="s">
        <v>150</v>
      </c>
      <c r="AJ16252" s="1747"/>
      <c r="AK16252" s="1748"/>
      <c r="AL16252" s="198"/>
      <c r="AM16252" s="198"/>
      <c r="AN16252" s="198"/>
      <c r="AO16252" s="198"/>
    </row>
    <row r="16253" spans="35:41" ht="19.5" thickBot="1" x14ac:dyDescent="0.35">
      <c r="AI16253" s="1746" t="s">
        <v>150</v>
      </c>
      <c r="AJ16253" s="1747"/>
      <c r="AK16253" s="1748"/>
      <c r="AL16253" s="198"/>
      <c r="AM16253" s="198"/>
      <c r="AN16253" s="198"/>
      <c r="AO16253" s="198"/>
    </row>
    <row r="16254" spans="35:41" ht="19.5" thickBot="1" x14ac:dyDescent="0.35">
      <c r="AI16254" s="1746" t="s">
        <v>150</v>
      </c>
      <c r="AJ16254" s="1747"/>
      <c r="AK16254" s="1748"/>
      <c r="AL16254" s="198"/>
      <c r="AM16254" s="198"/>
      <c r="AN16254" s="198"/>
      <c r="AO16254" s="198"/>
    </row>
    <row r="16255" spans="35:41" ht="19.5" thickBot="1" x14ac:dyDescent="0.35">
      <c r="AI16255" s="1746" t="s">
        <v>150</v>
      </c>
      <c r="AJ16255" s="1747"/>
      <c r="AK16255" s="1748"/>
      <c r="AL16255" s="198"/>
      <c r="AM16255" s="198"/>
      <c r="AN16255" s="198"/>
      <c r="AO16255" s="198"/>
    </row>
    <row r="16256" spans="35:41" ht="19.5" thickBot="1" x14ac:dyDescent="0.35">
      <c r="AI16256" s="1746" t="s">
        <v>150</v>
      </c>
      <c r="AJ16256" s="1747"/>
      <c r="AK16256" s="1748"/>
      <c r="AL16256" s="198"/>
      <c r="AM16256" s="198"/>
      <c r="AN16256" s="198"/>
      <c r="AO16256" s="198"/>
    </row>
    <row r="16257" spans="35:41" ht="19.5" thickBot="1" x14ac:dyDescent="0.35">
      <c r="AI16257" s="1746" t="s">
        <v>150</v>
      </c>
      <c r="AJ16257" s="1747"/>
      <c r="AK16257" s="1748"/>
      <c r="AL16257" s="198"/>
      <c r="AM16257" s="198"/>
      <c r="AN16257" s="198"/>
      <c r="AO16257" s="198"/>
    </row>
    <row r="16258" spans="35:41" ht="19.5" thickBot="1" x14ac:dyDescent="0.35">
      <c r="AI16258" s="1746" t="s">
        <v>150</v>
      </c>
      <c r="AJ16258" s="1747"/>
      <c r="AK16258" s="1748"/>
      <c r="AL16258" s="198"/>
      <c r="AM16258" s="198"/>
      <c r="AN16258" s="198"/>
      <c r="AO16258" s="198"/>
    </row>
    <row r="16259" spans="35:41" ht="19.5" thickBot="1" x14ac:dyDescent="0.35">
      <c r="AI16259" s="1746" t="s">
        <v>150</v>
      </c>
      <c r="AJ16259" s="1747"/>
      <c r="AK16259" s="1748"/>
      <c r="AL16259" s="198"/>
      <c r="AM16259" s="198"/>
      <c r="AN16259" s="198"/>
      <c r="AO16259" s="198"/>
    </row>
    <row r="16260" spans="35:41" ht="19.5" thickBot="1" x14ac:dyDescent="0.35">
      <c r="AI16260" s="1746" t="s">
        <v>150</v>
      </c>
      <c r="AJ16260" s="1747"/>
      <c r="AK16260" s="1748"/>
      <c r="AL16260" s="198"/>
      <c r="AM16260" s="198"/>
      <c r="AN16260" s="198"/>
      <c r="AO16260" s="198"/>
    </row>
    <row r="16261" spans="35:41" ht="19.5" thickBot="1" x14ac:dyDescent="0.35">
      <c r="AI16261" s="1746" t="s">
        <v>150</v>
      </c>
      <c r="AJ16261" s="1747"/>
      <c r="AK16261" s="1748"/>
      <c r="AL16261" s="198"/>
      <c r="AM16261" s="198"/>
      <c r="AN16261" s="198"/>
      <c r="AO16261" s="198"/>
    </row>
    <row r="16262" spans="35:41" ht="19.5" thickBot="1" x14ac:dyDescent="0.35">
      <c r="AI16262" s="1746" t="s">
        <v>150</v>
      </c>
      <c r="AJ16262" s="1747"/>
      <c r="AK16262" s="1748"/>
      <c r="AL16262" s="198"/>
      <c r="AM16262" s="198"/>
      <c r="AN16262" s="198"/>
      <c r="AO16262" s="198"/>
    </row>
    <row r="16263" spans="35:41" ht="19.5" thickBot="1" x14ac:dyDescent="0.35">
      <c r="AI16263" s="1746" t="s">
        <v>150</v>
      </c>
      <c r="AJ16263" s="1747"/>
      <c r="AK16263" s="1748"/>
      <c r="AL16263" s="198"/>
      <c r="AM16263" s="198"/>
      <c r="AN16263" s="198"/>
      <c r="AO16263" s="198"/>
    </row>
    <row r="16264" spans="35:41" ht="19.5" thickBot="1" x14ac:dyDescent="0.35">
      <c r="AI16264" s="1746" t="s">
        <v>150</v>
      </c>
      <c r="AJ16264" s="1747"/>
      <c r="AK16264" s="1748"/>
      <c r="AL16264" s="198"/>
      <c r="AM16264" s="198"/>
      <c r="AN16264" s="198"/>
      <c r="AO16264" s="198"/>
    </row>
    <row r="16265" spans="35:41" ht="19.5" thickBot="1" x14ac:dyDescent="0.35">
      <c r="AI16265" s="1746" t="s">
        <v>150</v>
      </c>
      <c r="AJ16265" s="1747"/>
      <c r="AK16265" s="1748"/>
      <c r="AL16265" s="198"/>
      <c r="AM16265" s="198"/>
      <c r="AN16265" s="198"/>
      <c r="AO16265" s="198"/>
    </row>
    <row r="16266" spans="35:41" ht="19.5" thickBot="1" x14ac:dyDescent="0.35">
      <c r="AI16266" s="1746" t="s">
        <v>150</v>
      </c>
      <c r="AJ16266" s="1747"/>
      <c r="AK16266" s="1748"/>
      <c r="AL16266" s="198"/>
      <c r="AM16266" s="198"/>
      <c r="AN16266" s="198"/>
      <c r="AO16266" s="198"/>
    </row>
    <row r="16267" spans="35:41" ht="19.5" thickBot="1" x14ac:dyDescent="0.35">
      <c r="AI16267" s="1746" t="s">
        <v>150</v>
      </c>
      <c r="AJ16267" s="1747"/>
      <c r="AK16267" s="1748"/>
      <c r="AL16267" s="198"/>
      <c r="AM16267" s="198"/>
      <c r="AN16267" s="198"/>
      <c r="AO16267" s="198"/>
    </row>
    <row r="16268" spans="35:41" ht="19.5" thickBot="1" x14ac:dyDescent="0.35">
      <c r="AI16268" s="1746" t="s">
        <v>150</v>
      </c>
      <c r="AJ16268" s="1747"/>
      <c r="AK16268" s="1748"/>
      <c r="AL16268" s="198"/>
      <c r="AM16268" s="198"/>
      <c r="AN16268" s="198"/>
      <c r="AO16268" s="198"/>
    </row>
    <row r="16269" spans="35:41" ht="19.5" thickBot="1" x14ac:dyDescent="0.35">
      <c r="AI16269" s="1746" t="s">
        <v>150</v>
      </c>
      <c r="AJ16269" s="1747"/>
      <c r="AK16269" s="1748"/>
      <c r="AL16269" s="198"/>
      <c r="AM16269" s="198"/>
      <c r="AN16269" s="198"/>
      <c r="AO16269" s="198"/>
    </row>
    <row r="16270" spans="35:41" ht="19.5" thickBot="1" x14ac:dyDescent="0.35">
      <c r="AI16270" s="1746" t="s">
        <v>150</v>
      </c>
      <c r="AJ16270" s="1747"/>
      <c r="AK16270" s="1748"/>
      <c r="AL16270" s="198"/>
      <c r="AM16270" s="198"/>
      <c r="AN16270" s="198"/>
      <c r="AO16270" s="198"/>
    </row>
    <row r="16271" spans="35:41" ht="19.5" thickBot="1" x14ac:dyDescent="0.35">
      <c r="AI16271" s="1746" t="s">
        <v>150</v>
      </c>
      <c r="AJ16271" s="1747"/>
      <c r="AK16271" s="1748"/>
      <c r="AL16271" s="198"/>
      <c r="AM16271" s="198"/>
      <c r="AN16271" s="198"/>
      <c r="AO16271" s="198"/>
    </row>
    <row r="16272" spans="35:41" ht="19.5" thickBot="1" x14ac:dyDescent="0.35">
      <c r="AI16272" s="1746" t="s">
        <v>150</v>
      </c>
      <c r="AJ16272" s="1747"/>
      <c r="AK16272" s="1748"/>
      <c r="AL16272" s="198"/>
      <c r="AM16272" s="198"/>
      <c r="AN16272" s="198"/>
      <c r="AO16272" s="198"/>
    </row>
    <row r="16273" spans="35:41" ht="19.5" thickBot="1" x14ac:dyDescent="0.35">
      <c r="AI16273" s="1746" t="s">
        <v>150</v>
      </c>
      <c r="AJ16273" s="1747"/>
      <c r="AK16273" s="1748"/>
      <c r="AL16273" s="198"/>
      <c r="AM16273" s="198"/>
      <c r="AN16273" s="198"/>
      <c r="AO16273" s="198"/>
    </row>
    <row r="16274" spans="35:41" ht="19.5" thickBot="1" x14ac:dyDescent="0.35">
      <c r="AI16274" s="1746" t="s">
        <v>150</v>
      </c>
      <c r="AJ16274" s="1747"/>
      <c r="AK16274" s="1748"/>
      <c r="AL16274" s="198"/>
      <c r="AM16274" s="198"/>
      <c r="AN16274" s="198"/>
      <c r="AO16274" s="198"/>
    </row>
    <row r="16275" spans="35:41" ht="19.5" thickBot="1" x14ac:dyDescent="0.35">
      <c r="AI16275" s="1746" t="s">
        <v>150</v>
      </c>
      <c r="AJ16275" s="1747"/>
      <c r="AK16275" s="1748"/>
      <c r="AL16275" s="198"/>
      <c r="AM16275" s="198"/>
      <c r="AN16275" s="198"/>
      <c r="AO16275" s="198"/>
    </row>
    <row r="16276" spans="35:41" ht="19.5" thickBot="1" x14ac:dyDescent="0.35">
      <c r="AI16276" s="1746" t="s">
        <v>150</v>
      </c>
      <c r="AJ16276" s="1747"/>
      <c r="AK16276" s="1748"/>
      <c r="AL16276" s="198"/>
      <c r="AM16276" s="198"/>
      <c r="AN16276" s="198"/>
      <c r="AO16276" s="198"/>
    </row>
    <row r="16277" spans="35:41" ht="19.5" thickBot="1" x14ac:dyDescent="0.35">
      <c r="AI16277" s="1746" t="s">
        <v>150</v>
      </c>
      <c r="AJ16277" s="1747"/>
      <c r="AK16277" s="1748"/>
      <c r="AL16277" s="198"/>
      <c r="AM16277" s="198"/>
      <c r="AN16277" s="198"/>
      <c r="AO16277" s="198"/>
    </row>
    <row r="16278" spans="35:41" ht="19.5" thickBot="1" x14ac:dyDescent="0.35">
      <c r="AI16278" s="1746" t="s">
        <v>150</v>
      </c>
      <c r="AJ16278" s="1747"/>
      <c r="AK16278" s="1748"/>
      <c r="AL16278" s="198"/>
      <c r="AM16278" s="198"/>
      <c r="AN16278" s="198"/>
      <c r="AO16278" s="198"/>
    </row>
    <row r="16279" spans="35:41" ht="19.5" thickBot="1" x14ac:dyDescent="0.35">
      <c r="AI16279" s="1746" t="s">
        <v>150</v>
      </c>
      <c r="AJ16279" s="1747"/>
      <c r="AK16279" s="1748"/>
      <c r="AL16279" s="198"/>
      <c r="AM16279" s="198"/>
      <c r="AN16279" s="198"/>
      <c r="AO16279" s="198"/>
    </row>
    <row r="16280" spans="35:41" ht="19.5" thickBot="1" x14ac:dyDescent="0.35">
      <c r="AI16280" s="1746" t="s">
        <v>150</v>
      </c>
      <c r="AJ16280" s="1747"/>
      <c r="AK16280" s="1748"/>
      <c r="AL16280" s="198"/>
      <c r="AM16280" s="198"/>
      <c r="AN16280" s="198"/>
      <c r="AO16280" s="198"/>
    </row>
    <row r="16281" spans="35:41" ht="19.5" thickBot="1" x14ac:dyDescent="0.35">
      <c r="AI16281" s="1746" t="s">
        <v>150</v>
      </c>
      <c r="AJ16281" s="1747"/>
      <c r="AK16281" s="1748"/>
      <c r="AL16281" s="198"/>
      <c r="AM16281" s="198"/>
      <c r="AN16281" s="198"/>
      <c r="AO16281" s="198"/>
    </row>
    <row r="16282" spans="35:41" ht="19.5" thickBot="1" x14ac:dyDescent="0.35">
      <c r="AI16282" s="1746" t="s">
        <v>150</v>
      </c>
      <c r="AJ16282" s="1747"/>
      <c r="AK16282" s="1748"/>
      <c r="AL16282" s="198"/>
      <c r="AM16282" s="198"/>
      <c r="AN16282" s="198"/>
      <c r="AO16282" s="198"/>
    </row>
    <row r="16283" spans="35:41" ht="19.5" thickBot="1" x14ac:dyDescent="0.35">
      <c r="AI16283" s="1746" t="s">
        <v>150</v>
      </c>
      <c r="AJ16283" s="1747"/>
      <c r="AK16283" s="1748"/>
      <c r="AL16283" s="198"/>
      <c r="AM16283" s="198"/>
      <c r="AN16283" s="198"/>
      <c r="AO16283" s="198"/>
    </row>
    <row r="16284" spans="35:41" ht="19.5" thickBot="1" x14ac:dyDescent="0.35">
      <c r="AI16284" s="1746" t="s">
        <v>150</v>
      </c>
      <c r="AJ16284" s="1747"/>
      <c r="AK16284" s="1748"/>
      <c r="AL16284" s="198"/>
      <c r="AM16284" s="198"/>
      <c r="AN16284" s="198"/>
      <c r="AO16284" s="198"/>
    </row>
    <row r="16285" spans="35:41" ht="19.5" thickBot="1" x14ac:dyDescent="0.35">
      <c r="AI16285" s="1746" t="s">
        <v>150</v>
      </c>
      <c r="AJ16285" s="1747"/>
      <c r="AK16285" s="1748"/>
      <c r="AL16285" s="198"/>
      <c r="AM16285" s="198"/>
      <c r="AN16285" s="198"/>
      <c r="AO16285" s="198"/>
    </row>
    <row r="16286" spans="35:41" ht="19.5" thickBot="1" x14ac:dyDescent="0.35">
      <c r="AI16286" s="1746" t="s">
        <v>150</v>
      </c>
      <c r="AJ16286" s="1747"/>
      <c r="AK16286" s="1748"/>
      <c r="AL16286" s="198"/>
      <c r="AM16286" s="198"/>
      <c r="AN16286" s="198"/>
      <c r="AO16286" s="198"/>
    </row>
    <row r="16287" spans="35:41" ht="19.5" thickBot="1" x14ac:dyDescent="0.35">
      <c r="AI16287" s="1746" t="s">
        <v>150</v>
      </c>
      <c r="AJ16287" s="1747"/>
      <c r="AK16287" s="1748"/>
      <c r="AL16287" s="198"/>
      <c r="AM16287" s="198"/>
      <c r="AN16287" s="198"/>
      <c r="AO16287" s="198"/>
    </row>
    <row r="16288" spans="35:41" ht="19.5" thickBot="1" x14ac:dyDescent="0.35">
      <c r="AI16288" s="1746" t="s">
        <v>150</v>
      </c>
      <c r="AJ16288" s="1747"/>
      <c r="AK16288" s="1748"/>
      <c r="AL16288" s="198"/>
      <c r="AM16288" s="198"/>
      <c r="AN16288" s="198"/>
      <c r="AO16288" s="198"/>
    </row>
    <row r="16289" spans="35:41" ht="19.5" thickBot="1" x14ac:dyDescent="0.35">
      <c r="AI16289" s="1746" t="s">
        <v>150</v>
      </c>
      <c r="AJ16289" s="1747"/>
      <c r="AK16289" s="1748"/>
      <c r="AL16289" s="198"/>
      <c r="AM16289" s="198"/>
      <c r="AN16289" s="198"/>
      <c r="AO16289" s="198"/>
    </row>
    <row r="16290" spans="35:41" ht="19.5" thickBot="1" x14ac:dyDescent="0.35">
      <c r="AI16290" s="1746" t="s">
        <v>150</v>
      </c>
      <c r="AJ16290" s="1747"/>
      <c r="AK16290" s="1748"/>
      <c r="AL16290" s="198"/>
      <c r="AM16290" s="198"/>
      <c r="AN16290" s="198"/>
      <c r="AO16290" s="198"/>
    </row>
    <row r="16291" spans="35:41" ht="19.5" thickBot="1" x14ac:dyDescent="0.35">
      <c r="AI16291" s="1746" t="s">
        <v>150</v>
      </c>
      <c r="AJ16291" s="1747"/>
      <c r="AK16291" s="1748"/>
      <c r="AL16291" s="198"/>
      <c r="AM16291" s="198"/>
      <c r="AN16291" s="198"/>
      <c r="AO16291" s="198"/>
    </row>
    <row r="16292" spans="35:41" ht="19.5" thickBot="1" x14ac:dyDescent="0.35">
      <c r="AI16292" s="1746" t="s">
        <v>150</v>
      </c>
      <c r="AJ16292" s="1747"/>
      <c r="AK16292" s="1748"/>
      <c r="AL16292" s="198"/>
      <c r="AM16292" s="198"/>
      <c r="AN16292" s="198"/>
      <c r="AO16292" s="198"/>
    </row>
    <row r="16293" spans="35:41" ht="19.5" thickBot="1" x14ac:dyDescent="0.35">
      <c r="AI16293" s="1746" t="s">
        <v>150</v>
      </c>
      <c r="AJ16293" s="1747"/>
      <c r="AK16293" s="1748"/>
      <c r="AL16293" s="198"/>
      <c r="AM16293" s="198"/>
      <c r="AN16293" s="198"/>
      <c r="AO16293" s="198"/>
    </row>
    <row r="16294" spans="35:41" ht="19.5" thickBot="1" x14ac:dyDescent="0.35">
      <c r="AI16294" s="1746" t="s">
        <v>150</v>
      </c>
      <c r="AJ16294" s="1747"/>
      <c r="AK16294" s="1748"/>
      <c r="AL16294" s="198"/>
      <c r="AM16294" s="198"/>
      <c r="AN16294" s="198"/>
      <c r="AO16294" s="198"/>
    </row>
    <row r="16295" spans="35:41" ht="19.5" thickBot="1" x14ac:dyDescent="0.35">
      <c r="AI16295" s="1746" t="s">
        <v>150</v>
      </c>
      <c r="AJ16295" s="1747"/>
      <c r="AK16295" s="1748"/>
      <c r="AL16295" s="198"/>
      <c r="AM16295" s="198"/>
      <c r="AN16295" s="198"/>
      <c r="AO16295" s="198"/>
    </row>
    <row r="16296" spans="35:41" ht="19.5" thickBot="1" x14ac:dyDescent="0.35">
      <c r="AI16296" s="1746" t="s">
        <v>150</v>
      </c>
      <c r="AJ16296" s="1747"/>
      <c r="AK16296" s="1748"/>
      <c r="AL16296" s="198"/>
      <c r="AM16296" s="198"/>
      <c r="AN16296" s="198"/>
      <c r="AO16296" s="198"/>
    </row>
    <row r="16297" spans="35:41" ht="19.5" thickBot="1" x14ac:dyDescent="0.35">
      <c r="AI16297" s="1746" t="s">
        <v>150</v>
      </c>
      <c r="AJ16297" s="1747"/>
      <c r="AK16297" s="1748"/>
      <c r="AL16297" s="198"/>
      <c r="AM16297" s="198"/>
      <c r="AN16297" s="198"/>
      <c r="AO16297" s="198"/>
    </row>
    <row r="16298" spans="35:41" ht="19.5" thickBot="1" x14ac:dyDescent="0.35">
      <c r="AI16298" s="1746" t="s">
        <v>150</v>
      </c>
      <c r="AJ16298" s="1747"/>
      <c r="AK16298" s="1748"/>
      <c r="AL16298" s="198"/>
      <c r="AM16298" s="198"/>
      <c r="AN16298" s="198"/>
      <c r="AO16298" s="198"/>
    </row>
    <row r="16299" spans="35:41" ht="19.5" thickBot="1" x14ac:dyDescent="0.35">
      <c r="AI16299" s="1746" t="s">
        <v>150</v>
      </c>
      <c r="AJ16299" s="1747"/>
      <c r="AK16299" s="1748"/>
      <c r="AL16299" s="198"/>
      <c r="AM16299" s="198"/>
      <c r="AN16299" s="198"/>
      <c r="AO16299" s="198"/>
    </row>
    <row r="16300" spans="35:41" ht="19.5" thickBot="1" x14ac:dyDescent="0.35">
      <c r="AI16300" s="1746" t="s">
        <v>150</v>
      </c>
      <c r="AJ16300" s="1747"/>
      <c r="AK16300" s="1748"/>
      <c r="AL16300" s="198"/>
      <c r="AM16300" s="198"/>
      <c r="AN16300" s="198"/>
      <c r="AO16300" s="198"/>
    </row>
    <row r="16301" spans="35:41" ht="19.5" thickBot="1" x14ac:dyDescent="0.35">
      <c r="AI16301" s="1746" t="s">
        <v>150</v>
      </c>
      <c r="AJ16301" s="1747"/>
      <c r="AK16301" s="1748"/>
      <c r="AL16301" s="198"/>
      <c r="AM16301" s="198"/>
      <c r="AN16301" s="198"/>
      <c r="AO16301" s="198"/>
    </row>
    <row r="16302" spans="35:41" ht="19.5" thickBot="1" x14ac:dyDescent="0.35">
      <c r="AI16302" s="1746" t="s">
        <v>150</v>
      </c>
      <c r="AJ16302" s="1747"/>
      <c r="AK16302" s="1748"/>
      <c r="AL16302" s="198"/>
      <c r="AM16302" s="198"/>
      <c r="AN16302" s="198"/>
      <c r="AO16302" s="198"/>
    </row>
    <row r="16303" spans="35:41" ht="19.5" thickBot="1" x14ac:dyDescent="0.35">
      <c r="AI16303" s="1746" t="s">
        <v>150</v>
      </c>
      <c r="AJ16303" s="1747"/>
      <c r="AK16303" s="1748"/>
      <c r="AL16303" s="198"/>
      <c r="AM16303" s="198"/>
      <c r="AN16303" s="198"/>
      <c r="AO16303" s="198"/>
    </row>
    <row r="16304" spans="35:41" ht="19.5" thickBot="1" x14ac:dyDescent="0.35">
      <c r="AI16304" s="1746" t="s">
        <v>150</v>
      </c>
      <c r="AJ16304" s="1747"/>
      <c r="AK16304" s="1748"/>
      <c r="AL16304" s="198"/>
      <c r="AM16304" s="198"/>
      <c r="AN16304" s="198"/>
      <c r="AO16304" s="198"/>
    </row>
    <row r="16305" spans="35:41" ht="19.5" thickBot="1" x14ac:dyDescent="0.35">
      <c r="AI16305" s="1746" t="s">
        <v>150</v>
      </c>
      <c r="AJ16305" s="1747"/>
      <c r="AK16305" s="1748"/>
      <c r="AL16305" s="198"/>
      <c r="AM16305" s="198"/>
      <c r="AN16305" s="198"/>
      <c r="AO16305" s="198"/>
    </row>
    <row r="16306" spans="35:41" ht="19.5" thickBot="1" x14ac:dyDescent="0.35">
      <c r="AI16306" s="1746" t="s">
        <v>150</v>
      </c>
      <c r="AJ16306" s="1747"/>
      <c r="AK16306" s="1748"/>
      <c r="AL16306" s="198"/>
      <c r="AM16306" s="198"/>
      <c r="AN16306" s="198"/>
      <c r="AO16306" s="198"/>
    </row>
    <row r="16307" spans="35:41" ht="19.5" thickBot="1" x14ac:dyDescent="0.35">
      <c r="AI16307" s="1746" t="s">
        <v>150</v>
      </c>
      <c r="AJ16307" s="1747"/>
      <c r="AK16307" s="1748"/>
      <c r="AL16307" s="198"/>
      <c r="AM16307" s="198"/>
      <c r="AN16307" s="198"/>
      <c r="AO16307" s="198"/>
    </row>
    <row r="16308" spans="35:41" ht="19.5" thickBot="1" x14ac:dyDescent="0.35">
      <c r="AI16308" s="1746" t="s">
        <v>150</v>
      </c>
      <c r="AJ16308" s="1747"/>
      <c r="AK16308" s="1748"/>
      <c r="AL16308" s="198"/>
      <c r="AM16308" s="198"/>
      <c r="AN16308" s="198"/>
      <c r="AO16308" s="198"/>
    </row>
    <row r="16309" spans="35:41" ht="19.5" thickBot="1" x14ac:dyDescent="0.35">
      <c r="AI16309" s="1746" t="s">
        <v>150</v>
      </c>
      <c r="AJ16309" s="1747"/>
      <c r="AK16309" s="1748"/>
      <c r="AL16309" s="198"/>
      <c r="AM16309" s="198"/>
      <c r="AN16309" s="198"/>
      <c r="AO16309" s="198"/>
    </row>
    <row r="16310" spans="35:41" ht="19.5" thickBot="1" x14ac:dyDescent="0.35">
      <c r="AI16310" s="1746" t="s">
        <v>150</v>
      </c>
      <c r="AJ16310" s="1747"/>
      <c r="AK16310" s="1748"/>
      <c r="AL16310" s="198"/>
      <c r="AM16310" s="198"/>
      <c r="AN16310" s="198"/>
      <c r="AO16310" s="198"/>
    </row>
    <row r="16311" spans="35:41" ht="19.5" thickBot="1" x14ac:dyDescent="0.35">
      <c r="AI16311" s="1746" t="s">
        <v>150</v>
      </c>
      <c r="AJ16311" s="1747"/>
      <c r="AK16311" s="1748"/>
      <c r="AL16311" s="198"/>
      <c r="AM16311" s="198"/>
      <c r="AN16311" s="198"/>
      <c r="AO16311" s="198"/>
    </row>
    <row r="16312" spans="35:41" ht="19.5" thickBot="1" x14ac:dyDescent="0.35">
      <c r="AI16312" s="1746" t="s">
        <v>150</v>
      </c>
      <c r="AJ16312" s="1747"/>
      <c r="AK16312" s="1748"/>
      <c r="AL16312" s="198"/>
      <c r="AM16312" s="198"/>
      <c r="AN16312" s="198"/>
      <c r="AO16312" s="198"/>
    </row>
    <row r="16313" spans="35:41" ht="19.5" thickBot="1" x14ac:dyDescent="0.35">
      <c r="AI16313" s="1746" t="s">
        <v>150</v>
      </c>
      <c r="AJ16313" s="1747"/>
      <c r="AK16313" s="1748"/>
      <c r="AL16313" s="198"/>
      <c r="AM16313" s="198"/>
      <c r="AN16313" s="198"/>
      <c r="AO16313" s="198"/>
    </row>
    <row r="16314" spans="35:41" ht="19.5" thickBot="1" x14ac:dyDescent="0.35">
      <c r="AI16314" s="1746" t="s">
        <v>150</v>
      </c>
      <c r="AJ16314" s="1747"/>
      <c r="AK16314" s="1748"/>
      <c r="AL16314" s="198"/>
      <c r="AM16314" s="198"/>
      <c r="AN16314" s="198"/>
      <c r="AO16314" s="198"/>
    </row>
    <row r="16315" spans="35:41" ht="19.5" thickBot="1" x14ac:dyDescent="0.35">
      <c r="AI16315" s="1746" t="s">
        <v>150</v>
      </c>
      <c r="AJ16315" s="1747"/>
      <c r="AK16315" s="1748"/>
      <c r="AL16315" s="198"/>
      <c r="AM16315" s="198"/>
      <c r="AN16315" s="198"/>
      <c r="AO16315" s="198"/>
    </row>
    <row r="16316" spans="35:41" ht="19.5" thickBot="1" x14ac:dyDescent="0.35">
      <c r="AI16316" s="1746" t="s">
        <v>150</v>
      </c>
      <c r="AJ16316" s="1747"/>
      <c r="AK16316" s="1748"/>
      <c r="AL16316" s="198"/>
      <c r="AM16316" s="198"/>
      <c r="AN16316" s="198"/>
      <c r="AO16316" s="198"/>
    </row>
    <row r="16317" spans="35:41" ht="19.5" thickBot="1" x14ac:dyDescent="0.35">
      <c r="AI16317" s="1746" t="s">
        <v>150</v>
      </c>
      <c r="AJ16317" s="1747"/>
      <c r="AK16317" s="1748"/>
      <c r="AL16317" s="198"/>
      <c r="AM16317" s="198"/>
      <c r="AN16317" s="198"/>
      <c r="AO16317" s="198"/>
    </row>
    <row r="16318" spans="35:41" ht="19.5" thickBot="1" x14ac:dyDescent="0.35">
      <c r="AI16318" s="1746" t="s">
        <v>150</v>
      </c>
      <c r="AJ16318" s="1747"/>
      <c r="AK16318" s="1748"/>
      <c r="AL16318" s="198"/>
      <c r="AM16318" s="198"/>
      <c r="AN16318" s="198"/>
      <c r="AO16318" s="198"/>
    </row>
    <row r="16319" spans="35:41" ht="19.5" thickBot="1" x14ac:dyDescent="0.35">
      <c r="AI16319" s="1746" t="s">
        <v>150</v>
      </c>
      <c r="AJ16319" s="1747"/>
      <c r="AK16319" s="1748"/>
      <c r="AL16319" s="198"/>
      <c r="AM16319" s="198"/>
      <c r="AN16319" s="198"/>
      <c r="AO16319" s="198"/>
    </row>
    <row r="16320" spans="35:41" ht="19.5" thickBot="1" x14ac:dyDescent="0.35">
      <c r="AI16320" s="1746" t="s">
        <v>150</v>
      </c>
      <c r="AJ16320" s="1747"/>
      <c r="AK16320" s="1748"/>
      <c r="AL16320" s="198"/>
      <c r="AM16320" s="198"/>
      <c r="AN16320" s="198"/>
      <c r="AO16320" s="198"/>
    </row>
    <row r="16321" spans="35:41" ht="19.5" thickBot="1" x14ac:dyDescent="0.35">
      <c r="AI16321" s="1746" t="s">
        <v>150</v>
      </c>
      <c r="AJ16321" s="1747"/>
      <c r="AK16321" s="1748"/>
      <c r="AL16321" s="198"/>
      <c r="AM16321" s="198"/>
      <c r="AN16321" s="198"/>
      <c r="AO16321" s="198"/>
    </row>
    <row r="16322" spans="35:41" ht="19.5" thickBot="1" x14ac:dyDescent="0.35">
      <c r="AI16322" s="1746" t="s">
        <v>150</v>
      </c>
      <c r="AJ16322" s="1747"/>
      <c r="AK16322" s="1748"/>
      <c r="AL16322" s="198"/>
      <c r="AM16322" s="198"/>
      <c r="AN16322" s="198"/>
      <c r="AO16322" s="198"/>
    </row>
    <row r="16323" spans="35:41" ht="19.5" thickBot="1" x14ac:dyDescent="0.35">
      <c r="AI16323" s="1746" t="s">
        <v>150</v>
      </c>
      <c r="AJ16323" s="1747"/>
      <c r="AK16323" s="1748"/>
      <c r="AL16323" s="198"/>
      <c r="AM16323" s="198"/>
      <c r="AN16323" s="198"/>
      <c r="AO16323" s="198"/>
    </row>
    <row r="16324" spans="35:41" ht="19.5" thickBot="1" x14ac:dyDescent="0.35">
      <c r="AI16324" s="1746" t="s">
        <v>150</v>
      </c>
      <c r="AJ16324" s="1747"/>
      <c r="AK16324" s="1748"/>
      <c r="AL16324" s="198"/>
      <c r="AM16324" s="198"/>
      <c r="AN16324" s="198"/>
      <c r="AO16324" s="198"/>
    </row>
    <row r="16325" spans="35:41" ht="19.5" thickBot="1" x14ac:dyDescent="0.35">
      <c r="AI16325" s="1746" t="s">
        <v>150</v>
      </c>
      <c r="AJ16325" s="1747"/>
      <c r="AK16325" s="1748"/>
      <c r="AL16325" s="198"/>
      <c r="AM16325" s="198"/>
      <c r="AN16325" s="198"/>
      <c r="AO16325" s="198"/>
    </row>
    <row r="16326" spans="35:41" ht="19.5" thickBot="1" x14ac:dyDescent="0.35">
      <c r="AI16326" s="1746" t="s">
        <v>150</v>
      </c>
      <c r="AJ16326" s="1747"/>
      <c r="AK16326" s="1748"/>
      <c r="AL16326" s="198"/>
      <c r="AM16326" s="198"/>
      <c r="AN16326" s="198"/>
      <c r="AO16326" s="198"/>
    </row>
    <row r="16327" spans="35:41" ht="19.5" thickBot="1" x14ac:dyDescent="0.35">
      <c r="AI16327" s="1746" t="s">
        <v>150</v>
      </c>
      <c r="AJ16327" s="1747"/>
      <c r="AK16327" s="1748"/>
      <c r="AL16327" s="198"/>
      <c r="AM16327" s="198"/>
      <c r="AN16327" s="198"/>
      <c r="AO16327" s="198"/>
    </row>
    <row r="16328" spans="35:41" ht="19.5" thickBot="1" x14ac:dyDescent="0.35">
      <c r="AI16328" s="1746" t="s">
        <v>150</v>
      </c>
      <c r="AJ16328" s="1747"/>
      <c r="AK16328" s="1748"/>
      <c r="AL16328" s="198"/>
      <c r="AM16328" s="198"/>
      <c r="AN16328" s="198"/>
      <c r="AO16328" s="198"/>
    </row>
    <row r="16329" spans="35:41" ht="19.5" thickBot="1" x14ac:dyDescent="0.35">
      <c r="AI16329" s="1746" t="s">
        <v>150</v>
      </c>
      <c r="AJ16329" s="1747"/>
      <c r="AK16329" s="1748"/>
      <c r="AL16329" s="198"/>
      <c r="AM16329" s="198"/>
      <c r="AN16329" s="198"/>
      <c r="AO16329" s="198"/>
    </row>
    <row r="16330" spans="35:41" ht="19.5" thickBot="1" x14ac:dyDescent="0.35">
      <c r="AI16330" s="1746" t="s">
        <v>150</v>
      </c>
      <c r="AJ16330" s="1747"/>
      <c r="AK16330" s="1748"/>
      <c r="AL16330" s="198"/>
      <c r="AM16330" s="198"/>
      <c r="AN16330" s="198"/>
      <c r="AO16330" s="198"/>
    </row>
    <row r="16331" spans="35:41" ht="19.5" thickBot="1" x14ac:dyDescent="0.35">
      <c r="AI16331" s="1746" t="s">
        <v>150</v>
      </c>
      <c r="AJ16331" s="1747"/>
      <c r="AK16331" s="1748"/>
      <c r="AL16331" s="198"/>
      <c r="AM16331" s="198"/>
      <c r="AN16331" s="198"/>
      <c r="AO16331" s="198"/>
    </row>
    <row r="16332" spans="35:41" ht="19.5" thickBot="1" x14ac:dyDescent="0.35">
      <c r="AI16332" s="1746" t="s">
        <v>150</v>
      </c>
      <c r="AJ16332" s="1747"/>
      <c r="AK16332" s="1748"/>
      <c r="AL16332" s="198"/>
      <c r="AM16332" s="198"/>
      <c r="AN16332" s="198"/>
      <c r="AO16332" s="198"/>
    </row>
    <row r="16333" spans="35:41" ht="19.5" thickBot="1" x14ac:dyDescent="0.35">
      <c r="AI16333" s="1746" t="s">
        <v>150</v>
      </c>
      <c r="AJ16333" s="1747"/>
      <c r="AK16333" s="1748"/>
      <c r="AL16333" s="198"/>
      <c r="AM16333" s="198"/>
      <c r="AN16333" s="198"/>
      <c r="AO16333" s="198"/>
    </row>
    <row r="16334" spans="35:41" ht="19.5" thickBot="1" x14ac:dyDescent="0.35">
      <c r="AI16334" s="1746" t="s">
        <v>150</v>
      </c>
      <c r="AJ16334" s="1747"/>
      <c r="AK16334" s="1748"/>
      <c r="AL16334" s="198"/>
      <c r="AM16334" s="198"/>
      <c r="AN16334" s="198"/>
      <c r="AO16334" s="198"/>
    </row>
    <row r="16335" spans="35:41" ht="19.5" thickBot="1" x14ac:dyDescent="0.35">
      <c r="AI16335" s="1746" t="s">
        <v>150</v>
      </c>
      <c r="AJ16335" s="1747"/>
      <c r="AK16335" s="1748"/>
      <c r="AL16335" s="198"/>
      <c r="AM16335" s="198"/>
      <c r="AN16335" s="198"/>
      <c r="AO16335" s="198"/>
    </row>
    <row r="16336" spans="35:41" ht="19.5" thickBot="1" x14ac:dyDescent="0.35">
      <c r="AI16336" s="1746" t="s">
        <v>150</v>
      </c>
      <c r="AJ16336" s="1747"/>
      <c r="AK16336" s="1748"/>
      <c r="AL16336" s="198"/>
      <c r="AM16336" s="198"/>
      <c r="AN16336" s="198"/>
      <c r="AO16336" s="198"/>
    </row>
    <row r="16337" spans="35:41" ht="19.5" thickBot="1" x14ac:dyDescent="0.35">
      <c r="AI16337" s="1746" t="s">
        <v>150</v>
      </c>
      <c r="AJ16337" s="1747"/>
      <c r="AK16337" s="1748"/>
      <c r="AL16337" s="198"/>
      <c r="AM16337" s="198"/>
      <c r="AN16337" s="198"/>
      <c r="AO16337" s="198"/>
    </row>
    <row r="16338" spans="35:41" ht="19.5" thickBot="1" x14ac:dyDescent="0.35">
      <c r="AI16338" s="1746" t="s">
        <v>150</v>
      </c>
      <c r="AJ16338" s="1747"/>
      <c r="AK16338" s="1748"/>
      <c r="AL16338" s="198"/>
      <c r="AM16338" s="198"/>
      <c r="AN16338" s="198"/>
      <c r="AO16338" s="198"/>
    </row>
    <row r="16339" spans="35:41" ht="19.5" thickBot="1" x14ac:dyDescent="0.35">
      <c r="AI16339" s="1746" t="s">
        <v>150</v>
      </c>
      <c r="AJ16339" s="1747"/>
      <c r="AK16339" s="1748"/>
      <c r="AL16339" s="198"/>
      <c r="AM16339" s="198"/>
      <c r="AN16339" s="198"/>
      <c r="AO16339" s="198"/>
    </row>
    <row r="16340" spans="35:41" ht="19.5" thickBot="1" x14ac:dyDescent="0.35">
      <c r="AI16340" s="1746" t="s">
        <v>150</v>
      </c>
      <c r="AJ16340" s="1747"/>
      <c r="AK16340" s="1748"/>
      <c r="AL16340" s="198"/>
      <c r="AM16340" s="198"/>
      <c r="AN16340" s="198"/>
      <c r="AO16340" s="198"/>
    </row>
    <row r="16341" spans="35:41" ht="19.5" thickBot="1" x14ac:dyDescent="0.35">
      <c r="AI16341" s="1746" t="s">
        <v>150</v>
      </c>
      <c r="AJ16341" s="1747"/>
      <c r="AK16341" s="1748"/>
      <c r="AL16341" s="198"/>
      <c r="AM16341" s="198"/>
      <c r="AN16341" s="198"/>
      <c r="AO16341" s="198"/>
    </row>
    <row r="16342" spans="35:41" ht="19.5" thickBot="1" x14ac:dyDescent="0.35">
      <c r="AI16342" s="1746" t="s">
        <v>150</v>
      </c>
      <c r="AJ16342" s="1747"/>
      <c r="AK16342" s="1748"/>
      <c r="AL16342" s="198"/>
      <c r="AM16342" s="198"/>
      <c r="AN16342" s="198"/>
      <c r="AO16342" s="198"/>
    </row>
    <row r="16343" spans="35:41" ht="19.5" thickBot="1" x14ac:dyDescent="0.35">
      <c r="AI16343" s="1746" t="s">
        <v>150</v>
      </c>
      <c r="AJ16343" s="1747"/>
      <c r="AK16343" s="1748"/>
      <c r="AL16343" s="198"/>
      <c r="AM16343" s="198"/>
      <c r="AN16343" s="198"/>
      <c r="AO16343" s="198"/>
    </row>
    <row r="16344" spans="35:41" ht="19.5" thickBot="1" x14ac:dyDescent="0.35">
      <c r="AI16344" s="1746" t="s">
        <v>150</v>
      </c>
      <c r="AJ16344" s="1747"/>
      <c r="AK16344" s="1748"/>
      <c r="AL16344" s="198"/>
      <c r="AM16344" s="198"/>
      <c r="AN16344" s="198"/>
      <c r="AO16344" s="198"/>
    </row>
    <row r="16345" spans="35:41" ht="19.5" thickBot="1" x14ac:dyDescent="0.35">
      <c r="AI16345" s="1746" t="s">
        <v>150</v>
      </c>
      <c r="AJ16345" s="1747"/>
      <c r="AK16345" s="1748"/>
      <c r="AL16345" s="198"/>
      <c r="AM16345" s="198"/>
      <c r="AN16345" s="198"/>
      <c r="AO16345" s="198"/>
    </row>
    <row r="16346" spans="35:41" ht="19.5" thickBot="1" x14ac:dyDescent="0.35">
      <c r="AI16346" s="1746" t="s">
        <v>150</v>
      </c>
      <c r="AJ16346" s="1747"/>
      <c r="AK16346" s="1748"/>
      <c r="AL16346" s="198"/>
      <c r="AM16346" s="198"/>
      <c r="AN16346" s="198"/>
      <c r="AO16346" s="198"/>
    </row>
    <row r="16347" spans="35:41" ht="19.5" thickBot="1" x14ac:dyDescent="0.35">
      <c r="AI16347" s="1746" t="s">
        <v>150</v>
      </c>
      <c r="AJ16347" s="1747"/>
      <c r="AK16347" s="1748"/>
      <c r="AL16347" s="198"/>
      <c r="AM16347" s="198"/>
      <c r="AN16347" s="198"/>
      <c r="AO16347" s="198"/>
    </row>
    <row r="16348" spans="35:41" ht="19.5" thickBot="1" x14ac:dyDescent="0.35">
      <c r="AI16348" s="1746" t="s">
        <v>150</v>
      </c>
      <c r="AJ16348" s="1747"/>
      <c r="AK16348" s="1748"/>
      <c r="AL16348" s="198"/>
      <c r="AM16348" s="198"/>
      <c r="AN16348" s="198"/>
      <c r="AO16348" s="198"/>
    </row>
    <row r="16349" spans="35:41" ht="19.5" thickBot="1" x14ac:dyDescent="0.35">
      <c r="AI16349" s="1746" t="s">
        <v>150</v>
      </c>
      <c r="AJ16349" s="1747"/>
      <c r="AK16349" s="1748"/>
      <c r="AL16349" s="198"/>
      <c r="AM16349" s="198"/>
      <c r="AN16349" s="198"/>
      <c r="AO16349" s="198"/>
    </row>
    <row r="16350" spans="35:41" ht="19.5" thickBot="1" x14ac:dyDescent="0.35">
      <c r="AI16350" s="1746" t="s">
        <v>150</v>
      </c>
      <c r="AJ16350" s="1747"/>
      <c r="AK16350" s="1748"/>
      <c r="AL16350" s="198"/>
      <c r="AM16350" s="198"/>
      <c r="AN16350" s="198"/>
      <c r="AO16350" s="198"/>
    </row>
    <row r="16351" spans="35:41" ht="19.5" thickBot="1" x14ac:dyDescent="0.35">
      <c r="AI16351" s="1746" t="s">
        <v>150</v>
      </c>
      <c r="AJ16351" s="1747"/>
      <c r="AK16351" s="1748"/>
      <c r="AL16351" s="198"/>
      <c r="AM16351" s="198"/>
      <c r="AN16351" s="198"/>
      <c r="AO16351" s="198"/>
    </row>
    <row r="16352" spans="35:41" ht="19.5" thickBot="1" x14ac:dyDescent="0.35">
      <c r="AI16352" s="1746" t="s">
        <v>150</v>
      </c>
      <c r="AJ16352" s="1747"/>
      <c r="AK16352" s="1748"/>
      <c r="AL16352" s="198"/>
      <c r="AM16352" s="198"/>
      <c r="AN16352" s="198"/>
      <c r="AO16352" s="198"/>
    </row>
    <row r="16353" spans="35:41" ht="19.5" thickBot="1" x14ac:dyDescent="0.35">
      <c r="AI16353" s="1746" t="s">
        <v>150</v>
      </c>
      <c r="AJ16353" s="1747"/>
      <c r="AK16353" s="1748"/>
      <c r="AL16353" s="198"/>
      <c r="AM16353" s="198"/>
      <c r="AN16353" s="198"/>
      <c r="AO16353" s="198"/>
    </row>
    <row r="16354" spans="35:41" ht="19.5" thickBot="1" x14ac:dyDescent="0.35">
      <c r="AI16354" s="1746" t="s">
        <v>150</v>
      </c>
      <c r="AJ16354" s="1747"/>
      <c r="AK16354" s="1748"/>
      <c r="AL16354" s="198"/>
      <c r="AM16354" s="198"/>
      <c r="AN16354" s="198"/>
      <c r="AO16354" s="198"/>
    </row>
    <row r="16355" spans="35:41" ht="19.5" thickBot="1" x14ac:dyDescent="0.35">
      <c r="AI16355" s="1746" t="s">
        <v>150</v>
      </c>
      <c r="AJ16355" s="1747"/>
      <c r="AK16355" s="1748"/>
      <c r="AL16355" s="198"/>
      <c r="AM16355" s="198"/>
      <c r="AN16355" s="198"/>
      <c r="AO16355" s="198"/>
    </row>
    <row r="16356" spans="35:41" ht="19.5" thickBot="1" x14ac:dyDescent="0.35">
      <c r="AI16356" s="1746" t="s">
        <v>150</v>
      </c>
      <c r="AJ16356" s="1747"/>
      <c r="AK16356" s="1748"/>
      <c r="AL16356" s="198"/>
      <c r="AM16356" s="198"/>
      <c r="AN16356" s="198"/>
      <c r="AO16356" s="198"/>
    </row>
    <row r="16357" spans="35:41" ht="19.5" thickBot="1" x14ac:dyDescent="0.35">
      <c r="AI16357" s="1746" t="s">
        <v>150</v>
      </c>
      <c r="AJ16357" s="1747"/>
      <c r="AK16357" s="1748"/>
      <c r="AL16357" s="198"/>
      <c r="AM16357" s="198"/>
      <c r="AN16357" s="198"/>
      <c r="AO16357" s="198"/>
    </row>
    <row r="16358" spans="35:41" ht="19.5" thickBot="1" x14ac:dyDescent="0.35">
      <c r="AI16358" s="1746" t="s">
        <v>150</v>
      </c>
      <c r="AJ16358" s="1747"/>
      <c r="AK16358" s="1748"/>
      <c r="AL16358" s="198"/>
      <c r="AM16358" s="198"/>
      <c r="AN16358" s="198"/>
      <c r="AO16358" s="198"/>
    </row>
    <row r="16359" spans="35:41" ht="19.5" thickBot="1" x14ac:dyDescent="0.35">
      <c r="AI16359" s="1746" t="s">
        <v>150</v>
      </c>
      <c r="AJ16359" s="1747"/>
      <c r="AK16359" s="1748"/>
      <c r="AL16359" s="198"/>
      <c r="AM16359" s="198"/>
      <c r="AN16359" s="198"/>
      <c r="AO16359" s="198"/>
    </row>
    <row r="16360" spans="35:41" ht="19.5" thickBot="1" x14ac:dyDescent="0.35">
      <c r="AI16360" s="1746" t="s">
        <v>150</v>
      </c>
      <c r="AJ16360" s="1747"/>
      <c r="AK16360" s="1748"/>
      <c r="AL16360" s="198"/>
      <c r="AM16360" s="198"/>
      <c r="AN16360" s="198"/>
      <c r="AO16360" s="198"/>
    </row>
    <row r="16361" spans="35:41" ht="19.5" thickBot="1" x14ac:dyDescent="0.35">
      <c r="AI16361" s="1746" t="s">
        <v>150</v>
      </c>
      <c r="AJ16361" s="1747"/>
      <c r="AK16361" s="1748"/>
      <c r="AL16361" s="198"/>
      <c r="AM16361" s="198"/>
      <c r="AN16361" s="198"/>
      <c r="AO16361" s="198"/>
    </row>
    <row r="16362" spans="35:41" ht="19.5" thickBot="1" x14ac:dyDescent="0.35">
      <c r="AI16362" s="1746" t="s">
        <v>150</v>
      </c>
      <c r="AJ16362" s="1747"/>
      <c r="AK16362" s="1748"/>
      <c r="AL16362" s="198"/>
      <c r="AM16362" s="198"/>
      <c r="AN16362" s="198"/>
      <c r="AO16362" s="198"/>
    </row>
    <row r="16363" spans="35:41" ht="19.5" thickBot="1" x14ac:dyDescent="0.35">
      <c r="AI16363" s="1746" t="s">
        <v>150</v>
      </c>
      <c r="AJ16363" s="1747"/>
      <c r="AK16363" s="1748"/>
      <c r="AL16363" s="198"/>
      <c r="AM16363" s="198"/>
      <c r="AN16363" s="198"/>
      <c r="AO16363" s="198"/>
    </row>
    <row r="16364" spans="35:41" ht="19.5" thickBot="1" x14ac:dyDescent="0.35">
      <c r="AI16364" s="1746" t="s">
        <v>150</v>
      </c>
      <c r="AJ16364" s="1747"/>
      <c r="AK16364" s="1748"/>
      <c r="AL16364" s="198"/>
      <c r="AM16364" s="198"/>
      <c r="AN16364" s="198"/>
      <c r="AO16364" s="198"/>
    </row>
    <row r="16365" spans="35:41" ht="19.5" thickBot="1" x14ac:dyDescent="0.35">
      <c r="AI16365" s="1746" t="s">
        <v>150</v>
      </c>
      <c r="AJ16365" s="1747"/>
      <c r="AK16365" s="1748"/>
      <c r="AL16365" s="198"/>
      <c r="AM16365" s="198"/>
      <c r="AN16365" s="198"/>
      <c r="AO16365" s="198"/>
    </row>
    <row r="16366" spans="35:41" ht="19.5" thickBot="1" x14ac:dyDescent="0.35">
      <c r="AI16366" s="1746" t="s">
        <v>150</v>
      </c>
      <c r="AJ16366" s="1747"/>
      <c r="AK16366" s="1748"/>
      <c r="AL16366" s="198"/>
      <c r="AM16366" s="198"/>
      <c r="AN16366" s="198"/>
      <c r="AO16366" s="198"/>
    </row>
    <row r="16367" spans="35:41" ht="19.5" thickBot="1" x14ac:dyDescent="0.35">
      <c r="AI16367" s="1746" t="s">
        <v>150</v>
      </c>
      <c r="AJ16367" s="1747"/>
      <c r="AK16367" s="1748"/>
      <c r="AL16367" s="198"/>
      <c r="AM16367" s="198"/>
      <c r="AN16367" s="198"/>
      <c r="AO16367" s="198"/>
    </row>
    <row r="16368" spans="35:41" ht="19.5" thickBot="1" x14ac:dyDescent="0.35">
      <c r="AI16368" s="1746" t="s">
        <v>150</v>
      </c>
      <c r="AJ16368" s="1747"/>
      <c r="AK16368" s="1748"/>
      <c r="AL16368" s="198"/>
      <c r="AM16368" s="198"/>
      <c r="AN16368" s="198"/>
      <c r="AO16368" s="198"/>
    </row>
    <row r="16369" spans="35:41" ht="19.5" thickBot="1" x14ac:dyDescent="0.35">
      <c r="AI16369" s="1746" t="s">
        <v>150</v>
      </c>
      <c r="AJ16369" s="1747"/>
      <c r="AK16369" s="1748"/>
      <c r="AL16369" s="198"/>
      <c r="AM16369" s="198"/>
      <c r="AN16369" s="198"/>
      <c r="AO16369" s="198"/>
    </row>
    <row r="16370" spans="35:41" ht="19.5" thickBot="1" x14ac:dyDescent="0.35">
      <c r="AI16370" s="1746" t="s">
        <v>150</v>
      </c>
      <c r="AJ16370" s="1747"/>
      <c r="AK16370" s="1748"/>
      <c r="AL16370" s="198"/>
      <c r="AM16370" s="198"/>
      <c r="AN16370" s="198"/>
      <c r="AO16370" s="198"/>
    </row>
    <row r="16371" spans="35:41" ht="19.5" thickBot="1" x14ac:dyDescent="0.35">
      <c r="AI16371" s="1746" t="s">
        <v>150</v>
      </c>
      <c r="AJ16371" s="1747"/>
      <c r="AK16371" s="1748"/>
      <c r="AL16371" s="198"/>
      <c r="AM16371" s="198"/>
      <c r="AN16371" s="198"/>
      <c r="AO16371" s="198"/>
    </row>
    <row r="16372" spans="35:41" ht="19.5" thickBot="1" x14ac:dyDescent="0.35">
      <c r="AI16372" s="1746" t="s">
        <v>150</v>
      </c>
      <c r="AJ16372" s="1747"/>
      <c r="AK16372" s="1748"/>
      <c r="AL16372" s="198"/>
      <c r="AM16372" s="198"/>
      <c r="AN16372" s="198"/>
      <c r="AO16372" s="198"/>
    </row>
    <row r="16373" spans="35:41" ht="19.5" thickBot="1" x14ac:dyDescent="0.35">
      <c r="AI16373" s="1746" t="s">
        <v>150</v>
      </c>
      <c r="AJ16373" s="1747"/>
      <c r="AK16373" s="1748"/>
      <c r="AL16373" s="198"/>
      <c r="AM16373" s="198"/>
      <c r="AN16373" s="198"/>
      <c r="AO16373" s="198"/>
    </row>
    <row r="16374" spans="35:41" ht="19.5" thickBot="1" x14ac:dyDescent="0.35">
      <c r="AI16374" s="1746" t="s">
        <v>150</v>
      </c>
      <c r="AJ16374" s="1747"/>
      <c r="AK16374" s="1748"/>
      <c r="AL16374" s="198"/>
      <c r="AM16374" s="198"/>
      <c r="AN16374" s="198"/>
      <c r="AO16374" s="198"/>
    </row>
    <row r="16375" spans="35:41" ht="19.5" thickBot="1" x14ac:dyDescent="0.35">
      <c r="AI16375" s="1746" t="s">
        <v>150</v>
      </c>
      <c r="AJ16375" s="1747"/>
      <c r="AK16375" s="1748"/>
      <c r="AL16375" s="198"/>
      <c r="AM16375" s="198"/>
      <c r="AN16375" s="198"/>
      <c r="AO16375" s="198"/>
    </row>
    <row r="16376" spans="35:41" ht="19.5" thickBot="1" x14ac:dyDescent="0.35">
      <c r="AI16376" s="1746" t="s">
        <v>150</v>
      </c>
      <c r="AJ16376" s="1747"/>
      <c r="AK16376" s="1748"/>
      <c r="AL16376" s="198"/>
      <c r="AM16376" s="198"/>
      <c r="AN16376" s="198"/>
      <c r="AO16376" s="198"/>
    </row>
    <row r="16377" spans="35:41" ht="19.5" thickBot="1" x14ac:dyDescent="0.35">
      <c r="AI16377" s="1746" t="s">
        <v>150</v>
      </c>
      <c r="AJ16377" s="1747"/>
      <c r="AK16377" s="1748"/>
      <c r="AL16377" s="198"/>
      <c r="AM16377" s="198"/>
      <c r="AN16377" s="198"/>
      <c r="AO16377" s="198"/>
    </row>
    <row r="16378" spans="35:41" ht="19.5" thickBot="1" x14ac:dyDescent="0.35">
      <c r="AI16378" s="1746" t="s">
        <v>150</v>
      </c>
      <c r="AJ16378" s="1747"/>
      <c r="AK16378" s="1748"/>
      <c r="AL16378" s="198"/>
      <c r="AM16378" s="198"/>
      <c r="AN16378" s="198"/>
      <c r="AO16378" s="198"/>
    </row>
    <row r="16379" spans="35:41" ht="19.5" thickBot="1" x14ac:dyDescent="0.35">
      <c r="AI16379" s="1746" t="s">
        <v>150</v>
      </c>
      <c r="AJ16379" s="1747"/>
      <c r="AK16379" s="1748"/>
      <c r="AL16379" s="198"/>
      <c r="AM16379" s="198"/>
      <c r="AN16379" s="198"/>
      <c r="AO16379" s="198"/>
    </row>
    <row r="16380" spans="35:41" ht="19.5" thickBot="1" x14ac:dyDescent="0.35">
      <c r="AI16380" s="1746" t="s">
        <v>150</v>
      </c>
      <c r="AJ16380" s="1747"/>
      <c r="AK16380" s="1748"/>
      <c r="AL16380" s="198"/>
      <c r="AM16380" s="198"/>
      <c r="AN16380" s="198"/>
      <c r="AO16380" s="198"/>
    </row>
    <row r="16381" spans="35:41" ht="19.5" thickBot="1" x14ac:dyDescent="0.35">
      <c r="AI16381" s="1746" t="s">
        <v>150</v>
      </c>
      <c r="AJ16381" s="1747"/>
      <c r="AK16381" s="1748"/>
      <c r="AL16381" s="198"/>
      <c r="AM16381" s="198"/>
      <c r="AN16381" s="198"/>
      <c r="AO16381" s="198"/>
    </row>
    <row r="16382" spans="35:41" ht="19.5" thickBot="1" x14ac:dyDescent="0.35">
      <c r="AI16382" s="1746" t="s">
        <v>150</v>
      </c>
      <c r="AJ16382" s="1747"/>
      <c r="AK16382" s="1748"/>
      <c r="AL16382" s="198"/>
      <c r="AM16382" s="198"/>
      <c r="AN16382" s="198"/>
      <c r="AO16382" s="198"/>
    </row>
    <row r="16383" spans="35:41" ht="19.5" thickBot="1" x14ac:dyDescent="0.35">
      <c r="AI16383" s="1746" t="s">
        <v>150</v>
      </c>
      <c r="AJ16383" s="1747"/>
      <c r="AK16383" s="1748"/>
      <c r="AL16383" s="198"/>
      <c r="AM16383" s="198"/>
      <c r="AN16383" s="198"/>
      <c r="AO16383" s="198"/>
    </row>
    <row r="16384" spans="35:41" ht="19.5" thickBot="1" x14ac:dyDescent="0.35">
      <c r="AI16384" s="1746" t="s">
        <v>150</v>
      </c>
      <c r="AJ16384" s="1747"/>
      <c r="AK16384" s="1748"/>
      <c r="AL16384" s="198"/>
      <c r="AM16384" s="198"/>
      <c r="AN16384" s="198"/>
      <c r="AO16384" s="198"/>
    </row>
    <row r="16385" spans="35:41" ht="19.5" thickBot="1" x14ac:dyDescent="0.35">
      <c r="AI16385" s="1746" t="s">
        <v>150</v>
      </c>
      <c r="AJ16385" s="1747"/>
      <c r="AK16385" s="1748"/>
      <c r="AL16385" s="198"/>
      <c r="AM16385" s="198"/>
      <c r="AN16385" s="198"/>
      <c r="AO16385" s="198"/>
    </row>
    <row r="16386" spans="35:41" ht="19.5" thickBot="1" x14ac:dyDescent="0.35">
      <c r="AI16386" s="1746" t="s">
        <v>150</v>
      </c>
      <c r="AJ16386" s="1747"/>
      <c r="AK16386" s="1748"/>
      <c r="AL16386" s="198"/>
      <c r="AM16386" s="198"/>
      <c r="AN16386" s="198"/>
      <c r="AO16386" s="198"/>
    </row>
    <row r="16387" spans="35:41" ht="19.5" thickBot="1" x14ac:dyDescent="0.35">
      <c r="AI16387" s="1746" t="s">
        <v>150</v>
      </c>
      <c r="AJ16387" s="1747"/>
      <c r="AK16387" s="1748"/>
      <c r="AL16387" s="198"/>
      <c r="AM16387" s="198"/>
      <c r="AN16387" s="198"/>
      <c r="AO16387" s="198"/>
    </row>
    <row r="16388" spans="35:41" ht="19.5" thickBot="1" x14ac:dyDescent="0.35">
      <c r="AI16388" s="1746" t="s">
        <v>150</v>
      </c>
      <c r="AJ16388" s="1747"/>
      <c r="AK16388" s="1748"/>
      <c r="AL16388" s="198"/>
      <c r="AM16388" s="198"/>
      <c r="AN16388" s="198"/>
      <c r="AO16388" s="198"/>
    </row>
    <row r="16389" spans="35:41" ht="19.5" thickBot="1" x14ac:dyDescent="0.35">
      <c r="AI16389" s="1746" t="s">
        <v>150</v>
      </c>
      <c r="AJ16389" s="1747"/>
      <c r="AK16389" s="1748"/>
      <c r="AL16389" s="198"/>
      <c r="AM16389" s="198"/>
      <c r="AN16389" s="198"/>
      <c r="AO16389" s="198"/>
    </row>
    <row r="16390" spans="35:41" ht="19.5" thickBot="1" x14ac:dyDescent="0.35">
      <c r="AI16390" s="1746" t="s">
        <v>150</v>
      </c>
      <c r="AJ16390" s="1747"/>
      <c r="AK16390" s="1748"/>
      <c r="AL16390" s="198"/>
      <c r="AM16390" s="198"/>
      <c r="AN16390" s="198"/>
      <c r="AO16390" s="198"/>
    </row>
    <row r="16391" spans="35:41" ht="19.5" thickBot="1" x14ac:dyDescent="0.35">
      <c r="AI16391" s="1746" t="s">
        <v>150</v>
      </c>
      <c r="AJ16391" s="1747"/>
      <c r="AK16391" s="1748"/>
      <c r="AL16391" s="198"/>
      <c r="AM16391" s="198"/>
      <c r="AN16391" s="198"/>
      <c r="AO16391" s="198"/>
    </row>
    <row r="16392" spans="35:41" ht="19.5" thickBot="1" x14ac:dyDescent="0.35">
      <c r="AI16392" s="1746" t="s">
        <v>150</v>
      </c>
      <c r="AJ16392" s="1747"/>
      <c r="AK16392" s="1748"/>
      <c r="AL16392" s="198"/>
      <c r="AM16392" s="198"/>
      <c r="AN16392" s="198"/>
      <c r="AO16392" s="198"/>
    </row>
    <row r="16393" spans="35:41" ht="19.5" thickBot="1" x14ac:dyDescent="0.35">
      <c r="AI16393" s="1746" t="s">
        <v>150</v>
      </c>
      <c r="AJ16393" s="1747"/>
      <c r="AK16393" s="1748"/>
      <c r="AL16393" s="198"/>
      <c r="AM16393" s="198"/>
      <c r="AN16393" s="198"/>
      <c r="AO16393" s="198"/>
    </row>
    <row r="16394" spans="35:41" ht="19.5" thickBot="1" x14ac:dyDescent="0.35">
      <c r="AI16394" s="1746" t="s">
        <v>150</v>
      </c>
      <c r="AJ16394" s="1747"/>
      <c r="AK16394" s="1748"/>
      <c r="AL16394" s="198"/>
      <c r="AM16394" s="198"/>
      <c r="AN16394" s="198"/>
      <c r="AO16394" s="198"/>
    </row>
    <row r="16395" spans="35:41" ht="19.5" thickBot="1" x14ac:dyDescent="0.35">
      <c r="AI16395" s="1746" t="s">
        <v>150</v>
      </c>
      <c r="AJ16395" s="1747"/>
      <c r="AK16395" s="1748"/>
      <c r="AL16395" s="198"/>
      <c r="AM16395" s="198"/>
      <c r="AN16395" s="198"/>
      <c r="AO16395" s="198"/>
    </row>
    <row r="16396" spans="35:41" ht="19.5" thickBot="1" x14ac:dyDescent="0.35">
      <c r="AI16396" s="1746" t="s">
        <v>150</v>
      </c>
      <c r="AJ16396" s="1747"/>
      <c r="AK16396" s="1748"/>
      <c r="AL16396" s="198"/>
      <c r="AM16396" s="198"/>
      <c r="AN16396" s="198"/>
      <c r="AO16396" s="198"/>
    </row>
    <row r="16397" spans="35:41" ht="19.5" thickBot="1" x14ac:dyDescent="0.35">
      <c r="AI16397" s="1746" t="s">
        <v>150</v>
      </c>
      <c r="AJ16397" s="1747"/>
      <c r="AK16397" s="1748"/>
      <c r="AL16397" s="198"/>
      <c r="AM16397" s="198"/>
      <c r="AN16397" s="198"/>
      <c r="AO16397" s="198"/>
    </row>
    <row r="16398" spans="35:41" ht="19.5" thickBot="1" x14ac:dyDescent="0.35">
      <c r="AI16398" s="1746" t="s">
        <v>150</v>
      </c>
      <c r="AJ16398" s="1747"/>
      <c r="AK16398" s="1748"/>
      <c r="AL16398" s="198"/>
      <c r="AM16398" s="198"/>
      <c r="AN16398" s="198"/>
      <c r="AO16398" s="198"/>
    </row>
    <row r="16399" spans="35:41" ht="19.5" thickBot="1" x14ac:dyDescent="0.35">
      <c r="AI16399" s="1746" t="s">
        <v>150</v>
      </c>
      <c r="AJ16399" s="1747"/>
      <c r="AK16399" s="1748"/>
      <c r="AL16399" s="198"/>
      <c r="AM16399" s="198"/>
      <c r="AN16399" s="198"/>
      <c r="AO16399" s="198"/>
    </row>
    <row r="16400" spans="35:41" ht="19.5" thickBot="1" x14ac:dyDescent="0.35">
      <c r="AI16400" s="1746" t="s">
        <v>150</v>
      </c>
      <c r="AJ16400" s="1747"/>
      <c r="AK16400" s="1748"/>
      <c r="AL16400" s="198"/>
      <c r="AM16400" s="198"/>
      <c r="AN16400" s="198"/>
      <c r="AO16400" s="198"/>
    </row>
    <row r="16401" spans="35:41" ht="19.5" thickBot="1" x14ac:dyDescent="0.35">
      <c r="AI16401" s="1746" t="s">
        <v>150</v>
      </c>
      <c r="AJ16401" s="1747"/>
      <c r="AK16401" s="1748"/>
      <c r="AL16401" s="198"/>
      <c r="AM16401" s="198"/>
      <c r="AN16401" s="198"/>
      <c r="AO16401" s="198"/>
    </row>
    <row r="16402" spans="35:41" ht="19.5" thickBot="1" x14ac:dyDescent="0.35">
      <c r="AI16402" s="1746" t="s">
        <v>150</v>
      </c>
      <c r="AJ16402" s="1747"/>
      <c r="AK16402" s="1748"/>
      <c r="AL16402" s="198"/>
      <c r="AM16402" s="198"/>
      <c r="AN16402" s="198"/>
      <c r="AO16402" s="198"/>
    </row>
    <row r="16403" spans="35:41" ht="19.5" thickBot="1" x14ac:dyDescent="0.35">
      <c r="AI16403" s="1746" t="s">
        <v>150</v>
      </c>
      <c r="AJ16403" s="1747"/>
      <c r="AK16403" s="1748"/>
      <c r="AL16403" s="198"/>
      <c r="AM16403" s="198"/>
      <c r="AN16403" s="198"/>
      <c r="AO16403" s="198"/>
    </row>
    <row r="16404" spans="35:41" ht="19.5" thickBot="1" x14ac:dyDescent="0.35">
      <c r="AI16404" s="1746" t="s">
        <v>150</v>
      </c>
      <c r="AJ16404" s="1747"/>
      <c r="AK16404" s="1748"/>
      <c r="AL16404" s="198"/>
      <c r="AM16404" s="198"/>
      <c r="AN16404" s="198"/>
      <c r="AO16404" s="198"/>
    </row>
    <row r="16405" spans="35:41" ht="19.5" thickBot="1" x14ac:dyDescent="0.35">
      <c r="AI16405" s="1746" t="s">
        <v>150</v>
      </c>
      <c r="AJ16405" s="1747"/>
      <c r="AK16405" s="1748"/>
      <c r="AL16405" s="198"/>
      <c r="AM16405" s="198"/>
      <c r="AN16405" s="198"/>
      <c r="AO16405" s="198"/>
    </row>
    <row r="16406" spans="35:41" ht="19.5" thickBot="1" x14ac:dyDescent="0.35">
      <c r="AI16406" s="1746" t="s">
        <v>150</v>
      </c>
      <c r="AJ16406" s="1747"/>
      <c r="AK16406" s="1748"/>
      <c r="AL16406" s="198"/>
      <c r="AM16406" s="198"/>
      <c r="AN16406" s="198"/>
      <c r="AO16406" s="198"/>
    </row>
    <row r="16407" spans="35:41" ht="19.5" thickBot="1" x14ac:dyDescent="0.35">
      <c r="AI16407" s="1746" t="s">
        <v>150</v>
      </c>
      <c r="AJ16407" s="1747"/>
      <c r="AK16407" s="1748"/>
      <c r="AL16407" s="198"/>
      <c r="AM16407" s="198"/>
      <c r="AN16407" s="198"/>
      <c r="AO16407" s="198"/>
    </row>
    <row r="16408" spans="35:41" ht="19.5" thickBot="1" x14ac:dyDescent="0.35">
      <c r="AI16408" s="1746" t="s">
        <v>150</v>
      </c>
      <c r="AJ16408" s="1747"/>
      <c r="AK16408" s="1748"/>
      <c r="AL16408" s="198"/>
      <c r="AM16408" s="198"/>
      <c r="AN16408" s="198"/>
      <c r="AO16408" s="198"/>
    </row>
    <row r="16409" spans="35:41" ht="19.5" thickBot="1" x14ac:dyDescent="0.35">
      <c r="AI16409" s="1746" t="s">
        <v>150</v>
      </c>
      <c r="AJ16409" s="1747"/>
      <c r="AK16409" s="1748"/>
      <c r="AL16409" s="198"/>
      <c r="AM16409" s="198"/>
      <c r="AN16409" s="198"/>
      <c r="AO16409" s="198"/>
    </row>
    <row r="16410" spans="35:41" ht="19.5" thickBot="1" x14ac:dyDescent="0.35">
      <c r="AI16410" s="1746" t="s">
        <v>150</v>
      </c>
      <c r="AJ16410" s="1747"/>
      <c r="AK16410" s="1748"/>
      <c r="AL16410" s="198"/>
      <c r="AM16410" s="198"/>
      <c r="AN16410" s="198"/>
      <c r="AO16410" s="198"/>
    </row>
    <row r="16411" spans="35:41" ht="19.5" thickBot="1" x14ac:dyDescent="0.35">
      <c r="AI16411" s="1746" t="s">
        <v>150</v>
      </c>
      <c r="AJ16411" s="1747"/>
      <c r="AK16411" s="1748"/>
      <c r="AL16411" s="198"/>
      <c r="AM16411" s="198"/>
      <c r="AN16411" s="198"/>
      <c r="AO16411" s="198"/>
    </row>
    <row r="16412" spans="35:41" ht="19.5" thickBot="1" x14ac:dyDescent="0.35">
      <c r="AI16412" s="1746" t="s">
        <v>150</v>
      </c>
      <c r="AJ16412" s="1747"/>
      <c r="AK16412" s="1748"/>
      <c r="AL16412" s="198"/>
      <c r="AM16412" s="198"/>
      <c r="AN16412" s="198"/>
      <c r="AO16412" s="198"/>
    </row>
    <row r="16413" spans="35:41" ht="19.5" thickBot="1" x14ac:dyDescent="0.35">
      <c r="AI16413" s="1746" t="s">
        <v>150</v>
      </c>
      <c r="AJ16413" s="1747"/>
      <c r="AK16413" s="1748"/>
      <c r="AL16413" s="198"/>
      <c r="AM16413" s="198"/>
      <c r="AN16413" s="198"/>
      <c r="AO16413" s="198"/>
    </row>
    <row r="16414" spans="35:41" ht="19.5" thickBot="1" x14ac:dyDescent="0.35">
      <c r="AI16414" s="1746" t="s">
        <v>150</v>
      </c>
      <c r="AJ16414" s="1747"/>
      <c r="AK16414" s="1748"/>
      <c r="AL16414" s="198"/>
      <c r="AM16414" s="198"/>
      <c r="AN16414" s="198"/>
      <c r="AO16414" s="198"/>
    </row>
    <row r="16415" spans="35:41" ht="19.5" thickBot="1" x14ac:dyDescent="0.35">
      <c r="AI16415" s="1746" t="s">
        <v>150</v>
      </c>
      <c r="AJ16415" s="1747"/>
      <c r="AK16415" s="1748"/>
      <c r="AL16415" s="198"/>
      <c r="AM16415" s="198"/>
      <c r="AN16415" s="198"/>
      <c r="AO16415" s="198"/>
    </row>
    <row r="16416" spans="35:41" ht="19.5" thickBot="1" x14ac:dyDescent="0.35">
      <c r="AI16416" s="1746" t="s">
        <v>150</v>
      </c>
      <c r="AJ16416" s="1747"/>
      <c r="AK16416" s="1748"/>
      <c r="AL16416" s="198"/>
      <c r="AM16416" s="198"/>
      <c r="AN16416" s="198"/>
      <c r="AO16416" s="198"/>
    </row>
    <row r="16417" spans="35:41" ht="19.5" thickBot="1" x14ac:dyDescent="0.35">
      <c r="AI16417" s="1746" t="s">
        <v>150</v>
      </c>
      <c r="AJ16417" s="1747"/>
      <c r="AK16417" s="1748"/>
      <c r="AL16417" s="198"/>
      <c r="AM16417" s="198"/>
      <c r="AN16417" s="198"/>
      <c r="AO16417" s="198"/>
    </row>
    <row r="16418" spans="35:41" ht="19.5" thickBot="1" x14ac:dyDescent="0.35">
      <c r="AI16418" s="1746" t="s">
        <v>150</v>
      </c>
      <c r="AJ16418" s="1747"/>
      <c r="AK16418" s="1748"/>
      <c r="AL16418" s="198"/>
      <c r="AM16418" s="198"/>
      <c r="AN16418" s="198"/>
      <c r="AO16418" s="198"/>
    </row>
    <row r="16419" spans="35:41" ht="19.5" thickBot="1" x14ac:dyDescent="0.35">
      <c r="AI16419" s="1746" t="s">
        <v>150</v>
      </c>
      <c r="AJ16419" s="1747"/>
      <c r="AK16419" s="1748"/>
      <c r="AL16419" s="198"/>
      <c r="AM16419" s="198"/>
      <c r="AN16419" s="198"/>
      <c r="AO16419" s="198"/>
    </row>
    <row r="16420" spans="35:41" ht="19.5" thickBot="1" x14ac:dyDescent="0.35">
      <c r="AI16420" s="1746" t="s">
        <v>150</v>
      </c>
      <c r="AJ16420" s="1747"/>
      <c r="AK16420" s="1748"/>
      <c r="AL16420" s="198"/>
      <c r="AM16420" s="198"/>
      <c r="AN16420" s="198"/>
      <c r="AO16420" s="198"/>
    </row>
    <row r="16421" spans="35:41" ht="19.5" thickBot="1" x14ac:dyDescent="0.35">
      <c r="AI16421" s="1746" t="s">
        <v>150</v>
      </c>
      <c r="AJ16421" s="1747"/>
      <c r="AK16421" s="1748"/>
      <c r="AL16421" s="198"/>
      <c r="AM16421" s="198"/>
      <c r="AN16421" s="198"/>
      <c r="AO16421" s="198"/>
    </row>
    <row r="16422" spans="35:41" ht="19.5" thickBot="1" x14ac:dyDescent="0.35">
      <c r="AI16422" s="1746" t="s">
        <v>150</v>
      </c>
      <c r="AJ16422" s="1747"/>
      <c r="AK16422" s="1748"/>
      <c r="AL16422" s="198"/>
      <c r="AM16422" s="198"/>
      <c r="AN16422" s="198"/>
      <c r="AO16422" s="198"/>
    </row>
    <row r="16423" spans="35:41" ht="19.5" thickBot="1" x14ac:dyDescent="0.35">
      <c r="AI16423" s="1746" t="s">
        <v>150</v>
      </c>
      <c r="AJ16423" s="1747"/>
      <c r="AK16423" s="1748"/>
      <c r="AL16423" s="198"/>
      <c r="AM16423" s="198"/>
      <c r="AN16423" s="198"/>
      <c r="AO16423" s="198"/>
    </row>
    <row r="16424" spans="35:41" ht="19.5" thickBot="1" x14ac:dyDescent="0.35">
      <c r="AI16424" s="1746" t="s">
        <v>150</v>
      </c>
      <c r="AJ16424" s="1747"/>
      <c r="AK16424" s="1748"/>
      <c r="AL16424" s="198"/>
      <c r="AM16424" s="198"/>
      <c r="AN16424" s="198"/>
      <c r="AO16424" s="198"/>
    </row>
    <row r="16425" spans="35:41" ht="19.5" thickBot="1" x14ac:dyDescent="0.35">
      <c r="AI16425" s="1746" t="s">
        <v>150</v>
      </c>
      <c r="AJ16425" s="1747"/>
      <c r="AK16425" s="1748"/>
      <c r="AL16425" s="198"/>
      <c r="AM16425" s="198"/>
      <c r="AN16425" s="198"/>
      <c r="AO16425" s="198"/>
    </row>
    <row r="16426" spans="35:41" ht="19.5" thickBot="1" x14ac:dyDescent="0.35">
      <c r="AI16426" s="1746" t="s">
        <v>150</v>
      </c>
      <c r="AJ16426" s="1747"/>
      <c r="AK16426" s="1748"/>
      <c r="AL16426" s="198"/>
      <c r="AM16426" s="198"/>
      <c r="AN16426" s="198"/>
      <c r="AO16426" s="198"/>
    </row>
    <row r="16427" spans="35:41" ht="19.5" thickBot="1" x14ac:dyDescent="0.35">
      <c r="AI16427" s="1746" t="s">
        <v>150</v>
      </c>
      <c r="AJ16427" s="1747"/>
      <c r="AK16427" s="1748"/>
      <c r="AL16427" s="198"/>
      <c r="AM16427" s="198"/>
      <c r="AN16427" s="198"/>
      <c r="AO16427" s="198"/>
    </row>
    <row r="16428" spans="35:41" ht="19.5" thickBot="1" x14ac:dyDescent="0.35">
      <c r="AI16428" s="1746" t="s">
        <v>150</v>
      </c>
      <c r="AJ16428" s="1747"/>
      <c r="AK16428" s="1748"/>
      <c r="AL16428" s="198"/>
      <c r="AM16428" s="198"/>
      <c r="AN16428" s="198"/>
      <c r="AO16428" s="198"/>
    </row>
    <row r="16429" spans="35:41" ht="19.5" thickBot="1" x14ac:dyDescent="0.35">
      <c r="AI16429" s="1746" t="s">
        <v>150</v>
      </c>
      <c r="AJ16429" s="1747"/>
      <c r="AK16429" s="1748"/>
      <c r="AL16429" s="198"/>
      <c r="AM16429" s="198"/>
      <c r="AN16429" s="198"/>
      <c r="AO16429" s="198"/>
    </row>
    <row r="16430" spans="35:41" ht="19.5" thickBot="1" x14ac:dyDescent="0.35">
      <c r="AI16430" s="1746" t="s">
        <v>150</v>
      </c>
      <c r="AJ16430" s="1747"/>
      <c r="AK16430" s="1748"/>
      <c r="AL16430" s="198"/>
      <c r="AM16430" s="198"/>
      <c r="AN16430" s="198"/>
      <c r="AO16430" s="198"/>
    </row>
    <row r="16431" spans="35:41" ht="19.5" thickBot="1" x14ac:dyDescent="0.35">
      <c r="AI16431" s="1746" t="s">
        <v>150</v>
      </c>
      <c r="AJ16431" s="1747"/>
      <c r="AK16431" s="1748"/>
      <c r="AL16431" s="198"/>
      <c r="AM16431" s="198"/>
      <c r="AN16431" s="198"/>
      <c r="AO16431" s="198"/>
    </row>
    <row r="16432" spans="35:41" ht="19.5" thickBot="1" x14ac:dyDescent="0.35">
      <c r="AI16432" s="1746" t="s">
        <v>150</v>
      </c>
      <c r="AJ16432" s="1747"/>
      <c r="AK16432" s="1748"/>
      <c r="AL16432" s="198"/>
      <c r="AM16432" s="198"/>
      <c r="AN16432" s="198"/>
      <c r="AO16432" s="198"/>
    </row>
    <row r="16433" spans="35:41" ht="19.5" thickBot="1" x14ac:dyDescent="0.35">
      <c r="AI16433" s="1746" t="s">
        <v>150</v>
      </c>
      <c r="AJ16433" s="1747"/>
      <c r="AK16433" s="1748"/>
      <c r="AL16433" s="198"/>
      <c r="AM16433" s="198"/>
      <c r="AN16433" s="198"/>
      <c r="AO16433" s="198"/>
    </row>
    <row r="16434" spans="35:41" ht="19.5" thickBot="1" x14ac:dyDescent="0.35">
      <c r="AI16434" s="1746" t="s">
        <v>150</v>
      </c>
      <c r="AJ16434" s="1747"/>
      <c r="AK16434" s="1748"/>
      <c r="AL16434" s="198"/>
      <c r="AM16434" s="198"/>
      <c r="AN16434" s="198"/>
      <c r="AO16434" s="198"/>
    </row>
    <row r="16435" spans="35:41" ht="19.5" thickBot="1" x14ac:dyDescent="0.35">
      <c r="AI16435" s="1746" t="s">
        <v>150</v>
      </c>
      <c r="AJ16435" s="1747"/>
      <c r="AK16435" s="1748"/>
      <c r="AL16435" s="198"/>
      <c r="AM16435" s="198"/>
      <c r="AN16435" s="198"/>
      <c r="AO16435" s="198"/>
    </row>
    <row r="16436" spans="35:41" ht="19.5" thickBot="1" x14ac:dyDescent="0.35">
      <c r="AI16436" s="1746" t="s">
        <v>150</v>
      </c>
      <c r="AJ16436" s="1747"/>
      <c r="AK16436" s="1748"/>
      <c r="AL16436" s="198"/>
      <c r="AM16436" s="198"/>
      <c r="AN16436" s="198"/>
      <c r="AO16436" s="198"/>
    </row>
    <row r="16437" spans="35:41" ht="19.5" thickBot="1" x14ac:dyDescent="0.35">
      <c r="AI16437" s="1746" t="s">
        <v>150</v>
      </c>
      <c r="AJ16437" s="1747"/>
      <c r="AK16437" s="1748"/>
      <c r="AL16437" s="198"/>
      <c r="AM16437" s="198"/>
      <c r="AN16437" s="198"/>
      <c r="AO16437" s="198"/>
    </row>
    <row r="16438" spans="35:41" ht="19.5" thickBot="1" x14ac:dyDescent="0.35">
      <c r="AI16438" s="1746" t="s">
        <v>150</v>
      </c>
      <c r="AJ16438" s="1747"/>
      <c r="AK16438" s="1748"/>
      <c r="AL16438" s="198"/>
      <c r="AM16438" s="198"/>
      <c r="AN16438" s="198"/>
      <c r="AO16438" s="198"/>
    </row>
    <row r="16439" spans="35:41" ht="19.5" thickBot="1" x14ac:dyDescent="0.35">
      <c r="AI16439" s="1746" t="s">
        <v>150</v>
      </c>
      <c r="AJ16439" s="1747"/>
      <c r="AK16439" s="1748"/>
      <c r="AL16439" s="198"/>
      <c r="AM16439" s="198"/>
      <c r="AN16439" s="198"/>
      <c r="AO16439" s="198"/>
    </row>
    <row r="16440" spans="35:41" ht="19.5" thickBot="1" x14ac:dyDescent="0.35">
      <c r="AI16440" s="1746" t="s">
        <v>150</v>
      </c>
      <c r="AJ16440" s="1747"/>
      <c r="AK16440" s="1748"/>
      <c r="AL16440" s="198"/>
      <c r="AM16440" s="198"/>
      <c r="AN16440" s="198"/>
      <c r="AO16440" s="198"/>
    </row>
    <row r="16441" spans="35:41" ht="19.5" thickBot="1" x14ac:dyDescent="0.35">
      <c r="AI16441" s="1746" t="s">
        <v>150</v>
      </c>
      <c r="AJ16441" s="1747"/>
      <c r="AK16441" s="1748"/>
      <c r="AL16441" s="198"/>
      <c r="AM16441" s="198"/>
      <c r="AN16441" s="198"/>
      <c r="AO16441" s="198"/>
    </row>
    <row r="16442" spans="35:41" ht="19.5" thickBot="1" x14ac:dyDescent="0.35">
      <c r="AI16442" s="1746" t="s">
        <v>150</v>
      </c>
      <c r="AJ16442" s="1747"/>
      <c r="AK16442" s="1748"/>
      <c r="AL16442" s="198"/>
      <c r="AM16442" s="198"/>
      <c r="AN16442" s="198"/>
      <c r="AO16442" s="198"/>
    </row>
    <row r="16443" spans="35:41" ht="19.5" thickBot="1" x14ac:dyDescent="0.35">
      <c r="AI16443" s="1746" t="s">
        <v>150</v>
      </c>
      <c r="AJ16443" s="1747"/>
      <c r="AK16443" s="1748"/>
      <c r="AL16443" s="198"/>
      <c r="AM16443" s="198"/>
      <c r="AN16443" s="198"/>
      <c r="AO16443" s="198"/>
    </row>
    <row r="16444" spans="35:41" ht="19.5" thickBot="1" x14ac:dyDescent="0.35">
      <c r="AI16444" s="1746" t="s">
        <v>150</v>
      </c>
      <c r="AJ16444" s="1747"/>
      <c r="AK16444" s="1748"/>
      <c r="AL16444" s="198"/>
      <c r="AM16444" s="198"/>
      <c r="AN16444" s="198"/>
      <c r="AO16444" s="198"/>
    </row>
    <row r="16445" spans="35:41" ht="19.5" thickBot="1" x14ac:dyDescent="0.35">
      <c r="AI16445" s="1746" t="s">
        <v>150</v>
      </c>
      <c r="AJ16445" s="1747"/>
      <c r="AK16445" s="1748"/>
      <c r="AL16445" s="198"/>
      <c r="AM16445" s="198"/>
      <c r="AN16445" s="198"/>
      <c r="AO16445" s="198"/>
    </row>
    <row r="16446" spans="35:41" ht="19.5" thickBot="1" x14ac:dyDescent="0.35">
      <c r="AI16446" s="1746" t="s">
        <v>150</v>
      </c>
      <c r="AJ16446" s="1747"/>
      <c r="AK16446" s="1748"/>
      <c r="AL16446" s="198"/>
      <c r="AM16446" s="198"/>
      <c r="AN16446" s="198"/>
      <c r="AO16446" s="198"/>
    </row>
    <row r="16447" spans="35:41" ht="19.5" thickBot="1" x14ac:dyDescent="0.35">
      <c r="AI16447" s="1746" t="s">
        <v>150</v>
      </c>
      <c r="AJ16447" s="1747"/>
      <c r="AK16447" s="1748"/>
      <c r="AL16447" s="198"/>
      <c r="AM16447" s="198"/>
      <c r="AN16447" s="198"/>
      <c r="AO16447" s="198"/>
    </row>
    <row r="16448" spans="35:41" ht="19.5" thickBot="1" x14ac:dyDescent="0.35">
      <c r="AI16448" s="1746" t="s">
        <v>150</v>
      </c>
      <c r="AJ16448" s="1747"/>
      <c r="AK16448" s="1748"/>
      <c r="AL16448" s="198"/>
      <c r="AM16448" s="198"/>
      <c r="AN16448" s="198"/>
      <c r="AO16448" s="198"/>
    </row>
    <row r="16449" spans="35:41" ht="19.5" thickBot="1" x14ac:dyDescent="0.35">
      <c r="AI16449" s="1746" t="s">
        <v>150</v>
      </c>
      <c r="AJ16449" s="1747"/>
      <c r="AK16449" s="1748"/>
      <c r="AL16449" s="198"/>
      <c r="AM16449" s="198"/>
      <c r="AN16449" s="198"/>
      <c r="AO16449" s="198"/>
    </row>
    <row r="16450" spans="35:41" ht="19.5" thickBot="1" x14ac:dyDescent="0.35">
      <c r="AI16450" s="1746" t="s">
        <v>150</v>
      </c>
      <c r="AJ16450" s="1747"/>
      <c r="AK16450" s="1748"/>
      <c r="AL16450" s="198"/>
      <c r="AM16450" s="198"/>
      <c r="AN16450" s="198"/>
      <c r="AO16450" s="198"/>
    </row>
    <row r="16451" spans="35:41" ht="19.5" thickBot="1" x14ac:dyDescent="0.35">
      <c r="AI16451" s="1746" t="s">
        <v>150</v>
      </c>
      <c r="AJ16451" s="1747"/>
      <c r="AK16451" s="1748"/>
      <c r="AL16451" s="198"/>
      <c r="AM16451" s="198"/>
      <c r="AN16451" s="198"/>
      <c r="AO16451" s="198"/>
    </row>
    <row r="16452" spans="35:41" ht="19.5" thickBot="1" x14ac:dyDescent="0.35">
      <c r="AI16452" s="1746" t="s">
        <v>150</v>
      </c>
      <c r="AJ16452" s="1747"/>
      <c r="AK16452" s="1748"/>
      <c r="AL16452" s="198"/>
      <c r="AM16452" s="198"/>
      <c r="AN16452" s="198"/>
      <c r="AO16452" s="198"/>
    </row>
    <row r="16453" spans="35:41" ht="19.5" thickBot="1" x14ac:dyDescent="0.35">
      <c r="AI16453" s="1746" t="s">
        <v>150</v>
      </c>
      <c r="AJ16453" s="1747"/>
      <c r="AK16453" s="1748"/>
      <c r="AL16453" s="198"/>
      <c r="AM16453" s="198"/>
      <c r="AN16453" s="198"/>
      <c r="AO16453" s="198"/>
    </row>
    <row r="16454" spans="35:41" ht="19.5" thickBot="1" x14ac:dyDescent="0.35">
      <c r="AI16454" s="1746" t="s">
        <v>150</v>
      </c>
      <c r="AJ16454" s="1747"/>
      <c r="AK16454" s="1748"/>
      <c r="AL16454" s="198"/>
      <c r="AM16454" s="198"/>
      <c r="AN16454" s="198"/>
      <c r="AO16454" s="198"/>
    </row>
    <row r="16455" spans="35:41" ht="19.5" thickBot="1" x14ac:dyDescent="0.35">
      <c r="AI16455" s="1746" t="s">
        <v>150</v>
      </c>
      <c r="AJ16455" s="1747"/>
      <c r="AK16455" s="1748"/>
      <c r="AL16455" s="198"/>
      <c r="AM16455" s="198"/>
      <c r="AN16455" s="198"/>
      <c r="AO16455" s="198"/>
    </row>
    <row r="16456" spans="35:41" ht="19.5" thickBot="1" x14ac:dyDescent="0.35">
      <c r="AI16456" s="1746" t="s">
        <v>150</v>
      </c>
      <c r="AJ16456" s="1747"/>
      <c r="AK16456" s="1748"/>
      <c r="AL16456" s="198"/>
      <c r="AM16456" s="198"/>
      <c r="AN16456" s="198"/>
      <c r="AO16456" s="198"/>
    </row>
    <row r="16457" spans="35:41" ht="19.5" thickBot="1" x14ac:dyDescent="0.35">
      <c r="AI16457" s="1746" t="s">
        <v>150</v>
      </c>
      <c r="AJ16457" s="1747"/>
      <c r="AK16457" s="1748"/>
      <c r="AL16457" s="198"/>
      <c r="AM16457" s="198"/>
      <c r="AN16457" s="198"/>
      <c r="AO16457" s="198"/>
    </row>
    <row r="16458" spans="35:41" ht="19.5" thickBot="1" x14ac:dyDescent="0.35">
      <c r="AI16458" s="1746" t="s">
        <v>150</v>
      </c>
      <c r="AJ16458" s="1747"/>
      <c r="AK16458" s="1748"/>
      <c r="AL16458" s="198"/>
      <c r="AM16458" s="198"/>
      <c r="AN16458" s="198"/>
      <c r="AO16458" s="198"/>
    </row>
    <row r="16459" spans="35:41" ht="19.5" thickBot="1" x14ac:dyDescent="0.35">
      <c r="AI16459" s="1746" t="s">
        <v>150</v>
      </c>
      <c r="AJ16459" s="1747"/>
      <c r="AK16459" s="1748"/>
      <c r="AL16459" s="198"/>
      <c r="AM16459" s="198"/>
      <c r="AN16459" s="198"/>
      <c r="AO16459" s="198"/>
    </row>
    <row r="16460" spans="35:41" ht="19.5" thickBot="1" x14ac:dyDescent="0.35">
      <c r="AI16460" s="1746" t="s">
        <v>150</v>
      </c>
      <c r="AJ16460" s="1747"/>
      <c r="AK16460" s="1748"/>
      <c r="AL16460" s="198"/>
      <c r="AM16460" s="198"/>
      <c r="AN16460" s="198"/>
      <c r="AO16460" s="198"/>
    </row>
    <row r="16461" spans="35:41" ht="19.5" thickBot="1" x14ac:dyDescent="0.35">
      <c r="AI16461" s="1746" t="s">
        <v>150</v>
      </c>
      <c r="AJ16461" s="1747"/>
      <c r="AK16461" s="1748"/>
      <c r="AL16461" s="198"/>
      <c r="AM16461" s="198"/>
      <c r="AN16461" s="198"/>
      <c r="AO16461" s="198"/>
    </row>
    <row r="16462" spans="35:41" ht="19.5" thickBot="1" x14ac:dyDescent="0.35">
      <c r="AI16462" s="1746" t="s">
        <v>150</v>
      </c>
      <c r="AJ16462" s="1747"/>
      <c r="AK16462" s="1748"/>
      <c r="AL16462" s="198"/>
      <c r="AM16462" s="198"/>
      <c r="AN16462" s="198"/>
      <c r="AO16462" s="198"/>
    </row>
    <row r="16463" spans="35:41" ht="19.5" thickBot="1" x14ac:dyDescent="0.35">
      <c r="AI16463" s="1746" t="s">
        <v>150</v>
      </c>
      <c r="AJ16463" s="1747"/>
      <c r="AK16463" s="1748"/>
      <c r="AL16463" s="198"/>
      <c r="AM16463" s="198"/>
      <c r="AN16463" s="198"/>
      <c r="AO16463" s="198"/>
    </row>
    <row r="16464" spans="35:41" ht="19.5" thickBot="1" x14ac:dyDescent="0.35">
      <c r="AI16464" s="1746" t="s">
        <v>150</v>
      </c>
      <c r="AJ16464" s="1747"/>
      <c r="AK16464" s="1748"/>
      <c r="AL16464" s="198"/>
      <c r="AM16464" s="198"/>
      <c r="AN16464" s="198"/>
      <c r="AO16464" s="198"/>
    </row>
    <row r="16465" spans="35:41" ht="19.5" thickBot="1" x14ac:dyDescent="0.35">
      <c r="AI16465" s="1746" t="s">
        <v>150</v>
      </c>
      <c r="AJ16465" s="1747"/>
      <c r="AK16465" s="1748"/>
      <c r="AL16465" s="198"/>
      <c r="AM16465" s="198"/>
      <c r="AN16465" s="198"/>
      <c r="AO16465" s="198"/>
    </row>
    <row r="16466" spans="35:41" ht="19.5" thickBot="1" x14ac:dyDescent="0.35">
      <c r="AI16466" s="1746" t="s">
        <v>150</v>
      </c>
      <c r="AJ16466" s="1747"/>
      <c r="AK16466" s="1748"/>
      <c r="AL16466" s="198"/>
      <c r="AM16466" s="198"/>
      <c r="AN16466" s="198"/>
      <c r="AO16466" s="198"/>
    </row>
    <row r="16467" spans="35:41" ht="19.5" thickBot="1" x14ac:dyDescent="0.35">
      <c r="AI16467" s="1746" t="s">
        <v>150</v>
      </c>
      <c r="AJ16467" s="1747"/>
      <c r="AK16467" s="1748"/>
      <c r="AL16467" s="198"/>
      <c r="AM16467" s="198"/>
      <c r="AN16467" s="198"/>
      <c r="AO16467" s="198"/>
    </row>
    <row r="16468" spans="35:41" ht="19.5" thickBot="1" x14ac:dyDescent="0.35">
      <c r="AI16468" s="1746" t="s">
        <v>150</v>
      </c>
      <c r="AJ16468" s="1747"/>
      <c r="AK16468" s="1748"/>
      <c r="AL16468" s="198"/>
      <c r="AM16468" s="198"/>
      <c r="AN16468" s="198"/>
      <c r="AO16468" s="198"/>
    </row>
    <row r="16469" spans="35:41" ht="19.5" thickBot="1" x14ac:dyDescent="0.35">
      <c r="AI16469" s="1746" t="s">
        <v>150</v>
      </c>
      <c r="AJ16469" s="1747"/>
      <c r="AK16469" s="1748"/>
      <c r="AL16469" s="198"/>
      <c r="AM16469" s="198"/>
      <c r="AN16469" s="198"/>
      <c r="AO16469" s="198"/>
    </row>
    <row r="16470" spans="35:41" ht="19.5" thickBot="1" x14ac:dyDescent="0.35">
      <c r="AI16470" s="1746" t="s">
        <v>150</v>
      </c>
      <c r="AJ16470" s="1747"/>
      <c r="AK16470" s="1748"/>
      <c r="AL16470" s="198"/>
      <c r="AM16470" s="198"/>
      <c r="AN16470" s="198"/>
      <c r="AO16470" s="198"/>
    </row>
    <row r="16471" spans="35:41" ht="19.5" thickBot="1" x14ac:dyDescent="0.35">
      <c r="AI16471" s="1746" t="s">
        <v>150</v>
      </c>
      <c r="AJ16471" s="1747"/>
      <c r="AK16471" s="1748"/>
      <c r="AL16471" s="198"/>
      <c r="AM16471" s="198"/>
      <c r="AN16471" s="198"/>
      <c r="AO16471" s="198"/>
    </row>
    <row r="16472" spans="35:41" ht="19.5" thickBot="1" x14ac:dyDescent="0.35">
      <c r="AI16472" s="1746" t="s">
        <v>150</v>
      </c>
      <c r="AJ16472" s="1747"/>
      <c r="AK16472" s="1748"/>
      <c r="AL16472" s="198"/>
      <c r="AM16472" s="198"/>
      <c r="AN16472" s="198"/>
      <c r="AO16472" s="198"/>
    </row>
    <row r="16473" spans="35:41" ht="19.5" thickBot="1" x14ac:dyDescent="0.35">
      <c r="AI16473" s="1746" t="s">
        <v>150</v>
      </c>
      <c r="AJ16473" s="1747"/>
      <c r="AK16473" s="1748"/>
      <c r="AL16473" s="198"/>
      <c r="AM16473" s="198"/>
      <c r="AN16473" s="198"/>
      <c r="AO16473" s="198"/>
    </row>
    <row r="16474" spans="35:41" ht="19.5" thickBot="1" x14ac:dyDescent="0.35">
      <c r="AI16474" s="1746" t="s">
        <v>150</v>
      </c>
      <c r="AJ16474" s="1747"/>
      <c r="AK16474" s="1748"/>
      <c r="AL16474" s="198"/>
      <c r="AM16474" s="198"/>
      <c r="AN16474" s="198"/>
      <c r="AO16474" s="198"/>
    </row>
    <row r="16475" spans="35:41" ht="19.5" thickBot="1" x14ac:dyDescent="0.35">
      <c r="AI16475" s="1746" t="s">
        <v>150</v>
      </c>
      <c r="AJ16475" s="1747"/>
      <c r="AK16475" s="1748"/>
      <c r="AL16475" s="198"/>
      <c r="AM16475" s="198"/>
      <c r="AN16475" s="198"/>
      <c r="AO16475" s="198"/>
    </row>
    <row r="16476" spans="35:41" ht="19.5" thickBot="1" x14ac:dyDescent="0.35">
      <c r="AI16476" s="1746" t="s">
        <v>150</v>
      </c>
      <c r="AJ16476" s="1747"/>
      <c r="AK16476" s="1748"/>
      <c r="AL16476" s="198"/>
      <c r="AM16476" s="198"/>
      <c r="AN16476" s="198"/>
      <c r="AO16476" s="198"/>
    </row>
    <row r="16477" spans="35:41" ht="19.5" thickBot="1" x14ac:dyDescent="0.35">
      <c r="AI16477" s="1746" t="s">
        <v>150</v>
      </c>
      <c r="AJ16477" s="1747"/>
      <c r="AK16477" s="1748"/>
      <c r="AL16477" s="198"/>
      <c r="AM16477" s="198"/>
      <c r="AN16477" s="198"/>
      <c r="AO16477" s="198"/>
    </row>
    <row r="16478" spans="35:41" ht="19.5" thickBot="1" x14ac:dyDescent="0.35">
      <c r="AI16478" s="1746" t="s">
        <v>150</v>
      </c>
      <c r="AJ16478" s="1747"/>
      <c r="AK16478" s="1748"/>
      <c r="AL16478" s="198"/>
      <c r="AM16478" s="198"/>
      <c r="AN16478" s="198"/>
      <c r="AO16478" s="198"/>
    </row>
    <row r="16479" spans="35:41" ht="19.5" thickBot="1" x14ac:dyDescent="0.35">
      <c r="AI16479" s="1746" t="s">
        <v>150</v>
      </c>
      <c r="AJ16479" s="1747"/>
      <c r="AK16479" s="1748"/>
      <c r="AL16479" s="198"/>
      <c r="AM16479" s="198"/>
      <c r="AN16479" s="198"/>
      <c r="AO16479" s="198"/>
    </row>
    <row r="16480" spans="35:41" ht="19.5" thickBot="1" x14ac:dyDescent="0.35">
      <c r="AI16480" s="1746" t="s">
        <v>150</v>
      </c>
      <c r="AJ16480" s="1747"/>
      <c r="AK16480" s="1748"/>
      <c r="AL16480" s="198"/>
      <c r="AM16480" s="198"/>
      <c r="AN16480" s="198"/>
      <c r="AO16480" s="198"/>
    </row>
    <row r="16481" spans="35:41" ht="19.5" thickBot="1" x14ac:dyDescent="0.35">
      <c r="AI16481" s="1746" t="s">
        <v>150</v>
      </c>
      <c r="AJ16481" s="1747"/>
      <c r="AK16481" s="1748"/>
      <c r="AL16481" s="198"/>
      <c r="AM16481" s="198"/>
      <c r="AN16481" s="198"/>
      <c r="AO16481" s="198"/>
    </row>
    <row r="16482" spans="35:41" ht="19.5" thickBot="1" x14ac:dyDescent="0.35">
      <c r="AI16482" s="1746" t="s">
        <v>150</v>
      </c>
      <c r="AJ16482" s="1747"/>
      <c r="AK16482" s="1748"/>
      <c r="AL16482" s="198"/>
      <c r="AM16482" s="198"/>
      <c r="AN16482" s="198"/>
      <c r="AO16482" s="198"/>
    </row>
    <row r="16483" spans="35:41" ht="19.5" thickBot="1" x14ac:dyDescent="0.35">
      <c r="AI16483" s="1746" t="s">
        <v>150</v>
      </c>
      <c r="AJ16483" s="1747"/>
      <c r="AK16483" s="1748"/>
      <c r="AL16483" s="198"/>
      <c r="AM16483" s="198"/>
      <c r="AN16483" s="198"/>
      <c r="AO16483" s="198"/>
    </row>
    <row r="16484" spans="35:41" ht="19.5" thickBot="1" x14ac:dyDescent="0.35">
      <c r="AI16484" s="1746" t="s">
        <v>150</v>
      </c>
      <c r="AJ16484" s="1747"/>
      <c r="AK16484" s="1748"/>
      <c r="AL16484" s="198"/>
      <c r="AM16484" s="198"/>
      <c r="AN16484" s="198"/>
      <c r="AO16484" s="198"/>
    </row>
    <row r="16485" spans="35:41" ht="19.5" thickBot="1" x14ac:dyDescent="0.35">
      <c r="AI16485" s="1746" t="s">
        <v>150</v>
      </c>
      <c r="AJ16485" s="1747"/>
      <c r="AK16485" s="1748"/>
      <c r="AL16485" s="198"/>
      <c r="AM16485" s="198"/>
      <c r="AN16485" s="198"/>
      <c r="AO16485" s="198"/>
    </row>
    <row r="16486" spans="35:41" ht="19.5" thickBot="1" x14ac:dyDescent="0.35">
      <c r="AI16486" s="1746" t="s">
        <v>150</v>
      </c>
      <c r="AJ16486" s="1747"/>
      <c r="AK16486" s="1748"/>
      <c r="AL16486" s="198"/>
      <c r="AM16486" s="198"/>
      <c r="AN16486" s="198"/>
      <c r="AO16486" s="198"/>
    </row>
    <row r="16487" spans="35:41" ht="19.5" thickBot="1" x14ac:dyDescent="0.35">
      <c r="AI16487" s="1746" t="s">
        <v>150</v>
      </c>
      <c r="AJ16487" s="1747"/>
      <c r="AK16487" s="1748"/>
      <c r="AL16487" s="198"/>
      <c r="AM16487" s="198"/>
      <c r="AN16487" s="198"/>
      <c r="AO16487" s="198"/>
    </row>
    <row r="16488" spans="35:41" ht="19.5" thickBot="1" x14ac:dyDescent="0.35">
      <c r="AI16488" s="1746" t="s">
        <v>150</v>
      </c>
      <c r="AJ16488" s="1747"/>
      <c r="AK16488" s="1748"/>
      <c r="AL16488" s="198"/>
      <c r="AM16488" s="198"/>
      <c r="AN16488" s="198"/>
      <c r="AO16488" s="198"/>
    </row>
    <row r="16489" spans="35:41" ht="19.5" thickBot="1" x14ac:dyDescent="0.35">
      <c r="AI16489" s="1746" t="s">
        <v>150</v>
      </c>
      <c r="AJ16489" s="1747"/>
      <c r="AK16489" s="1748"/>
      <c r="AL16489" s="198"/>
      <c r="AM16489" s="198"/>
      <c r="AN16489" s="198"/>
      <c r="AO16489" s="198"/>
    </row>
    <row r="16490" spans="35:41" ht="19.5" thickBot="1" x14ac:dyDescent="0.35">
      <c r="AI16490" s="1746" t="s">
        <v>150</v>
      </c>
      <c r="AJ16490" s="1747"/>
      <c r="AK16490" s="1748"/>
      <c r="AL16490" s="198"/>
      <c r="AM16490" s="198"/>
      <c r="AN16490" s="198"/>
      <c r="AO16490" s="198"/>
    </row>
    <row r="16491" spans="35:41" ht="19.5" thickBot="1" x14ac:dyDescent="0.35">
      <c r="AI16491" s="1746" t="s">
        <v>150</v>
      </c>
      <c r="AJ16491" s="1747"/>
      <c r="AK16491" s="1748"/>
      <c r="AL16491" s="198"/>
      <c r="AM16491" s="198"/>
      <c r="AN16491" s="198"/>
      <c r="AO16491" s="198"/>
    </row>
    <row r="16492" spans="35:41" ht="19.5" thickBot="1" x14ac:dyDescent="0.35">
      <c r="AI16492" s="1746" t="s">
        <v>150</v>
      </c>
      <c r="AJ16492" s="1747"/>
      <c r="AK16492" s="1748"/>
      <c r="AL16492" s="198"/>
      <c r="AM16492" s="198"/>
      <c r="AN16492" s="198"/>
      <c r="AO16492" s="198"/>
    </row>
    <row r="16493" spans="35:41" ht="19.5" thickBot="1" x14ac:dyDescent="0.35">
      <c r="AI16493" s="1746" t="s">
        <v>150</v>
      </c>
      <c r="AJ16493" s="1747"/>
      <c r="AK16493" s="1748"/>
      <c r="AL16493" s="198"/>
      <c r="AM16493" s="198"/>
      <c r="AN16493" s="198"/>
      <c r="AO16493" s="198"/>
    </row>
    <row r="16494" spans="35:41" ht="19.5" thickBot="1" x14ac:dyDescent="0.35">
      <c r="AI16494" s="1746" t="s">
        <v>150</v>
      </c>
      <c r="AJ16494" s="1747"/>
      <c r="AK16494" s="1748"/>
      <c r="AL16494" s="198"/>
      <c r="AM16494" s="198"/>
      <c r="AN16494" s="198"/>
      <c r="AO16494" s="198"/>
    </row>
    <row r="16495" spans="35:41" ht="19.5" thickBot="1" x14ac:dyDescent="0.35">
      <c r="AI16495" s="1746" t="s">
        <v>150</v>
      </c>
      <c r="AJ16495" s="1747"/>
      <c r="AK16495" s="1748"/>
      <c r="AL16495" s="198"/>
      <c r="AM16495" s="198"/>
      <c r="AN16495" s="198"/>
      <c r="AO16495" s="198"/>
    </row>
    <row r="16496" spans="35:41" ht="19.5" thickBot="1" x14ac:dyDescent="0.35">
      <c r="AI16496" s="1746" t="s">
        <v>150</v>
      </c>
      <c r="AJ16496" s="1747"/>
      <c r="AK16496" s="1748"/>
      <c r="AL16496" s="198"/>
      <c r="AM16496" s="198"/>
      <c r="AN16496" s="198"/>
      <c r="AO16496" s="198"/>
    </row>
    <row r="16497" spans="35:41" ht="19.5" thickBot="1" x14ac:dyDescent="0.35">
      <c r="AI16497" s="1746" t="s">
        <v>150</v>
      </c>
      <c r="AJ16497" s="1747"/>
      <c r="AK16497" s="1748"/>
      <c r="AL16497" s="198"/>
      <c r="AM16497" s="198"/>
      <c r="AN16497" s="198"/>
      <c r="AO16497" s="198"/>
    </row>
    <row r="16498" spans="35:41" ht="19.5" thickBot="1" x14ac:dyDescent="0.35">
      <c r="AI16498" s="1746" t="s">
        <v>150</v>
      </c>
      <c r="AJ16498" s="1747"/>
      <c r="AK16498" s="1748"/>
      <c r="AL16498" s="198"/>
      <c r="AM16498" s="198"/>
      <c r="AN16498" s="198"/>
      <c r="AO16498" s="198"/>
    </row>
    <row r="16499" spans="35:41" ht="19.5" thickBot="1" x14ac:dyDescent="0.35">
      <c r="AI16499" s="1746" t="s">
        <v>150</v>
      </c>
      <c r="AJ16499" s="1747"/>
      <c r="AK16499" s="1748"/>
      <c r="AL16499" s="198"/>
      <c r="AM16499" s="198"/>
      <c r="AN16499" s="198"/>
      <c r="AO16499" s="198"/>
    </row>
    <row r="16500" spans="35:41" ht="19.5" thickBot="1" x14ac:dyDescent="0.35">
      <c r="AI16500" s="1746" t="s">
        <v>150</v>
      </c>
      <c r="AJ16500" s="1747"/>
      <c r="AK16500" s="1748"/>
      <c r="AL16500" s="198"/>
      <c r="AM16500" s="198"/>
      <c r="AN16500" s="198"/>
      <c r="AO16500" s="198"/>
    </row>
    <row r="16501" spans="35:41" ht="19.5" thickBot="1" x14ac:dyDescent="0.35">
      <c r="AI16501" s="1746" t="s">
        <v>150</v>
      </c>
      <c r="AJ16501" s="1747"/>
      <c r="AK16501" s="1748"/>
      <c r="AL16501" s="198"/>
      <c r="AM16501" s="198"/>
      <c r="AN16501" s="198"/>
      <c r="AO16501" s="198"/>
    </row>
    <row r="16502" spans="35:41" ht="19.5" thickBot="1" x14ac:dyDescent="0.35">
      <c r="AI16502" s="1746" t="s">
        <v>150</v>
      </c>
      <c r="AJ16502" s="1747"/>
      <c r="AK16502" s="1748"/>
      <c r="AL16502" s="198"/>
      <c r="AM16502" s="198"/>
      <c r="AN16502" s="198"/>
      <c r="AO16502" s="198"/>
    </row>
    <row r="16503" spans="35:41" ht="19.5" thickBot="1" x14ac:dyDescent="0.35">
      <c r="AI16503" s="1746" t="s">
        <v>150</v>
      </c>
      <c r="AJ16503" s="1747"/>
      <c r="AK16503" s="1748"/>
      <c r="AL16503" s="198"/>
      <c r="AM16503" s="198"/>
      <c r="AN16503" s="198"/>
      <c r="AO16503" s="198"/>
    </row>
    <row r="16504" spans="35:41" ht="19.5" thickBot="1" x14ac:dyDescent="0.35">
      <c r="AI16504" s="1746" t="s">
        <v>150</v>
      </c>
      <c r="AJ16504" s="1747"/>
      <c r="AK16504" s="1748"/>
      <c r="AL16504" s="198"/>
      <c r="AM16504" s="198"/>
      <c r="AN16504" s="198"/>
      <c r="AO16504" s="198"/>
    </row>
    <row r="16505" spans="35:41" ht="19.5" thickBot="1" x14ac:dyDescent="0.35">
      <c r="AI16505" s="1746" t="s">
        <v>150</v>
      </c>
      <c r="AJ16505" s="1747"/>
      <c r="AK16505" s="1748"/>
      <c r="AL16505" s="198"/>
      <c r="AM16505" s="198"/>
      <c r="AN16505" s="198"/>
      <c r="AO16505" s="198"/>
    </row>
    <row r="16506" spans="35:41" ht="19.5" thickBot="1" x14ac:dyDescent="0.35">
      <c r="AI16506" s="1746" t="s">
        <v>150</v>
      </c>
      <c r="AJ16506" s="1747"/>
      <c r="AK16506" s="1748"/>
      <c r="AL16506" s="198"/>
      <c r="AM16506" s="198"/>
      <c r="AN16506" s="198"/>
      <c r="AO16506" s="198"/>
    </row>
    <row r="16507" spans="35:41" ht="19.5" thickBot="1" x14ac:dyDescent="0.35">
      <c r="AI16507" s="1746" t="s">
        <v>150</v>
      </c>
      <c r="AJ16507" s="1747"/>
      <c r="AK16507" s="1748"/>
      <c r="AL16507" s="198"/>
      <c r="AM16507" s="198"/>
      <c r="AN16507" s="198"/>
      <c r="AO16507" s="198"/>
    </row>
    <row r="16508" spans="35:41" ht="19.5" thickBot="1" x14ac:dyDescent="0.35">
      <c r="AI16508" s="1746" t="s">
        <v>150</v>
      </c>
      <c r="AJ16508" s="1747"/>
      <c r="AK16508" s="1748"/>
      <c r="AL16508" s="198"/>
      <c r="AM16508" s="198"/>
      <c r="AN16508" s="198"/>
      <c r="AO16508" s="198"/>
    </row>
    <row r="16509" spans="35:41" ht="19.5" thickBot="1" x14ac:dyDescent="0.35">
      <c r="AI16509" s="1746" t="s">
        <v>150</v>
      </c>
      <c r="AJ16509" s="1747"/>
      <c r="AK16509" s="1748"/>
      <c r="AL16509" s="198"/>
      <c r="AM16509" s="198"/>
      <c r="AN16509" s="198"/>
      <c r="AO16509" s="198"/>
    </row>
    <row r="16510" spans="35:41" ht="19.5" thickBot="1" x14ac:dyDescent="0.35">
      <c r="AI16510" s="1746" t="s">
        <v>150</v>
      </c>
      <c r="AJ16510" s="1747"/>
      <c r="AK16510" s="1748"/>
      <c r="AL16510" s="198"/>
      <c r="AM16510" s="198"/>
      <c r="AN16510" s="198"/>
      <c r="AO16510" s="198"/>
    </row>
    <row r="16511" spans="35:41" ht="19.5" thickBot="1" x14ac:dyDescent="0.35">
      <c r="AI16511" s="1746" t="s">
        <v>150</v>
      </c>
      <c r="AJ16511" s="1747"/>
      <c r="AK16511" s="1748"/>
      <c r="AL16511" s="198"/>
      <c r="AM16511" s="198"/>
      <c r="AN16511" s="198"/>
      <c r="AO16511" s="198"/>
    </row>
    <row r="16512" spans="35:41" ht="19.5" thickBot="1" x14ac:dyDescent="0.35">
      <c r="AI16512" s="1746" t="s">
        <v>150</v>
      </c>
      <c r="AJ16512" s="1747"/>
      <c r="AK16512" s="1748"/>
      <c r="AL16512" s="198"/>
      <c r="AM16512" s="198"/>
      <c r="AN16512" s="198"/>
      <c r="AO16512" s="198"/>
    </row>
    <row r="16513" spans="35:41" ht="19.5" thickBot="1" x14ac:dyDescent="0.35">
      <c r="AI16513" s="1746" t="s">
        <v>150</v>
      </c>
      <c r="AJ16513" s="1747"/>
      <c r="AK16513" s="1748"/>
      <c r="AL16513" s="198"/>
      <c r="AM16513" s="198"/>
      <c r="AN16513" s="198"/>
      <c r="AO16513" s="198"/>
    </row>
    <row r="16514" spans="35:41" ht="19.5" thickBot="1" x14ac:dyDescent="0.35">
      <c r="AI16514" s="1746" t="s">
        <v>150</v>
      </c>
      <c r="AJ16514" s="1747"/>
      <c r="AK16514" s="1748"/>
      <c r="AL16514" s="198"/>
      <c r="AM16514" s="198"/>
      <c r="AN16514" s="198"/>
      <c r="AO16514" s="198"/>
    </row>
    <row r="16515" spans="35:41" ht="19.5" thickBot="1" x14ac:dyDescent="0.35">
      <c r="AI16515" s="1746" t="s">
        <v>150</v>
      </c>
      <c r="AJ16515" s="1747"/>
      <c r="AK16515" s="1748"/>
      <c r="AL16515" s="198"/>
      <c r="AM16515" s="198"/>
      <c r="AN16515" s="198"/>
      <c r="AO16515" s="198"/>
    </row>
    <row r="16516" spans="35:41" ht="19.5" thickBot="1" x14ac:dyDescent="0.35">
      <c r="AI16516" s="1746" t="s">
        <v>150</v>
      </c>
      <c r="AJ16516" s="1747"/>
      <c r="AK16516" s="1748"/>
      <c r="AL16516" s="198"/>
      <c r="AM16516" s="198"/>
      <c r="AN16516" s="198"/>
      <c r="AO16516" s="198"/>
    </row>
    <row r="16517" spans="35:41" ht="19.5" thickBot="1" x14ac:dyDescent="0.35">
      <c r="AI16517" s="1746" t="s">
        <v>150</v>
      </c>
      <c r="AJ16517" s="1747"/>
      <c r="AK16517" s="1748"/>
      <c r="AL16517" s="198"/>
      <c r="AM16517" s="198"/>
      <c r="AN16517" s="198"/>
      <c r="AO16517" s="198"/>
    </row>
    <row r="16518" spans="35:41" ht="19.5" thickBot="1" x14ac:dyDescent="0.35">
      <c r="AI16518" s="1746" t="s">
        <v>150</v>
      </c>
      <c r="AJ16518" s="1747"/>
      <c r="AK16518" s="1748"/>
      <c r="AL16518" s="198"/>
      <c r="AM16518" s="198"/>
      <c r="AN16518" s="198"/>
      <c r="AO16518" s="198"/>
    </row>
    <row r="16519" spans="35:41" ht="19.5" thickBot="1" x14ac:dyDescent="0.35">
      <c r="AI16519" s="1746" t="s">
        <v>150</v>
      </c>
      <c r="AJ16519" s="1747"/>
      <c r="AK16519" s="1748"/>
      <c r="AL16519" s="198"/>
      <c r="AM16519" s="198"/>
      <c r="AN16519" s="198"/>
      <c r="AO16519" s="198"/>
    </row>
    <row r="16520" spans="35:41" ht="19.5" thickBot="1" x14ac:dyDescent="0.35">
      <c r="AI16520" s="1746" t="s">
        <v>150</v>
      </c>
      <c r="AJ16520" s="1747"/>
      <c r="AK16520" s="1748"/>
      <c r="AL16520" s="198"/>
      <c r="AM16520" s="198"/>
      <c r="AN16520" s="198"/>
      <c r="AO16520" s="198"/>
    </row>
    <row r="16521" spans="35:41" ht="19.5" thickBot="1" x14ac:dyDescent="0.35">
      <c r="AI16521" s="1746" t="s">
        <v>150</v>
      </c>
      <c r="AJ16521" s="1747"/>
      <c r="AK16521" s="1748"/>
      <c r="AL16521" s="198"/>
      <c r="AM16521" s="198"/>
      <c r="AN16521" s="198"/>
      <c r="AO16521" s="198"/>
    </row>
    <row r="16522" spans="35:41" ht="19.5" thickBot="1" x14ac:dyDescent="0.35">
      <c r="AI16522" s="1746" t="s">
        <v>150</v>
      </c>
      <c r="AJ16522" s="1747"/>
      <c r="AK16522" s="1748"/>
      <c r="AL16522" s="198"/>
      <c r="AM16522" s="198"/>
      <c r="AN16522" s="198"/>
      <c r="AO16522" s="198"/>
    </row>
    <row r="16523" spans="35:41" ht="19.5" thickBot="1" x14ac:dyDescent="0.35">
      <c r="AI16523" s="1746" t="s">
        <v>150</v>
      </c>
      <c r="AJ16523" s="1747"/>
      <c r="AK16523" s="1748"/>
      <c r="AL16523" s="198"/>
      <c r="AM16523" s="198"/>
      <c r="AN16523" s="198"/>
      <c r="AO16523" s="198"/>
    </row>
    <row r="16524" spans="35:41" ht="19.5" thickBot="1" x14ac:dyDescent="0.35">
      <c r="AI16524" s="1746" t="s">
        <v>150</v>
      </c>
      <c r="AJ16524" s="1747"/>
      <c r="AK16524" s="1748"/>
      <c r="AL16524" s="198"/>
      <c r="AM16524" s="198"/>
      <c r="AN16524" s="198"/>
      <c r="AO16524" s="198"/>
    </row>
    <row r="16525" spans="35:41" ht="19.5" thickBot="1" x14ac:dyDescent="0.35">
      <c r="AI16525" s="1746" t="s">
        <v>150</v>
      </c>
      <c r="AJ16525" s="1747"/>
      <c r="AK16525" s="1748"/>
      <c r="AL16525" s="198"/>
      <c r="AM16525" s="198"/>
      <c r="AN16525" s="198"/>
      <c r="AO16525" s="198"/>
    </row>
    <row r="16526" spans="35:41" ht="19.5" thickBot="1" x14ac:dyDescent="0.35">
      <c r="AI16526" s="1746" t="s">
        <v>150</v>
      </c>
      <c r="AJ16526" s="1747"/>
      <c r="AK16526" s="1748"/>
      <c r="AL16526" s="198"/>
      <c r="AM16526" s="198"/>
      <c r="AN16526" s="198"/>
      <c r="AO16526" s="198"/>
    </row>
    <row r="16527" spans="35:41" ht="19.5" thickBot="1" x14ac:dyDescent="0.35">
      <c r="AI16527" s="1746" t="s">
        <v>150</v>
      </c>
      <c r="AJ16527" s="1747"/>
      <c r="AK16527" s="1748"/>
      <c r="AL16527" s="198"/>
      <c r="AM16527" s="198"/>
      <c r="AN16527" s="198"/>
      <c r="AO16527" s="198"/>
    </row>
    <row r="16528" spans="35:41" ht="19.5" thickBot="1" x14ac:dyDescent="0.35">
      <c r="AI16528" s="1746" t="s">
        <v>150</v>
      </c>
      <c r="AJ16528" s="1747"/>
      <c r="AK16528" s="1748"/>
      <c r="AL16528" s="198"/>
      <c r="AM16528" s="198"/>
      <c r="AN16528" s="198"/>
      <c r="AO16528" s="198"/>
    </row>
    <row r="16529" spans="35:41" ht="19.5" thickBot="1" x14ac:dyDescent="0.35">
      <c r="AI16529" s="1746" t="s">
        <v>150</v>
      </c>
      <c r="AJ16529" s="1747"/>
      <c r="AK16529" s="1748"/>
      <c r="AL16529" s="198"/>
      <c r="AM16529" s="198"/>
      <c r="AN16529" s="198"/>
      <c r="AO16529" s="198"/>
    </row>
    <row r="16530" spans="35:41" ht="19.5" thickBot="1" x14ac:dyDescent="0.35">
      <c r="AI16530" s="1746" t="s">
        <v>150</v>
      </c>
      <c r="AJ16530" s="1747"/>
      <c r="AK16530" s="1748"/>
      <c r="AL16530" s="198"/>
      <c r="AM16530" s="198"/>
      <c r="AN16530" s="198"/>
      <c r="AO16530" s="198"/>
    </row>
    <row r="16531" spans="35:41" ht="19.5" thickBot="1" x14ac:dyDescent="0.35">
      <c r="AI16531" s="1746" t="s">
        <v>150</v>
      </c>
      <c r="AJ16531" s="1747"/>
      <c r="AK16531" s="1748"/>
      <c r="AL16531" s="198"/>
      <c r="AM16531" s="198"/>
      <c r="AN16531" s="198"/>
      <c r="AO16531" s="198"/>
    </row>
    <row r="16532" spans="35:41" ht="19.5" thickBot="1" x14ac:dyDescent="0.35">
      <c r="AI16532" s="1746" t="s">
        <v>150</v>
      </c>
      <c r="AJ16532" s="1747"/>
      <c r="AK16532" s="1748"/>
      <c r="AL16532" s="198"/>
      <c r="AM16532" s="198"/>
      <c r="AN16532" s="198"/>
      <c r="AO16532" s="198"/>
    </row>
    <row r="16533" spans="35:41" ht="19.5" thickBot="1" x14ac:dyDescent="0.35">
      <c r="AI16533" s="1746" t="s">
        <v>150</v>
      </c>
      <c r="AJ16533" s="1747"/>
      <c r="AK16533" s="1748"/>
      <c r="AL16533" s="198"/>
      <c r="AM16533" s="198"/>
      <c r="AN16533" s="198"/>
      <c r="AO16533" s="198"/>
    </row>
    <row r="16534" spans="35:41" ht="19.5" thickBot="1" x14ac:dyDescent="0.35">
      <c r="AI16534" s="1746" t="s">
        <v>150</v>
      </c>
      <c r="AJ16534" s="1747"/>
      <c r="AK16534" s="1748"/>
      <c r="AL16534" s="198"/>
      <c r="AM16534" s="198"/>
      <c r="AN16534" s="198"/>
      <c r="AO16534" s="198"/>
    </row>
    <row r="16535" spans="35:41" ht="19.5" thickBot="1" x14ac:dyDescent="0.35">
      <c r="AI16535" s="1746" t="s">
        <v>150</v>
      </c>
      <c r="AJ16535" s="1747"/>
      <c r="AK16535" s="1748"/>
      <c r="AL16535" s="198"/>
      <c r="AM16535" s="198"/>
      <c r="AN16535" s="198"/>
      <c r="AO16535" s="198"/>
    </row>
    <row r="16536" spans="35:41" ht="19.5" thickBot="1" x14ac:dyDescent="0.35">
      <c r="AI16536" s="1746" t="s">
        <v>150</v>
      </c>
      <c r="AJ16536" s="1747"/>
      <c r="AK16536" s="1748"/>
      <c r="AL16536" s="198"/>
      <c r="AM16536" s="198"/>
      <c r="AN16536" s="198"/>
      <c r="AO16536" s="198"/>
    </row>
    <row r="16537" spans="35:41" ht="19.5" thickBot="1" x14ac:dyDescent="0.35">
      <c r="AI16537" s="1746" t="s">
        <v>150</v>
      </c>
      <c r="AJ16537" s="1747"/>
      <c r="AK16537" s="1748"/>
      <c r="AL16537" s="198"/>
      <c r="AM16537" s="198"/>
      <c r="AN16537" s="198"/>
      <c r="AO16537" s="198"/>
    </row>
    <row r="16538" spans="35:41" ht="19.5" thickBot="1" x14ac:dyDescent="0.35">
      <c r="AI16538" s="1746" t="s">
        <v>150</v>
      </c>
      <c r="AJ16538" s="1747"/>
      <c r="AK16538" s="1748"/>
      <c r="AL16538" s="198"/>
      <c r="AM16538" s="198"/>
      <c r="AN16538" s="198"/>
      <c r="AO16538" s="198"/>
    </row>
    <row r="16539" spans="35:41" ht="19.5" thickBot="1" x14ac:dyDescent="0.35">
      <c r="AI16539" s="1746" t="s">
        <v>150</v>
      </c>
      <c r="AJ16539" s="1747"/>
      <c r="AK16539" s="1748"/>
      <c r="AL16539" s="198"/>
      <c r="AM16539" s="198"/>
      <c r="AN16539" s="198"/>
      <c r="AO16539" s="198"/>
    </row>
    <row r="16540" spans="35:41" ht="19.5" thickBot="1" x14ac:dyDescent="0.35">
      <c r="AI16540" s="1746" t="s">
        <v>150</v>
      </c>
      <c r="AJ16540" s="1747"/>
      <c r="AK16540" s="1748"/>
      <c r="AL16540" s="198"/>
      <c r="AM16540" s="198"/>
      <c r="AN16540" s="198"/>
      <c r="AO16540" s="198"/>
    </row>
    <row r="16541" spans="35:41" ht="19.5" thickBot="1" x14ac:dyDescent="0.35">
      <c r="AI16541" s="1746" t="s">
        <v>150</v>
      </c>
      <c r="AJ16541" s="1747"/>
      <c r="AK16541" s="1748"/>
      <c r="AL16541" s="198"/>
      <c r="AM16541" s="198"/>
      <c r="AN16541" s="198"/>
      <c r="AO16541" s="198"/>
    </row>
    <row r="16542" spans="35:41" ht="19.5" thickBot="1" x14ac:dyDescent="0.35">
      <c r="AI16542" s="1746" t="s">
        <v>150</v>
      </c>
      <c r="AJ16542" s="1747"/>
      <c r="AK16542" s="1748"/>
      <c r="AL16542" s="198"/>
      <c r="AM16542" s="198"/>
      <c r="AN16542" s="198"/>
      <c r="AO16542" s="198"/>
    </row>
    <row r="16543" spans="35:41" ht="19.5" thickBot="1" x14ac:dyDescent="0.35">
      <c r="AI16543" s="1746" t="s">
        <v>150</v>
      </c>
      <c r="AJ16543" s="1747"/>
      <c r="AK16543" s="1748"/>
      <c r="AL16543" s="198"/>
      <c r="AM16543" s="198"/>
      <c r="AN16543" s="198"/>
      <c r="AO16543" s="198"/>
    </row>
    <row r="16544" spans="35:41" ht="19.5" thickBot="1" x14ac:dyDescent="0.35">
      <c r="AI16544" s="1746" t="s">
        <v>150</v>
      </c>
      <c r="AJ16544" s="1747"/>
      <c r="AK16544" s="1748"/>
      <c r="AL16544" s="198"/>
      <c r="AM16544" s="198"/>
      <c r="AN16544" s="198"/>
      <c r="AO16544" s="198"/>
    </row>
    <row r="16545" spans="35:41" ht="19.5" thickBot="1" x14ac:dyDescent="0.35">
      <c r="AI16545" s="1746" t="s">
        <v>150</v>
      </c>
      <c r="AJ16545" s="1747"/>
      <c r="AK16545" s="1748"/>
      <c r="AL16545" s="198"/>
      <c r="AM16545" s="198"/>
      <c r="AN16545" s="198"/>
      <c r="AO16545" s="198"/>
    </row>
    <row r="16546" spans="35:41" ht="19.5" thickBot="1" x14ac:dyDescent="0.35">
      <c r="AI16546" s="1746" t="s">
        <v>150</v>
      </c>
      <c r="AJ16546" s="1747"/>
      <c r="AK16546" s="1748"/>
      <c r="AL16546" s="198"/>
      <c r="AM16546" s="198"/>
      <c r="AN16546" s="198"/>
      <c r="AO16546" s="198"/>
    </row>
    <row r="16547" spans="35:41" ht="19.5" thickBot="1" x14ac:dyDescent="0.35">
      <c r="AI16547" s="1746" t="s">
        <v>150</v>
      </c>
      <c r="AJ16547" s="1747"/>
      <c r="AK16547" s="1748"/>
      <c r="AL16547" s="198"/>
      <c r="AM16547" s="198"/>
      <c r="AN16547" s="198"/>
      <c r="AO16547" s="198"/>
    </row>
    <row r="16548" spans="35:41" ht="19.5" thickBot="1" x14ac:dyDescent="0.35">
      <c r="AI16548" s="1746" t="s">
        <v>150</v>
      </c>
      <c r="AJ16548" s="1747"/>
      <c r="AK16548" s="1748"/>
      <c r="AL16548" s="198"/>
      <c r="AM16548" s="198"/>
      <c r="AN16548" s="198"/>
      <c r="AO16548" s="198"/>
    </row>
    <row r="16549" spans="35:41" ht="19.5" thickBot="1" x14ac:dyDescent="0.35">
      <c r="AI16549" s="1746" t="s">
        <v>150</v>
      </c>
      <c r="AJ16549" s="1747"/>
      <c r="AK16549" s="1748"/>
      <c r="AL16549" s="198"/>
      <c r="AM16549" s="198"/>
      <c r="AN16549" s="198"/>
      <c r="AO16549" s="198"/>
    </row>
    <row r="16550" spans="35:41" ht="19.5" thickBot="1" x14ac:dyDescent="0.35">
      <c r="AI16550" s="1746" t="s">
        <v>150</v>
      </c>
      <c r="AJ16550" s="1747"/>
      <c r="AK16550" s="1748"/>
      <c r="AL16550" s="198"/>
      <c r="AM16550" s="198"/>
      <c r="AN16550" s="198"/>
      <c r="AO16550" s="198"/>
    </row>
    <row r="16551" spans="35:41" ht="19.5" thickBot="1" x14ac:dyDescent="0.35">
      <c r="AI16551" s="1746" t="s">
        <v>150</v>
      </c>
      <c r="AJ16551" s="1747"/>
      <c r="AK16551" s="1748"/>
      <c r="AL16551" s="198"/>
      <c r="AM16551" s="198"/>
      <c r="AN16551" s="198"/>
      <c r="AO16551" s="198"/>
    </row>
    <row r="16552" spans="35:41" ht="19.5" thickBot="1" x14ac:dyDescent="0.35">
      <c r="AI16552" s="1746" t="s">
        <v>150</v>
      </c>
      <c r="AJ16552" s="1747"/>
      <c r="AK16552" s="1748"/>
      <c r="AL16552" s="198"/>
      <c r="AM16552" s="198"/>
      <c r="AN16552" s="198"/>
      <c r="AO16552" s="198"/>
    </row>
    <row r="16553" spans="35:41" ht="19.5" thickBot="1" x14ac:dyDescent="0.35">
      <c r="AI16553" s="1746" t="s">
        <v>150</v>
      </c>
      <c r="AJ16553" s="1747"/>
      <c r="AK16553" s="1748"/>
      <c r="AL16553" s="198"/>
      <c r="AM16553" s="198"/>
      <c r="AN16553" s="198"/>
      <c r="AO16553" s="198"/>
    </row>
    <row r="16554" spans="35:41" ht="19.5" thickBot="1" x14ac:dyDescent="0.35">
      <c r="AI16554" s="1746" t="s">
        <v>150</v>
      </c>
      <c r="AJ16554" s="1747"/>
      <c r="AK16554" s="1748"/>
      <c r="AL16554" s="198"/>
      <c r="AM16554" s="198"/>
      <c r="AN16554" s="198"/>
      <c r="AO16554" s="198"/>
    </row>
    <row r="16555" spans="35:41" ht="19.5" thickBot="1" x14ac:dyDescent="0.35">
      <c r="AI16555" s="1746" t="s">
        <v>150</v>
      </c>
      <c r="AJ16555" s="1747"/>
      <c r="AK16555" s="1748"/>
      <c r="AL16555" s="198"/>
      <c r="AM16555" s="198"/>
      <c r="AN16555" s="198"/>
      <c r="AO16555" s="198"/>
    </row>
    <row r="16556" spans="35:41" ht="19.5" thickBot="1" x14ac:dyDescent="0.35">
      <c r="AI16556" s="1746" t="s">
        <v>150</v>
      </c>
      <c r="AJ16556" s="1747"/>
      <c r="AK16556" s="1748"/>
      <c r="AL16556" s="198"/>
      <c r="AM16556" s="198"/>
      <c r="AN16556" s="198"/>
      <c r="AO16556" s="198"/>
    </row>
    <row r="16557" spans="35:41" ht="19.5" thickBot="1" x14ac:dyDescent="0.35">
      <c r="AI16557" s="1746" t="s">
        <v>150</v>
      </c>
      <c r="AJ16557" s="1747"/>
      <c r="AK16557" s="1748"/>
      <c r="AL16557" s="198"/>
      <c r="AM16557" s="198"/>
      <c r="AN16557" s="198"/>
      <c r="AO16557" s="198"/>
    </row>
    <row r="16558" spans="35:41" ht="19.5" thickBot="1" x14ac:dyDescent="0.35">
      <c r="AI16558" s="1746" t="s">
        <v>150</v>
      </c>
      <c r="AJ16558" s="1747"/>
      <c r="AK16558" s="1748"/>
      <c r="AL16558" s="198"/>
      <c r="AM16558" s="198"/>
      <c r="AN16558" s="198"/>
      <c r="AO16558" s="198"/>
    </row>
    <row r="16559" spans="35:41" ht="19.5" thickBot="1" x14ac:dyDescent="0.35">
      <c r="AI16559" s="1746" t="s">
        <v>150</v>
      </c>
      <c r="AJ16559" s="1747"/>
      <c r="AK16559" s="1748"/>
      <c r="AL16559" s="198"/>
      <c r="AM16559" s="198"/>
      <c r="AN16559" s="198"/>
      <c r="AO16559" s="198"/>
    </row>
    <row r="16560" spans="35:41" ht="19.5" thickBot="1" x14ac:dyDescent="0.35">
      <c r="AI16560" s="1746" t="s">
        <v>150</v>
      </c>
      <c r="AJ16560" s="1747"/>
      <c r="AK16560" s="1748"/>
      <c r="AL16560" s="198"/>
      <c r="AM16560" s="198"/>
      <c r="AN16560" s="198"/>
      <c r="AO16560" s="198"/>
    </row>
    <row r="16561" spans="35:41" ht="19.5" thickBot="1" x14ac:dyDescent="0.35">
      <c r="AI16561" s="1746" t="s">
        <v>150</v>
      </c>
      <c r="AJ16561" s="1747"/>
      <c r="AK16561" s="1748"/>
      <c r="AL16561" s="198"/>
      <c r="AM16561" s="198"/>
      <c r="AN16561" s="198"/>
      <c r="AO16561" s="198"/>
    </row>
    <row r="16562" spans="35:41" ht="19.5" thickBot="1" x14ac:dyDescent="0.35">
      <c r="AI16562" s="1746" t="s">
        <v>150</v>
      </c>
      <c r="AJ16562" s="1747"/>
      <c r="AK16562" s="1748"/>
      <c r="AL16562" s="198"/>
      <c r="AM16562" s="198"/>
      <c r="AN16562" s="198"/>
      <c r="AO16562" s="198"/>
    </row>
    <row r="16563" spans="35:41" ht="19.5" thickBot="1" x14ac:dyDescent="0.35">
      <c r="AI16563" s="1746" t="s">
        <v>150</v>
      </c>
      <c r="AJ16563" s="1747"/>
      <c r="AK16563" s="1748"/>
      <c r="AL16563" s="198"/>
      <c r="AM16563" s="198"/>
      <c r="AN16563" s="198"/>
      <c r="AO16563" s="198"/>
    </row>
    <row r="16564" spans="35:41" ht="19.5" thickBot="1" x14ac:dyDescent="0.35">
      <c r="AI16564" s="1746" t="s">
        <v>150</v>
      </c>
      <c r="AJ16564" s="1747"/>
      <c r="AK16564" s="1748"/>
      <c r="AL16564" s="198"/>
      <c r="AM16564" s="198"/>
      <c r="AN16564" s="198"/>
      <c r="AO16564" s="198"/>
    </row>
    <row r="16565" spans="35:41" ht="19.5" thickBot="1" x14ac:dyDescent="0.35">
      <c r="AI16565" s="1746" t="s">
        <v>150</v>
      </c>
      <c r="AJ16565" s="1747"/>
      <c r="AK16565" s="1748"/>
      <c r="AL16565" s="198"/>
      <c r="AM16565" s="198"/>
      <c r="AN16565" s="198"/>
      <c r="AO16565" s="198"/>
    </row>
    <row r="16566" spans="35:41" ht="19.5" thickBot="1" x14ac:dyDescent="0.35">
      <c r="AI16566" s="1746" t="s">
        <v>150</v>
      </c>
      <c r="AJ16566" s="1747"/>
      <c r="AK16566" s="1748"/>
      <c r="AL16566" s="198"/>
      <c r="AM16566" s="198"/>
      <c r="AN16566" s="198"/>
      <c r="AO16566" s="198"/>
    </row>
    <row r="16567" spans="35:41" ht="19.5" thickBot="1" x14ac:dyDescent="0.35">
      <c r="AI16567" s="1746" t="s">
        <v>150</v>
      </c>
      <c r="AJ16567" s="1747"/>
      <c r="AK16567" s="1748"/>
      <c r="AL16567" s="198"/>
      <c r="AM16567" s="198"/>
      <c r="AN16567" s="198"/>
      <c r="AO16567" s="198"/>
    </row>
    <row r="16568" spans="35:41" ht="19.5" thickBot="1" x14ac:dyDescent="0.35">
      <c r="AI16568" s="1746" t="s">
        <v>150</v>
      </c>
      <c r="AJ16568" s="1747"/>
      <c r="AK16568" s="1748"/>
      <c r="AL16568" s="198"/>
      <c r="AM16568" s="198"/>
      <c r="AN16568" s="198"/>
      <c r="AO16568" s="198"/>
    </row>
    <row r="16569" spans="35:41" ht="19.5" thickBot="1" x14ac:dyDescent="0.35">
      <c r="AI16569" s="1746" t="s">
        <v>150</v>
      </c>
      <c r="AJ16569" s="1747"/>
      <c r="AK16569" s="1748"/>
      <c r="AL16569" s="198"/>
      <c r="AM16569" s="198"/>
      <c r="AN16569" s="198"/>
      <c r="AO16569" s="198"/>
    </row>
    <row r="16570" spans="35:41" ht="19.5" thickBot="1" x14ac:dyDescent="0.35">
      <c r="AI16570" s="1746" t="s">
        <v>150</v>
      </c>
      <c r="AJ16570" s="1747"/>
      <c r="AK16570" s="1748"/>
      <c r="AL16570" s="198"/>
      <c r="AM16570" s="198"/>
      <c r="AN16570" s="198"/>
      <c r="AO16570" s="198"/>
    </row>
    <row r="16571" spans="35:41" ht="19.5" thickBot="1" x14ac:dyDescent="0.35">
      <c r="AI16571" s="1746" t="s">
        <v>150</v>
      </c>
      <c r="AJ16571" s="1747"/>
      <c r="AK16571" s="1748"/>
      <c r="AL16571" s="198"/>
      <c r="AM16571" s="198"/>
      <c r="AN16571" s="198"/>
      <c r="AO16571" s="198"/>
    </row>
    <row r="16572" spans="35:41" ht="19.5" thickBot="1" x14ac:dyDescent="0.35">
      <c r="AI16572" s="1746" t="s">
        <v>150</v>
      </c>
      <c r="AJ16572" s="1747"/>
      <c r="AK16572" s="1748"/>
      <c r="AL16572" s="198"/>
      <c r="AM16572" s="198"/>
      <c r="AN16572" s="198"/>
      <c r="AO16572" s="198"/>
    </row>
    <row r="16573" spans="35:41" ht="19.5" thickBot="1" x14ac:dyDescent="0.35">
      <c r="AI16573" s="1746" t="s">
        <v>150</v>
      </c>
      <c r="AJ16573" s="1747"/>
      <c r="AK16573" s="1748"/>
      <c r="AL16573" s="198"/>
      <c r="AM16573" s="198"/>
      <c r="AN16573" s="198"/>
      <c r="AO16573" s="198"/>
    </row>
    <row r="16574" spans="35:41" ht="19.5" thickBot="1" x14ac:dyDescent="0.35">
      <c r="AI16574" s="1746" t="s">
        <v>150</v>
      </c>
      <c r="AJ16574" s="1747"/>
      <c r="AK16574" s="1748"/>
      <c r="AL16574" s="198"/>
      <c r="AM16574" s="198"/>
      <c r="AN16574" s="198"/>
      <c r="AO16574" s="198"/>
    </row>
    <row r="16575" spans="35:41" ht="19.5" thickBot="1" x14ac:dyDescent="0.35">
      <c r="AI16575" s="1746" t="s">
        <v>150</v>
      </c>
      <c r="AJ16575" s="1747"/>
      <c r="AK16575" s="1748"/>
      <c r="AL16575" s="198"/>
      <c r="AM16575" s="198"/>
      <c r="AN16575" s="198"/>
      <c r="AO16575" s="198"/>
    </row>
    <row r="16576" spans="35:41" ht="19.5" thickBot="1" x14ac:dyDescent="0.35">
      <c r="AI16576" s="1746" t="s">
        <v>150</v>
      </c>
      <c r="AJ16576" s="1747"/>
      <c r="AK16576" s="1748"/>
      <c r="AL16576" s="198"/>
      <c r="AM16576" s="198"/>
      <c r="AN16576" s="198"/>
      <c r="AO16576" s="198"/>
    </row>
    <row r="16577" spans="35:41" ht="19.5" thickBot="1" x14ac:dyDescent="0.35">
      <c r="AI16577" s="1746" t="s">
        <v>150</v>
      </c>
      <c r="AJ16577" s="1747"/>
      <c r="AK16577" s="1748"/>
      <c r="AL16577" s="198"/>
      <c r="AM16577" s="198"/>
      <c r="AN16577" s="198"/>
      <c r="AO16577" s="198"/>
    </row>
    <row r="16578" spans="35:41" ht="19.5" thickBot="1" x14ac:dyDescent="0.35">
      <c r="AI16578" s="1746" t="s">
        <v>150</v>
      </c>
      <c r="AJ16578" s="1747"/>
      <c r="AK16578" s="1748"/>
      <c r="AL16578" s="198"/>
      <c r="AM16578" s="198"/>
      <c r="AN16578" s="198"/>
      <c r="AO16578" s="198"/>
    </row>
    <row r="16579" spans="35:41" ht="19.5" thickBot="1" x14ac:dyDescent="0.35">
      <c r="AI16579" s="1746" t="s">
        <v>150</v>
      </c>
      <c r="AJ16579" s="1747"/>
      <c r="AK16579" s="1748"/>
      <c r="AL16579" s="198"/>
      <c r="AM16579" s="198"/>
      <c r="AN16579" s="198"/>
      <c r="AO16579" s="198"/>
    </row>
    <row r="16580" spans="35:41" ht="19.5" thickBot="1" x14ac:dyDescent="0.35">
      <c r="AI16580" s="1746" t="s">
        <v>150</v>
      </c>
      <c r="AJ16580" s="1747"/>
      <c r="AK16580" s="1748"/>
      <c r="AL16580" s="198"/>
      <c r="AM16580" s="198"/>
      <c r="AN16580" s="198"/>
      <c r="AO16580" s="198"/>
    </row>
    <row r="16581" spans="35:41" ht="19.5" thickBot="1" x14ac:dyDescent="0.35">
      <c r="AI16581" s="1746" t="s">
        <v>150</v>
      </c>
      <c r="AJ16581" s="1747"/>
      <c r="AK16581" s="1748"/>
      <c r="AL16581" s="198"/>
      <c r="AM16581" s="198"/>
      <c r="AN16581" s="198"/>
      <c r="AO16581" s="198"/>
    </row>
    <row r="16582" spans="35:41" ht="19.5" thickBot="1" x14ac:dyDescent="0.35">
      <c r="AI16582" s="1746" t="s">
        <v>150</v>
      </c>
      <c r="AJ16582" s="1747"/>
      <c r="AK16582" s="1748"/>
      <c r="AL16582" s="198"/>
      <c r="AM16582" s="198"/>
      <c r="AN16582" s="198"/>
      <c r="AO16582" s="198"/>
    </row>
    <row r="16583" spans="35:41" ht="19.5" thickBot="1" x14ac:dyDescent="0.35">
      <c r="AI16583" s="1746" t="s">
        <v>150</v>
      </c>
      <c r="AJ16583" s="1747"/>
      <c r="AK16583" s="1748"/>
      <c r="AL16583" s="198"/>
      <c r="AM16583" s="198"/>
      <c r="AN16583" s="198"/>
      <c r="AO16583" s="198"/>
    </row>
    <row r="16584" spans="35:41" ht="19.5" thickBot="1" x14ac:dyDescent="0.35">
      <c r="AI16584" s="1746" t="s">
        <v>150</v>
      </c>
      <c r="AJ16584" s="1747"/>
      <c r="AK16584" s="1748"/>
      <c r="AL16584" s="198"/>
      <c r="AM16584" s="198"/>
      <c r="AN16584" s="198"/>
      <c r="AO16584" s="198"/>
    </row>
    <row r="16585" spans="35:41" ht="19.5" thickBot="1" x14ac:dyDescent="0.35">
      <c r="AI16585" s="1746" t="s">
        <v>150</v>
      </c>
      <c r="AJ16585" s="1747"/>
      <c r="AK16585" s="1748"/>
      <c r="AL16585" s="198"/>
      <c r="AM16585" s="198"/>
      <c r="AN16585" s="198"/>
      <c r="AO16585" s="198"/>
    </row>
    <row r="16586" spans="35:41" ht="19.5" thickBot="1" x14ac:dyDescent="0.35">
      <c r="AI16586" s="1746" t="s">
        <v>150</v>
      </c>
      <c r="AJ16586" s="1747"/>
      <c r="AK16586" s="1748"/>
      <c r="AL16586" s="198"/>
      <c r="AM16586" s="198"/>
      <c r="AN16586" s="198"/>
      <c r="AO16586" s="198"/>
    </row>
    <row r="16587" spans="35:41" ht="19.5" thickBot="1" x14ac:dyDescent="0.35">
      <c r="AI16587" s="1746" t="s">
        <v>150</v>
      </c>
      <c r="AJ16587" s="1747"/>
      <c r="AK16587" s="1748"/>
      <c r="AL16587" s="198"/>
      <c r="AM16587" s="198"/>
      <c r="AN16587" s="198"/>
      <c r="AO16587" s="198"/>
    </row>
    <row r="16588" spans="35:41" ht="19.5" thickBot="1" x14ac:dyDescent="0.35">
      <c r="AI16588" s="1746" t="s">
        <v>150</v>
      </c>
      <c r="AJ16588" s="1747"/>
      <c r="AK16588" s="1748"/>
      <c r="AL16588" s="198"/>
      <c r="AM16588" s="198"/>
      <c r="AN16588" s="198"/>
      <c r="AO16588" s="198"/>
    </row>
    <row r="16589" spans="35:41" ht="19.5" thickBot="1" x14ac:dyDescent="0.35">
      <c r="AI16589" s="1746" t="s">
        <v>150</v>
      </c>
      <c r="AJ16589" s="1747"/>
      <c r="AK16589" s="1748"/>
      <c r="AL16589" s="198"/>
      <c r="AM16589" s="198"/>
      <c r="AN16589" s="198"/>
      <c r="AO16589" s="198"/>
    </row>
    <row r="16590" spans="35:41" ht="19.5" thickBot="1" x14ac:dyDescent="0.35">
      <c r="AI16590" s="1746" t="s">
        <v>150</v>
      </c>
      <c r="AJ16590" s="1747"/>
      <c r="AK16590" s="1748"/>
      <c r="AL16590" s="198"/>
      <c r="AM16590" s="198"/>
      <c r="AN16590" s="198"/>
      <c r="AO16590" s="198"/>
    </row>
    <row r="16591" spans="35:41" ht="19.5" thickBot="1" x14ac:dyDescent="0.35">
      <c r="AI16591" s="1746" t="s">
        <v>150</v>
      </c>
      <c r="AJ16591" s="1747"/>
      <c r="AK16591" s="1748"/>
      <c r="AL16591" s="198"/>
      <c r="AM16591" s="198"/>
      <c r="AN16591" s="198"/>
      <c r="AO16591" s="198"/>
    </row>
    <row r="16592" spans="35:41" ht="19.5" thickBot="1" x14ac:dyDescent="0.35">
      <c r="AI16592" s="1746" t="s">
        <v>150</v>
      </c>
      <c r="AJ16592" s="1747"/>
      <c r="AK16592" s="1748"/>
      <c r="AL16592" s="198"/>
      <c r="AM16592" s="198"/>
      <c r="AN16592" s="198"/>
      <c r="AO16592" s="198"/>
    </row>
    <row r="16593" spans="35:41" ht="19.5" thickBot="1" x14ac:dyDescent="0.35">
      <c r="AI16593" s="1746" t="s">
        <v>150</v>
      </c>
      <c r="AJ16593" s="1747"/>
      <c r="AK16593" s="1748"/>
      <c r="AL16593" s="198"/>
      <c r="AM16593" s="198"/>
      <c r="AN16593" s="198"/>
      <c r="AO16593" s="198"/>
    </row>
    <row r="16594" spans="35:41" ht="19.5" thickBot="1" x14ac:dyDescent="0.35">
      <c r="AI16594" s="1746" t="s">
        <v>150</v>
      </c>
      <c r="AJ16594" s="1747"/>
      <c r="AK16594" s="1748"/>
      <c r="AL16594" s="198"/>
      <c r="AM16594" s="198"/>
      <c r="AN16594" s="198"/>
      <c r="AO16594" s="198"/>
    </row>
    <row r="16595" spans="35:41" ht="19.5" thickBot="1" x14ac:dyDescent="0.35">
      <c r="AI16595" s="1746" t="s">
        <v>150</v>
      </c>
      <c r="AJ16595" s="1747"/>
      <c r="AK16595" s="1748"/>
      <c r="AL16595" s="198"/>
      <c r="AM16595" s="198"/>
      <c r="AN16595" s="198"/>
      <c r="AO16595" s="198"/>
    </row>
    <row r="16596" spans="35:41" ht="19.5" thickBot="1" x14ac:dyDescent="0.35">
      <c r="AI16596" s="1746" t="s">
        <v>150</v>
      </c>
      <c r="AJ16596" s="1747"/>
      <c r="AK16596" s="1748"/>
      <c r="AL16596" s="198"/>
      <c r="AM16596" s="198"/>
      <c r="AN16596" s="198"/>
      <c r="AO16596" s="198"/>
    </row>
    <row r="16597" spans="35:41" ht="19.5" thickBot="1" x14ac:dyDescent="0.35">
      <c r="AI16597" s="1746" t="s">
        <v>150</v>
      </c>
      <c r="AJ16597" s="1747"/>
      <c r="AK16597" s="1748"/>
      <c r="AL16597" s="198"/>
      <c r="AM16597" s="198"/>
      <c r="AN16597" s="198"/>
      <c r="AO16597" s="198"/>
    </row>
    <row r="16598" spans="35:41" ht="19.5" thickBot="1" x14ac:dyDescent="0.35">
      <c r="AI16598" s="1746" t="s">
        <v>150</v>
      </c>
      <c r="AJ16598" s="1747"/>
      <c r="AK16598" s="1748"/>
      <c r="AL16598" s="198"/>
      <c r="AM16598" s="198"/>
      <c r="AN16598" s="198"/>
      <c r="AO16598" s="198"/>
    </row>
    <row r="16599" spans="35:41" ht="19.5" thickBot="1" x14ac:dyDescent="0.35">
      <c r="AI16599" s="1746" t="s">
        <v>150</v>
      </c>
      <c r="AJ16599" s="1747"/>
      <c r="AK16599" s="1748"/>
      <c r="AL16599" s="198"/>
      <c r="AM16599" s="198"/>
      <c r="AN16599" s="198"/>
      <c r="AO16599" s="198"/>
    </row>
    <row r="16600" spans="35:41" ht="19.5" thickBot="1" x14ac:dyDescent="0.35">
      <c r="AI16600" s="1746" t="s">
        <v>150</v>
      </c>
      <c r="AJ16600" s="1747"/>
      <c r="AK16600" s="1748"/>
      <c r="AL16600" s="198"/>
      <c r="AM16600" s="198"/>
      <c r="AN16600" s="198"/>
      <c r="AO16600" s="198"/>
    </row>
    <row r="16601" spans="35:41" ht="19.5" thickBot="1" x14ac:dyDescent="0.35">
      <c r="AI16601" s="1746" t="s">
        <v>150</v>
      </c>
      <c r="AJ16601" s="1747"/>
      <c r="AK16601" s="1748"/>
      <c r="AL16601" s="198"/>
      <c r="AM16601" s="198"/>
      <c r="AN16601" s="198"/>
      <c r="AO16601" s="198"/>
    </row>
    <row r="16602" spans="35:41" ht="19.5" thickBot="1" x14ac:dyDescent="0.35">
      <c r="AI16602" s="1746" t="s">
        <v>150</v>
      </c>
      <c r="AJ16602" s="1747"/>
      <c r="AK16602" s="1748"/>
      <c r="AL16602" s="198"/>
      <c r="AM16602" s="198"/>
      <c r="AN16602" s="198"/>
      <c r="AO16602" s="198"/>
    </row>
    <row r="16603" spans="35:41" ht="19.5" thickBot="1" x14ac:dyDescent="0.35">
      <c r="AI16603" s="1746" t="s">
        <v>150</v>
      </c>
      <c r="AJ16603" s="1747"/>
      <c r="AK16603" s="1748"/>
      <c r="AL16603" s="198"/>
      <c r="AM16603" s="198"/>
      <c r="AN16603" s="198"/>
      <c r="AO16603" s="198"/>
    </row>
    <row r="16604" spans="35:41" ht="19.5" thickBot="1" x14ac:dyDescent="0.35">
      <c r="AI16604" s="1746" t="s">
        <v>150</v>
      </c>
      <c r="AJ16604" s="1747"/>
      <c r="AK16604" s="1748"/>
      <c r="AL16604" s="198"/>
      <c r="AM16604" s="198"/>
      <c r="AN16604" s="198"/>
      <c r="AO16604" s="198"/>
    </row>
    <row r="16605" spans="35:41" ht="19.5" thickBot="1" x14ac:dyDescent="0.35">
      <c r="AI16605" s="1746" t="s">
        <v>150</v>
      </c>
      <c r="AJ16605" s="1747"/>
      <c r="AK16605" s="1748"/>
      <c r="AL16605" s="198"/>
      <c r="AM16605" s="198"/>
      <c r="AN16605" s="198"/>
      <c r="AO16605" s="198"/>
    </row>
    <row r="16606" spans="35:41" ht="19.5" thickBot="1" x14ac:dyDescent="0.35">
      <c r="AI16606" s="1746" t="s">
        <v>150</v>
      </c>
      <c r="AJ16606" s="1747"/>
      <c r="AK16606" s="1748"/>
      <c r="AL16606" s="198"/>
      <c r="AM16606" s="198"/>
      <c r="AN16606" s="198"/>
      <c r="AO16606" s="198"/>
    </row>
    <row r="16607" spans="35:41" ht="19.5" thickBot="1" x14ac:dyDescent="0.35">
      <c r="AI16607" s="1746" t="s">
        <v>150</v>
      </c>
      <c r="AJ16607" s="1747"/>
      <c r="AK16607" s="1748"/>
      <c r="AL16607" s="198"/>
      <c r="AM16607" s="198"/>
      <c r="AN16607" s="198"/>
      <c r="AO16607" s="198"/>
    </row>
    <row r="16608" spans="35:41" ht="19.5" thickBot="1" x14ac:dyDescent="0.35">
      <c r="AI16608" s="1746" t="s">
        <v>150</v>
      </c>
      <c r="AJ16608" s="1747"/>
      <c r="AK16608" s="1748"/>
      <c r="AL16608" s="198"/>
      <c r="AM16608" s="198"/>
      <c r="AN16608" s="198"/>
      <c r="AO16608" s="198"/>
    </row>
    <row r="16609" spans="35:41" ht="19.5" thickBot="1" x14ac:dyDescent="0.35">
      <c r="AI16609" s="1746" t="s">
        <v>150</v>
      </c>
      <c r="AJ16609" s="1747"/>
      <c r="AK16609" s="1748"/>
      <c r="AL16609" s="198"/>
      <c r="AM16609" s="198"/>
      <c r="AN16609" s="198"/>
      <c r="AO16609" s="198"/>
    </row>
    <row r="16610" spans="35:41" ht="19.5" thickBot="1" x14ac:dyDescent="0.35">
      <c r="AI16610" s="1746" t="s">
        <v>150</v>
      </c>
      <c r="AJ16610" s="1747"/>
      <c r="AK16610" s="1748"/>
      <c r="AL16610" s="198"/>
      <c r="AM16610" s="198"/>
      <c r="AN16610" s="198"/>
      <c r="AO16610" s="198"/>
    </row>
    <row r="16611" spans="35:41" ht="19.5" thickBot="1" x14ac:dyDescent="0.35">
      <c r="AI16611" s="1746" t="s">
        <v>150</v>
      </c>
      <c r="AJ16611" s="1747"/>
      <c r="AK16611" s="1748"/>
      <c r="AL16611" s="198"/>
      <c r="AM16611" s="198"/>
      <c r="AN16611" s="198"/>
      <c r="AO16611" s="198"/>
    </row>
    <row r="16612" spans="35:41" ht="19.5" thickBot="1" x14ac:dyDescent="0.35">
      <c r="AI16612" s="1746" t="s">
        <v>150</v>
      </c>
      <c r="AJ16612" s="1747"/>
      <c r="AK16612" s="1748"/>
      <c r="AL16612" s="198"/>
      <c r="AM16612" s="198"/>
      <c r="AN16612" s="198"/>
      <c r="AO16612" s="198"/>
    </row>
    <row r="16613" spans="35:41" ht="19.5" thickBot="1" x14ac:dyDescent="0.35">
      <c r="AI16613" s="1746" t="s">
        <v>150</v>
      </c>
      <c r="AJ16613" s="1747"/>
      <c r="AK16613" s="1748"/>
      <c r="AL16613" s="198"/>
      <c r="AM16613" s="198"/>
      <c r="AN16613" s="198"/>
      <c r="AO16613" s="198"/>
    </row>
    <row r="16614" spans="35:41" ht="19.5" thickBot="1" x14ac:dyDescent="0.35">
      <c r="AI16614" s="1746" t="s">
        <v>150</v>
      </c>
      <c r="AJ16614" s="1747"/>
      <c r="AK16614" s="1748"/>
      <c r="AL16614" s="198"/>
      <c r="AM16614" s="198"/>
      <c r="AN16614" s="198"/>
      <c r="AO16614" s="198"/>
    </row>
    <row r="16615" spans="35:41" ht="19.5" thickBot="1" x14ac:dyDescent="0.35">
      <c r="AI16615" s="1746" t="s">
        <v>150</v>
      </c>
      <c r="AJ16615" s="1747"/>
      <c r="AK16615" s="1748"/>
      <c r="AL16615" s="198"/>
      <c r="AM16615" s="198"/>
      <c r="AN16615" s="198"/>
      <c r="AO16615" s="198"/>
    </row>
    <row r="16616" spans="35:41" ht="19.5" thickBot="1" x14ac:dyDescent="0.35">
      <c r="AI16616" s="1746" t="s">
        <v>150</v>
      </c>
      <c r="AJ16616" s="1747"/>
      <c r="AK16616" s="1748"/>
      <c r="AL16616" s="198"/>
      <c r="AM16616" s="198"/>
      <c r="AN16616" s="198"/>
      <c r="AO16616" s="198"/>
    </row>
    <row r="16617" spans="35:41" ht="19.5" thickBot="1" x14ac:dyDescent="0.35">
      <c r="AI16617" s="1746" t="s">
        <v>150</v>
      </c>
      <c r="AJ16617" s="1747"/>
      <c r="AK16617" s="1748"/>
      <c r="AL16617" s="198"/>
      <c r="AM16617" s="198"/>
      <c r="AN16617" s="198"/>
      <c r="AO16617" s="198"/>
    </row>
    <row r="16618" spans="35:41" ht="19.5" thickBot="1" x14ac:dyDescent="0.35">
      <c r="AI16618" s="1746" t="s">
        <v>150</v>
      </c>
      <c r="AJ16618" s="1747"/>
      <c r="AK16618" s="1748"/>
      <c r="AL16618" s="198"/>
      <c r="AM16618" s="198"/>
      <c r="AN16618" s="198"/>
      <c r="AO16618" s="198"/>
    </row>
    <row r="16619" spans="35:41" ht="19.5" thickBot="1" x14ac:dyDescent="0.35">
      <c r="AI16619" s="1746" t="s">
        <v>150</v>
      </c>
      <c r="AJ16619" s="1747"/>
      <c r="AK16619" s="1748"/>
      <c r="AL16619" s="198"/>
      <c r="AM16619" s="198"/>
      <c r="AN16619" s="198"/>
      <c r="AO16619" s="198"/>
    </row>
    <row r="16620" spans="35:41" ht="19.5" thickBot="1" x14ac:dyDescent="0.35">
      <c r="AI16620" s="1746" t="s">
        <v>150</v>
      </c>
      <c r="AJ16620" s="1747"/>
      <c r="AK16620" s="1748"/>
      <c r="AL16620" s="198"/>
      <c r="AM16620" s="198"/>
      <c r="AN16620" s="198"/>
      <c r="AO16620" s="198"/>
    </row>
    <row r="16621" spans="35:41" ht="19.5" thickBot="1" x14ac:dyDescent="0.35">
      <c r="AI16621" s="1746" t="s">
        <v>150</v>
      </c>
      <c r="AJ16621" s="1747"/>
      <c r="AK16621" s="1748"/>
      <c r="AL16621" s="198"/>
      <c r="AM16621" s="198"/>
      <c r="AN16621" s="198"/>
      <c r="AO16621" s="198"/>
    </row>
    <row r="16622" spans="35:41" ht="19.5" thickBot="1" x14ac:dyDescent="0.35">
      <c r="AI16622" s="1746" t="s">
        <v>150</v>
      </c>
      <c r="AJ16622" s="1747"/>
      <c r="AK16622" s="1748"/>
      <c r="AL16622" s="198"/>
      <c r="AM16622" s="198"/>
      <c r="AN16622" s="198"/>
      <c r="AO16622" s="198"/>
    </row>
    <row r="16623" spans="35:41" ht="19.5" thickBot="1" x14ac:dyDescent="0.35">
      <c r="AI16623" s="1746" t="s">
        <v>150</v>
      </c>
      <c r="AJ16623" s="1747"/>
      <c r="AK16623" s="1748"/>
      <c r="AL16623" s="198"/>
      <c r="AM16623" s="198"/>
      <c r="AN16623" s="198"/>
      <c r="AO16623" s="198"/>
    </row>
    <row r="16624" spans="35:41" ht="19.5" thickBot="1" x14ac:dyDescent="0.35">
      <c r="AI16624" s="1746" t="s">
        <v>150</v>
      </c>
      <c r="AJ16624" s="1747"/>
      <c r="AK16624" s="1748"/>
      <c r="AL16624" s="198"/>
      <c r="AM16624" s="198"/>
      <c r="AN16624" s="198"/>
      <c r="AO16624" s="198"/>
    </row>
    <row r="16625" spans="35:41" ht="19.5" thickBot="1" x14ac:dyDescent="0.35">
      <c r="AI16625" s="1746" t="s">
        <v>150</v>
      </c>
      <c r="AJ16625" s="1747"/>
      <c r="AK16625" s="1748"/>
      <c r="AL16625" s="198"/>
      <c r="AM16625" s="198"/>
      <c r="AN16625" s="198"/>
      <c r="AO16625" s="198"/>
    </row>
    <row r="16626" spans="35:41" ht="19.5" thickBot="1" x14ac:dyDescent="0.35">
      <c r="AI16626" s="1746" t="s">
        <v>150</v>
      </c>
      <c r="AJ16626" s="1747"/>
      <c r="AK16626" s="1748"/>
      <c r="AL16626" s="198"/>
      <c r="AM16626" s="198"/>
      <c r="AN16626" s="198"/>
      <c r="AO16626" s="198"/>
    </row>
    <row r="16627" spans="35:41" ht="19.5" thickBot="1" x14ac:dyDescent="0.35">
      <c r="AI16627" s="1746" t="s">
        <v>150</v>
      </c>
      <c r="AJ16627" s="1747"/>
      <c r="AK16627" s="1748"/>
      <c r="AL16627" s="198"/>
      <c r="AM16627" s="198"/>
      <c r="AN16627" s="198"/>
      <c r="AO16627" s="198"/>
    </row>
    <row r="16628" spans="35:41" ht="19.5" thickBot="1" x14ac:dyDescent="0.35">
      <c r="AI16628" s="1746" t="s">
        <v>150</v>
      </c>
      <c r="AJ16628" s="1747"/>
      <c r="AK16628" s="1748"/>
      <c r="AL16628" s="198"/>
      <c r="AM16628" s="198"/>
      <c r="AN16628" s="198"/>
      <c r="AO16628" s="198"/>
    </row>
    <row r="16629" spans="35:41" ht="19.5" thickBot="1" x14ac:dyDescent="0.35">
      <c r="AI16629" s="1746" t="s">
        <v>150</v>
      </c>
      <c r="AJ16629" s="1747"/>
      <c r="AK16629" s="1748"/>
      <c r="AL16629" s="198"/>
      <c r="AM16629" s="198"/>
      <c r="AN16629" s="198"/>
      <c r="AO16629" s="198"/>
    </row>
    <row r="16630" spans="35:41" ht="19.5" thickBot="1" x14ac:dyDescent="0.35">
      <c r="AI16630" s="1746" t="s">
        <v>150</v>
      </c>
      <c r="AJ16630" s="1747"/>
      <c r="AK16630" s="1748"/>
      <c r="AL16630" s="198"/>
      <c r="AM16630" s="198"/>
      <c r="AN16630" s="198"/>
      <c r="AO16630" s="198"/>
    </row>
    <row r="16631" spans="35:41" ht="19.5" thickBot="1" x14ac:dyDescent="0.35">
      <c r="AI16631" s="1746" t="s">
        <v>150</v>
      </c>
      <c r="AJ16631" s="1747"/>
      <c r="AK16631" s="1748"/>
      <c r="AL16631" s="198"/>
      <c r="AM16631" s="198"/>
      <c r="AN16631" s="198"/>
      <c r="AO16631" s="198"/>
    </row>
    <row r="16632" spans="35:41" ht="19.5" thickBot="1" x14ac:dyDescent="0.35">
      <c r="AI16632" s="1746" t="s">
        <v>150</v>
      </c>
      <c r="AJ16632" s="1747"/>
      <c r="AK16632" s="1748"/>
      <c r="AL16632" s="198"/>
      <c r="AM16632" s="198"/>
      <c r="AN16632" s="198"/>
      <c r="AO16632" s="198"/>
    </row>
    <row r="16633" spans="35:41" ht="19.5" thickBot="1" x14ac:dyDescent="0.35">
      <c r="AI16633" s="1746" t="s">
        <v>150</v>
      </c>
      <c r="AJ16633" s="1747"/>
      <c r="AK16633" s="1748"/>
      <c r="AL16633" s="198"/>
      <c r="AM16633" s="198"/>
      <c r="AN16633" s="198"/>
      <c r="AO16633" s="198"/>
    </row>
    <row r="16634" spans="35:41" ht="19.5" thickBot="1" x14ac:dyDescent="0.35">
      <c r="AI16634" s="1746" t="s">
        <v>150</v>
      </c>
      <c r="AJ16634" s="1747"/>
      <c r="AK16634" s="1748"/>
      <c r="AL16634" s="198"/>
      <c r="AM16634" s="198"/>
      <c r="AN16634" s="198"/>
      <c r="AO16634" s="198"/>
    </row>
    <row r="16635" spans="35:41" ht="19.5" thickBot="1" x14ac:dyDescent="0.35">
      <c r="AI16635" s="1746" t="s">
        <v>150</v>
      </c>
      <c r="AJ16635" s="1747"/>
      <c r="AK16635" s="1748"/>
      <c r="AL16635" s="198"/>
      <c r="AM16635" s="198"/>
      <c r="AN16635" s="198"/>
      <c r="AO16635" s="198"/>
    </row>
    <row r="16636" spans="35:41" ht="19.5" thickBot="1" x14ac:dyDescent="0.35">
      <c r="AI16636" s="1746" t="s">
        <v>150</v>
      </c>
      <c r="AJ16636" s="1747"/>
      <c r="AK16636" s="1748"/>
      <c r="AL16636" s="198"/>
      <c r="AM16636" s="198"/>
      <c r="AN16636" s="198"/>
      <c r="AO16636" s="198"/>
    </row>
    <row r="16637" spans="35:41" ht="19.5" thickBot="1" x14ac:dyDescent="0.35">
      <c r="AI16637" s="1746" t="s">
        <v>150</v>
      </c>
      <c r="AJ16637" s="1747"/>
      <c r="AK16637" s="1748"/>
      <c r="AL16637" s="198"/>
      <c r="AM16637" s="198"/>
      <c r="AN16637" s="198"/>
      <c r="AO16637" s="198"/>
    </row>
    <row r="16638" spans="35:41" ht="19.5" thickBot="1" x14ac:dyDescent="0.35">
      <c r="AI16638" s="1746" t="s">
        <v>150</v>
      </c>
      <c r="AJ16638" s="1747"/>
      <c r="AK16638" s="1748"/>
      <c r="AL16638" s="198"/>
      <c r="AM16638" s="198"/>
      <c r="AN16638" s="198"/>
      <c r="AO16638" s="198"/>
    </row>
    <row r="16639" spans="35:41" ht="19.5" thickBot="1" x14ac:dyDescent="0.35">
      <c r="AI16639" s="1746" t="s">
        <v>150</v>
      </c>
      <c r="AJ16639" s="1747"/>
      <c r="AK16639" s="1748"/>
      <c r="AL16639" s="198"/>
      <c r="AM16639" s="198"/>
      <c r="AN16639" s="198"/>
      <c r="AO16639" s="198"/>
    </row>
    <row r="16640" spans="35:41" ht="19.5" thickBot="1" x14ac:dyDescent="0.35">
      <c r="AI16640" s="1746" t="s">
        <v>150</v>
      </c>
      <c r="AJ16640" s="1747"/>
      <c r="AK16640" s="1748"/>
      <c r="AL16640" s="198"/>
      <c r="AM16640" s="198"/>
      <c r="AN16640" s="198"/>
      <c r="AO16640" s="198"/>
    </row>
    <row r="16641" spans="35:41" ht="19.5" thickBot="1" x14ac:dyDescent="0.35">
      <c r="AI16641" s="1746" t="s">
        <v>150</v>
      </c>
      <c r="AJ16641" s="1747"/>
      <c r="AK16641" s="1748"/>
      <c r="AL16641" s="198"/>
      <c r="AM16641" s="198"/>
      <c r="AN16641" s="198"/>
      <c r="AO16641" s="198"/>
    </row>
    <row r="16642" spans="35:41" ht="19.5" thickBot="1" x14ac:dyDescent="0.35">
      <c r="AI16642" s="1746" t="s">
        <v>150</v>
      </c>
      <c r="AJ16642" s="1747"/>
      <c r="AK16642" s="1748"/>
      <c r="AL16642" s="198"/>
      <c r="AM16642" s="198"/>
      <c r="AN16642" s="198"/>
      <c r="AO16642" s="198"/>
    </row>
    <row r="16643" spans="35:41" ht="19.5" thickBot="1" x14ac:dyDescent="0.35">
      <c r="AI16643" s="1746" t="s">
        <v>150</v>
      </c>
      <c r="AJ16643" s="1747"/>
      <c r="AK16643" s="1748"/>
      <c r="AL16643" s="198"/>
      <c r="AM16643" s="198"/>
      <c r="AN16643" s="198"/>
      <c r="AO16643" s="198"/>
    </row>
    <row r="16644" spans="35:41" ht="19.5" thickBot="1" x14ac:dyDescent="0.35">
      <c r="AI16644" s="1746" t="s">
        <v>150</v>
      </c>
      <c r="AJ16644" s="1747"/>
      <c r="AK16644" s="1748"/>
      <c r="AL16644" s="198"/>
      <c r="AM16644" s="198"/>
      <c r="AN16644" s="198"/>
      <c r="AO16644" s="198"/>
    </row>
    <row r="16645" spans="35:41" ht="19.5" thickBot="1" x14ac:dyDescent="0.35">
      <c r="AI16645" s="1746" t="s">
        <v>150</v>
      </c>
      <c r="AJ16645" s="1747"/>
      <c r="AK16645" s="1748"/>
      <c r="AL16645" s="198"/>
      <c r="AM16645" s="198"/>
      <c r="AN16645" s="198"/>
      <c r="AO16645" s="198"/>
    </row>
    <row r="16646" spans="35:41" ht="19.5" thickBot="1" x14ac:dyDescent="0.35">
      <c r="AI16646" s="1746" t="s">
        <v>150</v>
      </c>
      <c r="AJ16646" s="1747"/>
      <c r="AK16646" s="1748"/>
      <c r="AL16646" s="198"/>
      <c r="AM16646" s="198"/>
      <c r="AN16646" s="198"/>
      <c r="AO16646" s="198"/>
    </row>
    <row r="16647" spans="35:41" ht="19.5" thickBot="1" x14ac:dyDescent="0.35">
      <c r="AI16647" s="1746" t="s">
        <v>150</v>
      </c>
      <c r="AJ16647" s="1747"/>
      <c r="AK16647" s="1748"/>
      <c r="AL16647" s="198"/>
      <c r="AM16647" s="198"/>
      <c r="AN16647" s="198"/>
      <c r="AO16647" s="198"/>
    </row>
    <row r="16648" spans="35:41" ht="19.5" thickBot="1" x14ac:dyDescent="0.35">
      <c r="AI16648" s="1746" t="s">
        <v>150</v>
      </c>
      <c r="AJ16648" s="1747"/>
      <c r="AK16648" s="1748"/>
      <c r="AL16648" s="198"/>
      <c r="AM16648" s="198"/>
      <c r="AN16648" s="198"/>
      <c r="AO16648" s="198"/>
    </row>
    <row r="16649" spans="35:41" ht="19.5" thickBot="1" x14ac:dyDescent="0.35">
      <c r="AI16649" s="1746" t="s">
        <v>150</v>
      </c>
      <c r="AJ16649" s="1747"/>
      <c r="AK16649" s="1748"/>
      <c r="AL16649" s="198"/>
      <c r="AM16649" s="198"/>
      <c r="AN16649" s="198"/>
      <c r="AO16649" s="198"/>
    </row>
    <row r="16650" spans="35:41" ht="19.5" thickBot="1" x14ac:dyDescent="0.35">
      <c r="AI16650" s="1746" t="s">
        <v>150</v>
      </c>
      <c r="AJ16650" s="1747"/>
      <c r="AK16650" s="1748"/>
      <c r="AL16650" s="198"/>
      <c r="AM16650" s="198"/>
      <c r="AN16650" s="198"/>
      <c r="AO16650" s="198"/>
    </row>
    <row r="16651" spans="35:41" ht="19.5" thickBot="1" x14ac:dyDescent="0.35">
      <c r="AI16651" s="1746" t="s">
        <v>150</v>
      </c>
      <c r="AJ16651" s="1747"/>
      <c r="AK16651" s="1748"/>
      <c r="AL16651" s="198"/>
      <c r="AM16651" s="198"/>
      <c r="AN16651" s="198"/>
      <c r="AO16651" s="198"/>
    </row>
    <row r="16652" spans="35:41" ht="19.5" thickBot="1" x14ac:dyDescent="0.35">
      <c r="AI16652" s="1746" t="s">
        <v>150</v>
      </c>
      <c r="AJ16652" s="1747"/>
      <c r="AK16652" s="1748"/>
      <c r="AL16652" s="198"/>
      <c r="AM16652" s="198"/>
      <c r="AN16652" s="198"/>
      <c r="AO16652" s="198"/>
    </row>
    <row r="16653" spans="35:41" ht="19.5" thickBot="1" x14ac:dyDescent="0.35">
      <c r="AI16653" s="1746" t="s">
        <v>150</v>
      </c>
      <c r="AJ16653" s="1747"/>
      <c r="AK16653" s="1748"/>
      <c r="AL16653" s="198"/>
      <c r="AM16653" s="198"/>
      <c r="AN16653" s="198"/>
      <c r="AO16653" s="198"/>
    </row>
    <row r="16654" spans="35:41" ht="19.5" thickBot="1" x14ac:dyDescent="0.35">
      <c r="AI16654" s="1746" t="s">
        <v>150</v>
      </c>
      <c r="AJ16654" s="1747"/>
      <c r="AK16654" s="1748"/>
      <c r="AL16654" s="198"/>
      <c r="AM16654" s="198"/>
      <c r="AN16654" s="198"/>
      <c r="AO16654" s="198"/>
    </row>
    <row r="16655" spans="35:41" ht="19.5" thickBot="1" x14ac:dyDescent="0.35">
      <c r="AI16655" s="1746" t="s">
        <v>150</v>
      </c>
      <c r="AJ16655" s="1747"/>
      <c r="AK16655" s="1748"/>
      <c r="AL16655" s="198"/>
      <c r="AM16655" s="198"/>
      <c r="AN16655" s="198"/>
      <c r="AO16655" s="198"/>
    </row>
    <row r="16656" spans="35:41" ht="19.5" thickBot="1" x14ac:dyDescent="0.35">
      <c r="AI16656" s="1746" t="s">
        <v>150</v>
      </c>
      <c r="AJ16656" s="1747"/>
      <c r="AK16656" s="1748"/>
      <c r="AL16656" s="198"/>
      <c r="AM16656" s="198"/>
      <c r="AN16656" s="198"/>
      <c r="AO16656" s="198"/>
    </row>
    <row r="16657" spans="35:41" ht="19.5" thickBot="1" x14ac:dyDescent="0.35">
      <c r="AI16657" s="1746" t="s">
        <v>150</v>
      </c>
      <c r="AJ16657" s="1747"/>
      <c r="AK16657" s="1748"/>
      <c r="AL16657" s="198"/>
      <c r="AM16657" s="198"/>
      <c r="AN16657" s="198"/>
      <c r="AO16657" s="198"/>
    </row>
    <row r="16658" spans="35:41" ht="19.5" thickBot="1" x14ac:dyDescent="0.35">
      <c r="AI16658" s="1746" t="s">
        <v>150</v>
      </c>
      <c r="AJ16658" s="1747"/>
      <c r="AK16658" s="1748"/>
      <c r="AL16658" s="198"/>
      <c r="AM16658" s="198"/>
      <c r="AN16658" s="198"/>
      <c r="AO16658" s="198"/>
    </row>
    <row r="16659" spans="35:41" ht="19.5" thickBot="1" x14ac:dyDescent="0.35">
      <c r="AI16659" s="1746" t="s">
        <v>150</v>
      </c>
      <c r="AJ16659" s="1747"/>
      <c r="AK16659" s="1748"/>
      <c r="AL16659" s="198"/>
      <c r="AM16659" s="198"/>
      <c r="AN16659" s="198"/>
      <c r="AO16659" s="198"/>
    </row>
    <row r="16660" spans="35:41" ht="19.5" thickBot="1" x14ac:dyDescent="0.35">
      <c r="AI16660" s="1746" t="s">
        <v>150</v>
      </c>
      <c r="AJ16660" s="1747"/>
      <c r="AK16660" s="1748"/>
      <c r="AL16660" s="198"/>
      <c r="AM16660" s="198"/>
      <c r="AN16660" s="198"/>
      <c r="AO16660" s="198"/>
    </row>
    <row r="16661" spans="35:41" ht="19.5" thickBot="1" x14ac:dyDescent="0.35">
      <c r="AI16661" s="1746" t="s">
        <v>150</v>
      </c>
      <c r="AJ16661" s="1747"/>
      <c r="AK16661" s="1748"/>
      <c r="AL16661" s="198"/>
      <c r="AM16661" s="198"/>
      <c r="AN16661" s="198"/>
      <c r="AO16661" s="198"/>
    </row>
    <row r="16662" spans="35:41" ht="19.5" thickBot="1" x14ac:dyDescent="0.35">
      <c r="AI16662" s="1746" t="s">
        <v>150</v>
      </c>
      <c r="AJ16662" s="1747"/>
      <c r="AK16662" s="1748"/>
      <c r="AL16662" s="198"/>
      <c r="AM16662" s="198"/>
      <c r="AN16662" s="198"/>
      <c r="AO16662" s="198"/>
    </row>
    <row r="16663" spans="35:41" ht="19.5" thickBot="1" x14ac:dyDescent="0.35">
      <c r="AI16663" s="1746" t="s">
        <v>150</v>
      </c>
      <c r="AJ16663" s="1747"/>
      <c r="AK16663" s="1748"/>
      <c r="AL16663" s="198"/>
      <c r="AM16663" s="198"/>
      <c r="AN16663" s="198"/>
      <c r="AO16663" s="198"/>
    </row>
    <row r="16664" spans="35:41" ht="19.5" thickBot="1" x14ac:dyDescent="0.35">
      <c r="AI16664" s="1746" t="s">
        <v>150</v>
      </c>
      <c r="AJ16664" s="1747"/>
      <c r="AK16664" s="1748"/>
      <c r="AL16664" s="198"/>
      <c r="AM16664" s="198"/>
      <c r="AN16664" s="198"/>
      <c r="AO16664" s="198"/>
    </row>
    <row r="16665" spans="35:41" ht="19.5" thickBot="1" x14ac:dyDescent="0.35">
      <c r="AI16665" s="1746" t="s">
        <v>150</v>
      </c>
      <c r="AJ16665" s="1747"/>
      <c r="AK16665" s="1748"/>
      <c r="AL16665" s="198"/>
      <c r="AM16665" s="198"/>
      <c r="AN16665" s="198"/>
      <c r="AO16665" s="198"/>
    </row>
    <row r="16666" spans="35:41" ht="19.5" thickBot="1" x14ac:dyDescent="0.35">
      <c r="AI16666" s="1746" t="s">
        <v>150</v>
      </c>
      <c r="AJ16666" s="1747"/>
      <c r="AK16666" s="1748"/>
      <c r="AL16666" s="198"/>
      <c r="AM16666" s="198"/>
      <c r="AN16666" s="198"/>
      <c r="AO16666" s="198"/>
    </row>
    <row r="16667" spans="35:41" ht="19.5" thickBot="1" x14ac:dyDescent="0.35">
      <c r="AI16667" s="1746" t="s">
        <v>150</v>
      </c>
      <c r="AJ16667" s="1747"/>
      <c r="AK16667" s="1748"/>
      <c r="AL16667" s="198"/>
      <c r="AM16667" s="198"/>
      <c r="AN16667" s="198"/>
      <c r="AO16667" s="198"/>
    </row>
    <row r="16668" spans="35:41" ht="19.5" thickBot="1" x14ac:dyDescent="0.35">
      <c r="AI16668" s="1746" t="s">
        <v>150</v>
      </c>
      <c r="AJ16668" s="1747"/>
      <c r="AK16668" s="1748"/>
      <c r="AL16668" s="198"/>
      <c r="AM16668" s="198"/>
      <c r="AN16668" s="198"/>
      <c r="AO16668" s="198"/>
    </row>
    <row r="16669" spans="35:41" ht="19.5" thickBot="1" x14ac:dyDescent="0.35">
      <c r="AI16669" s="1746" t="s">
        <v>150</v>
      </c>
      <c r="AJ16669" s="1747"/>
      <c r="AK16669" s="1748"/>
      <c r="AL16669" s="198"/>
      <c r="AM16669" s="198"/>
      <c r="AN16669" s="198"/>
      <c r="AO16669" s="198"/>
    </row>
    <row r="16670" spans="35:41" ht="19.5" thickBot="1" x14ac:dyDescent="0.35">
      <c r="AI16670" s="1746" t="s">
        <v>150</v>
      </c>
      <c r="AJ16670" s="1747"/>
      <c r="AK16670" s="1748"/>
      <c r="AL16670" s="198"/>
      <c r="AM16670" s="198"/>
      <c r="AN16670" s="198"/>
      <c r="AO16670" s="198"/>
    </row>
    <row r="16671" spans="35:41" ht="19.5" thickBot="1" x14ac:dyDescent="0.35">
      <c r="AI16671" s="1746" t="s">
        <v>150</v>
      </c>
      <c r="AJ16671" s="1747"/>
      <c r="AK16671" s="1748"/>
      <c r="AL16671" s="198"/>
      <c r="AM16671" s="198"/>
      <c r="AN16671" s="198"/>
      <c r="AO16671" s="198"/>
    </row>
    <row r="16672" spans="35:41" ht="19.5" thickBot="1" x14ac:dyDescent="0.35">
      <c r="AI16672" s="1746" t="s">
        <v>150</v>
      </c>
      <c r="AJ16672" s="1747"/>
      <c r="AK16672" s="1748"/>
      <c r="AL16672" s="198"/>
      <c r="AM16672" s="198"/>
      <c r="AN16672" s="198"/>
      <c r="AO16672" s="198"/>
    </row>
    <row r="16673" spans="35:41" ht="19.5" thickBot="1" x14ac:dyDescent="0.35">
      <c r="AI16673" s="1746" t="s">
        <v>150</v>
      </c>
      <c r="AJ16673" s="1747"/>
      <c r="AK16673" s="1748"/>
      <c r="AL16673" s="198"/>
      <c r="AM16673" s="198"/>
      <c r="AN16673" s="198"/>
      <c r="AO16673" s="198"/>
    </row>
    <row r="16674" spans="35:41" ht="19.5" thickBot="1" x14ac:dyDescent="0.35">
      <c r="AI16674" s="1746" t="s">
        <v>150</v>
      </c>
      <c r="AJ16674" s="1747"/>
      <c r="AK16674" s="1748"/>
      <c r="AL16674" s="198"/>
      <c r="AM16674" s="198"/>
      <c r="AN16674" s="198"/>
      <c r="AO16674" s="198"/>
    </row>
    <row r="16675" spans="35:41" ht="19.5" thickBot="1" x14ac:dyDescent="0.35">
      <c r="AI16675" s="1746" t="s">
        <v>150</v>
      </c>
      <c r="AJ16675" s="1747"/>
      <c r="AK16675" s="1748"/>
      <c r="AL16675" s="198"/>
      <c r="AM16675" s="198"/>
      <c r="AN16675" s="198"/>
      <c r="AO16675" s="198"/>
    </row>
    <row r="16676" spans="35:41" ht="19.5" thickBot="1" x14ac:dyDescent="0.35">
      <c r="AI16676" s="1746" t="s">
        <v>150</v>
      </c>
      <c r="AJ16676" s="1747"/>
      <c r="AK16676" s="1748"/>
      <c r="AL16676" s="198"/>
      <c r="AM16676" s="198"/>
      <c r="AN16676" s="198"/>
      <c r="AO16676" s="198"/>
    </row>
    <row r="16677" spans="35:41" ht="19.5" thickBot="1" x14ac:dyDescent="0.35">
      <c r="AI16677" s="1746" t="s">
        <v>150</v>
      </c>
      <c r="AJ16677" s="1747"/>
      <c r="AK16677" s="1748"/>
      <c r="AL16677" s="198"/>
      <c r="AM16677" s="198"/>
      <c r="AN16677" s="198"/>
      <c r="AO16677" s="198"/>
    </row>
    <row r="16678" spans="35:41" ht="19.5" thickBot="1" x14ac:dyDescent="0.35">
      <c r="AI16678" s="1746" t="s">
        <v>150</v>
      </c>
      <c r="AJ16678" s="1747"/>
      <c r="AK16678" s="1748"/>
      <c r="AL16678" s="198"/>
      <c r="AM16678" s="198"/>
      <c r="AN16678" s="198"/>
      <c r="AO16678" s="198"/>
    </row>
    <row r="16679" spans="35:41" ht="19.5" thickBot="1" x14ac:dyDescent="0.35">
      <c r="AI16679" s="1746" t="s">
        <v>150</v>
      </c>
      <c r="AJ16679" s="1747"/>
      <c r="AK16679" s="1748"/>
      <c r="AL16679" s="198"/>
      <c r="AM16679" s="198"/>
      <c r="AN16679" s="198"/>
      <c r="AO16679" s="198"/>
    </row>
    <row r="16680" spans="35:41" ht="19.5" thickBot="1" x14ac:dyDescent="0.35">
      <c r="AI16680" s="1746" t="s">
        <v>150</v>
      </c>
      <c r="AJ16680" s="1747"/>
      <c r="AK16680" s="1748"/>
      <c r="AL16680" s="198"/>
      <c r="AM16680" s="198"/>
      <c r="AN16680" s="198"/>
      <c r="AO16680" s="198"/>
    </row>
    <row r="16681" spans="35:41" ht="19.5" thickBot="1" x14ac:dyDescent="0.35">
      <c r="AI16681" s="1746" t="s">
        <v>150</v>
      </c>
      <c r="AJ16681" s="1747"/>
      <c r="AK16681" s="1748"/>
      <c r="AL16681" s="198"/>
      <c r="AM16681" s="198"/>
      <c r="AN16681" s="198"/>
      <c r="AO16681" s="198"/>
    </row>
    <row r="16682" spans="35:41" ht="19.5" thickBot="1" x14ac:dyDescent="0.35">
      <c r="AI16682" s="1746" t="s">
        <v>150</v>
      </c>
      <c r="AJ16682" s="1747"/>
      <c r="AK16682" s="1748"/>
      <c r="AL16682" s="198"/>
      <c r="AM16682" s="198"/>
      <c r="AN16682" s="198"/>
      <c r="AO16682" s="198"/>
    </row>
    <row r="16683" spans="35:41" ht="19.5" thickBot="1" x14ac:dyDescent="0.35">
      <c r="AI16683" s="1746" t="s">
        <v>150</v>
      </c>
      <c r="AJ16683" s="1747"/>
      <c r="AK16683" s="1748"/>
      <c r="AL16683" s="198"/>
      <c r="AM16683" s="198"/>
      <c r="AN16683" s="198"/>
      <c r="AO16683" s="198"/>
    </row>
    <row r="16684" spans="35:41" ht="19.5" thickBot="1" x14ac:dyDescent="0.35">
      <c r="AI16684" s="1746" t="s">
        <v>150</v>
      </c>
      <c r="AJ16684" s="1747"/>
      <c r="AK16684" s="1748"/>
      <c r="AL16684" s="198"/>
      <c r="AM16684" s="198"/>
      <c r="AN16684" s="198"/>
      <c r="AO16684" s="198"/>
    </row>
    <row r="16685" spans="35:41" ht="19.5" thickBot="1" x14ac:dyDescent="0.35">
      <c r="AI16685" s="1746" t="s">
        <v>150</v>
      </c>
      <c r="AJ16685" s="1747"/>
      <c r="AK16685" s="1748"/>
      <c r="AL16685" s="198"/>
      <c r="AM16685" s="198"/>
      <c r="AN16685" s="198"/>
      <c r="AO16685" s="198"/>
    </row>
    <row r="16686" spans="35:41" ht="19.5" thickBot="1" x14ac:dyDescent="0.35">
      <c r="AI16686" s="1746" t="s">
        <v>150</v>
      </c>
      <c r="AJ16686" s="1747"/>
      <c r="AK16686" s="1748"/>
      <c r="AL16686" s="198"/>
      <c r="AM16686" s="198"/>
      <c r="AN16686" s="198"/>
      <c r="AO16686" s="198"/>
    </row>
    <row r="16687" spans="35:41" ht="19.5" thickBot="1" x14ac:dyDescent="0.35">
      <c r="AI16687" s="1746" t="s">
        <v>150</v>
      </c>
      <c r="AJ16687" s="1747"/>
      <c r="AK16687" s="1748"/>
      <c r="AL16687" s="198"/>
      <c r="AM16687" s="198"/>
      <c r="AN16687" s="198"/>
      <c r="AO16687" s="198"/>
    </row>
    <row r="16688" spans="35:41" ht="19.5" thickBot="1" x14ac:dyDescent="0.35">
      <c r="AI16688" s="1746" t="s">
        <v>150</v>
      </c>
      <c r="AJ16688" s="1747"/>
      <c r="AK16688" s="1748"/>
      <c r="AL16688" s="198"/>
      <c r="AM16688" s="198"/>
      <c r="AN16688" s="198"/>
      <c r="AO16688" s="198"/>
    </row>
    <row r="16689" spans="35:41" ht="19.5" thickBot="1" x14ac:dyDescent="0.35">
      <c r="AI16689" s="1746" t="s">
        <v>150</v>
      </c>
      <c r="AJ16689" s="1747"/>
      <c r="AK16689" s="1748"/>
      <c r="AL16689" s="198"/>
      <c r="AM16689" s="198"/>
      <c r="AN16689" s="198"/>
      <c r="AO16689" s="198"/>
    </row>
    <row r="16690" spans="35:41" ht="19.5" thickBot="1" x14ac:dyDescent="0.35">
      <c r="AI16690" s="1746" t="s">
        <v>150</v>
      </c>
      <c r="AJ16690" s="1747"/>
      <c r="AK16690" s="1748"/>
      <c r="AL16690" s="198"/>
      <c r="AM16690" s="198"/>
      <c r="AN16690" s="198"/>
      <c r="AO16690" s="198"/>
    </row>
    <row r="16691" spans="35:41" ht="19.5" thickBot="1" x14ac:dyDescent="0.35">
      <c r="AI16691" s="1746" t="s">
        <v>150</v>
      </c>
      <c r="AJ16691" s="1747"/>
      <c r="AK16691" s="1748"/>
      <c r="AL16691" s="198"/>
      <c r="AM16691" s="198"/>
      <c r="AN16691" s="198"/>
      <c r="AO16691" s="198"/>
    </row>
    <row r="16692" spans="35:41" ht="19.5" thickBot="1" x14ac:dyDescent="0.35">
      <c r="AI16692" s="1746" t="s">
        <v>150</v>
      </c>
      <c r="AJ16692" s="1747"/>
      <c r="AK16692" s="1748"/>
      <c r="AL16692" s="198"/>
      <c r="AM16692" s="198"/>
      <c r="AN16692" s="198"/>
      <c r="AO16692" s="198"/>
    </row>
    <row r="16693" spans="35:41" ht="19.5" thickBot="1" x14ac:dyDescent="0.35">
      <c r="AI16693" s="1746" t="s">
        <v>150</v>
      </c>
      <c r="AJ16693" s="1747"/>
      <c r="AK16693" s="1748"/>
      <c r="AL16693" s="198"/>
      <c r="AM16693" s="198"/>
      <c r="AN16693" s="198"/>
      <c r="AO16693" s="198"/>
    </row>
    <row r="16694" spans="35:41" ht="19.5" thickBot="1" x14ac:dyDescent="0.35">
      <c r="AI16694" s="1746" t="s">
        <v>150</v>
      </c>
      <c r="AJ16694" s="1747"/>
      <c r="AK16694" s="1748"/>
      <c r="AL16694" s="198"/>
      <c r="AM16694" s="198"/>
      <c r="AN16694" s="198"/>
      <c r="AO16694" s="198"/>
    </row>
    <row r="16695" spans="35:41" ht="19.5" thickBot="1" x14ac:dyDescent="0.35">
      <c r="AI16695" s="1746" t="s">
        <v>150</v>
      </c>
      <c r="AJ16695" s="1747"/>
      <c r="AK16695" s="1748"/>
      <c r="AL16695" s="198"/>
      <c r="AM16695" s="198"/>
      <c r="AN16695" s="198"/>
      <c r="AO16695" s="198"/>
    </row>
    <row r="16696" spans="35:41" ht="19.5" thickBot="1" x14ac:dyDescent="0.35">
      <c r="AI16696" s="1746" t="s">
        <v>150</v>
      </c>
      <c r="AJ16696" s="1747"/>
      <c r="AK16696" s="1748"/>
      <c r="AL16696" s="198"/>
      <c r="AM16696" s="198"/>
      <c r="AN16696" s="198"/>
      <c r="AO16696" s="198"/>
    </row>
    <row r="16697" spans="35:41" ht="19.5" thickBot="1" x14ac:dyDescent="0.35">
      <c r="AI16697" s="1746" t="s">
        <v>150</v>
      </c>
      <c r="AJ16697" s="1747"/>
      <c r="AK16697" s="1748"/>
      <c r="AL16697" s="198"/>
      <c r="AM16697" s="198"/>
      <c r="AN16697" s="198"/>
      <c r="AO16697" s="198"/>
    </row>
    <row r="16698" spans="35:41" ht="19.5" thickBot="1" x14ac:dyDescent="0.35">
      <c r="AI16698" s="1746" t="s">
        <v>150</v>
      </c>
      <c r="AJ16698" s="1747"/>
      <c r="AK16698" s="1748"/>
      <c r="AL16698" s="198"/>
      <c r="AM16698" s="198"/>
      <c r="AN16698" s="198"/>
      <c r="AO16698" s="198"/>
    </row>
    <row r="16699" spans="35:41" ht="19.5" thickBot="1" x14ac:dyDescent="0.35">
      <c r="AI16699" s="1746" t="s">
        <v>150</v>
      </c>
      <c r="AJ16699" s="1747"/>
      <c r="AK16699" s="1748"/>
      <c r="AL16699" s="198"/>
      <c r="AM16699" s="198"/>
      <c r="AN16699" s="198"/>
      <c r="AO16699" s="198"/>
    </row>
    <row r="16700" spans="35:41" ht="19.5" thickBot="1" x14ac:dyDescent="0.35">
      <c r="AI16700" s="1746" t="s">
        <v>150</v>
      </c>
      <c r="AJ16700" s="1747"/>
      <c r="AK16700" s="1748"/>
      <c r="AL16700" s="198"/>
      <c r="AM16700" s="198"/>
      <c r="AN16700" s="198"/>
      <c r="AO16700" s="198"/>
    </row>
    <row r="16701" spans="35:41" ht="19.5" thickBot="1" x14ac:dyDescent="0.35">
      <c r="AI16701" s="1746" t="s">
        <v>150</v>
      </c>
      <c r="AJ16701" s="1747"/>
      <c r="AK16701" s="1748"/>
      <c r="AL16701" s="198"/>
      <c r="AM16701" s="198"/>
      <c r="AN16701" s="198"/>
      <c r="AO16701" s="198"/>
    </row>
    <row r="16702" spans="35:41" ht="19.5" thickBot="1" x14ac:dyDescent="0.35">
      <c r="AI16702" s="1746" t="s">
        <v>150</v>
      </c>
      <c r="AJ16702" s="1747"/>
      <c r="AK16702" s="1748"/>
      <c r="AL16702" s="198"/>
      <c r="AM16702" s="198"/>
      <c r="AN16702" s="198"/>
      <c r="AO16702" s="198"/>
    </row>
    <row r="16703" spans="35:41" ht="19.5" thickBot="1" x14ac:dyDescent="0.35">
      <c r="AI16703" s="1746" t="s">
        <v>150</v>
      </c>
      <c r="AJ16703" s="1747"/>
      <c r="AK16703" s="1748"/>
      <c r="AL16703" s="198"/>
      <c r="AM16703" s="198"/>
      <c r="AN16703" s="198"/>
      <c r="AO16703" s="198"/>
    </row>
    <row r="16704" spans="35:41" ht="19.5" thickBot="1" x14ac:dyDescent="0.35">
      <c r="AI16704" s="1746" t="s">
        <v>150</v>
      </c>
      <c r="AJ16704" s="1747"/>
      <c r="AK16704" s="1748"/>
      <c r="AL16704" s="198"/>
      <c r="AM16704" s="198"/>
      <c r="AN16704" s="198"/>
      <c r="AO16704" s="198"/>
    </row>
    <row r="16705" spans="35:41" ht="19.5" thickBot="1" x14ac:dyDescent="0.35">
      <c r="AI16705" s="1746" t="s">
        <v>150</v>
      </c>
      <c r="AJ16705" s="1747"/>
      <c r="AK16705" s="1748"/>
      <c r="AL16705" s="198"/>
      <c r="AM16705" s="198"/>
      <c r="AN16705" s="198"/>
      <c r="AO16705" s="198"/>
    </row>
    <row r="16706" spans="35:41" ht="19.5" thickBot="1" x14ac:dyDescent="0.35">
      <c r="AI16706" s="1746" t="s">
        <v>150</v>
      </c>
      <c r="AJ16706" s="1747"/>
      <c r="AK16706" s="1748"/>
      <c r="AL16706" s="198"/>
      <c r="AM16706" s="198"/>
      <c r="AN16706" s="198"/>
      <c r="AO16706" s="198"/>
    </row>
    <row r="16707" spans="35:41" ht="19.5" thickBot="1" x14ac:dyDescent="0.35">
      <c r="AI16707" s="1746" t="s">
        <v>150</v>
      </c>
      <c r="AJ16707" s="1747"/>
      <c r="AK16707" s="1748"/>
      <c r="AL16707" s="198"/>
      <c r="AM16707" s="198"/>
      <c r="AN16707" s="198"/>
      <c r="AO16707" s="198"/>
    </row>
    <row r="16708" spans="35:41" ht="19.5" thickBot="1" x14ac:dyDescent="0.35">
      <c r="AI16708" s="1746" t="s">
        <v>150</v>
      </c>
      <c r="AJ16708" s="1747"/>
      <c r="AK16708" s="1748"/>
      <c r="AL16708" s="198"/>
      <c r="AM16708" s="198"/>
      <c r="AN16708" s="198"/>
      <c r="AO16708" s="198"/>
    </row>
    <row r="16709" spans="35:41" ht="19.5" thickBot="1" x14ac:dyDescent="0.35">
      <c r="AI16709" s="1746" t="s">
        <v>150</v>
      </c>
      <c r="AJ16709" s="1747"/>
      <c r="AK16709" s="1748"/>
      <c r="AL16709" s="198"/>
      <c r="AM16709" s="198"/>
      <c r="AN16709" s="198"/>
      <c r="AO16709" s="198"/>
    </row>
    <row r="16710" spans="35:41" ht="19.5" thickBot="1" x14ac:dyDescent="0.35">
      <c r="AI16710" s="1746" t="s">
        <v>150</v>
      </c>
      <c r="AJ16710" s="1747"/>
      <c r="AK16710" s="1748"/>
      <c r="AL16710" s="198"/>
      <c r="AM16710" s="198"/>
      <c r="AN16710" s="198"/>
      <c r="AO16710" s="198"/>
    </row>
    <row r="16711" spans="35:41" ht="19.5" thickBot="1" x14ac:dyDescent="0.35">
      <c r="AI16711" s="1746" t="s">
        <v>150</v>
      </c>
      <c r="AJ16711" s="1747"/>
      <c r="AK16711" s="1748"/>
      <c r="AL16711" s="198"/>
      <c r="AM16711" s="198"/>
      <c r="AN16711" s="198"/>
      <c r="AO16711" s="198"/>
    </row>
    <row r="16712" spans="35:41" ht="19.5" thickBot="1" x14ac:dyDescent="0.35">
      <c r="AI16712" s="1746" t="s">
        <v>150</v>
      </c>
      <c r="AJ16712" s="1747"/>
      <c r="AK16712" s="1748"/>
      <c r="AL16712" s="198"/>
      <c r="AM16712" s="198"/>
      <c r="AN16712" s="198"/>
      <c r="AO16712" s="198"/>
    </row>
    <row r="16713" spans="35:41" ht="19.5" thickBot="1" x14ac:dyDescent="0.35">
      <c r="AI16713" s="1746" t="s">
        <v>150</v>
      </c>
      <c r="AJ16713" s="1747"/>
      <c r="AK16713" s="1748"/>
      <c r="AL16713" s="198"/>
      <c r="AM16713" s="198"/>
      <c r="AN16713" s="198"/>
      <c r="AO16713" s="198"/>
    </row>
    <row r="16714" spans="35:41" ht="19.5" thickBot="1" x14ac:dyDescent="0.35">
      <c r="AI16714" s="1746" t="s">
        <v>150</v>
      </c>
      <c r="AJ16714" s="1747"/>
      <c r="AK16714" s="1748"/>
      <c r="AL16714" s="198"/>
      <c r="AM16714" s="198"/>
      <c r="AN16714" s="198"/>
      <c r="AO16714" s="198"/>
    </row>
    <row r="16715" spans="35:41" ht="19.5" thickBot="1" x14ac:dyDescent="0.35">
      <c r="AI16715" s="1746" t="s">
        <v>150</v>
      </c>
      <c r="AJ16715" s="1747"/>
      <c r="AK16715" s="1748"/>
      <c r="AL16715" s="198"/>
      <c r="AM16715" s="198"/>
      <c r="AN16715" s="198"/>
      <c r="AO16715" s="198"/>
    </row>
    <row r="16716" spans="35:41" ht="19.5" thickBot="1" x14ac:dyDescent="0.35">
      <c r="AI16716" s="1746" t="s">
        <v>150</v>
      </c>
      <c r="AJ16716" s="1747"/>
      <c r="AK16716" s="1748"/>
      <c r="AL16716" s="198"/>
      <c r="AM16716" s="198"/>
      <c r="AN16716" s="198"/>
      <c r="AO16716" s="198"/>
    </row>
    <row r="16717" spans="35:41" ht="19.5" thickBot="1" x14ac:dyDescent="0.35">
      <c r="AI16717" s="1746" t="s">
        <v>150</v>
      </c>
      <c r="AJ16717" s="1747"/>
      <c r="AK16717" s="1748"/>
      <c r="AL16717" s="198"/>
      <c r="AM16717" s="198"/>
      <c r="AN16717" s="198"/>
      <c r="AO16717" s="198"/>
    </row>
    <row r="16718" spans="35:41" ht="19.5" thickBot="1" x14ac:dyDescent="0.35">
      <c r="AI16718" s="1746" t="s">
        <v>150</v>
      </c>
      <c r="AJ16718" s="1747"/>
      <c r="AK16718" s="1748"/>
      <c r="AL16718" s="198"/>
      <c r="AM16718" s="198"/>
      <c r="AN16718" s="198"/>
      <c r="AO16718" s="198"/>
    </row>
    <row r="16719" spans="35:41" ht="19.5" thickBot="1" x14ac:dyDescent="0.35">
      <c r="AI16719" s="1746" t="s">
        <v>150</v>
      </c>
      <c r="AJ16719" s="1747"/>
      <c r="AK16719" s="1748"/>
      <c r="AL16719" s="198"/>
      <c r="AM16719" s="198"/>
      <c r="AN16719" s="198"/>
      <c r="AO16719" s="198"/>
    </row>
    <row r="16720" spans="35:41" ht="19.5" thickBot="1" x14ac:dyDescent="0.35">
      <c r="AI16720" s="1746" t="s">
        <v>150</v>
      </c>
      <c r="AJ16720" s="1747"/>
      <c r="AK16720" s="1748"/>
      <c r="AL16720" s="198"/>
      <c r="AM16720" s="198"/>
      <c r="AN16720" s="198"/>
      <c r="AO16720" s="198"/>
    </row>
    <row r="16721" spans="35:41" ht="19.5" thickBot="1" x14ac:dyDescent="0.35">
      <c r="AI16721" s="1746" t="s">
        <v>150</v>
      </c>
      <c r="AJ16721" s="1747"/>
      <c r="AK16721" s="1748"/>
      <c r="AL16721" s="198"/>
      <c r="AM16721" s="198"/>
      <c r="AN16721" s="198"/>
      <c r="AO16721" s="198"/>
    </row>
    <row r="16722" spans="35:41" ht="19.5" thickBot="1" x14ac:dyDescent="0.35">
      <c r="AI16722" s="1746" t="s">
        <v>150</v>
      </c>
      <c r="AJ16722" s="1747"/>
      <c r="AK16722" s="1748"/>
      <c r="AL16722" s="198"/>
      <c r="AM16722" s="198"/>
      <c r="AN16722" s="198"/>
      <c r="AO16722" s="198"/>
    </row>
    <row r="16723" spans="35:41" ht="19.5" thickBot="1" x14ac:dyDescent="0.35">
      <c r="AI16723" s="1746" t="s">
        <v>150</v>
      </c>
      <c r="AJ16723" s="1747"/>
      <c r="AK16723" s="1748"/>
      <c r="AL16723" s="198"/>
      <c r="AM16723" s="198"/>
      <c r="AN16723" s="198"/>
      <c r="AO16723" s="198"/>
    </row>
    <row r="16724" spans="35:41" ht="19.5" thickBot="1" x14ac:dyDescent="0.35">
      <c r="AI16724" s="1746" t="s">
        <v>150</v>
      </c>
      <c r="AJ16724" s="1747"/>
      <c r="AK16724" s="1748"/>
      <c r="AL16724" s="198"/>
      <c r="AM16724" s="198"/>
      <c r="AN16724" s="198"/>
      <c r="AO16724" s="198"/>
    </row>
    <row r="16725" spans="35:41" ht="19.5" thickBot="1" x14ac:dyDescent="0.35">
      <c r="AI16725" s="1746" t="s">
        <v>150</v>
      </c>
      <c r="AJ16725" s="1747"/>
      <c r="AK16725" s="1748"/>
      <c r="AL16725" s="198"/>
      <c r="AM16725" s="198"/>
      <c r="AN16725" s="198"/>
      <c r="AO16725" s="198"/>
    </row>
    <row r="16726" spans="35:41" ht="19.5" thickBot="1" x14ac:dyDescent="0.35">
      <c r="AI16726" s="1746" t="s">
        <v>150</v>
      </c>
      <c r="AJ16726" s="1747"/>
      <c r="AK16726" s="1748"/>
      <c r="AL16726" s="198"/>
      <c r="AM16726" s="198"/>
      <c r="AN16726" s="198"/>
      <c r="AO16726" s="198"/>
    </row>
    <row r="16727" spans="35:41" ht="19.5" thickBot="1" x14ac:dyDescent="0.35">
      <c r="AI16727" s="1746" t="s">
        <v>150</v>
      </c>
      <c r="AJ16727" s="1747"/>
      <c r="AK16727" s="1748"/>
      <c r="AL16727" s="198"/>
      <c r="AM16727" s="198"/>
      <c r="AN16727" s="198"/>
      <c r="AO16727" s="198"/>
    </row>
    <row r="16728" spans="35:41" ht="19.5" thickBot="1" x14ac:dyDescent="0.35">
      <c r="AI16728" s="1746" t="s">
        <v>150</v>
      </c>
      <c r="AJ16728" s="1747"/>
      <c r="AK16728" s="1748"/>
      <c r="AL16728" s="198"/>
      <c r="AM16728" s="198"/>
      <c r="AN16728" s="198"/>
      <c r="AO16728" s="198"/>
    </row>
    <row r="16729" spans="35:41" ht="19.5" thickBot="1" x14ac:dyDescent="0.35">
      <c r="AI16729" s="1746" t="s">
        <v>150</v>
      </c>
      <c r="AJ16729" s="1747"/>
      <c r="AK16729" s="1748"/>
      <c r="AL16729" s="198"/>
      <c r="AM16729" s="198"/>
      <c r="AN16729" s="198"/>
      <c r="AO16729" s="198"/>
    </row>
    <row r="16730" spans="35:41" ht="19.5" thickBot="1" x14ac:dyDescent="0.35">
      <c r="AI16730" s="1746" t="s">
        <v>150</v>
      </c>
      <c r="AJ16730" s="1747"/>
      <c r="AK16730" s="1748"/>
      <c r="AL16730" s="198"/>
      <c r="AM16730" s="198"/>
      <c r="AN16730" s="198"/>
      <c r="AO16730" s="198"/>
    </row>
    <row r="16731" spans="35:41" ht="19.5" thickBot="1" x14ac:dyDescent="0.35">
      <c r="AI16731" s="1746" t="s">
        <v>150</v>
      </c>
      <c r="AJ16731" s="1747"/>
      <c r="AK16731" s="1748"/>
      <c r="AL16731" s="198"/>
      <c r="AM16731" s="198"/>
      <c r="AN16731" s="198"/>
      <c r="AO16731" s="198"/>
    </row>
    <row r="16732" spans="35:41" ht="19.5" thickBot="1" x14ac:dyDescent="0.35">
      <c r="AI16732" s="1746" t="s">
        <v>150</v>
      </c>
      <c r="AJ16732" s="1747"/>
      <c r="AK16732" s="1748"/>
      <c r="AL16732" s="198"/>
      <c r="AM16732" s="198"/>
      <c r="AN16732" s="198"/>
      <c r="AO16732" s="198"/>
    </row>
    <row r="16733" spans="35:41" ht="19.5" thickBot="1" x14ac:dyDescent="0.35">
      <c r="AI16733" s="1746" t="s">
        <v>150</v>
      </c>
      <c r="AJ16733" s="1747"/>
      <c r="AK16733" s="1748"/>
      <c r="AL16733" s="198"/>
      <c r="AM16733" s="198"/>
      <c r="AN16733" s="198"/>
      <c r="AO16733" s="198"/>
    </row>
    <row r="16734" spans="35:41" ht="19.5" thickBot="1" x14ac:dyDescent="0.35">
      <c r="AI16734" s="1746" t="s">
        <v>150</v>
      </c>
      <c r="AJ16734" s="1747"/>
      <c r="AK16734" s="1748"/>
      <c r="AL16734" s="198"/>
      <c r="AM16734" s="198"/>
      <c r="AN16734" s="198"/>
      <c r="AO16734" s="198"/>
    </row>
    <row r="16735" spans="35:41" ht="19.5" thickBot="1" x14ac:dyDescent="0.35">
      <c r="AI16735" s="1746" t="s">
        <v>150</v>
      </c>
      <c r="AJ16735" s="1747"/>
      <c r="AK16735" s="1748"/>
      <c r="AL16735" s="198"/>
      <c r="AM16735" s="198"/>
      <c r="AN16735" s="198"/>
      <c r="AO16735" s="198"/>
    </row>
    <row r="16736" spans="35:41" ht="19.5" thickBot="1" x14ac:dyDescent="0.35">
      <c r="AI16736" s="1746" t="s">
        <v>150</v>
      </c>
      <c r="AJ16736" s="1747"/>
      <c r="AK16736" s="1748"/>
      <c r="AL16736" s="198"/>
      <c r="AM16736" s="198"/>
      <c r="AN16736" s="198"/>
      <c r="AO16736" s="198"/>
    </row>
    <row r="16737" spans="35:41" ht="19.5" thickBot="1" x14ac:dyDescent="0.35">
      <c r="AI16737" s="1746" t="s">
        <v>150</v>
      </c>
      <c r="AJ16737" s="1747"/>
      <c r="AK16737" s="1748"/>
      <c r="AL16737" s="198"/>
      <c r="AM16737" s="198"/>
      <c r="AN16737" s="198"/>
      <c r="AO16737" s="198"/>
    </row>
    <row r="16738" spans="35:41" ht="19.5" thickBot="1" x14ac:dyDescent="0.35">
      <c r="AI16738" s="1746" t="s">
        <v>150</v>
      </c>
      <c r="AJ16738" s="1747"/>
      <c r="AK16738" s="1748"/>
      <c r="AL16738" s="198"/>
      <c r="AM16738" s="198"/>
      <c r="AN16738" s="198"/>
      <c r="AO16738" s="198"/>
    </row>
    <row r="16739" spans="35:41" ht="19.5" thickBot="1" x14ac:dyDescent="0.35">
      <c r="AI16739" s="1746" t="s">
        <v>150</v>
      </c>
      <c r="AJ16739" s="1747"/>
      <c r="AK16739" s="1748"/>
      <c r="AL16739" s="198"/>
      <c r="AM16739" s="198"/>
      <c r="AN16739" s="198"/>
      <c r="AO16739" s="198"/>
    </row>
    <row r="16740" spans="35:41" ht="19.5" thickBot="1" x14ac:dyDescent="0.35">
      <c r="AI16740" s="1746" t="s">
        <v>150</v>
      </c>
      <c r="AJ16740" s="1747"/>
      <c r="AK16740" s="1748"/>
      <c r="AL16740" s="198"/>
      <c r="AM16740" s="198"/>
      <c r="AN16740" s="198"/>
      <c r="AO16740" s="198"/>
    </row>
    <row r="16741" spans="35:41" ht="19.5" thickBot="1" x14ac:dyDescent="0.35">
      <c r="AI16741" s="1746" t="s">
        <v>150</v>
      </c>
      <c r="AJ16741" s="1747"/>
      <c r="AK16741" s="1748"/>
      <c r="AL16741" s="198"/>
      <c r="AM16741" s="198"/>
      <c r="AN16741" s="198"/>
      <c r="AO16741" s="198"/>
    </row>
    <row r="16742" spans="35:41" ht="19.5" thickBot="1" x14ac:dyDescent="0.35">
      <c r="AI16742" s="1746" t="s">
        <v>150</v>
      </c>
      <c r="AJ16742" s="1747"/>
      <c r="AK16742" s="1748"/>
      <c r="AL16742" s="198"/>
      <c r="AM16742" s="198"/>
      <c r="AN16742" s="198"/>
      <c r="AO16742" s="198"/>
    </row>
    <row r="16743" spans="35:41" ht="19.5" thickBot="1" x14ac:dyDescent="0.35">
      <c r="AI16743" s="1746" t="s">
        <v>150</v>
      </c>
      <c r="AJ16743" s="1747"/>
      <c r="AK16743" s="1748"/>
      <c r="AL16743" s="198"/>
      <c r="AM16743" s="198"/>
      <c r="AN16743" s="198"/>
      <c r="AO16743" s="198"/>
    </row>
    <row r="16744" spans="35:41" ht="19.5" thickBot="1" x14ac:dyDescent="0.35">
      <c r="AI16744" s="1746" t="s">
        <v>150</v>
      </c>
      <c r="AJ16744" s="1747"/>
      <c r="AK16744" s="1748"/>
      <c r="AL16744" s="198"/>
      <c r="AM16744" s="198"/>
      <c r="AN16744" s="198"/>
      <c r="AO16744" s="198"/>
    </row>
    <row r="16745" spans="35:41" ht="19.5" thickBot="1" x14ac:dyDescent="0.35">
      <c r="AI16745" s="1746" t="s">
        <v>150</v>
      </c>
      <c r="AJ16745" s="1747"/>
      <c r="AK16745" s="1748"/>
      <c r="AL16745" s="198"/>
      <c r="AM16745" s="198"/>
      <c r="AN16745" s="198"/>
      <c r="AO16745" s="198"/>
    </row>
    <row r="16746" spans="35:41" ht="19.5" thickBot="1" x14ac:dyDescent="0.35">
      <c r="AI16746" s="1746" t="s">
        <v>150</v>
      </c>
      <c r="AJ16746" s="1747"/>
      <c r="AK16746" s="1748"/>
      <c r="AL16746" s="198"/>
      <c r="AM16746" s="198"/>
      <c r="AN16746" s="198"/>
      <c r="AO16746" s="198"/>
    </row>
    <row r="16747" spans="35:41" ht="19.5" thickBot="1" x14ac:dyDescent="0.35">
      <c r="AI16747" s="1746" t="s">
        <v>150</v>
      </c>
      <c r="AJ16747" s="1747"/>
      <c r="AK16747" s="1748"/>
      <c r="AL16747" s="198"/>
      <c r="AM16747" s="198"/>
      <c r="AN16747" s="198"/>
      <c r="AO16747" s="198"/>
    </row>
    <row r="16748" spans="35:41" ht="19.5" thickBot="1" x14ac:dyDescent="0.35">
      <c r="AI16748" s="1746" t="s">
        <v>150</v>
      </c>
      <c r="AJ16748" s="1747"/>
      <c r="AK16748" s="1748"/>
      <c r="AL16748" s="198"/>
      <c r="AM16748" s="198"/>
      <c r="AN16748" s="198"/>
      <c r="AO16748" s="198"/>
    </row>
    <row r="16749" spans="35:41" ht="19.5" thickBot="1" x14ac:dyDescent="0.35">
      <c r="AI16749" s="1746" t="s">
        <v>150</v>
      </c>
      <c r="AJ16749" s="1747"/>
      <c r="AK16749" s="1748"/>
      <c r="AL16749" s="198"/>
      <c r="AM16749" s="198"/>
      <c r="AN16749" s="198"/>
      <c r="AO16749" s="198"/>
    </row>
    <row r="16750" spans="35:41" ht="19.5" thickBot="1" x14ac:dyDescent="0.35">
      <c r="AI16750" s="1746" t="s">
        <v>150</v>
      </c>
      <c r="AJ16750" s="1747"/>
      <c r="AK16750" s="1748"/>
      <c r="AL16750" s="198"/>
      <c r="AM16750" s="198"/>
      <c r="AN16750" s="198"/>
      <c r="AO16750" s="198"/>
    </row>
    <row r="16751" spans="35:41" ht="19.5" thickBot="1" x14ac:dyDescent="0.35">
      <c r="AI16751" s="1746" t="s">
        <v>150</v>
      </c>
      <c r="AJ16751" s="1747"/>
      <c r="AK16751" s="1748"/>
      <c r="AL16751" s="198"/>
      <c r="AM16751" s="198"/>
      <c r="AN16751" s="198"/>
      <c r="AO16751" s="198"/>
    </row>
    <row r="16752" spans="35:41" ht="19.5" thickBot="1" x14ac:dyDescent="0.35">
      <c r="AI16752" s="1746" t="s">
        <v>150</v>
      </c>
      <c r="AJ16752" s="1747"/>
      <c r="AK16752" s="1748"/>
      <c r="AL16752" s="198"/>
      <c r="AM16752" s="198"/>
      <c r="AN16752" s="198"/>
      <c r="AO16752" s="198"/>
    </row>
    <row r="16753" spans="35:41" ht="19.5" thickBot="1" x14ac:dyDescent="0.35">
      <c r="AI16753" s="1746" t="s">
        <v>150</v>
      </c>
      <c r="AJ16753" s="1747"/>
      <c r="AK16753" s="1748"/>
      <c r="AL16753" s="198"/>
      <c r="AM16753" s="198"/>
      <c r="AN16753" s="198"/>
      <c r="AO16753" s="198"/>
    </row>
    <row r="16754" spans="35:41" ht="19.5" thickBot="1" x14ac:dyDescent="0.35">
      <c r="AI16754" s="1746" t="s">
        <v>150</v>
      </c>
      <c r="AJ16754" s="1747"/>
      <c r="AK16754" s="1748"/>
      <c r="AL16754" s="198"/>
      <c r="AM16754" s="198"/>
      <c r="AN16754" s="198"/>
      <c r="AO16754" s="198"/>
    </row>
    <row r="16755" spans="35:41" ht="19.5" thickBot="1" x14ac:dyDescent="0.35">
      <c r="AI16755" s="1746" t="s">
        <v>150</v>
      </c>
      <c r="AJ16755" s="1747"/>
      <c r="AK16755" s="1748"/>
      <c r="AL16755" s="198"/>
      <c r="AM16755" s="198"/>
      <c r="AN16755" s="198"/>
      <c r="AO16755" s="198"/>
    </row>
    <row r="16756" spans="35:41" ht="19.5" thickBot="1" x14ac:dyDescent="0.35">
      <c r="AI16756" s="1746" t="s">
        <v>150</v>
      </c>
      <c r="AJ16756" s="1747"/>
      <c r="AK16756" s="1748"/>
      <c r="AL16756" s="198"/>
      <c r="AM16756" s="198"/>
      <c r="AN16756" s="198"/>
      <c r="AO16756" s="198"/>
    </row>
    <row r="16757" spans="35:41" ht="19.5" thickBot="1" x14ac:dyDescent="0.35">
      <c r="AI16757" s="1746" t="s">
        <v>150</v>
      </c>
      <c r="AJ16757" s="1747"/>
      <c r="AK16757" s="1748"/>
      <c r="AL16757" s="198"/>
      <c r="AM16757" s="198"/>
      <c r="AN16757" s="198"/>
      <c r="AO16757" s="198"/>
    </row>
    <row r="16758" spans="35:41" ht="19.5" thickBot="1" x14ac:dyDescent="0.35">
      <c r="AI16758" s="1746" t="s">
        <v>150</v>
      </c>
      <c r="AJ16758" s="1747"/>
      <c r="AK16758" s="1748"/>
      <c r="AL16758" s="198"/>
      <c r="AM16758" s="198"/>
      <c r="AN16758" s="198"/>
      <c r="AO16758" s="198"/>
    </row>
    <row r="16759" spans="35:41" ht="19.5" thickBot="1" x14ac:dyDescent="0.35">
      <c r="AI16759" s="1746" t="s">
        <v>150</v>
      </c>
      <c r="AJ16759" s="1747"/>
      <c r="AK16759" s="1748"/>
      <c r="AL16759" s="198"/>
      <c r="AM16759" s="198"/>
      <c r="AN16759" s="198"/>
      <c r="AO16759" s="198"/>
    </row>
    <row r="16760" spans="35:41" ht="19.5" thickBot="1" x14ac:dyDescent="0.35">
      <c r="AI16760" s="1746" t="s">
        <v>150</v>
      </c>
      <c r="AJ16760" s="1747"/>
      <c r="AK16760" s="1748"/>
      <c r="AL16760" s="198"/>
      <c r="AM16760" s="198"/>
      <c r="AN16760" s="198"/>
      <c r="AO16760" s="198"/>
    </row>
    <row r="16761" spans="35:41" ht="19.5" thickBot="1" x14ac:dyDescent="0.35">
      <c r="AI16761" s="1746" t="s">
        <v>150</v>
      </c>
      <c r="AJ16761" s="1747"/>
      <c r="AK16761" s="1748"/>
      <c r="AL16761" s="198"/>
      <c r="AM16761" s="198"/>
      <c r="AN16761" s="198"/>
      <c r="AO16761" s="198"/>
    </row>
    <row r="16762" spans="35:41" ht="19.5" thickBot="1" x14ac:dyDescent="0.35">
      <c r="AI16762" s="1746" t="s">
        <v>150</v>
      </c>
      <c r="AJ16762" s="1747"/>
      <c r="AK16762" s="1748"/>
      <c r="AL16762" s="198"/>
      <c r="AM16762" s="198"/>
      <c r="AN16762" s="198"/>
      <c r="AO16762" s="198"/>
    </row>
    <row r="16763" spans="35:41" ht="19.5" thickBot="1" x14ac:dyDescent="0.35">
      <c r="AI16763" s="1746" t="s">
        <v>150</v>
      </c>
      <c r="AJ16763" s="1747"/>
      <c r="AK16763" s="1748"/>
      <c r="AL16763" s="198"/>
      <c r="AM16763" s="198"/>
      <c r="AN16763" s="198"/>
      <c r="AO16763" s="198"/>
    </row>
    <row r="16764" spans="35:41" ht="19.5" thickBot="1" x14ac:dyDescent="0.35">
      <c r="AI16764" s="1746" t="s">
        <v>150</v>
      </c>
      <c r="AJ16764" s="1747"/>
      <c r="AK16764" s="1748"/>
      <c r="AL16764" s="198"/>
      <c r="AM16764" s="198"/>
      <c r="AN16764" s="198"/>
      <c r="AO16764" s="198"/>
    </row>
    <row r="16765" spans="35:41" ht="19.5" thickBot="1" x14ac:dyDescent="0.35">
      <c r="AI16765" s="1746" t="s">
        <v>150</v>
      </c>
      <c r="AJ16765" s="1747"/>
      <c r="AK16765" s="1748"/>
      <c r="AL16765" s="198"/>
      <c r="AM16765" s="198"/>
      <c r="AN16765" s="198"/>
      <c r="AO16765" s="198"/>
    </row>
    <row r="16766" spans="35:41" ht="19.5" thickBot="1" x14ac:dyDescent="0.35">
      <c r="AI16766" s="1746" t="s">
        <v>150</v>
      </c>
      <c r="AJ16766" s="1747"/>
      <c r="AK16766" s="1748"/>
      <c r="AL16766" s="198"/>
      <c r="AM16766" s="198"/>
      <c r="AN16766" s="198"/>
      <c r="AO16766" s="198"/>
    </row>
    <row r="16767" spans="35:41" ht="19.5" thickBot="1" x14ac:dyDescent="0.35">
      <c r="AI16767" s="1746" t="s">
        <v>150</v>
      </c>
      <c r="AJ16767" s="1747"/>
      <c r="AK16767" s="1748"/>
      <c r="AL16767" s="198"/>
      <c r="AM16767" s="198"/>
      <c r="AN16767" s="198"/>
      <c r="AO16767" s="198"/>
    </row>
    <row r="16768" spans="35:41" ht="19.5" thickBot="1" x14ac:dyDescent="0.35">
      <c r="AI16768" s="1746" t="s">
        <v>150</v>
      </c>
      <c r="AJ16768" s="1747"/>
      <c r="AK16768" s="1748"/>
      <c r="AL16768" s="198"/>
      <c r="AM16768" s="198"/>
      <c r="AN16768" s="198"/>
      <c r="AO16768" s="198"/>
    </row>
    <row r="16769" spans="35:41" ht="19.5" thickBot="1" x14ac:dyDescent="0.35">
      <c r="AI16769" s="1746" t="s">
        <v>150</v>
      </c>
      <c r="AJ16769" s="1747"/>
      <c r="AK16769" s="1748"/>
      <c r="AL16769" s="198"/>
      <c r="AM16769" s="198"/>
      <c r="AN16769" s="198"/>
      <c r="AO16769" s="198"/>
    </row>
    <row r="16770" spans="35:41" ht="19.5" thickBot="1" x14ac:dyDescent="0.35">
      <c r="AI16770" s="1746" t="s">
        <v>150</v>
      </c>
      <c r="AJ16770" s="1747"/>
      <c r="AK16770" s="1748"/>
      <c r="AL16770" s="198"/>
      <c r="AM16770" s="198"/>
      <c r="AN16770" s="198"/>
      <c r="AO16770" s="198"/>
    </row>
    <row r="16771" spans="35:41" ht="19.5" thickBot="1" x14ac:dyDescent="0.35">
      <c r="AI16771" s="1746" t="s">
        <v>150</v>
      </c>
      <c r="AJ16771" s="1747"/>
      <c r="AK16771" s="1748"/>
      <c r="AL16771" s="198"/>
      <c r="AM16771" s="198"/>
      <c r="AN16771" s="198"/>
      <c r="AO16771" s="198"/>
    </row>
    <row r="16772" spans="35:41" ht="19.5" thickBot="1" x14ac:dyDescent="0.35">
      <c r="AI16772" s="1746" t="s">
        <v>150</v>
      </c>
      <c r="AJ16772" s="1747"/>
      <c r="AK16772" s="1748"/>
      <c r="AL16772" s="198"/>
      <c r="AM16772" s="198"/>
      <c r="AN16772" s="198"/>
      <c r="AO16772" s="198"/>
    </row>
    <row r="16773" spans="35:41" ht="19.5" thickBot="1" x14ac:dyDescent="0.35">
      <c r="AI16773" s="1746" t="s">
        <v>150</v>
      </c>
      <c r="AJ16773" s="1747"/>
      <c r="AK16773" s="1748"/>
      <c r="AL16773" s="198"/>
      <c r="AM16773" s="198"/>
      <c r="AN16773" s="198"/>
      <c r="AO16773" s="198"/>
    </row>
    <row r="16774" spans="35:41" ht="19.5" thickBot="1" x14ac:dyDescent="0.35">
      <c r="AI16774" s="1746" t="s">
        <v>150</v>
      </c>
      <c r="AJ16774" s="1747"/>
      <c r="AK16774" s="1748"/>
      <c r="AL16774" s="198"/>
      <c r="AM16774" s="198"/>
      <c r="AN16774" s="198"/>
      <c r="AO16774" s="198"/>
    </row>
    <row r="16775" spans="35:41" ht="19.5" thickBot="1" x14ac:dyDescent="0.35">
      <c r="AI16775" s="1746" t="s">
        <v>150</v>
      </c>
      <c r="AJ16775" s="1747"/>
      <c r="AK16775" s="1748"/>
      <c r="AL16775" s="198"/>
      <c r="AM16775" s="198"/>
      <c r="AN16775" s="198"/>
      <c r="AO16775" s="198"/>
    </row>
    <row r="16776" spans="35:41" ht="19.5" thickBot="1" x14ac:dyDescent="0.35">
      <c r="AI16776" s="1746" t="s">
        <v>150</v>
      </c>
      <c r="AJ16776" s="1747"/>
      <c r="AK16776" s="1748"/>
      <c r="AL16776" s="198"/>
      <c r="AM16776" s="198"/>
      <c r="AN16776" s="198"/>
      <c r="AO16776" s="198"/>
    </row>
    <row r="16777" spans="35:41" ht="19.5" thickBot="1" x14ac:dyDescent="0.35">
      <c r="AI16777" s="1746" t="s">
        <v>150</v>
      </c>
      <c r="AJ16777" s="1747"/>
      <c r="AK16777" s="1748"/>
      <c r="AL16777" s="198"/>
      <c r="AM16777" s="198"/>
      <c r="AN16777" s="198"/>
      <c r="AO16777" s="198"/>
    </row>
    <row r="16778" spans="35:41" ht="19.5" thickBot="1" x14ac:dyDescent="0.35">
      <c r="AI16778" s="1746" t="s">
        <v>150</v>
      </c>
      <c r="AJ16778" s="1747"/>
      <c r="AK16778" s="1748"/>
      <c r="AL16778" s="198"/>
      <c r="AM16778" s="198"/>
      <c r="AN16778" s="198"/>
      <c r="AO16778" s="198"/>
    </row>
    <row r="16779" spans="35:41" ht="19.5" thickBot="1" x14ac:dyDescent="0.35">
      <c r="AI16779" s="1746" t="s">
        <v>150</v>
      </c>
      <c r="AJ16779" s="1747"/>
      <c r="AK16779" s="1748"/>
      <c r="AL16779" s="198"/>
      <c r="AM16779" s="198"/>
      <c r="AN16779" s="198"/>
      <c r="AO16779" s="198"/>
    </row>
    <row r="16780" spans="35:41" ht="19.5" thickBot="1" x14ac:dyDescent="0.35">
      <c r="AI16780" s="1746" t="s">
        <v>150</v>
      </c>
      <c r="AJ16780" s="1747"/>
      <c r="AK16780" s="1748"/>
      <c r="AL16780" s="198"/>
      <c r="AM16780" s="198"/>
      <c r="AN16780" s="198"/>
      <c r="AO16780" s="198"/>
    </row>
    <row r="16781" spans="35:41" ht="19.5" thickBot="1" x14ac:dyDescent="0.35">
      <c r="AI16781" s="1746" t="s">
        <v>150</v>
      </c>
      <c r="AJ16781" s="1747"/>
      <c r="AK16781" s="1748"/>
      <c r="AL16781" s="198"/>
      <c r="AM16781" s="198"/>
      <c r="AN16781" s="198"/>
      <c r="AO16781" s="198"/>
    </row>
    <row r="16782" spans="35:41" ht="19.5" thickBot="1" x14ac:dyDescent="0.35">
      <c r="AI16782" s="1746" t="s">
        <v>150</v>
      </c>
      <c r="AJ16782" s="1747"/>
      <c r="AK16782" s="1748"/>
      <c r="AL16782" s="198"/>
      <c r="AM16782" s="198"/>
      <c r="AN16782" s="198"/>
      <c r="AO16782" s="198"/>
    </row>
    <row r="16783" spans="35:41" ht="19.5" thickBot="1" x14ac:dyDescent="0.35">
      <c r="AI16783" s="1746" t="s">
        <v>150</v>
      </c>
      <c r="AJ16783" s="1747"/>
      <c r="AK16783" s="1748"/>
      <c r="AL16783" s="198"/>
      <c r="AM16783" s="198"/>
      <c r="AN16783" s="198"/>
      <c r="AO16783" s="198"/>
    </row>
    <row r="16784" spans="35:41" ht="19.5" thickBot="1" x14ac:dyDescent="0.35">
      <c r="AI16784" s="1746" t="s">
        <v>150</v>
      </c>
      <c r="AJ16784" s="1747"/>
      <c r="AK16784" s="1748"/>
      <c r="AL16784" s="198"/>
      <c r="AM16784" s="198"/>
      <c r="AN16784" s="198"/>
      <c r="AO16784" s="198"/>
    </row>
    <row r="16785" spans="35:41" ht="19.5" thickBot="1" x14ac:dyDescent="0.35">
      <c r="AI16785" s="1746" t="s">
        <v>150</v>
      </c>
      <c r="AJ16785" s="1747"/>
      <c r="AK16785" s="1748"/>
      <c r="AL16785" s="198"/>
      <c r="AM16785" s="198"/>
      <c r="AN16785" s="198"/>
      <c r="AO16785" s="198"/>
    </row>
    <row r="16786" spans="35:41" ht="19.5" thickBot="1" x14ac:dyDescent="0.35">
      <c r="AI16786" s="1746" t="s">
        <v>150</v>
      </c>
      <c r="AJ16786" s="1747"/>
      <c r="AK16786" s="1748"/>
      <c r="AL16786" s="198"/>
      <c r="AM16786" s="198"/>
      <c r="AN16786" s="198"/>
      <c r="AO16786" s="198"/>
    </row>
    <row r="16787" spans="35:41" ht="19.5" thickBot="1" x14ac:dyDescent="0.35">
      <c r="AI16787" s="1746" t="s">
        <v>150</v>
      </c>
      <c r="AJ16787" s="1747"/>
      <c r="AK16787" s="1748"/>
      <c r="AL16787" s="198"/>
      <c r="AM16787" s="198"/>
      <c r="AN16787" s="198"/>
      <c r="AO16787" s="198"/>
    </row>
    <row r="16788" spans="35:41" ht="19.5" thickBot="1" x14ac:dyDescent="0.35">
      <c r="AI16788" s="1746" t="s">
        <v>150</v>
      </c>
      <c r="AJ16788" s="1747"/>
      <c r="AK16788" s="1748"/>
      <c r="AL16788" s="198"/>
      <c r="AM16788" s="198"/>
      <c r="AN16788" s="198"/>
      <c r="AO16788" s="198"/>
    </row>
    <row r="16789" spans="35:41" ht="19.5" thickBot="1" x14ac:dyDescent="0.35">
      <c r="AI16789" s="1746" t="s">
        <v>150</v>
      </c>
      <c r="AJ16789" s="1747"/>
      <c r="AK16789" s="1748"/>
      <c r="AL16789" s="198"/>
      <c r="AM16789" s="198"/>
      <c r="AN16789" s="198"/>
      <c r="AO16789" s="198"/>
    </row>
    <row r="16790" spans="35:41" ht="19.5" thickBot="1" x14ac:dyDescent="0.35">
      <c r="AI16790" s="1746" t="s">
        <v>150</v>
      </c>
      <c r="AJ16790" s="1747"/>
      <c r="AK16790" s="1748"/>
      <c r="AL16790" s="198"/>
      <c r="AM16790" s="198"/>
      <c r="AN16790" s="198"/>
      <c r="AO16790" s="198"/>
    </row>
    <row r="16791" spans="35:41" ht="19.5" thickBot="1" x14ac:dyDescent="0.35">
      <c r="AI16791" s="1746" t="s">
        <v>150</v>
      </c>
      <c r="AJ16791" s="1747"/>
      <c r="AK16791" s="1748"/>
      <c r="AL16791" s="198"/>
      <c r="AM16791" s="198"/>
      <c r="AN16791" s="198"/>
      <c r="AO16791" s="198"/>
    </row>
    <row r="16792" spans="35:41" ht="19.5" thickBot="1" x14ac:dyDescent="0.35">
      <c r="AI16792" s="1746" t="s">
        <v>150</v>
      </c>
      <c r="AJ16792" s="1747"/>
      <c r="AK16792" s="1748"/>
      <c r="AL16792" s="198"/>
      <c r="AM16792" s="198"/>
      <c r="AN16792" s="198"/>
      <c r="AO16792" s="198"/>
    </row>
    <row r="16793" spans="35:41" ht="19.5" thickBot="1" x14ac:dyDescent="0.35">
      <c r="AI16793" s="1746" t="s">
        <v>150</v>
      </c>
      <c r="AJ16793" s="1747"/>
      <c r="AK16793" s="1748"/>
      <c r="AL16793" s="198"/>
      <c r="AM16793" s="198"/>
      <c r="AN16793" s="198"/>
      <c r="AO16793" s="198"/>
    </row>
    <row r="16794" spans="35:41" ht="19.5" thickBot="1" x14ac:dyDescent="0.35">
      <c r="AI16794" s="1746" t="s">
        <v>150</v>
      </c>
      <c r="AJ16794" s="1747"/>
      <c r="AK16794" s="1748"/>
      <c r="AL16794" s="198"/>
      <c r="AM16794" s="198"/>
      <c r="AN16794" s="198"/>
      <c r="AO16794" s="198"/>
    </row>
    <row r="16795" spans="35:41" ht="19.5" thickBot="1" x14ac:dyDescent="0.35">
      <c r="AI16795" s="1746" t="s">
        <v>150</v>
      </c>
      <c r="AJ16795" s="1747"/>
      <c r="AK16795" s="1748"/>
      <c r="AL16795" s="198"/>
      <c r="AM16795" s="198"/>
      <c r="AN16795" s="198"/>
      <c r="AO16795" s="198"/>
    </row>
    <row r="16796" spans="35:41" ht="19.5" thickBot="1" x14ac:dyDescent="0.35">
      <c r="AI16796" s="1746" t="s">
        <v>150</v>
      </c>
      <c r="AJ16796" s="1747"/>
      <c r="AK16796" s="1748"/>
      <c r="AL16796" s="198"/>
      <c r="AM16796" s="198"/>
      <c r="AN16796" s="198"/>
      <c r="AO16796" s="198"/>
    </row>
    <row r="16797" spans="35:41" ht="19.5" thickBot="1" x14ac:dyDescent="0.35">
      <c r="AI16797" s="1746" t="s">
        <v>150</v>
      </c>
      <c r="AJ16797" s="1747"/>
      <c r="AK16797" s="1748"/>
      <c r="AL16797" s="198"/>
      <c r="AM16797" s="198"/>
      <c r="AN16797" s="198"/>
      <c r="AO16797" s="198"/>
    </row>
    <row r="16798" spans="35:41" ht="19.5" thickBot="1" x14ac:dyDescent="0.35">
      <c r="AI16798" s="1746" t="s">
        <v>150</v>
      </c>
      <c r="AJ16798" s="1747"/>
      <c r="AK16798" s="1748"/>
      <c r="AL16798" s="198"/>
      <c r="AM16798" s="198"/>
      <c r="AN16798" s="198"/>
      <c r="AO16798" s="198"/>
    </row>
    <row r="16799" spans="35:41" ht="19.5" thickBot="1" x14ac:dyDescent="0.35">
      <c r="AI16799" s="1746" t="s">
        <v>150</v>
      </c>
      <c r="AJ16799" s="1747"/>
      <c r="AK16799" s="1748"/>
      <c r="AL16799" s="198"/>
      <c r="AM16799" s="198"/>
      <c r="AN16799" s="198"/>
      <c r="AO16799" s="198"/>
    </row>
    <row r="16800" spans="35:41" ht="19.5" thickBot="1" x14ac:dyDescent="0.35">
      <c r="AI16800" s="1746" t="s">
        <v>150</v>
      </c>
      <c r="AJ16800" s="1747"/>
      <c r="AK16800" s="1748"/>
      <c r="AL16800" s="198"/>
      <c r="AM16800" s="198"/>
      <c r="AN16800" s="198"/>
      <c r="AO16800" s="198"/>
    </row>
    <row r="16801" spans="35:41" ht="19.5" thickBot="1" x14ac:dyDescent="0.35">
      <c r="AI16801" s="1746" t="s">
        <v>150</v>
      </c>
      <c r="AJ16801" s="1747"/>
      <c r="AK16801" s="1748"/>
      <c r="AL16801" s="198"/>
      <c r="AM16801" s="198"/>
      <c r="AN16801" s="198"/>
      <c r="AO16801" s="198"/>
    </row>
    <row r="16802" spans="35:41" ht="19.5" thickBot="1" x14ac:dyDescent="0.35">
      <c r="AI16802" s="1746" t="s">
        <v>150</v>
      </c>
      <c r="AJ16802" s="1747"/>
      <c r="AK16802" s="1748"/>
      <c r="AL16802" s="198"/>
      <c r="AM16802" s="198"/>
      <c r="AN16802" s="198"/>
      <c r="AO16802" s="198"/>
    </row>
    <row r="16803" spans="35:41" ht="19.5" thickBot="1" x14ac:dyDescent="0.35">
      <c r="AI16803" s="1746" t="s">
        <v>150</v>
      </c>
      <c r="AJ16803" s="1747"/>
      <c r="AK16803" s="1748"/>
      <c r="AL16803" s="198"/>
      <c r="AM16803" s="198"/>
      <c r="AN16803" s="198"/>
      <c r="AO16803" s="198"/>
    </row>
    <row r="16804" spans="35:41" ht="19.5" thickBot="1" x14ac:dyDescent="0.35">
      <c r="AI16804" s="1746" t="s">
        <v>150</v>
      </c>
      <c r="AJ16804" s="1747"/>
      <c r="AK16804" s="1748"/>
      <c r="AL16804" s="198"/>
      <c r="AM16804" s="198"/>
      <c r="AN16804" s="198"/>
      <c r="AO16804" s="198"/>
    </row>
    <row r="16805" spans="35:41" ht="19.5" thickBot="1" x14ac:dyDescent="0.35">
      <c r="AI16805" s="1746" t="s">
        <v>150</v>
      </c>
      <c r="AJ16805" s="1747"/>
      <c r="AK16805" s="1748"/>
      <c r="AL16805" s="198"/>
      <c r="AM16805" s="198"/>
      <c r="AN16805" s="198"/>
      <c r="AO16805" s="198"/>
    </row>
    <row r="16806" spans="35:41" ht="19.5" thickBot="1" x14ac:dyDescent="0.35">
      <c r="AI16806" s="1746" t="s">
        <v>150</v>
      </c>
      <c r="AJ16806" s="1747"/>
      <c r="AK16806" s="1748"/>
      <c r="AL16806" s="198"/>
      <c r="AM16806" s="198"/>
      <c r="AN16806" s="198"/>
      <c r="AO16806" s="198"/>
    </row>
    <row r="16807" spans="35:41" ht="19.5" thickBot="1" x14ac:dyDescent="0.35">
      <c r="AI16807" s="1746" t="s">
        <v>150</v>
      </c>
      <c r="AJ16807" s="1747"/>
      <c r="AK16807" s="1748"/>
      <c r="AL16807" s="198"/>
      <c r="AM16807" s="198"/>
      <c r="AN16807" s="198"/>
      <c r="AO16807" s="198"/>
    </row>
    <row r="16808" spans="35:41" ht="19.5" thickBot="1" x14ac:dyDescent="0.35">
      <c r="AI16808" s="1746" t="s">
        <v>150</v>
      </c>
      <c r="AJ16808" s="1747"/>
      <c r="AK16808" s="1748"/>
      <c r="AL16808" s="198"/>
      <c r="AM16808" s="198"/>
      <c r="AN16808" s="198"/>
      <c r="AO16808" s="198"/>
    </row>
    <row r="16809" spans="35:41" ht="19.5" thickBot="1" x14ac:dyDescent="0.35">
      <c r="AI16809" s="1746" t="s">
        <v>150</v>
      </c>
      <c r="AJ16809" s="1747"/>
      <c r="AK16809" s="1748"/>
      <c r="AL16809" s="198"/>
      <c r="AM16809" s="198"/>
      <c r="AN16809" s="198"/>
      <c r="AO16809" s="198"/>
    </row>
    <row r="16810" spans="35:41" ht="19.5" thickBot="1" x14ac:dyDescent="0.35">
      <c r="AI16810" s="1746" t="s">
        <v>150</v>
      </c>
      <c r="AJ16810" s="1747"/>
      <c r="AK16810" s="1748"/>
      <c r="AL16810" s="198"/>
      <c r="AM16810" s="198"/>
      <c r="AN16810" s="198"/>
      <c r="AO16810" s="198"/>
    </row>
    <row r="16811" spans="35:41" ht="19.5" thickBot="1" x14ac:dyDescent="0.35">
      <c r="AI16811" s="1746" t="s">
        <v>150</v>
      </c>
      <c r="AJ16811" s="1747"/>
      <c r="AK16811" s="1748"/>
      <c r="AL16811" s="198"/>
      <c r="AM16811" s="198"/>
      <c r="AN16811" s="198"/>
      <c r="AO16811" s="198"/>
    </row>
    <row r="16812" spans="35:41" ht="19.5" thickBot="1" x14ac:dyDescent="0.35">
      <c r="AI16812" s="1746" t="s">
        <v>150</v>
      </c>
      <c r="AJ16812" s="1747"/>
      <c r="AK16812" s="1748"/>
      <c r="AL16812" s="198"/>
      <c r="AM16812" s="198"/>
      <c r="AN16812" s="198"/>
      <c r="AO16812" s="198"/>
    </row>
    <row r="16813" spans="35:41" ht="19.5" thickBot="1" x14ac:dyDescent="0.35">
      <c r="AI16813" s="1746" t="s">
        <v>150</v>
      </c>
      <c r="AJ16813" s="1747"/>
      <c r="AK16813" s="1748"/>
      <c r="AL16813" s="198"/>
      <c r="AM16813" s="198"/>
      <c r="AN16813" s="198"/>
      <c r="AO16813" s="198"/>
    </row>
    <row r="16814" spans="35:41" ht="19.5" thickBot="1" x14ac:dyDescent="0.35">
      <c r="AI16814" s="1746" t="s">
        <v>150</v>
      </c>
      <c r="AJ16814" s="1747"/>
      <c r="AK16814" s="1748"/>
      <c r="AL16814" s="198"/>
      <c r="AM16814" s="198"/>
      <c r="AN16814" s="198"/>
      <c r="AO16814" s="198"/>
    </row>
    <row r="16815" spans="35:41" ht="19.5" thickBot="1" x14ac:dyDescent="0.35">
      <c r="AI16815" s="1746" t="s">
        <v>150</v>
      </c>
      <c r="AJ16815" s="1747"/>
      <c r="AK16815" s="1748"/>
      <c r="AL16815" s="198"/>
      <c r="AM16815" s="198"/>
      <c r="AN16815" s="198"/>
      <c r="AO16815" s="198"/>
    </row>
    <row r="16816" spans="35:41" ht="19.5" thickBot="1" x14ac:dyDescent="0.35">
      <c r="AI16816" s="1746" t="s">
        <v>150</v>
      </c>
      <c r="AJ16816" s="1747"/>
      <c r="AK16816" s="1748"/>
      <c r="AL16816" s="198"/>
      <c r="AM16816" s="198"/>
      <c r="AN16816" s="198"/>
      <c r="AO16816" s="198"/>
    </row>
    <row r="16817" spans="35:41" ht="19.5" thickBot="1" x14ac:dyDescent="0.35">
      <c r="AI16817" s="1746" t="s">
        <v>150</v>
      </c>
      <c r="AJ16817" s="1747"/>
      <c r="AK16817" s="1748"/>
      <c r="AL16817" s="198"/>
      <c r="AM16817" s="198"/>
      <c r="AN16817" s="198"/>
      <c r="AO16817" s="198"/>
    </row>
    <row r="16818" spans="35:41" ht="19.5" thickBot="1" x14ac:dyDescent="0.35">
      <c r="AI16818" s="1746" t="s">
        <v>150</v>
      </c>
      <c r="AJ16818" s="1747"/>
      <c r="AK16818" s="1748"/>
      <c r="AL16818" s="198"/>
      <c r="AM16818" s="198"/>
      <c r="AN16818" s="198"/>
      <c r="AO16818" s="198"/>
    </row>
    <row r="16819" spans="35:41" ht="19.5" thickBot="1" x14ac:dyDescent="0.35">
      <c r="AI16819" s="1746" t="s">
        <v>150</v>
      </c>
      <c r="AJ16819" s="1747"/>
      <c r="AK16819" s="1748"/>
      <c r="AL16819" s="198"/>
      <c r="AM16819" s="198"/>
      <c r="AN16819" s="198"/>
      <c r="AO16819" s="198"/>
    </row>
    <row r="16820" spans="35:41" ht="19.5" thickBot="1" x14ac:dyDescent="0.35">
      <c r="AI16820" s="1746" t="s">
        <v>150</v>
      </c>
      <c r="AJ16820" s="1747"/>
      <c r="AK16820" s="1748"/>
      <c r="AL16820" s="198"/>
      <c r="AM16820" s="198"/>
      <c r="AN16820" s="198"/>
      <c r="AO16820" s="198"/>
    </row>
    <row r="16821" spans="35:41" ht="19.5" thickBot="1" x14ac:dyDescent="0.35">
      <c r="AI16821" s="1746" t="s">
        <v>150</v>
      </c>
      <c r="AJ16821" s="1747"/>
      <c r="AK16821" s="1748"/>
      <c r="AL16821" s="198"/>
      <c r="AM16821" s="198"/>
      <c r="AN16821" s="198"/>
      <c r="AO16821" s="198"/>
    </row>
    <row r="16822" spans="35:41" ht="19.5" thickBot="1" x14ac:dyDescent="0.35">
      <c r="AI16822" s="1746" t="s">
        <v>150</v>
      </c>
      <c r="AJ16822" s="1747"/>
      <c r="AK16822" s="1748"/>
      <c r="AL16822" s="198"/>
      <c r="AM16822" s="198"/>
      <c r="AN16822" s="198"/>
      <c r="AO16822" s="198"/>
    </row>
    <row r="16823" spans="35:41" ht="19.5" thickBot="1" x14ac:dyDescent="0.35">
      <c r="AI16823" s="1746" t="s">
        <v>150</v>
      </c>
      <c r="AJ16823" s="1747"/>
      <c r="AK16823" s="1748"/>
      <c r="AL16823" s="198"/>
      <c r="AM16823" s="198"/>
      <c r="AN16823" s="198"/>
      <c r="AO16823" s="198"/>
    </row>
    <row r="16824" spans="35:41" ht="19.5" thickBot="1" x14ac:dyDescent="0.35">
      <c r="AI16824" s="1746" t="s">
        <v>150</v>
      </c>
      <c r="AJ16824" s="1747"/>
      <c r="AK16824" s="1748"/>
      <c r="AL16824" s="198"/>
      <c r="AM16824" s="198"/>
      <c r="AN16824" s="198"/>
      <c r="AO16824" s="198"/>
    </row>
    <row r="16825" spans="35:41" ht="19.5" thickBot="1" x14ac:dyDescent="0.35">
      <c r="AI16825" s="1746" t="s">
        <v>150</v>
      </c>
      <c r="AJ16825" s="1747"/>
      <c r="AK16825" s="1748"/>
      <c r="AL16825" s="198"/>
      <c r="AM16825" s="198"/>
      <c r="AN16825" s="198"/>
      <c r="AO16825" s="198"/>
    </row>
    <row r="16826" spans="35:41" ht="19.5" thickBot="1" x14ac:dyDescent="0.35">
      <c r="AI16826" s="1746" t="s">
        <v>150</v>
      </c>
      <c r="AJ16826" s="1747"/>
      <c r="AK16826" s="1748"/>
      <c r="AL16826" s="198"/>
      <c r="AM16826" s="198"/>
      <c r="AN16826" s="198"/>
      <c r="AO16826" s="198"/>
    </row>
    <row r="16827" spans="35:41" ht="19.5" thickBot="1" x14ac:dyDescent="0.35">
      <c r="AI16827" s="1746" t="s">
        <v>150</v>
      </c>
      <c r="AJ16827" s="1747"/>
      <c r="AK16827" s="1748"/>
      <c r="AL16827" s="198"/>
      <c r="AM16827" s="198"/>
      <c r="AN16827" s="198"/>
      <c r="AO16827" s="198"/>
    </row>
    <row r="16828" spans="35:41" ht="19.5" thickBot="1" x14ac:dyDescent="0.35">
      <c r="AI16828" s="1746" t="s">
        <v>150</v>
      </c>
      <c r="AJ16828" s="1747"/>
      <c r="AK16828" s="1748"/>
      <c r="AL16828" s="198"/>
      <c r="AM16828" s="198"/>
      <c r="AN16828" s="198"/>
      <c r="AO16828" s="198"/>
    </row>
    <row r="16829" spans="35:41" ht="19.5" thickBot="1" x14ac:dyDescent="0.35">
      <c r="AI16829" s="1746" t="s">
        <v>150</v>
      </c>
      <c r="AJ16829" s="1747"/>
      <c r="AK16829" s="1748"/>
      <c r="AL16829" s="198"/>
      <c r="AM16829" s="198"/>
      <c r="AN16829" s="198"/>
      <c r="AO16829" s="198"/>
    </row>
    <row r="16830" spans="35:41" ht="19.5" thickBot="1" x14ac:dyDescent="0.35">
      <c r="AI16830" s="1746" t="s">
        <v>150</v>
      </c>
      <c r="AJ16830" s="1747"/>
      <c r="AK16830" s="1748"/>
      <c r="AL16830" s="198"/>
      <c r="AM16830" s="198"/>
      <c r="AN16830" s="198"/>
      <c r="AO16830" s="198"/>
    </row>
    <row r="16831" spans="35:41" ht="19.5" thickBot="1" x14ac:dyDescent="0.35">
      <c r="AI16831" s="1746" t="s">
        <v>150</v>
      </c>
      <c r="AJ16831" s="1747"/>
      <c r="AK16831" s="1748"/>
      <c r="AL16831" s="198"/>
      <c r="AM16831" s="198"/>
      <c r="AN16831" s="198"/>
      <c r="AO16831" s="198"/>
    </row>
    <row r="16832" spans="35:41" ht="19.5" thickBot="1" x14ac:dyDescent="0.35">
      <c r="AI16832" s="1746" t="s">
        <v>150</v>
      </c>
      <c r="AJ16832" s="1747"/>
      <c r="AK16832" s="1748"/>
      <c r="AL16832" s="198"/>
      <c r="AM16832" s="198"/>
      <c r="AN16832" s="198"/>
      <c r="AO16832" s="198"/>
    </row>
    <row r="16833" spans="35:41" ht="19.5" thickBot="1" x14ac:dyDescent="0.35">
      <c r="AI16833" s="1746" t="s">
        <v>150</v>
      </c>
      <c r="AJ16833" s="1747"/>
      <c r="AK16833" s="1748"/>
      <c r="AL16833" s="198"/>
      <c r="AM16833" s="198"/>
      <c r="AN16833" s="198"/>
      <c r="AO16833" s="198"/>
    </row>
    <row r="16834" spans="35:41" ht="19.5" thickBot="1" x14ac:dyDescent="0.35">
      <c r="AI16834" s="1746" t="s">
        <v>150</v>
      </c>
      <c r="AJ16834" s="1747"/>
      <c r="AK16834" s="1748"/>
      <c r="AL16834" s="198"/>
      <c r="AM16834" s="198"/>
      <c r="AN16834" s="198"/>
      <c r="AO16834" s="198"/>
    </row>
    <row r="16835" spans="35:41" ht="19.5" thickBot="1" x14ac:dyDescent="0.35">
      <c r="AI16835" s="1746" t="s">
        <v>150</v>
      </c>
      <c r="AJ16835" s="1747"/>
      <c r="AK16835" s="1748"/>
      <c r="AL16835" s="198"/>
      <c r="AM16835" s="198"/>
      <c r="AN16835" s="198"/>
      <c r="AO16835" s="198"/>
    </row>
    <row r="16836" spans="35:41" ht="19.5" thickBot="1" x14ac:dyDescent="0.35">
      <c r="AI16836" s="1746" t="s">
        <v>150</v>
      </c>
      <c r="AJ16836" s="1747"/>
      <c r="AK16836" s="1748"/>
      <c r="AL16836" s="198"/>
      <c r="AM16836" s="198"/>
      <c r="AN16836" s="198"/>
      <c r="AO16836" s="198"/>
    </row>
    <row r="16837" spans="35:41" ht="19.5" thickBot="1" x14ac:dyDescent="0.35">
      <c r="AI16837" s="1746" t="s">
        <v>150</v>
      </c>
      <c r="AJ16837" s="1747"/>
      <c r="AK16837" s="1748"/>
      <c r="AL16837" s="198"/>
      <c r="AM16837" s="198"/>
      <c r="AN16837" s="198"/>
      <c r="AO16837" s="198"/>
    </row>
    <row r="16838" spans="35:41" ht="19.5" thickBot="1" x14ac:dyDescent="0.35">
      <c r="AI16838" s="1746" t="s">
        <v>150</v>
      </c>
      <c r="AJ16838" s="1747"/>
      <c r="AK16838" s="1748"/>
      <c r="AL16838" s="198"/>
      <c r="AM16838" s="198"/>
      <c r="AN16838" s="198"/>
      <c r="AO16838" s="198"/>
    </row>
    <row r="16839" spans="35:41" ht="19.5" thickBot="1" x14ac:dyDescent="0.35">
      <c r="AI16839" s="1746" t="s">
        <v>150</v>
      </c>
      <c r="AJ16839" s="1747"/>
      <c r="AK16839" s="1748"/>
      <c r="AL16839" s="198"/>
      <c r="AM16839" s="198"/>
      <c r="AN16839" s="198"/>
      <c r="AO16839" s="198"/>
    </row>
    <row r="16840" spans="35:41" ht="19.5" thickBot="1" x14ac:dyDescent="0.35">
      <c r="AI16840" s="1746" t="s">
        <v>150</v>
      </c>
      <c r="AJ16840" s="1747"/>
      <c r="AK16840" s="1748"/>
      <c r="AL16840" s="198"/>
      <c r="AM16840" s="198"/>
      <c r="AN16840" s="198"/>
      <c r="AO16840" s="198"/>
    </row>
    <row r="16841" spans="35:41" ht="19.5" thickBot="1" x14ac:dyDescent="0.35">
      <c r="AI16841" s="1746" t="s">
        <v>150</v>
      </c>
      <c r="AJ16841" s="1747"/>
      <c r="AK16841" s="1748"/>
      <c r="AL16841" s="198"/>
      <c r="AM16841" s="198"/>
      <c r="AN16841" s="198"/>
      <c r="AO16841" s="198"/>
    </row>
    <row r="16842" spans="35:41" ht="19.5" thickBot="1" x14ac:dyDescent="0.35">
      <c r="AI16842" s="1746" t="s">
        <v>150</v>
      </c>
      <c r="AJ16842" s="1747"/>
      <c r="AK16842" s="1748"/>
      <c r="AL16842" s="198"/>
      <c r="AM16842" s="198"/>
      <c r="AN16842" s="198"/>
      <c r="AO16842" s="198"/>
    </row>
    <row r="16843" spans="35:41" ht="19.5" thickBot="1" x14ac:dyDescent="0.35">
      <c r="AI16843" s="1746" t="s">
        <v>150</v>
      </c>
      <c r="AJ16843" s="1747"/>
      <c r="AK16843" s="1748"/>
      <c r="AL16843" s="198"/>
      <c r="AM16843" s="198"/>
      <c r="AN16843" s="198"/>
      <c r="AO16843" s="198"/>
    </row>
    <row r="16844" spans="35:41" ht="19.5" thickBot="1" x14ac:dyDescent="0.35">
      <c r="AI16844" s="1746" t="s">
        <v>150</v>
      </c>
      <c r="AJ16844" s="1747"/>
      <c r="AK16844" s="1748"/>
      <c r="AL16844" s="198"/>
      <c r="AM16844" s="198"/>
      <c r="AN16844" s="198"/>
      <c r="AO16844" s="198"/>
    </row>
    <row r="16845" spans="35:41" ht="19.5" thickBot="1" x14ac:dyDescent="0.35">
      <c r="AI16845" s="1746" t="s">
        <v>150</v>
      </c>
      <c r="AJ16845" s="1747"/>
      <c r="AK16845" s="1748"/>
      <c r="AL16845" s="198"/>
      <c r="AM16845" s="198"/>
      <c r="AN16845" s="198"/>
      <c r="AO16845" s="198"/>
    </row>
    <row r="16846" spans="35:41" ht="19.5" thickBot="1" x14ac:dyDescent="0.35">
      <c r="AI16846" s="1746" t="s">
        <v>150</v>
      </c>
      <c r="AJ16846" s="1747"/>
      <c r="AK16846" s="1748"/>
      <c r="AL16846" s="198"/>
      <c r="AM16846" s="198"/>
      <c r="AN16846" s="198"/>
      <c r="AO16846" s="198"/>
    </row>
    <row r="16847" spans="35:41" ht="19.5" thickBot="1" x14ac:dyDescent="0.35">
      <c r="AI16847" s="1746" t="s">
        <v>150</v>
      </c>
      <c r="AJ16847" s="1747"/>
      <c r="AK16847" s="1748"/>
      <c r="AL16847" s="198"/>
      <c r="AM16847" s="198"/>
      <c r="AN16847" s="198"/>
      <c r="AO16847" s="198"/>
    </row>
    <row r="16848" spans="35:41" ht="19.5" thickBot="1" x14ac:dyDescent="0.35">
      <c r="AI16848" s="1746" t="s">
        <v>150</v>
      </c>
      <c r="AJ16848" s="1747"/>
      <c r="AK16848" s="1748"/>
      <c r="AL16848" s="198"/>
      <c r="AM16848" s="198"/>
      <c r="AN16848" s="198"/>
      <c r="AO16848" s="198"/>
    </row>
    <row r="16849" spans="35:41" ht="19.5" thickBot="1" x14ac:dyDescent="0.35">
      <c r="AI16849" s="1746" t="s">
        <v>150</v>
      </c>
      <c r="AJ16849" s="1747"/>
      <c r="AK16849" s="1748"/>
      <c r="AL16849" s="198"/>
      <c r="AM16849" s="198"/>
      <c r="AN16849" s="198"/>
      <c r="AO16849" s="198"/>
    </row>
    <row r="16850" spans="35:41" ht="19.5" thickBot="1" x14ac:dyDescent="0.35">
      <c r="AI16850" s="1746" t="s">
        <v>150</v>
      </c>
      <c r="AJ16850" s="1747"/>
      <c r="AK16850" s="1748"/>
      <c r="AL16850" s="198"/>
      <c r="AM16850" s="198"/>
      <c r="AN16850" s="198"/>
      <c r="AO16850" s="198"/>
    </row>
    <row r="16851" spans="35:41" ht="19.5" thickBot="1" x14ac:dyDescent="0.35">
      <c r="AI16851" s="1746" t="s">
        <v>150</v>
      </c>
      <c r="AJ16851" s="1747"/>
      <c r="AK16851" s="1748"/>
      <c r="AL16851" s="198"/>
      <c r="AM16851" s="198"/>
      <c r="AN16851" s="198"/>
      <c r="AO16851" s="198"/>
    </row>
    <row r="16852" spans="35:41" ht="19.5" thickBot="1" x14ac:dyDescent="0.35">
      <c r="AI16852" s="1746" t="s">
        <v>150</v>
      </c>
      <c r="AJ16852" s="1747"/>
      <c r="AK16852" s="1748"/>
      <c r="AL16852" s="198"/>
      <c r="AM16852" s="198"/>
      <c r="AN16852" s="198"/>
      <c r="AO16852" s="198"/>
    </row>
    <row r="16853" spans="35:41" ht="19.5" thickBot="1" x14ac:dyDescent="0.35">
      <c r="AI16853" s="1746" t="s">
        <v>150</v>
      </c>
      <c r="AJ16853" s="1747"/>
      <c r="AK16853" s="1748"/>
      <c r="AL16853" s="198"/>
      <c r="AM16853" s="198"/>
      <c r="AN16853" s="198"/>
      <c r="AO16853" s="198"/>
    </row>
    <row r="16854" spans="35:41" ht="19.5" thickBot="1" x14ac:dyDescent="0.35">
      <c r="AI16854" s="1746" t="s">
        <v>150</v>
      </c>
      <c r="AJ16854" s="1747"/>
      <c r="AK16854" s="1748"/>
      <c r="AL16854" s="198"/>
      <c r="AM16854" s="198"/>
      <c r="AN16854" s="198"/>
      <c r="AO16854" s="198"/>
    </row>
    <row r="16855" spans="35:41" ht="19.5" thickBot="1" x14ac:dyDescent="0.35">
      <c r="AI16855" s="1746" t="s">
        <v>150</v>
      </c>
      <c r="AJ16855" s="1747"/>
      <c r="AK16855" s="1748"/>
      <c r="AL16855" s="198"/>
      <c r="AM16855" s="198"/>
      <c r="AN16855" s="198"/>
      <c r="AO16855" s="198"/>
    </row>
    <row r="16856" spans="35:41" ht="19.5" thickBot="1" x14ac:dyDescent="0.35">
      <c r="AI16856" s="1746" t="s">
        <v>150</v>
      </c>
      <c r="AJ16856" s="1747"/>
      <c r="AK16856" s="1748"/>
      <c r="AL16856" s="198"/>
      <c r="AM16856" s="198"/>
      <c r="AN16856" s="198"/>
      <c r="AO16856" s="198"/>
    </row>
    <row r="16857" spans="35:41" ht="19.5" thickBot="1" x14ac:dyDescent="0.35">
      <c r="AI16857" s="1746" t="s">
        <v>150</v>
      </c>
      <c r="AJ16857" s="1747"/>
      <c r="AK16857" s="1748"/>
      <c r="AL16857" s="198"/>
      <c r="AM16857" s="198"/>
      <c r="AN16857" s="198"/>
      <c r="AO16857" s="198"/>
    </row>
    <row r="16858" spans="35:41" ht="19.5" thickBot="1" x14ac:dyDescent="0.35">
      <c r="AI16858" s="1746" t="s">
        <v>150</v>
      </c>
      <c r="AJ16858" s="1747"/>
      <c r="AK16858" s="1748"/>
      <c r="AL16858" s="198"/>
      <c r="AM16858" s="198"/>
      <c r="AN16858" s="198"/>
      <c r="AO16858" s="198"/>
    </row>
    <row r="16859" spans="35:41" ht="19.5" thickBot="1" x14ac:dyDescent="0.35">
      <c r="AI16859" s="1746" t="s">
        <v>150</v>
      </c>
      <c r="AJ16859" s="1747"/>
      <c r="AK16859" s="1748"/>
      <c r="AL16859" s="198"/>
      <c r="AM16859" s="198"/>
      <c r="AN16859" s="198"/>
      <c r="AO16859" s="198"/>
    </row>
    <row r="16860" spans="35:41" ht="19.5" thickBot="1" x14ac:dyDescent="0.35">
      <c r="AI16860" s="1746" t="s">
        <v>150</v>
      </c>
      <c r="AJ16860" s="1747"/>
      <c r="AK16860" s="1748"/>
      <c r="AL16860" s="198"/>
      <c r="AM16860" s="198"/>
      <c r="AN16860" s="198"/>
      <c r="AO16860" s="198"/>
    </row>
    <row r="16861" spans="35:41" ht="19.5" thickBot="1" x14ac:dyDescent="0.35">
      <c r="AI16861" s="1746" t="s">
        <v>150</v>
      </c>
      <c r="AJ16861" s="1747"/>
      <c r="AK16861" s="1748"/>
      <c r="AL16861" s="198"/>
      <c r="AM16861" s="198"/>
      <c r="AN16861" s="198"/>
      <c r="AO16861" s="198"/>
    </row>
    <row r="16862" spans="35:41" ht="19.5" thickBot="1" x14ac:dyDescent="0.35">
      <c r="AI16862" s="1746" t="s">
        <v>150</v>
      </c>
      <c r="AJ16862" s="1747"/>
      <c r="AK16862" s="1748"/>
      <c r="AL16862" s="198"/>
      <c r="AM16862" s="198"/>
      <c r="AN16862" s="198"/>
      <c r="AO16862" s="198"/>
    </row>
    <row r="16863" spans="35:41" ht="19.5" thickBot="1" x14ac:dyDescent="0.35">
      <c r="AI16863" s="1746" t="s">
        <v>150</v>
      </c>
      <c r="AJ16863" s="1747"/>
      <c r="AK16863" s="1748"/>
      <c r="AL16863" s="198"/>
      <c r="AM16863" s="198"/>
      <c r="AN16863" s="198"/>
      <c r="AO16863" s="198"/>
    </row>
    <row r="16864" spans="35:41" ht="19.5" thickBot="1" x14ac:dyDescent="0.35">
      <c r="AI16864" s="1746" t="s">
        <v>150</v>
      </c>
      <c r="AJ16864" s="1747"/>
      <c r="AK16864" s="1748"/>
      <c r="AL16864" s="198"/>
      <c r="AM16864" s="198"/>
      <c r="AN16864" s="198"/>
      <c r="AO16864" s="198"/>
    </row>
    <row r="16865" spans="35:41" ht="19.5" thickBot="1" x14ac:dyDescent="0.35">
      <c r="AI16865" s="1746" t="s">
        <v>150</v>
      </c>
      <c r="AJ16865" s="1747"/>
      <c r="AK16865" s="1748"/>
      <c r="AL16865" s="198"/>
      <c r="AM16865" s="198"/>
      <c r="AN16865" s="198"/>
      <c r="AO16865" s="198"/>
    </row>
    <row r="16866" spans="35:41" ht="19.5" thickBot="1" x14ac:dyDescent="0.35">
      <c r="AI16866" s="1746" t="s">
        <v>150</v>
      </c>
      <c r="AJ16866" s="1747"/>
      <c r="AK16866" s="1748"/>
      <c r="AL16866" s="198"/>
      <c r="AM16866" s="198"/>
      <c r="AN16866" s="198"/>
      <c r="AO16866" s="198"/>
    </row>
    <row r="16867" spans="35:41" ht="19.5" thickBot="1" x14ac:dyDescent="0.35">
      <c r="AI16867" s="1746" t="s">
        <v>150</v>
      </c>
      <c r="AJ16867" s="1747"/>
      <c r="AK16867" s="1748"/>
      <c r="AL16867" s="198"/>
      <c r="AM16867" s="198"/>
      <c r="AN16867" s="198"/>
      <c r="AO16867" s="198"/>
    </row>
    <row r="16868" spans="35:41" ht="19.5" thickBot="1" x14ac:dyDescent="0.35">
      <c r="AI16868" s="1746" t="s">
        <v>150</v>
      </c>
      <c r="AJ16868" s="1747"/>
      <c r="AK16868" s="1748"/>
      <c r="AL16868" s="198"/>
      <c r="AM16868" s="198"/>
      <c r="AN16868" s="198"/>
      <c r="AO16868" s="198"/>
    </row>
    <row r="16869" spans="35:41" ht="19.5" thickBot="1" x14ac:dyDescent="0.35">
      <c r="AI16869" s="1746" t="s">
        <v>150</v>
      </c>
      <c r="AJ16869" s="1747"/>
      <c r="AK16869" s="1748"/>
      <c r="AL16869" s="198"/>
      <c r="AM16869" s="198"/>
      <c r="AN16869" s="198"/>
      <c r="AO16869" s="198"/>
    </row>
    <row r="16870" spans="35:41" ht="19.5" thickBot="1" x14ac:dyDescent="0.35">
      <c r="AI16870" s="1746" t="s">
        <v>150</v>
      </c>
      <c r="AJ16870" s="1747"/>
      <c r="AK16870" s="1748"/>
      <c r="AL16870" s="198"/>
      <c r="AM16870" s="198"/>
      <c r="AN16870" s="198"/>
      <c r="AO16870" s="198"/>
    </row>
    <row r="16871" spans="35:41" ht="19.5" thickBot="1" x14ac:dyDescent="0.35">
      <c r="AI16871" s="1746" t="s">
        <v>150</v>
      </c>
      <c r="AJ16871" s="1747"/>
      <c r="AK16871" s="1748"/>
      <c r="AL16871" s="198"/>
      <c r="AM16871" s="198"/>
      <c r="AN16871" s="198"/>
      <c r="AO16871" s="198"/>
    </row>
    <row r="16872" spans="35:41" ht="19.5" thickBot="1" x14ac:dyDescent="0.35">
      <c r="AI16872" s="1746" t="s">
        <v>150</v>
      </c>
      <c r="AJ16872" s="1747"/>
      <c r="AK16872" s="1748"/>
      <c r="AL16872" s="198"/>
      <c r="AM16872" s="198"/>
      <c r="AN16872" s="198"/>
      <c r="AO16872" s="198"/>
    </row>
    <row r="16873" spans="35:41" ht="19.5" thickBot="1" x14ac:dyDescent="0.35">
      <c r="AI16873" s="1746" t="s">
        <v>150</v>
      </c>
      <c r="AJ16873" s="1747"/>
      <c r="AK16873" s="1748"/>
      <c r="AL16873" s="198"/>
      <c r="AM16873" s="198"/>
      <c r="AN16873" s="198"/>
      <c r="AO16873" s="198"/>
    </row>
    <row r="16874" spans="35:41" ht="19.5" thickBot="1" x14ac:dyDescent="0.35">
      <c r="AI16874" s="1746" t="s">
        <v>150</v>
      </c>
      <c r="AJ16874" s="1747"/>
      <c r="AK16874" s="1748"/>
      <c r="AL16874" s="198"/>
      <c r="AM16874" s="198"/>
      <c r="AN16874" s="198"/>
      <c r="AO16874" s="198"/>
    </row>
    <row r="16875" spans="35:41" ht="19.5" thickBot="1" x14ac:dyDescent="0.35">
      <c r="AI16875" s="1746" t="s">
        <v>150</v>
      </c>
      <c r="AJ16875" s="1747"/>
      <c r="AK16875" s="1748"/>
      <c r="AL16875" s="198"/>
      <c r="AM16875" s="198"/>
      <c r="AN16875" s="198"/>
      <c r="AO16875" s="198"/>
    </row>
    <row r="16876" spans="35:41" ht="19.5" thickBot="1" x14ac:dyDescent="0.35">
      <c r="AI16876" s="1746" t="s">
        <v>150</v>
      </c>
      <c r="AJ16876" s="1747"/>
      <c r="AK16876" s="1748"/>
      <c r="AL16876" s="198"/>
      <c r="AM16876" s="198"/>
      <c r="AN16876" s="198"/>
      <c r="AO16876" s="198"/>
    </row>
    <row r="16877" spans="35:41" ht="19.5" thickBot="1" x14ac:dyDescent="0.35">
      <c r="AI16877" s="1746" t="s">
        <v>150</v>
      </c>
      <c r="AJ16877" s="1747"/>
      <c r="AK16877" s="1748"/>
      <c r="AL16877" s="198"/>
      <c r="AM16877" s="198"/>
      <c r="AN16877" s="198"/>
      <c r="AO16877" s="198"/>
    </row>
    <row r="16878" spans="35:41" ht="19.5" thickBot="1" x14ac:dyDescent="0.35">
      <c r="AI16878" s="1746" t="s">
        <v>150</v>
      </c>
      <c r="AJ16878" s="1747"/>
      <c r="AK16878" s="1748"/>
      <c r="AL16878" s="198"/>
      <c r="AM16878" s="198"/>
      <c r="AN16878" s="198"/>
      <c r="AO16878" s="198"/>
    </row>
    <row r="16879" spans="35:41" ht="19.5" thickBot="1" x14ac:dyDescent="0.35">
      <c r="AI16879" s="1746" t="s">
        <v>150</v>
      </c>
      <c r="AJ16879" s="1747"/>
      <c r="AK16879" s="1748"/>
      <c r="AL16879" s="198"/>
      <c r="AM16879" s="198"/>
      <c r="AN16879" s="198"/>
      <c r="AO16879" s="198"/>
    </row>
    <row r="16880" spans="35:41" ht="19.5" thickBot="1" x14ac:dyDescent="0.35">
      <c r="AI16880" s="1746" t="s">
        <v>150</v>
      </c>
      <c r="AJ16880" s="1747"/>
      <c r="AK16880" s="1748"/>
      <c r="AL16880" s="198"/>
      <c r="AM16880" s="198"/>
      <c r="AN16880" s="198"/>
      <c r="AO16880" s="198"/>
    </row>
    <row r="16881" spans="35:41" ht="19.5" thickBot="1" x14ac:dyDescent="0.35">
      <c r="AI16881" s="1746" t="s">
        <v>150</v>
      </c>
      <c r="AJ16881" s="1747"/>
      <c r="AK16881" s="1748"/>
      <c r="AL16881" s="198"/>
      <c r="AM16881" s="198"/>
      <c r="AN16881" s="198"/>
      <c r="AO16881" s="198"/>
    </row>
    <row r="16882" spans="35:41" ht="19.5" thickBot="1" x14ac:dyDescent="0.35">
      <c r="AI16882" s="1746" t="s">
        <v>150</v>
      </c>
      <c r="AJ16882" s="1747"/>
      <c r="AK16882" s="1748"/>
      <c r="AL16882" s="198"/>
      <c r="AM16882" s="198"/>
      <c r="AN16882" s="198"/>
      <c r="AO16882" s="198"/>
    </row>
    <row r="16883" spans="35:41" ht="19.5" thickBot="1" x14ac:dyDescent="0.35">
      <c r="AI16883" s="1746" t="s">
        <v>150</v>
      </c>
      <c r="AJ16883" s="1747"/>
      <c r="AK16883" s="1748"/>
      <c r="AL16883" s="198"/>
      <c r="AM16883" s="198"/>
      <c r="AN16883" s="198"/>
      <c r="AO16883" s="198"/>
    </row>
    <row r="16884" spans="35:41" ht="19.5" thickBot="1" x14ac:dyDescent="0.35">
      <c r="AI16884" s="1746" t="s">
        <v>150</v>
      </c>
      <c r="AJ16884" s="1747"/>
      <c r="AK16884" s="1748"/>
      <c r="AL16884" s="198"/>
      <c r="AM16884" s="198"/>
      <c r="AN16884" s="198"/>
      <c r="AO16884" s="198"/>
    </row>
    <row r="16885" spans="35:41" ht="19.5" thickBot="1" x14ac:dyDescent="0.35">
      <c r="AI16885" s="1746" t="s">
        <v>150</v>
      </c>
      <c r="AJ16885" s="1747"/>
      <c r="AK16885" s="1748"/>
      <c r="AL16885" s="198"/>
      <c r="AM16885" s="198"/>
      <c r="AN16885" s="198"/>
      <c r="AO16885" s="198"/>
    </row>
    <row r="16886" spans="35:41" ht="19.5" thickBot="1" x14ac:dyDescent="0.35">
      <c r="AI16886" s="1746" t="s">
        <v>150</v>
      </c>
      <c r="AJ16886" s="1747"/>
      <c r="AK16886" s="1748"/>
      <c r="AL16886" s="198"/>
      <c r="AM16886" s="198"/>
      <c r="AN16886" s="198"/>
      <c r="AO16886" s="198"/>
    </row>
    <row r="16887" spans="35:41" ht="19.5" thickBot="1" x14ac:dyDescent="0.35">
      <c r="AI16887" s="1746" t="s">
        <v>150</v>
      </c>
      <c r="AJ16887" s="1747"/>
      <c r="AK16887" s="1748"/>
      <c r="AL16887" s="198"/>
      <c r="AM16887" s="198"/>
      <c r="AN16887" s="198"/>
      <c r="AO16887" s="198"/>
    </row>
    <row r="16888" spans="35:41" ht="19.5" thickBot="1" x14ac:dyDescent="0.35">
      <c r="AI16888" s="1746" t="s">
        <v>150</v>
      </c>
      <c r="AJ16888" s="1747"/>
      <c r="AK16888" s="1748"/>
      <c r="AL16888" s="198"/>
      <c r="AM16888" s="198"/>
      <c r="AN16888" s="198"/>
      <c r="AO16888" s="198"/>
    </row>
    <row r="16889" spans="35:41" ht="19.5" thickBot="1" x14ac:dyDescent="0.35">
      <c r="AI16889" s="1746" t="s">
        <v>150</v>
      </c>
      <c r="AJ16889" s="1747"/>
      <c r="AK16889" s="1748"/>
      <c r="AL16889" s="198"/>
      <c r="AM16889" s="198"/>
      <c r="AN16889" s="198"/>
      <c r="AO16889" s="198"/>
    </row>
    <row r="16890" spans="35:41" ht="19.5" thickBot="1" x14ac:dyDescent="0.35">
      <c r="AI16890" s="1746" t="s">
        <v>150</v>
      </c>
      <c r="AJ16890" s="1747"/>
      <c r="AK16890" s="1748"/>
      <c r="AL16890" s="198"/>
      <c r="AM16890" s="198"/>
      <c r="AN16890" s="198"/>
      <c r="AO16890" s="198"/>
    </row>
    <row r="16891" spans="35:41" ht="19.5" thickBot="1" x14ac:dyDescent="0.35">
      <c r="AI16891" s="1746" t="s">
        <v>150</v>
      </c>
      <c r="AJ16891" s="1747"/>
      <c r="AK16891" s="1748"/>
      <c r="AL16891" s="198"/>
      <c r="AM16891" s="198"/>
      <c r="AN16891" s="198"/>
      <c r="AO16891" s="198"/>
    </row>
    <row r="16892" spans="35:41" ht="19.5" thickBot="1" x14ac:dyDescent="0.35">
      <c r="AI16892" s="1746" t="s">
        <v>150</v>
      </c>
      <c r="AJ16892" s="1747"/>
      <c r="AK16892" s="1748"/>
      <c r="AL16892" s="198"/>
      <c r="AM16892" s="198"/>
      <c r="AN16892" s="198"/>
      <c r="AO16892" s="198"/>
    </row>
    <row r="16893" spans="35:41" ht="19.5" thickBot="1" x14ac:dyDescent="0.35">
      <c r="AI16893" s="1746" t="s">
        <v>150</v>
      </c>
      <c r="AJ16893" s="1747"/>
      <c r="AK16893" s="1748"/>
      <c r="AL16893" s="198"/>
      <c r="AM16893" s="198"/>
      <c r="AN16893" s="198"/>
      <c r="AO16893" s="198"/>
    </row>
    <row r="16894" spans="35:41" ht="19.5" thickBot="1" x14ac:dyDescent="0.35">
      <c r="AI16894" s="1746" t="s">
        <v>150</v>
      </c>
      <c r="AJ16894" s="1747"/>
      <c r="AK16894" s="1748"/>
      <c r="AL16894" s="198"/>
      <c r="AM16894" s="198"/>
      <c r="AN16894" s="198"/>
      <c r="AO16894" s="198"/>
    </row>
    <row r="16895" spans="35:41" ht="19.5" thickBot="1" x14ac:dyDescent="0.35">
      <c r="AI16895" s="1746" t="s">
        <v>150</v>
      </c>
      <c r="AJ16895" s="1747"/>
      <c r="AK16895" s="1748"/>
      <c r="AL16895" s="198"/>
      <c r="AM16895" s="198"/>
      <c r="AN16895" s="198"/>
      <c r="AO16895" s="198"/>
    </row>
    <row r="16896" spans="35:41" ht="19.5" thickBot="1" x14ac:dyDescent="0.35">
      <c r="AI16896" s="1746" t="s">
        <v>150</v>
      </c>
      <c r="AJ16896" s="1747"/>
      <c r="AK16896" s="1748"/>
      <c r="AL16896" s="198"/>
      <c r="AM16896" s="198"/>
      <c r="AN16896" s="198"/>
      <c r="AO16896" s="198"/>
    </row>
    <row r="16897" spans="35:41" ht="19.5" thickBot="1" x14ac:dyDescent="0.35">
      <c r="AI16897" s="1746" t="s">
        <v>150</v>
      </c>
      <c r="AJ16897" s="1747"/>
      <c r="AK16897" s="1748"/>
      <c r="AL16897" s="198"/>
      <c r="AM16897" s="198"/>
      <c r="AN16897" s="198"/>
      <c r="AO16897" s="198"/>
    </row>
    <row r="16898" spans="35:41" ht="19.5" thickBot="1" x14ac:dyDescent="0.35">
      <c r="AI16898" s="1746" t="s">
        <v>150</v>
      </c>
      <c r="AJ16898" s="1747"/>
      <c r="AK16898" s="1748"/>
      <c r="AL16898" s="198"/>
      <c r="AM16898" s="198"/>
      <c r="AN16898" s="198"/>
      <c r="AO16898" s="198"/>
    </row>
    <row r="16899" spans="35:41" ht="19.5" thickBot="1" x14ac:dyDescent="0.35">
      <c r="AI16899" s="1746" t="s">
        <v>150</v>
      </c>
      <c r="AJ16899" s="1747"/>
      <c r="AK16899" s="1748"/>
      <c r="AL16899" s="198"/>
      <c r="AM16899" s="198"/>
      <c r="AN16899" s="198"/>
      <c r="AO16899" s="198"/>
    </row>
    <row r="16900" spans="35:41" ht="19.5" thickBot="1" x14ac:dyDescent="0.35">
      <c r="AI16900" s="1746" t="s">
        <v>150</v>
      </c>
      <c r="AJ16900" s="1747"/>
      <c r="AK16900" s="1748"/>
      <c r="AL16900" s="198"/>
      <c r="AM16900" s="198"/>
      <c r="AN16900" s="198"/>
      <c r="AO16900" s="198"/>
    </row>
    <row r="16901" spans="35:41" ht="19.5" thickBot="1" x14ac:dyDescent="0.35">
      <c r="AI16901" s="1746" t="s">
        <v>150</v>
      </c>
      <c r="AJ16901" s="1747"/>
      <c r="AK16901" s="1748"/>
      <c r="AL16901" s="198"/>
      <c r="AM16901" s="198"/>
      <c r="AN16901" s="198"/>
      <c r="AO16901" s="198"/>
    </row>
    <row r="16902" spans="35:41" ht="19.5" thickBot="1" x14ac:dyDescent="0.35">
      <c r="AI16902" s="1746" t="s">
        <v>150</v>
      </c>
      <c r="AJ16902" s="1747"/>
      <c r="AK16902" s="1748"/>
      <c r="AL16902" s="198"/>
      <c r="AM16902" s="198"/>
      <c r="AN16902" s="198"/>
      <c r="AO16902" s="198"/>
    </row>
    <row r="16903" spans="35:41" ht="19.5" thickBot="1" x14ac:dyDescent="0.35">
      <c r="AI16903" s="1746" t="s">
        <v>150</v>
      </c>
      <c r="AJ16903" s="1747"/>
      <c r="AK16903" s="1748"/>
      <c r="AL16903" s="198"/>
      <c r="AM16903" s="198"/>
      <c r="AN16903" s="198"/>
      <c r="AO16903" s="198"/>
    </row>
    <row r="16904" spans="35:41" ht="19.5" thickBot="1" x14ac:dyDescent="0.35">
      <c r="AI16904" s="1746" t="s">
        <v>150</v>
      </c>
      <c r="AJ16904" s="1747"/>
      <c r="AK16904" s="1748"/>
      <c r="AL16904" s="198"/>
      <c r="AM16904" s="198"/>
      <c r="AN16904" s="198"/>
      <c r="AO16904" s="198"/>
    </row>
    <row r="16905" spans="35:41" ht="19.5" thickBot="1" x14ac:dyDescent="0.35">
      <c r="AI16905" s="1746" t="s">
        <v>150</v>
      </c>
      <c r="AJ16905" s="1747"/>
      <c r="AK16905" s="1748"/>
      <c r="AL16905" s="198"/>
      <c r="AM16905" s="198"/>
      <c r="AN16905" s="198"/>
      <c r="AO16905" s="198"/>
    </row>
    <row r="16906" spans="35:41" ht="19.5" thickBot="1" x14ac:dyDescent="0.35">
      <c r="AI16906" s="1746" t="s">
        <v>150</v>
      </c>
      <c r="AJ16906" s="1747"/>
      <c r="AK16906" s="1748"/>
      <c r="AL16906" s="198"/>
      <c r="AM16906" s="198"/>
      <c r="AN16906" s="198"/>
      <c r="AO16906" s="198"/>
    </row>
    <row r="16907" spans="35:41" ht="19.5" thickBot="1" x14ac:dyDescent="0.35">
      <c r="AI16907" s="1746" t="s">
        <v>150</v>
      </c>
      <c r="AJ16907" s="1747"/>
      <c r="AK16907" s="1748"/>
      <c r="AL16907" s="198"/>
      <c r="AM16907" s="198"/>
      <c r="AN16907" s="198"/>
      <c r="AO16907" s="198"/>
    </row>
    <row r="16908" spans="35:41" ht="19.5" thickBot="1" x14ac:dyDescent="0.35">
      <c r="AI16908" s="1746" t="s">
        <v>150</v>
      </c>
      <c r="AJ16908" s="1747"/>
      <c r="AK16908" s="1748"/>
      <c r="AL16908" s="198"/>
      <c r="AM16908" s="198"/>
      <c r="AN16908" s="198"/>
      <c r="AO16908" s="198"/>
    </row>
    <row r="16909" spans="35:41" ht="19.5" thickBot="1" x14ac:dyDescent="0.35">
      <c r="AI16909" s="1746" t="s">
        <v>150</v>
      </c>
      <c r="AJ16909" s="1747"/>
      <c r="AK16909" s="1748"/>
      <c r="AL16909" s="198"/>
      <c r="AM16909" s="198"/>
      <c r="AN16909" s="198"/>
      <c r="AO16909" s="198"/>
    </row>
    <row r="16910" spans="35:41" ht="19.5" thickBot="1" x14ac:dyDescent="0.35">
      <c r="AI16910" s="1746" t="s">
        <v>150</v>
      </c>
      <c r="AJ16910" s="1747"/>
      <c r="AK16910" s="1748"/>
      <c r="AL16910" s="198"/>
      <c r="AM16910" s="198"/>
      <c r="AN16910" s="198"/>
      <c r="AO16910" s="198"/>
    </row>
    <row r="16911" spans="35:41" ht="19.5" thickBot="1" x14ac:dyDescent="0.35">
      <c r="AI16911" s="1746" t="s">
        <v>150</v>
      </c>
      <c r="AJ16911" s="1747"/>
      <c r="AK16911" s="1748"/>
      <c r="AL16911" s="198"/>
      <c r="AM16911" s="198"/>
      <c r="AN16911" s="198"/>
      <c r="AO16911" s="198"/>
    </row>
    <row r="16912" spans="35:41" ht="19.5" thickBot="1" x14ac:dyDescent="0.35">
      <c r="AI16912" s="1746" t="s">
        <v>150</v>
      </c>
      <c r="AJ16912" s="1747"/>
      <c r="AK16912" s="1748"/>
      <c r="AL16912" s="198"/>
      <c r="AM16912" s="198"/>
      <c r="AN16912" s="198"/>
      <c r="AO16912" s="198"/>
    </row>
    <row r="16913" spans="35:41" ht="19.5" thickBot="1" x14ac:dyDescent="0.35">
      <c r="AI16913" s="1746" t="s">
        <v>150</v>
      </c>
      <c r="AJ16913" s="1747"/>
      <c r="AK16913" s="1748"/>
      <c r="AL16913" s="198"/>
      <c r="AM16913" s="198"/>
      <c r="AN16913" s="198"/>
      <c r="AO16913" s="198"/>
    </row>
    <row r="16914" spans="35:41" ht="19.5" thickBot="1" x14ac:dyDescent="0.35">
      <c r="AI16914" s="1746" t="s">
        <v>150</v>
      </c>
      <c r="AJ16914" s="1747"/>
      <c r="AK16914" s="1748"/>
      <c r="AL16914" s="198"/>
      <c r="AM16914" s="198"/>
      <c r="AN16914" s="198"/>
      <c r="AO16914" s="198"/>
    </row>
    <row r="16915" spans="35:41" ht="19.5" thickBot="1" x14ac:dyDescent="0.35">
      <c r="AI16915" s="1746" t="s">
        <v>150</v>
      </c>
      <c r="AJ16915" s="1747"/>
      <c r="AK16915" s="1748"/>
      <c r="AL16915" s="198"/>
      <c r="AM16915" s="198"/>
      <c r="AN16915" s="198"/>
      <c r="AO16915" s="198"/>
    </row>
    <row r="16916" spans="35:41" ht="19.5" thickBot="1" x14ac:dyDescent="0.35">
      <c r="AI16916" s="1746" t="s">
        <v>150</v>
      </c>
      <c r="AJ16916" s="1747"/>
      <c r="AK16916" s="1748"/>
      <c r="AL16916" s="198"/>
      <c r="AM16916" s="198"/>
      <c r="AN16916" s="198"/>
      <c r="AO16916" s="198"/>
    </row>
    <row r="16917" spans="35:41" ht="19.5" thickBot="1" x14ac:dyDescent="0.35">
      <c r="AI16917" s="1746" t="s">
        <v>150</v>
      </c>
      <c r="AJ16917" s="1747"/>
      <c r="AK16917" s="1748"/>
      <c r="AL16917" s="198"/>
      <c r="AM16917" s="198"/>
      <c r="AN16917" s="198"/>
      <c r="AO16917" s="198"/>
    </row>
    <row r="16918" spans="35:41" ht="19.5" thickBot="1" x14ac:dyDescent="0.35">
      <c r="AI16918" s="1746" t="s">
        <v>150</v>
      </c>
      <c r="AJ16918" s="1747"/>
      <c r="AK16918" s="1748"/>
      <c r="AL16918" s="198"/>
      <c r="AM16918" s="198"/>
      <c r="AN16918" s="198"/>
      <c r="AO16918" s="198"/>
    </row>
    <row r="16919" spans="35:41" ht="19.5" thickBot="1" x14ac:dyDescent="0.35">
      <c r="AI16919" s="1746" t="s">
        <v>150</v>
      </c>
      <c r="AJ16919" s="1747"/>
      <c r="AK16919" s="1748"/>
      <c r="AL16919" s="198"/>
      <c r="AM16919" s="198"/>
      <c r="AN16919" s="198"/>
      <c r="AO16919" s="198"/>
    </row>
    <row r="16920" spans="35:41" ht="19.5" thickBot="1" x14ac:dyDescent="0.35">
      <c r="AI16920" s="1746" t="s">
        <v>150</v>
      </c>
      <c r="AJ16920" s="1747"/>
      <c r="AK16920" s="1748"/>
      <c r="AL16920" s="198"/>
      <c r="AM16920" s="198"/>
      <c r="AN16920" s="198"/>
      <c r="AO16920" s="198"/>
    </row>
    <row r="16921" spans="35:41" ht="19.5" thickBot="1" x14ac:dyDescent="0.35">
      <c r="AI16921" s="1746" t="s">
        <v>150</v>
      </c>
      <c r="AJ16921" s="1747"/>
      <c r="AK16921" s="1748"/>
      <c r="AL16921" s="198"/>
      <c r="AM16921" s="198"/>
      <c r="AN16921" s="198"/>
      <c r="AO16921" s="198"/>
    </row>
    <row r="16922" spans="35:41" ht="19.5" thickBot="1" x14ac:dyDescent="0.35">
      <c r="AI16922" s="1746" t="s">
        <v>150</v>
      </c>
      <c r="AJ16922" s="1747"/>
      <c r="AK16922" s="1748"/>
      <c r="AL16922" s="198"/>
      <c r="AM16922" s="198"/>
      <c r="AN16922" s="198"/>
      <c r="AO16922" s="198"/>
    </row>
    <row r="16923" spans="35:41" ht="19.5" thickBot="1" x14ac:dyDescent="0.35">
      <c r="AI16923" s="1746" t="s">
        <v>150</v>
      </c>
      <c r="AJ16923" s="1747"/>
      <c r="AK16923" s="1748"/>
      <c r="AL16923" s="198"/>
      <c r="AM16923" s="198"/>
      <c r="AN16923" s="198"/>
      <c r="AO16923" s="198"/>
    </row>
    <row r="16924" spans="35:41" ht="19.5" thickBot="1" x14ac:dyDescent="0.35">
      <c r="AI16924" s="1746" t="s">
        <v>150</v>
      </c>
      <c r="AJ16924" s="1747"/>
      <c r="AK16924" s="1748"/>
      <c r="AL16924" s="198"/>
      <c r="AM16924" s="198"/>
      <c r="AN16924" s="198"/>
      <c r="AO16924" s="198"/>
    </row>
    <row r="16925" spans="35:41" ht="19.5" thickBot="1" x14ac:dyDescent="0.35">
      <c r="AI16925" s="1746" t="s">
        <v>150</v>
      </c>
      <c r="AJ16925" s="1747"/>
      <c r="AK16925" s="1748"/>
      <c r="AL16925" s="198"/>
      <c r="AM16925" s="198"/>
      <c r="AN16925" s="198"/>
      <c r="AO16925" s="198"/>
    </row>
    <row r="16926" spans="35:41" ht="19.5" thickBot="1" x14ac:dyDescent="0.35">
      <c r="AI16926" s="1746" t="s">
        <v>150</v>
      </c>
      <c r="AJ16926" s="1747"/>
      <c r="AK16926" s="1748"/>
      <c r="AL16926" s="198"/>
      <c r="AM16926" s="198"/>
      <c r="AN16926" s="198"/>
      <c r="AO16926" s="198"/>
    </row>
    <row r="16927" spans="35:41" ht="19.5" thickBot="1" x14ac:dyDescent="0.35">
      <c r="AI16927" s="1746" t="s">
        <v>150</v>
      </c>
      <c r="AJ16927" s="1747"/>
      <c r="AK16927" s="1748"/>
      <c r="AL16927" s="198"/>
      <c r="AM16927" s="198"/>
      <c r="AN16927" s="198"/>
      <c r="AO16927" s="198"/>
    </row>
    <row r="16928" spans="35:41" ht="19.5" thickBot="1" x14ac:dyDescent="0.35">
      <c r="AI16928" s="1746" t="s">
        <v>150</v>
      </c>
      <c r="AJ16928" s="1747"/>
      <c r="AK16928" s="1748"/>
      <c r="AL16928" s="198"/>
      <c r="AM16928" s="198"/>
      <c r="AN16928" s="198"/>
      <c r="AO16928" s="198"/>
    </row>
    <row r="16929" spans="35:41" ht="19.5" thickBot="1" x14ac:dyDescent="0.35">
      <c r="AI16929" s="1746" t="s">
        <v>150</v>
      </c>
      <c r="AJ16929" s="1747"/>
      <c r="AK16929" s="1748"/>
      <c r="AL16929" s="198"/>
      <c r="AM16929" s="198"/>
      <c r="AN16929" s="198"/>
      <c r="AO16929" s="198"/>
    </row>
    <row r="16930" spans="35:41" ht="19.5" thickBot="1" x14ac:dyDescent="0.35">
      <c r="AI16930" s="1746" t="s">
        <v>150</v>
      </c>
      <c r="AJ16930" s="1747"/>
      <c r="AK16930" s="1748"/>
      <c r="AL16930" s="198"/>
      <c r="AM16930" s="198"/>
      <c r="AN16930" s="198"/>
      <c r="AO16930" s="198"/>
    </row>
    <row r="16931" spans="35:41" ht="19.5" thickBot="1" x14ac:dyDescent="0.35">
      <c r="AI16931" s="1746" t="s">
        <v>150</v>
      </c>
      <c r="AJ16931" s="1747"/>
      <c r="AK16931" s="1748"/>
      <c r="AL16931" s="198"/>
      <c r="AM16931" s="198"/>
      <c r="AN16931" s="198"/>
      <c r="AO16931" s="198"/>
    </row>
    <row r="16932" spans="35:41" ht="19.5" thickBot="1" x14ac:dyDescent="0.35">
      <c r="AI16932" s="1746" t="s">
        <v>150</v>
      </c>
      <c r="AJ16932" s="1747"/>
      <c r="AK16932" s="1748"/>
      <c r="AL16932" s="198"/>
      <c r="AM16932" s="198"/>
      <c r="AN16932" s="198"/>
      <c r="AO16932" s="198"/>
    </row>
    <row r="16933" spans="35:41" ht="19.5" thickBot="1" x14ac:dyDescent="0.35">
      <c r="AI16933" s="1746" t="s">
        <v>150</v>
      </c>
      <c r="AJ16933" s="1747"/>
      <c r="AK16933" s="1748"/>
      <c r="AL16933" s="198"/>
      <c r="AM16933" s="198"/>
      <c r="AN16933" s="198"/>
      <c r="AO16933" s="198"/>
    </row>
    <row r="16934" spans="35:41" ht="19.5" thickBot="1" x14ac:dyDescent="0.35">
      <c r="AI16934" s="1746" t="s">
        <v>150</v>
      </c>
      <c r="AJ16934" s="1747"/>
      <c r="AK16934" s="1748"/>
      <c r="AL16934" s="198"/>
      <c r="AM16934" s="198"/>
      <c r="AN16934" s="198"/>
      <c r="AO16934" s="198"/>
    </row>
    <row r="16935" spans="35:41" ht="19.5" thickBot="1" x14ac:dyDescent="0.35">
      <c r="AI16935" s="1746" t="s">
        <v>150</v>
      </c>
      <c r="AJ16935" s="1747"/>
      <c r="AK16935" s="1748"/>
      <c r="AL16935" s="198"/>
      <c r="AM16935" s="198"/>
      <c r="AN16935" s="198"/>
      <c r="AO16935" s="198"/>
    </row>
    <row r="16936" spans="35:41" ht="19.5" thickBot="1" x14ac:dyDescent="0.35">
      <c r="AI16936" s="1746" t="s">
        <v>150</v>
      </c>
      <c r="AJ16936" s="1747"/>
      <c r="AK16936" s="1748"/>
      <c r="AL16936" s="198"/>
      <c r="AM16936" s="198"/>
      <c r="AN16936" s="198"/>
      <c r="AO16936" s="198"/>
    </row>
    <row r="16937" spans="35:41" ht="19.5" thickBot="1" x14ac:dyDescent="0.35">
      <c r="AI16937" s="1746" t="s">
        <v>150</v>
      </c>
      <c r="AJ16937" s="1747"/>
      <c r="AK16937" s="1748"/>
      <c r="AL16937" s="198"/>
      <c r="AM16937" s="198"/>
      <c r="AN16937" s="198"/>
      <c r="AO16937" s="198"/>
    </row>
    <row r="16938" spans="35:41" ht="19.5" thickBot="1" x14ac:dyDescent="0.35">
      <c r="AI16938" s="1746" t="s">
        <v>150</v>
      </c>
      <c r="AJ16938" s="1747"/>
      <c r="AK16938" s="1748"/>
      <c r="AL16938" s="198"/>
      <c r="AM16938" s="198"/>
      <c r="AN16938" s="198"/>
      <c r="AO16938" s="198"/>
    </row>
    <row r="16939" spans="35:41" ht="19.5" thickBot="1" x14ac:dyDescent="0.35">
      <c r="AI16939" s="1746" t="s">
        <v>150</v>
      </c>
      <c r="AJ16939" s="1747"/>
      <c r="AK16939" s="1748"/>
      <c r="AL16939" s="198"/>
      <c r="AM16939" s="198"/>
      <c r="AN16939" s="198"/>
      <c r="AO16939" s="198"/>
    </row>
    <row r="16940" spans="35:41" ht="19.5" thickBot="1" x14ac:dyDescent="0.35">
      <c r="AI16940" s="1746" t="s">
        <v>150</v>
      </c>
      <c r="AJ16940" s="1747"/>
      <c r="AK16940" s="1748"/>
      <c r="AL16940" s="198"/>
      <c r="AM16940" s="198"/>
      <c r="AN16940" s="198"/>
      <c r="AO16940" s="198"/>
    </row>
    <row r="16941" spans="35:41" ht="19.5" thickBot="1" x14ac:dyDescent="0.35">
      <c r="AI16941" s="1746" t="s">
        <v>150</v>
      </c>
      <c r="AJ16941" s="1747"/>
      <c r="AK16941" s="1748"/>
      <c r="AL16941" s="198"/>
      <c r="AM16941" s="198"/>
      <c r="AN16941" s="198"/>
      <c r="AO16941" s="198"/>
    </row>
    <row r="16942" spans="35:41" ht="19.5" thickBot="1" x14ac:dyDescent="0.35">
      <c r="AI16942" s="1746" t="s">
        <v>150</v>
      </c>
      <c r="AJ16942" s="1747"/>
      <c r="AK16942" s="1748"/>
      <c r="AL16942" s="198"/>
      <c r="AM16942" s="198"/>
      <c r="AN16942" s="198"/>
      <c r="AO16942" s="198"/>
    </row>
    <row r="16943" spans="35:41" ht="19.5" thickBot="1" x14ac:dyDescent="0.35">
      <c r="AI16943" s="1746" t="s">
        <v>150</v>
      </c>
      <c r="AJ16943" s="1747"/>
      <c r="AK16943" s="1748"/>
      <c r="AL16943" s="198"/>
      <c r="AM16943" s="198"/>
      <c r="AN16943" s="198"/>
      <c r="AO16943" s="198"/>
    </row>
    <row r="16944" spans="35:41" ht="19.5" thickBot="1" x14ac:dyDescent="0.35">
      <c r="AI16944" s="1746" t="s">
        <v>150</v>
      </c>
      <c r="AJ16944" s="1747"/>
      <c r="AK16944" s="1748"/>
      <c r="AL16944" s="198"/>
      <c r="AM16944" s="198"/>
      <c r="AN16944" s="198"/>
      <c r="AO16944" s="198"/>
    </row>
    <row r="16945" spans="35:41" ht="19.5" thickBot="1" x14ac:dyDescent="0.35">
      <c r="AI16945" s="1746" t="s">
        <v>150</v>
      </c>
      <c r="AJ16945" s="1747"/>
      <c r="AK16945" s="1748"/>
      <c r="AL16945" s="198"/>
      <c r="AM16945" s="198"/>
      <c r="AN16945" s="198"/>
      <c r="AO16945" s="198"/>
    </row>
    <row r="16946" spans="35:41" ht="19.5" thickBot="1" x14ac:dyDescent="0.35">
      <c r="AI16946" s="1746" t="s">
        <v>150</v>
      </c>
      <c r="AJ16946" s="1747"/>
      <c r="AK16946" s="1748"/>
      <c r="AL16946" s="198"/>
      <c r="AM16946" s="198"/>
      <c r="AN16946" s="198"/>
      <c r="AO16946" s="198"/>
    </row>
    <row r="16947" spans="35:41" ht="19.5" thickBot="1" x14ac:dyDescent="0.35">
      <c r="AI16947" s="1746" t="s">
        <v>150</v>
      </c>
      <c r="AJ16947" s="1747"/>
      <c r="AK16947" s="1748"/>
      <c r="AL16947" s="198"/>
      <c r="AM16947" s="198"/>
      <c r="AN16947" s="198"/>
      <c r="AO16947" s="198"/>
    </row>
    <row r="16948" spans="35:41" ht="19.5" thickBot="1" x14ac:dyDescent="0.35">
      <c r="AI16948" s="1746" t="s">
        <v>150</v>
      </c>
      <c r="AJ16948" s="1747"/>
      <c r="AK16948" s="1748"/>
      <c r="AL16948" s="198"/>
      <c r="AM16948" s="198"/>
      <c r="AN16948" s="198"/>
      <c r="AO16948" s="198"/>
    </row>
    <row r="16949" spans="35:41" ht="19.5" thickBot="1" x14ac:dyDescent="0.35">
      <c r="AI16949" s="1746" t="s">
        <v>150</v>
      </c>
      <c r="AJ16949" s="1747"/>
      <c r="AK16949" s="1748"/>
      <c r="AL16949" s="198"/>
      <c r="AM16949" s="198"/>
      <c r="AN16949" s="198"/>
      <c r="AO16949" s="198"/>
    </row>
    <row r="16950" spans="35:41" ht="19.5" thickBot="1" x14ac:dyDescent="0.35">
      <c r="AI16950" s="1746" t="s">
        <v>150</v>
      </c>
      <c r="AJ16950" s="1747"/>
      <c r="AK16950" s="1748"/>
      <c r="AL16950" s="198"/>
      <c r="AM16950" s="198"/>
      <c r="AN16950" s="198"/>
      <c r="AO16950" s="198"/>
    </row>
    <row r="16951" spans="35:41" ht="19.5" thickBot="1" x14ac:dyDescent="0.35">
      <c r="AI16951" s="1746" t="s">
        <v>150</v>
      </c>
      <c r="AJ16951" s="1747"/>
      <c r="AK16951" s="1748"/>
      <c r="AL16951" s="198"/>
      <c r="AM16951" s="198"/>
      <c r="AN16951" s="198"/>
      <c r="AO16951" s="198"/>
    </row>
    <row r="16952" spans="35:41" ht="19.5" thickBot="1" x14ac:dyDescent="0.35">
      <c r="AI16952" s="1746" t="s">
        <v>150</v>
      </c>
      <c r="AJ16952" s="1747"/>
      <c r="AK16952" s="1748"/>
      <c r="AL16952" s="198"/>
      <c r="AM16952" s="198"/>
      <c r="AN16952" s="198"/>
      <c r="AO16952" s="198"/>
    </row>
    <row r="16953" spans="35:41" ht="19.5" thickBot="1" x14ac:dyDescent="0.35">
      <c r="AI16953" s="1746" t="s">
        <v>150</v>
      </c>
      <c r="AJ16953" s="1747"/>
      <c r="AK16953" s="1748"/>
      <c r="AL16953" s="198"/>
      <c r="AM16953" s="198"/>
      <c r="AN16953" s="198"/>
      <c r="AO16953" s="198"/>
    </row>
    <row r="16954" spans="35:41" ht="19.5" thickBot="1" x14ac:dyDescent="0.35">
      <c r="AI16954" s="1746" t="s">
        <v>150</v>
      </c>
      <c r="AJ16954" s="1747"/>
      <c r="AK16954" s="1748"/>
      <c r="AL16954" s="198"/>
      <c r="AM16954" s="198"/>
      <c r="AN16954" s="198"/>
      <c r="AO16954" s="198"/>
    </row>
    <row r="16955" spans="35:41" ht="19.5" thickBot="1" x14ac:dyDescent="0.35">
      <c r="AI16955" s="1746" t="s">
        <v>150</v>
      </c>
      <c r="AJ16955" s="1747"/>
      <c r="AK16955" s="1748"/>
      <c r="AL16955" s="198"/>
      <c r="AM16955" s="198"/>
      <c r="AN16955" s="198"/>
      <c r="AO16955" s="198"/>
    </row>
    <row r="16956" spans="35:41" ht="19.5" thickBot="1" x14ac:dyDescent="0.35">
      <c r="AI16956" s="1746" t="s">
        <v>150</v>
      </c>
      <c r="AJ16956" s="1747"/>
      <c r="AK16956" s="1748"/>
      <c r="AL16956" s="198"/>
      <c r="AM16956" s="198"/>
      <c r="AN16956" s="198"/>
      <c r="AO16956" s="198"/>
    </row>
    <row r="16957" spans="35:41" ht="19.5" thickBot="1" x14ac:dyDescent="0.35">
      <c r="AI16957" s="1746" t="s">
        <v>150</v>
      </c>
      <c r="AJ16957" s="1747"/>
      <c r="AK16957" s="1748"/>
      <c r="AL16957" s="198"/>
      <c r="AM16957" s="198"/>
      <c r="AN16957" s="198"/>
      <c r="AO16957" s="198"/>
    </row>
    <row r="16958" spans="35:41" ht="19.5" thickBot="1" x14ac:dyDescent="0.35">
      <c r="AI16958" s="1746" t="s">
        <v>150</v>
      </c>
      <c r="AJ16958" s="1747"/>
      <c r="AK16958" s="1748"/>
      <c r="AL16958" s="198"/>
      <c r="AM16958" s="198"/>
      <c r="AN16958" s="198"/>
      <c r="AO16958" s="198"/>
    </row>
    <row r="16959" spans="35:41" ht="19.5" thickBot="1" x14ac:dyDescent="0.35">
      <c r="AI16959" s="1746" t="s">
        <v>150</v>
      </c>
      <c r="AJ16959" s="1747"/>
      <c r="AK16959" s="1748"/>
      <c r="AL16959" s="198"/>
      <c r="AM16959" s="198"/>
      <c r="AN16959" s="198"/>
      <c r="AO16959" s="198"/>
    </row>
    <row r="16960" spans="35:41" ht="19.5" thickBot="1" x14ac:dyDescent="0.35">
      <c r="AI16960" s="1746" t="s">
        <v>150</v>
      </c>
      <c r="AJ16960" s="1747"/>
      <c r="AK16960" s="1748"/>
      <c r="AL16960" s="198"/>
      <c r="AM16960" s="198"/>
      <c r="AN16960" s="198"/>
      <c r="AO16960" s="198"/>
    </row>
    <row r="16961" spans="35:41" ht="19.5" thickBot="1" x14ac:dyDescent="0.35">
      <c r="AI16961" s="1746" t="s">
        <v>150</v>
      </c>
      <c r="AJ16961" s="1747"/>
      <c r="AK16961" s="1748"/>
      <c r="AL16961" s="198"/>
      <c r="AM16961" s="198"/>
      <c r="AN16961" s="198"/>
      <c r="AO16961" s="198"/>
    </row>
    <row r="16962" spans="35:41" ht="19.5" thickBot="1" x14ac:dyDescent="0.35">
      <c r="AI16962" s="1746" t="s">
        <v>150</v>
      </c>
      <c r="AJ16962" s="1747"/>
      <c r="AK16962" s="1748"/>
      <c r="AL16962" s="198"/>
      <c r="AM16962" s="198"/>
      <c r="AN16962" s="198"/>
      <c r="AO16962" s="198"/>
    </row>
    <row r="16963" spans="35:41" ht="19.5" thickBot="1" x14ac:dyDescent="0.35">
      <c r="AI16963" s="1746" t="s">
        <v>150</v>
      </c>
      <c r="AJ16963" s="1747"/>
      <c r="AK16963" s="1748"/>
      <c r="AL16963" s="198"/>
      <c r="AM16963" s="198"/>
      <c r="AN16963" s="198"/>
      <c r="AO16963" s="198"/>
    </row>
    <row r="16964" spans="35:41" ht="19.5" thickBot="1" x14ac:dyDescent="0.35">
      <c r="AI16964" s="1746" t="s">
        <v>150</v>
      </c>
      <c r="AJ16964" s="1747"/>
      <c r="AK16964" s="1748"/>
      <c r="AL16964" s="198"/>
      <c r="AM16964" s="198"/>
      <c r="AN16964" s="198"/>
      <c r="AO16964" s="198"/>
    </row>
    <row r="16965" spans="35:41" ht="19.5" thickBot="1" x14ac:dyDescent="0.35">
      <c r="AI16965" s="1746" t="s">
        <v>150</v>
      </c>
      <c r="AJ16965" s="1747"/>
      <c r="AK16965" s="1748"/>
      <c r="AL16965" s="198"/>
      <c r="AM16965" s="198"/>
      <c r="AN16965" s="198"/>
      <c r="AO16965" s="198"/>
    </row>
    <row r="16966" spans="35:41" ht="19.5" thickBot="1" x14ac:dyDescent="0.35">
      <c r="AI16966" s="1746" t="s">
        <v>150</v>
      </c>
      <c r="AJ16966" s="1747"/>
      <c r="AK16966" s="1748"/>
      <c r="AL16966" s="198"/>
      <c r="AM16966" s="198"/>
      <c r="AN16966" s="198"/>
      <c r="AO16966" s="198"/>
    </row>
    <row r="16967" spans="35:41" ht="19.5" thickBot="1" x14ac:dyDescent="0.35">
      <c r="AI16967" s="1746" t="s">
        <v>150</v>
      </c>
      <c r="AJ16967" s="1747"/>
      <c r="AK16967" s="1748"/>
      <c r="AL16967" s="198"/>
      <c r="AM16967" s="198"/>
      <c r="AN16967" s="198"/>
      <c r="AO16967" s="198"/>
    </row>
    <row r="16968" spans="35:41" ht="19.5" thickBot="1" x14ac:dyDescent="0.35">
      <c r="AI16968" s="1746" t="s">
        <v>150</v>
      </c>
      <c r="AJ16968" s="1747"/>
      <c r="AK16968" s="1748"/>
      <c r="AL16968" s="198"/>
      <c r="AM16968" s="198"/>
      <c r="AN16968" s="198"/>
      <c r="AO16968" s="198"/>
    </row>
    <row r="16969" spans="35:41" ht="19.5" thickBot="1" x14ac:dyDescent="0.35">
      <c r="AI16969" s="1746" t="s">
        <v>150</v>
      </c>
      <c r="AJ16969" s="1747"/>
      <c r="AK16969" s="1748"/>
      <c r="AL16969" s="198"/>
      <c r="AM16969" s="198"/>
      <c r="AN16969" s="198"/>
      <c r="AO16969" s="198"/>
    </row>
    <row r="16970" spans="35:41" ht="19.5" thickBot="1" x14ac:dyDescent="0.35">
      <c r="AI16970" s="1746" t="s">
        <v>150</v>
      </c>
      <c r="AJ16970" s="1747"/>
      <c r="AK16970" s="1748"/>
      <c r="AL16970" s="198"/>
      <c r="AM16970" s="198"/>
      <c r="AN16970" s="198"/>
      <c r="AO16970" s="198"/>
    </row>
    <row r="16971" spans="35:41" ht="19.5" thickBot="1" x14ac:dyDescent="0.35">
      <c r="AI16971" s="1746" t="s">
        <v>150</v>
      </c>
      <c r="AJ16971" s="1747"/>
      <c r="AK16971" s="1748"/>
      <c r="AL16971" s="198"/>
      <c r="AM16971" s="198"/>
      <c r="AN16971" s="198"/>
      <c r="AO16971" s="198"/>
    </row>
    <row r="16972" spans="35:41" ht="19.5" thickBot="1" x14ac:dyDescent="0.35">
      <c r="AI16972" s="1746" t="s">
        <v>150</v>
      </c>
      <c r="AJ16972" s="1747"/>
      <c r="AK16972" s="1748"/>
      <c r="AL16972" s="198"/>
      <c r="AM16972" s="198"/>
      <c r="AN16972" s="198"/>
      <c r="AO16972" s="198"/>
    </row>
    <row r="16973" spans="35:41" ht="19.5" thickBot="1" x14ac:dyDescent="0.35">
      <c r="AI16973" s="1746" t="s">
        <v>150</v>
      </c>
      <c r="AJ16973" s="1747"/>
      <c r="AK16973" s="1748"/>
      <c r="AL16973" s="198"/>
      <c r="AM16973" s="198"/>
      <c r="AN16973" s="198"/>
      <c r="AO16973" s="198"/>
    </row>
    <row r="16974" spans="35:41" ht="19.5" thickBot="1" x14ac:dyDescent="0.35">
      <c r="AI16974" s="1746" t="s">
        <v>150</v>
      </c>
      <c r="AJ16974" s="1747"/>
      <c r="AK16974" s="1748"/>
      <c r="AL16974" s="198"/>
      <c r="AM16974" s="198"/>
      <c r="AN16974" s="198"/>
      <c r="AO16974" s="198"/>
    </row>
    <row r="16975" spans="35:41" ht="19.5" thickBot="1" x14ac:dyDescent="0.35">
      <c r="AI16975" s="1746" t="s">
        <v>150</v>
      </c>
      <c r="AJ16975" s="1747"/>
      <c r="AK16975" s="1748"/>
      <c r="AL16975" s="198"/>
      <c r="AM16975" s="198"/>
      <c r="AN16975" s="198"/>
      <c r="AO16975" s="198"/>
    </row>
    <row r="16976" spans="35:41" ht="19.5" thickBot="1" x14ac:dyDescent="0.35">
      <c r="AI16976" s="1746" t="s">
        <v>150</v>
      </c>
      <c r="AJ16976" s="1747"/>
      <c r="AK16976" s="1748"/>
      <c r="AL16976" s="198"/>
      <c r="AM16976" s="198"/>
      <c r="AN16976" s="198"/>
      <c r="AO16976" s="198"/>
    </row>
    <row r="16977" spans="35:41" ht="19.5" thickBot="1" x14ac:dyDescent="0.35">
      <c r="AI16977" s="1746" t="s">
        <v>150</v>
      </c>
      <c r="AJ16977" s="1747"/>
      <c r="AK16977" s="1748"/>
      <c r="AL16977" s="198"/>
      <c r="AM16977" s="198"/>
      <c r="AN16977" s="198"/>
      <c r="AO16977" s="198"/>
    </row>
    <row r="16978" spans="35:41" ht="19.5" thickBot="1" x14ac:dyDescent="0.35">
      <c r="AI16978" s="1746" t="s">
        <v>150</v>
      </c>
      <c r="AJ16978" s="1747"/>
      <c r="AK16978" s="1748"/>
      <c r="AL16978" s="198"/>
      <c r="AM16978" s="198"/>
      <c r="AN16978" s="198"/>
      <c r="AO16978" s="198"/>
    </row>
    <row r="16979" spans="35:41" ht="19.5" thickBot="1" x14ac:dyDescent="0.35">
      <c r="AI16979" s="1746" t="s">
        <v>150</v>
      </c>
      <c r="AJ16979" s="1747"/>
      <c r="AK16979" s="1748"/>
      <c r="AL16979" s="198"/>
      <c r="AM16979" s="198"/>
      <c r="AN16979" s="198"/>
      <c r="AO16979" s="198"/>
    </row>
    <row r="16980" spans="35:41" ht="19.5" thickBot="1" x14ac:dyDescent="0.35">
      <c r="AI16980" s="1746" t="s">
        <v>150</v>
      </c>
      <c r="AJ16980" s="1747"/>
      <c r="AK16980" s="1748"/>
      <c r="AL16980" s="198"/>
      <c r="AM16980" s="198"/>
      <c r="AN16980" s="198"/>
      <c r="AO16980" s="198"/>
    </row>
    <row r="16981" spans="35:41" ht="19.5" thickBot="1" x14ac:dyDescent="0.35">
      <c r="AI16981" s="1746" t="s">
        <v>150</v>
      </c>
      <c r="AJ16981" s="1747"/>
      <c r="AK16981" s="1748"/>
      <c r="AL16981" s="198"/>
      <c r="AM16981" s="198"/>
      <c r="AN16981" s="198"/>
      <c r="AO16981" s="198"/>
    </row>
    <row r="16982" spans="35:41" ht="19.5" thickBot="1" x14ac:dyDescent="0.35">
      <c r="AI16982" s="1746" t="s">
        <v>150</v>
      </c>
      <c r="AJ16982" s="1747"/>
      <c r="AK16982" s="1748"/>
      <c r="AL16982" s="198"/>
      <c r="AM16982" s="198"/>
      <c r="AN16982" s="198"/>
      <c r="AO16982" s="198"/>
    </row>
    <row r="16983" spans="35:41" ht="19.5" thickBot="1" x14ac:dyDescent="0.35">
      <c r="AI16983" s="1746" t="s">
        <v>150</v>
      </c>
      <c r="AJ16983" s="1747"/>
      <c r="AK16983" s="1748"/>
      <c r="AL16983" s="198"/>
      <c r="AM16983" s="198"/>
      <c r="AN16983" s="198"/>
      <c r="AO16983" s="198"/>
    </row>
    <row r="16984" spans="35:41" ht="19.5" thickBot="1" x14ac:dyDescent="0.35">
      <c r="AI16984" s="1746" t="s">
        <v>150</v>
      </c>
      <c r="AJ16984" s="1747"/>
      <c r="AK16984" s="1748"/>
      <c r="AL16984" s="198"/>
      <c r="AM16984" s="198"/>
      <c r="AN16984" s="198"/>
      <c r="AO16984" s="198"/>
    </row>
    <row r="16985" spans="35:41" ht="19.5" thickBot="1" x14ac:dyDescent="0.35">
      <c r="AI16985" s="1746" t="s">
        <v>150</v>
      </c>
      <c r="AJ16985" s="1747"/>
      <c r="AK16985" s="1748"/>
      <c r="AL16985" s="198"/>
      <c r="AM16985" s="198"/>
      <c r="AN16985" s="198"/>
      <c r="AO16985" s="198"/>
    </row>
    <row r="16986" spans="35:41" ht="19.5" thickBot="1" x14ac:dyDescent="0.35">
      <c r="AI16986" s="1746" t="s">
        <v>150</v>
      </c>
      <c r="AJ16986" s="1747"/>
      <c r="AK16986" s="1748"/>
      <c r="AL16986" s="198"/>
      <c r="AM16986" s="198"/>
      <c r="AN16986" s="198"/>
      <c r="AO16986" s="198"/>
    </row>
    <row r="16987" spans="35:41" ht="19.5" thickBot="1" x14ac:dyDescent="0.35">
      <c r="AI16987" s="1746" t="s">
        <v>150</v>
      </c>
      <c r="AJ16987" s="1747"/>
      <c r="AK16987" s="1748"/>
      <c r="AL16987" s="198"/>
      <c r="AM16987" s="198"/>
      <c r="AN16987" s="198"/>
      <c r="AO16987" s="198"/>
    </row>
    <row r="16988" spans="35:41" ht="19.5" thickBot="1" x14ac:dyDescent="0.35">
      <c r="AI16988" s="1746" t="s">
        <v>150</v>
      </c>
      <c r="AJ16988" s="1747"/>
      <c r="AK16988" s="1748"/>
      <c r="AL16988" s="198"/>
      <c r="AM16988" s="198"/>
      <c r="AN16988" s="198"/>
      <c r="AO16988" s="198"/>
    </row>
    <row r="16989" spans="35:41" ht="19.5" thickBot="1" x14ac:dyDescent="0.35">
      <c r="AI16989" s="1746" t="s">
        <v>150</v>
      </c>
      <c r="AJ16989" s="1747"/>
      <c r="AK16989" s="1748"/>
      <c r="AL16989" s="198"/>
      <c r="AM16989" s="198"/>
      <c r="AN16989" s="198"/>
      <c r="AO16989" s="198"/>
    </row>
    <row r="16990" spans="35:41" ht="19.5" thickBot="1" x14ac:dyDescent="0.35">
      <c r="AI16990" s="1746" t="s">
        <v>150</v>
      </c>
      <c r="AJ16990" s="1747"/>
      <c r="AK16990" s="1748"/>
      <c r="AL16990" s="198"/>
      <c r="AM16990" s="198"/>
      <c r="AN16990" s="198"/>
      <c r="AO16990" s="198"/>
    </row>
    <row r="16991" spans="35:41" ht="19.5" thickBot="1" x14ac:dyDescent="0.35">
      <c r="AI16991" s="1746" t="s">
        <v>150</v>
      </c>
      <c r="AJ16991" s="1747"/>
      <c r="AK16991" s="1748"/>
      <c r="AL16991" s="198"/>
      <c r="AM16991" s="198"/>
      <c r="AN16991" s="198"/>
      <c r="AO16991" s="198"/>
    </row>
    <row r="16992" spans="35:41" ht="19.5" thickBot="1" x14ac:dyDescent="0.35">
      <c r="AI16992" s="1746" t="s">
        <v>150</v>
      </c>
      <c r="AJ16992" s="1747"/>
      <c r="AK16992" s="1748"/>
      <c r="AL16992" s="198"/>
      <c r="AM16992" s="198"/>
      <c r="AN16992" s="198"/>
      <c r="AO16992" s="198"/>
    </row>
    <row r="16993" spans="35:41" ht="19.5" thickBot="1" x14ac:dyDescent="0.35">
      <c r="AI16993" s="1746" t="s">
        <v>150</v>
      </c>
      <c r="AJ16993" s="1747"/>
      <c r="AK16993" s="1748"/>
      <c r="AL16993" s="198"/>
      <c r="AM16993" s="198"/>
      <c r="AN16993" s="198"/>
      <c r="AO16993" s="198"/>
    </row>
    <row r="16994" spans="35:41" ht="19.5" thickBot="1" x14ac:dyDescent="0.35">
      <c r="AI16994" s="1746" t="s">
        <v>150</v>
      </c>
      <c r="AJ16994" s="1747"/>
      <c r="AK16994" s="1748"/>
      <c r="AL16994" s="198"/>
      <c r="AM16994" s="198"/>
      <c r="AN16994" s="198"/>
      <c r="AO16994" s="198"/>
    </row>
    <row r="16995" spans="35:41" ht="19.5" thickBot="1" x14ac:dyDescent="0.35">
      <c r="AI16995" s="1746" t="s">
        <v>150</v>
      </c>
      <c r="AJ16995" s="1747"/>
      <c r="AK16995" s="1748"/>
      <c r="AL16995" s="198"/>
      <c r="AM16995" s="198"/>
      <c r="AN16995" s="198"/>
      <c r="AO16995" s="198"/>
    </row>
    <row r="16996" spans="35:41" ht="19.5" thickBot="1" x14ac:dyDescent="0.35">
      <c r="AI16996" s="1746" t="s">
        <v>150</v>
      </c>
      <c r="AJ16996" s="1747"/>
      <c r="AK16996" s="1748"/>
      <c r="AL16996" s="198"/>
      <c r="AM16996" s="198"/>
      <c r="AN16996" s="198"/>
      <c r="AO16996" s="198"/>
    </row>
    <row r="16997" spans="35:41" ht="19.5" thickBot="1" x14ac:dyDescent="0.35">
      <c r="AI16997" s="1746" t="s">
        <v>150</v>
      </c>
      <c r="AJ16997" s="1747"/>
      <c r="AK16997" s="1748"/>
      <c r="AL16997" s="198"/>
      <c r="AM16997" s="198"/>
      <c r="AN16997" s="198"/>
      <c r="AO16997" s="198"/>
    </row>
    <row r="16998" spans="35:41" ht="19.5" thickBot="1" x14ac:dyDescent="0.35">
      <c r="AI16998" s="1746" t="s">
        <v>150</v>
      </c>
      <c r="AJ16998" s="1747"/>
      <c r="AK16998" s="1748"/>
      <c r="AL16998" s="198"/>
      <c r="AM16998" s="198"/>
      <c r="AN16998" s="198"/>
      <c r="AO16998" s="198"/>
    </row>
    <row r="16999" spans="35:41" ht="19.5" thickBot="1" x14ac:dyDescent="0.35">
      <c r="AI16999" s="1746" t="s">
        <v>150</v>
      </c>
      <c r="AJ16999" s="1747"/>
      <c r="AK16999" s="1748"/>
      <c r="AL16999" s="198"/>
      <c r="AM16999" s="198"/>
      <c r="AN16999" s="198"/>
      <c r="AO16999" s="198"/>
    </row>
    <row r="17000" spans="35:41" ht="19.5" thickBot="1" x14ac:dyDescent="0.35">
      <c r="AI17000" s="1746" t="s">
        <v>150</v>
      </c>
      <c r="AJ17000" s="1747"/>
      <c r="AK17000" s="1748"/>
      <c r="AL17000" s="198"/>
      <c r="AM17000" s="198"/>
      <c r="AN17000" s="198"/>
      <c r="AO17000" s="198"/>
    </row>
    <row r="17001" spans="35:41" ht="19.5" thickBot="1" x14ac:dyDescent="0.35">
      <c r="AI17001" s="1746" t="s">
        <v>150</v>
      </c>
      <c r="AJ17001" s="1747"/>
      <c r="AK17001" s="1748"/>
      <c r="AL17001" s="198"/>
      <c r="AM17001" s="198"/>
      <c r="AN17001" s="198"/>
      <c r="AO17001" s="198"/>
    </row>
    <row r="17002" spans="35:41" ht="19.5" thickBot="1" x14ac:dyDescent="0.35">
      <c r="AI17002" s="1746" t="s">
        <v>150</v>
      </c>
      <c r="AJ17002" s="1747"/>
      <c r="AK17002" s="1748"/>
      <c r="AL17002" s="198"/>
      <c r="AM17002" s="198"/>
      <c r="AN17002" s="198"/>
      <c r="AO17002" s="198"/>
    </row>
    <row r="17003" spans="35:41" ht="19.5" thickBot="1" x14ac:dyDescent="0.35">
      <c r="AI17003" s="1746" t="s">
        <v>150</v>
      </c>
      <c r="AJ17003" s="1747"/>
      <c r="AK17003" s="1748"/>
      <c r="AL17003" s="198"/>
      <c r="AM17003" s="198"/>
      <c r="AN17003" s="198"/>
      <c r="AO17003" s="198"/>
    </row>
    <row r="17004" spans="35:41" ht="19.5" thickBot="1" x14ac:dyDescent="0.35">
      <c r="AI17004" s="1746" t="s">
        <v>150</v>
      </c>
      <c r="AJ17004" s="1747"/>
      <c r="AK17004" s="1748"/>
      <c r="AL17004" s="198"/>
      <c r="AM17004" s="198"/>
      <c r="AN17004" s="198"/>
      <c r="AO17004" s="198"/>
    </row>
    <row r="17005" spans="35:41" ht="19.5" thickBot="1" x14ac:dyDescent="0.35">
      <c r="AI17005" s="1746" t="s">
        <v>150</v>
      </c>
      <c r="AJ17005" s="1747"/>
      <c r="AK17005" s="1748"/>
      <c r="AL17005" s="198"/>
      <c r="AM17005" s="198"/>
      <c r="AN17005" s="198"/>
      <c r="AO17005" s="198"/>
    </row>
    <row r="17006" spans="35:41" ht="19.5" thickBot="1" x14ac:dyDescent="0.35">
      <c r="AI17006" s="1746" t="s">
        <v>150</v>
      </c>
      <c r="AJ17006" s="1747"/>
      <c r="AK17006" s="1748"/>
      <c r="AL17006" s="198"/>
      <c r="AM17006" s="198"/>
      <c r="AN17006" s="198"/>
      <c r="AO17006" s="198"/>
    </row>
    <row r="17007" spans="35:41" ht="19.5" thickBot="1" x14ac:dyDescent="0.35">
      <c r="AI17007" s="1746" t="s">
        <v>150</v>
      </c>
      <c r="AJ17007" s="1747"/>
      <c r="AK17007" s="1748"/>
      <c r="AL17007" s="198"/>
      <c r="AM17007" s="198"/>
      <c r="AN17007" s="198"/>
      <c r="AO17007" s="198"/>
    </row>
    <row r="17008" spans="35:41" ht="19.5" thickBot="1" x14ac:dyDescent="0.35">
      <c r="AI17008" s="1746" t="s">
        <v>150</v>
      </c>
      <c r="AJ17008" s="1747"/>
      <c r="AK17008" s="1748"/>
      <c r="AL17008" s="198"/>
      <c r="AM17008" s="198"/>
      <c r="AN17008" s="198"/>
      <c r="AO17008" s="198"/>
    </row>
    <row r="17009" spans="35:41" ht="19.5" thickBot="1" x14ac:dyDescent="0.35">
      <c r="AI17009" s="1746" t="s">
        <v>150</v>
      </c>
      <c r="AJ17009" s="1747"/>
      <c r="AK17009" s="1748"/>
      <c r="AL17009" s="198"/>
      <c r="AM17009" s="198"/>
      <c r="AN17009" s="198"/>
      <c r="AO17009" s="198"/>
    </row>
    <row r="17010" spans="35:41" ht="19.5" thickBot="1" x14ac:dyDescent="0.35">
      <c r="AI17010" s="1746" t="s">
        <v>150</v>
      </c>
      <c r="AJ17010" s="1747"/>
      <c r="AK17010" s="1748"/>
      <c r="AL17010" s="198"/>
      <c r="AM17010" s="198"/>
      <c r="AN17010" s="198"/>
      <c r="AO17010" s="198"/>
    </row>
    <row r="17011" spans="35:41" ht="19.5" thickBot="1" x14ac:dyDescent="0.35">
      <c r="AI17011" s="1746" t="s">
        <v>150</v>
      </c>
      <c r="AJ17011" s="1747"/>
      <c r="AK17011" s="1748"/>
      <c r="AL17011" s="198"/>
      <c r="AM17011" s="198"/>
      <c r="AN17011" s="198"/>
      <c r="AO17011" s="198"/>
    </row>
    <row r="17012" spans="35:41" ht="19.5" thickBot="1" x14ac:dyDescent="0.35">
      <c r="AI17012" s="1746" t="s">
        <v>150</v>
      </c>
      <c r="AJ17012" s="1747"/>
      <c r="AK17012" s="1748"/>
      <c r="AL17012" s="198"/>
      <c r="AM17012" s="198"/>
      <c r="AN17012" s="198"/>
      <c r="AO17012" s="198"/>
    </row>
    <row r="17013" spans="35:41" ht="19.5" thickBot="1" x14ac:dyDescent="0.35">
      <c r="AI17013" s="1746" t="s">
        <v>150</v>
      </c>
      <c r="AJ17013" s="1747"/>
      <c r="AK17013" s="1748"/>
      <c r="AL17013" s="198"/>
      <c r="AM17013" s="198"/>
      <c r="AN17013" s="198"/>
      <c r="AO17013" s="198"/>
    </row>
    <row r="17014" spans="35:41" ht="19.5" thickBot="1" x14ac:dyDescent="0.35">
      <c r="AI17014" s="1746" t="s">
        <v>150</v>
      </c>
      <c r="AJ17014" s="1747"/>
      <c r="AK17014" s="1748"/>
      <c r="AL17014" s="198"/>
      <c r="AM17014" s="198"/>
      <c r="AN17014" s="198"/>
      <c r="AO17014" s="198"/>
    </row>
    <row r="17015" spans="35:41" ht="19.5" thickBot="1" x14ac:dyDescent="0.35">
      <c r="AI17015" s="1746" t="s">
        <v>150</v>
      </c>
      <c r="AJ17015" s="1747"/>
      <c r="AK17015" s="1748"/>
      <c r="AL17015" s="198"/>
      <c r="AM17015" s="198"/>
      <c r="AN17015" s="198"/>
      <c r="AO17015" s="198"/>
    </row>
    <row r="17016" spans="35:41" ht="19.5" thickBot="1" x14ac:dyDescent="0.35">
      <c r="AI17016" s="1746" t="s">
        <v>150</v>
      </c>
      <c r="AJ17016" s="1747"/>
      <c r="AK17016" s="1748"/>
      <c r="AL17016" s="198"/>
      <c r="AM17016" s="198"/>
      <c r="AN17016" s="198"/>
      <c r="AO17016" s="198"/>
    </row>
    <row r="17017" spans="35:41" ht="19.5" thickBot="1" x14ac:dyDescent="0.35">
      <c r="AI17017" s="1746" t="s">
        <v>150</v>
      </c>
      <c r="AJ17017" s="1747"/>
      <c r="AK17017" s="1748"/>
      <c r="AL17017" s="198"/>
      <c r="AM17017" s="198"/>
      <c r="AN17017" s="198"/>
      <c r="AO17017" s="198"/>
    </row>
    <row r="17018" spans="35:41" ht="19.5" thickBot="1" x14ac:dyDescent="0.35">
      <c r="AI17018" s="1746" t="s">
        <v>150</v>
      </c>
      <c r="AJ17018" s="1747"/>
      <c r="AK17018" s="1748"/>
      <c r="AL17018" s="198"/>
      <c r="AM17018" s="198"/>
      <c r="AN17018" s="198"/>
      <c r="AO17018" s="198"/>
    </row>
    <row r="17019" spans="35:41" ht="19.5" thickBot="1" x14ac:dyDescent="0.35">
      <c r="AI17019" s="1746" t="s">
        <v>150</v>
      </c>
      <c r="AJ17019" s="1747"/>
      <c r="AK17019" s="1748"/>
      <c r="AL17019" s="198"/>
      <c r="AM17019" s="198"/>
      <c r="AN17019" s="198"/>
      <c r="AO17019" s="198"/>
    </row>
    <row r="17020" spans="35:41" ht="19.5" thickBot="1" x14ac:dyDescent="0.35">
      <c r="AI17020" s="1746" t="s">
        <v>150</v>
      </c>
      <c r="AJ17020" s="1747"/>
      <c r="AK17020" s="1748"/>
      <c r="AL17020" s="198"/>
      <c r="AM17020" s="198"/>
      <c r="AN17020" s="198"/>
      <c r="AO17020" s="198"/>
    </row>
    <row r="17021" spans="35:41" ht="19.5" thickBot="1" x14ac:dyDescent="0.35">
      <c r="AI17021" s="1746" t="s">
        <v>150</v>
      </c>
      <c r="AJ17021" s="1747"/>
      <c r="AK17021" s="1748"/>
      <c r="AL17021" s="198"/>
      <c r="AM17021" s="198"/>
      <c r="AN17021" s="198"/>
      <c r="AO17021" s="198"/>
    </row>
    <row r="17022" spans="35:41" ht="19.5" thickBot="1" x14ac:dyDescent="0.35">
      <c r="AI17022" s="1746" t="s">
        <v>150</v>
      </c>
      <c r="AJ17022" s="1747"/>
      <c r="AK17022" s="1748"/>
      <c r="AL17022" s="198"/>
      <c r="AM17022" s="198"/>
      <c r="AN17022" s="198"/>
      <c r="AO17022" s="198"/>
    </row>
    <row r="17023" spans="35:41" ht="19.5" thickBot="1" x14ac:dyDescent="0.35">
      <c r="AI17023" s="1746" t="s">
        <v>150</v>
      </c>
      <c r="AJ17023" s="1747"/>
      <c r="AK17023" s="1748"/>
      <c r="AL17023" s="198"/>
      <c r="AM17023" s="198"/>
      <c r="AN17023" s="198"/>
      <c r="AO17023" s="198"/>
    </row>
    <row r="17024" spans="35:41" ht="19.5" thickBot="1" x14ac:dyDescent="0.35">
      <c r="AI17024" s="1746" t="s">
        <v>150</v>
      </c>
      <c r="AJ17024" s="1747"/>
      <c r="AK17024" s="1748"/>
      <c r="AL17024" s="198"/>
      <c r="AM17024" s="198"/>
      <c r="AN17024" s="198"/>
      <c r="AO17024" s="198"/>
    </row>
    <row r="17025" spans="35:41" ht="19.5" thickBot="1" x14ac:dyDescent="0.35">
      <c r="AI17025" s="1746" t="s">
        <v>150</v>
      </c>
      <c r="AJ17025" s="1747"/>
      <c r="AK17025" s="1748"/>
      <c r="AL17025" s="198"/>
      <c r="AM17025" s="198"/>
      <c r="AN17025" s="198"/>
      <c r="AO17025" s="198"/>
    </row>
    <row r="17026" spans="35:41" ht="19.5" thickBot="1" x14ac:dyDescent="0.35">
      <c r="AI17026" s="1746" t="s">
        <v>150</v>
      </c>
      <c r="AJ17026" s="1747"/>
      <c r="AK17026" s="1748"/>
      <c r="AL17026" s="198"/>
      <c r="AM17026" s="198"/>
      <c r="AN17026" s="198"/>
      <c r="AO17026" s="198"/>
    </row>
    <row r="17027" spans="35:41" ht="19.5" thickBot="1" x14ac:dyDescent="0.35">
      <c r="AI17027" s="1746" t="s">
        <v>150</v>
      </c>
      <c r="AJ17027" s="1747"/>
      <c r="AK17027" s="1748"/>
      <c r="AL17027" s="198"/>
      <c r="AM17027" s="198"/>
      <c r="AN17027" s="198"/>
      <c r="AO17027" s="198"/>
    </row>
    <row r="17028" spans="35:41" ht="19.5" thickBot="1" x14ac:dyDescent="0.35">
      <c r="AI17028" s="1746" t="s">
        <v>150</v>
      </c>
      <c r="AJ17028" s="1747"/>
      <c r="AK17028" s="1748"/>
      <c r="AL17028" s="198"/>
      <c r="AM17028" s="198"/>
      <c r="AN17028" s="198"/>
      <c r="AO17028" s="198"/>
    </row>
    <row r="17029" spans="35:41" ht="19.5" thickBot="1" x14ac:dyDescent="0.35">
      <c r="AI17029" s="1746" t="s">
        <v>150</v>
      </c>
      <c r="AJ17029" s="1747"/>
      <c r="AK17029" s="1748"/>
      <c r="AL17029" s="198"/>
      <c r="AM17029" s="198"/>
      <c r="AN17029" s="198"/>
      <c r="AO17029" s="198"/>
    </row>
    <row r="17030" spans="35:41" ht="19.5" thickBot="1" x14ac:dyDescent="0.35">
      <c r="AI17030" s="1746" t="s">
        <v>150</v>
      </c>
      <c r="AJ17030" s="1747"/>
      <c r="AK17030" s="1748"/>
      <c r="AL17030" s="198"/>
      <c r="AM17030" s="198"/>
      <c r="AN17030" s="198"/>
      <c r="AO17030" s="198"/>
    </row>
    <row r="17031" spans="35:41" ht="19.5" thickBot="1" x14ac:dyDescent="0.35">
      <c r="AI17031" s="1746" t="s">
        <v>150</v>
      </c>
      <c r="AJ17031" s="1747"/>
      <c r="AK17031" s="1748"/>
      <c r="AL17031" s="198"/>
      <c r="AM17031" s="198"/>
      <c r="AN17031" s="198"/>
      <c r="AO17031" s="198"/>
    </row>
    <row r="17032" spans="35:41" ht="19.5" thickBot="1" x14ac:dyDescent="0.35">
      <c r="AI17032" s="1746" t="s">
        <v>150</v>
      </c>
      <c r="AJ17032" s="1747"/>
      <c r="AK17032" s="1748"/>
      <c r="AL17032" s="198"/>
      <c r="AM17032" s="198"/>
      <c r="AN17032" s="198"/>
      <c r="AO17032" s="198"/>
    </row>
    <row r="17033" spans="35:41" ht="19.5" thickBot="1" x14ac:dyDescent="0.35">
      <c r="AI17033" s="1746" t="s">
        <v>150</v>
      </c>
      <c r="AJ17033" s="1747"/>
      <c r="AK17033" s="1748"/>
      <c r="AL17033" s="198"/>
      <c r="AM17033" s="198"/>
      <c r="AN17033" s="198"/>
      <c r="AO17033" s="198"/>
    </row>
    <row r="17034" spans="35:41" ht="19.5" thickBot="1" x14ac:dyDescent="0.35">
      <c r="AI17034" s="1746" t="s">
        <v>150</v>
      </c>
      <c r="AJ17034" s="1747"/>
      <c r="AK17034" s="1748"/>
      <c r="AL17034" s="198"/>
      <c r="AM17034" s="198"/>
      <c r="AN17034" s="198"/>
      <c r="AO17034" s="198"/>
    </row>
    <row r="17035" spans="35:41" ht="19.5" thickBot="1" x14ac:dyDescent="0.35">
      <c r="AI17035" s="1746" t="s">
        <v>150</v>
      </c>
      <c r="AJ17035" s="1747"/>
      <c r="AK17035" s="1748"/>
      <c r="AL17035" s="198"/>
      <c r="AM17035" s="198"/>
      <c r="AN17035" s="198"/>
      <c r="AO17035" s="198"/>
    </row>
    <row r="17036" spans="35:41" ht="19.5" thickBot="1" x14ac:dyDescent="0.35">
      <c r="AI17036" s="1746" t="s">
        <v>150</v>
      </c>
      <c r="AJ17036" s="1747"/>
      <c r="AK17036" s="1748"/>
      <c r="AL17036" s="198"/>
      <c r="AM17036" s="198"/>
      <c r="AN17036" s="198"/>
      <c r="AO17036" s="198"/>
    </row>
    <row r="17037" spans="35:41" ht="19.5" thickBot="1" x14ac:dyDescent="0.35">
      <c r="AI17037" s="1746" t="s">
        <v>150</v>
      </c>
      <c r="AJ17037" s="1747"/>
      <c r="AK17037" s="1748"/>
      <c r="AL17037" s="198"/>
      <c r="AM17037" s="198"/>
      <c r="AN17037" s="198"/>
      <c r="AO17037" s="198"/>
    </row>
    <row r="17038" spans="35:41" ht="19.5" thickBot="1" x14ac:dyDescent="0.35">
      <c r="AI17038" s="1746" t="s">
        <v>150</v>
      </c>
      <c r="AJ17038" s="1747"/>
      <c r="AK17038" s="1748"/>
      <c r="AL17038" s="198"/>
      <c r="AM17038" s="198"/>
      <c r="AN17038" s="198"/>
      <c r="AO17038" s="198"/>
    </row>
    <row r="17039" spans="35:41" ht="19.5" thickBot="1" x14ac:dyDescent="0.35">
      <c r="AI17039" s="1746" t="s">
        <v>150</v>
      </c>
      <c r="AJ17039" s="1747"/>
      <c r="AK17039" s="1748"/>
      <c r="AL17039" s="198"/>
      <c r="AM17039" s="198"/>
      <c r="AN17039" s="198"/>
      <c r="AO17039" s="198"/>
    </row>
    <row r="17040" spans="35:41" ht="19.5" thickBot="1" x14ac:dyDescent="0.35">
      <c r="AI17040" s="1746" t="s">
        <v>150</v>
      </c>
      <c r="AJ17040" s="1747"/>
      <c r="AK17040" s="1748"/>
      <c r="AL17040" s="198"/>
      <c r="AM17040" s="198"/>
      <c r="AN17040" s="198"/>
      <c r="AO17040" s="198"/>
    </row>
    <row r="17041" spans="35:41" ht="19.5" thickBot="1" x14ac:dyDescent="0.35">
      <c r="AI17041" s="1746" t="s">
        <v>150</v>
      </c>
      <c r="AJ17041" s="1747"/>
      <c r="AK17041" s="1748"/>
      <c r="AL17041" s="198"/>
      <c r="AM17041" s="198"/>
      <c r="AN17041" s="198"/>
      <c r="AO17041" s="198"/>
    </row>
    <row r="17042" spans="35:41" ht="19.5" thickBot="1" x14ac:dyDescent="0.35">
      <c r="AI17042" s="1746" t="s">
        <v>150</v>
      </c>
      <c r="AJ17042" s="1747"/>
      <c r="AK17042" s="1748"/>
      <c r="AL17042" s="198"/>
      <c r="AM17042" s="198"/>
      <c r="AN17042" s="198"/>
      <c r="AO17042" s="198"/>
    </row>
    <row r="17043" spans="35:41" ht="19.5" thickBot="1" x14ac:dyDescent="0.35">
      <c r="AI17043" s="1746" t="s">
        <v>150</v>
      </c>
      <c r="AJ17043" s="1747"/>
      <c r="AK17043" s="1748"/>
      <c r="AL17043" s="198"/>
      <c r="AM17043" s="198"/>
      <c r="AN17043" s="198"/>
      <c r="AO17043" s="198"/>
    </row>
    <row r="17044" spans="35:41" ht="19.5" thickBot="1" x14ac:dyDescent="0.35">
      <c r="AI17044" s="1746" t="s">
        <v>150</v>
      </c>
      <c r="AJ17044" s="1747"/>
      <c r="AK17044" s="1748"/>
      <c r="AL17044" s="198"/>
      <c r="AM17044" s="198"/>
      <c r="AN17044" s="198"/>
      <c r="AO17044" s="198"/>
    </row>
    <row r="17045" spans="35:41" ht="19.5" thickBot="1" x14ac:dyDescent="0.35">
      <c r="AI17045" s="1746" t="s">
        <v>150</v>
      </c>
      <c r="AJ17045" s="1747"/>
      <c r="AK17045" s="1748"/>
      <c r="AL17045" s="198"/>
      <c r="AM17045" s="198"/>
      <c r="AN17045" s="198"/>
      <c r="AO17045" s="198"/>
    </row>
    <row r="17046" spans="35:41" ht="19.5" thickBot="1" x14ac:dyDescent="0.35">
      <c r="AI17046" s="1746" t="s">
        <v>150</v>
      </c>
      <c r="AJ17046" s="1747"/>
      <c r="AK17046" s="1748"/>
      <c r="AL17046" s="198"/>
      <c r="AM17046" s="198"/>
      <c r="AN17046" s="198"/>
      <c r="AO17046" s="198"/>
    </row>
    <row r="17047" spans="35:41" ht="19.5" thickBot="1" x14ac:dyDescent="0.35">
      <c r="AI17047" s="1746" t="s">
        <v>150</v>
      </c>
      <c r="AJ17047" s="1747"/>
      <c r="AK17047" s="1748"/>
      <c r="AL17047" s="198"/>
      <c r="AM17047" s="198"/>
      <c r="AN17047" s="198"/>
      <c r="AO17047" s="198"/>
    </row>
    <row r="17048" spans="35:41" ht="19.5" thickBot="1" x14ac:dyDescent="0.35">
      <c r="AI17048" s="1746" t="s">
        <v>150</v>
      </c>
      <c r="AJ17048" s="1747"/>
      <c r="AK17048" s="1748"/>
      <c r="AL17048" s="198"/>
      <c r="AM17048" s="198"/>
      <c r="AN17048" s="198"/>
      <c r="AO17048" s="198"/>
    </row>
    <row r="17049" spans="35:41" ht="19.5" thickBot="1" x14ac:dyDescent="0.35">
      <c r="AI17049" s="1746" t="s">
        <v>150</v>
      </c>
      <c r="AJ17049" s="1747"/>
      <c r="AK17049" s="1748"/>
      <c r="AL17049" s="198"/>
      <c r="AM17049" s="198"/>
      <c r="AN17049" s="198"/>
      <c r="AO17049" s="198"/>
    </row>
    <row r="17050" spans="35:41" ht="19.5" thickBot="1" x14ac:dyDescent="0.35">
      <c r="AI17050" s="1746" t="s">
        <v>150</v>
      </c>
      <c r="AJ17050" s="1747"/>
      <c r="AK17050" s="1748"/>
      <c r="AL17050" s="198"/>
      <c r="AM17050" s="198"/>
      <c r="AN17050" s="198"/>
      <c r="AO17050" s="198"/>
    </row>
    <row r="17051" spans="35:41" ht="19.5" thickBot="1" x14ac:dyDescent="0.35">
      <c r="AI17051" s="1746" t="s">
        <v>150</v>
      </c>
      <c r="AJ17051" s="1747"/>
      <c r="AK17051" s="1748"/>
      <c r="AL17051" s="198"/>
      <c r="AM17051" s="198"/>
      <c r="AN17051" s="198"/>
      <c r="AO17051" s="198"/>
    </row>
    <row r="17052" spans="35:41" ht="19.5" thickBot="1" x14ac:dyDescent="0.35">
      <c r="AI17052" s="1746" t="s">
        <v>150</v>
      </c>
      <c r="AJ17052" s="1747"/>
      <c r="AK17052" s="1748"/>
      <c r="AL17052" s="198"/>
      <c r="AM17052" s="198"/>
      <c r="AN17052" s="198"/>
      <c r="AO17052" s="198"/>
    </row>
    <row r="17053" spans="35:41" ht="19.5" thickBot="1" x14ac:dyDescent="0.35">
      <c r="AI17053" s="1746" t="s">
        <v>150</v>
      </c>
      <c r="AJ17053" s="1747"/>
      <c r="AK17053" s="1748"/>
      <c r="AL17053" s="198"/>
      <c r="AM17053" s="198"/>
      <c r="AN17053" s="198"/>
      <c r="AO17053" s="198"/>
    </row>
    <row r="17054" spans="35:41" ht="19.5" thickBot="1" x14ac:dyDescent="0.35">
      <c r="AI17054" s="1746" t="s">
        <v>150</v>
      </c>
      <c r="AJ17054" s="1747"/>
      <c r="AK17054" s="1748"/>
      <c r="AL17054" s="198"/>
      <c r="AM17054" s="198"/>
      <c r="AN17054" s="198"/>
      <c r="AO17054" s="198"/>
    </row>
    <row r="17055" spans="35:41" ht="19.5" thickBot="1" x14ac:dyDescent="0.35">
      <c r="AI17055" s="1746" t="s">
        <v>150</v>
      </c>
      <c r="AJ17055" s="1747"/>
      <c r="AK17055" s="1748"/>
      <c r="AL17055" s="198"/>
      <c r="AM17055" s="198"/>
      <c r="AN17055" s="198"/>
      <c r="AO17055" s="198"/>
    </row>
    <row r="17056" spans="35:41" ht="19.5" thickBot="1" x14ac:dyDescent="0.35">
      <c r="AI17056" s="1746" t="s">
        <v>150</v>
      </c>
      <c r="AJ17056" s="1747"/>
      <c r="AK17056" s="1748"/>
      <c r="AL17056" s="198"/>
      <c r="AM17056" s="198"/>
      <c r="AN17056" s="198"/>
      <c r="AO17056" s="198"/>
    </row>
    <row r="17057" spans="35:41" ht="19.5" thickBot="1" x14ac:dyDescent="0.35">
      <c r="AI17057" s="1746" t="s">
        <v>150</v>
      </c>
      <c r="AJ17057" s="1747"/>
      <c r="AK17057" s="1748"/>
      <c r="AL17057" s="198"/>
      <c r="AM17057" s="198"/>
      <c r="AN17057" s="198"/>
      <c r="AO17057" s="198"/>
    </row>
    <row r="17058" spans="35:41" ht="19.5" thickBot="1" x14ac:dyDescent="0.35">
      <c r="AI17058" s="1746" t="s">
        <v>150</v>
      </c>
      <c r="AJ17058" s="1747"/>
      <c r="AK17058" s="1748"/>
      <c r="AL17058" s="198"/>
      <c r="AM17058" s="198"/>
      <c r="AN17058" s="198"/>
      <c r="AO17058" s="198"/>
    </row>
    <row r="17059" spans="35:41" ht="19.5" thickBot="1" x14ac:dyDescent="0.35">
      <c r="AI17059" s="1746" t="s">
        <v>150</v>
      </c>
      <c r="AJ17059" s="1747"/>
      <c r="AK17059" s="1748"/>
      <c r="AL17059" s="198"/>
      <c r="AM17059" s="198"/>
      <c r="AN17059" s="198"/>
      <c r="AO17059" s="198"/>
    </row>
    <row r="17060" spans="35:41" ht="19.5" thickBot="1" x14ac:dyDescent="0.35">
      <c r="AI17060" s="1746" t="s">
        <v>150</v>
      </c>
      <c r="AJ17060" s="1747"/>
      <c r="AK17060" s="1748"/>
      <c r="AL17060" s="198"/>
      <c r="AM17060" s="198"/>
      <c r="AN17060" s="198"/>
      <c r="AO17060" s="198"/>
    </row>
    <row r="17061" spans="35:41" ht="19.5" thickBot="1" x14ac:dyDescent="0.35">
      <c r="AI17061" s="1746" t="s">
        <v>150</v>
      </c>
      <c r="AJ17061" s="1747"/>
      <c r="AK17061" s="1748"/>
      <c r="AL17061" s="198"/>
      <c r="AM17061" s="198"/>
      <c r="AN17061" s="198"/>
      <c r="AO17061" s="198"/>
    </row>
    <row r="17062" spans="35:41" ht="19.5" thickBot="1" x14ac:dyDescent="0.35">
      <c r="AI17062" s="1746" t="s">
        <v>150</v>
      </c>
      <c r="AJ17062" s="1747"/>
      <c r="AK17062" s="1748"/>
      <c r="AL17062" s="198"/>
      <c r="AM17062" s="198"/>
      <c r="AN17062" s="198"/>
      <c r="AO17062" s="198"/>
    </row>
    <row r="17063" spans="35:41" ht="19.5" thickBot="1" x14ac:dyDescent="0.35">
      <c r="AI17063" s="1746" t="s">
        <v>150</v>
      </c>
      <c r="AJ17063" s="1747"/>
      <c r="AK17063" s="1748"/>
      <c r="AL17063" s="198"/>
      <c r="AM17063" s="198"/>
      <c r="AN17063" s="198"/>
      <c r="AO17063" s="198"/>
    </row>
    <row r="17064" spans="35:41" ht="19.5" thickBot="1" x14ac:dyDescent="0.35">
      <c r="AI17064" s="1746" t="s">
        <v>150</v>
      </c>
      <c r="AJ17064" s="1747"/>
      <c r="AK17064" s="1748"/>
      <c r="AL17064" s="198"/>
      <c r="AM17064" s="198"/>
      <c r="AN17064" s="198"/>
      <c r="AO17064" s="198"/>
    </row>
    <row r="17065" spans="35:41" ht="19.5" thickBot="1" x14ac:dyDescent="0.35">
      <c r="AI17065" s="1746" t="s">
        <v>150</v>
      </c>
      <c r="AJ17065" s="1747"/>
      <c r="AK17065" s="1748"/>
      <c r="AL17065" s="198"/>
      <c r="AM17065" s="198"/>
      <c r="AN17065" s="198"/>
      <c r="AO17065" s="198"/>
    </row>
    <row r="17066" spans="35:41" ht="19.5" thickBot="1" x14ac:dyDescent="0.35">
      <c r="AI17066" s="1746" t="s">
        <v>150</v>
      </c>
      <c r="AJ17066" s="1747"/>
      <c r="AK17066" s="1748"/>
      <c r="AL17066" s="198"/>
      <c r="AM17066" s="198"/>
      <c r="AN17066" s="198"/>
      <c r="AO17066" s="198"/>
    </row>
    <row r="17067" spans="35:41" ht="19.5" thickBot="1" x14ac:dyDescent="0.35">
      <c r="AI17067" s="1746" t="s">
        <v>150</v>
      </c>
      <c r="AJ17067" s="1747"/>
      <c r="AK17067" s="1748"/>
      <c r="AL17067" s="198"/>
      <c r="AM17067" s="198"/>
      <c r="AN17067" s="198"/>
      <c r="AO17067" s="198"/>
    </row>
    <row r="17068" spans="35:41" ht="19.5" thickBot="1" x14ac:dyDescent="0.35">
      <c r="AI17068" s="1746" t="s">
        <v>150</v>
      </c>
      <c r="AJ17068" s="1747"/>
      <c r="AK17068" s="1748"/>
      <c r="AL17068" s="198"/>
      <c r="AM17068" s="198"/>
      <c r="AN17068" s="198"/>
      <c r="AO17068" s="198"/>
    </row>
    <row r="17069" spans="35:41" ht="19.5" thickBot="1" x14ac:dyDescent="0.35">
      <c r="AI17069" s="1746" t="s">
        <v>150</v>
      </c>
      <c r="AJ17069" s="1747"/>
      <c r="AK17069" s="1748"/>
      <c r="AL17069" s="198"/>
      <c r="AM17069" s="198"/>
      <c r="AN17069" s="198"/>
      <c r="AO17069" s="198"/>
    </row>
    <row r="17070" spans="35:41" ht="19.5" thickBot="1" x14ac:dyDescent="0.35">
      <c r="AI17070" s="1746" t="s">
        <v>150</v>
      </c>
      <c r="AJ17070" s="1747"/>
      <c r="AK17070" s="1748"/>
      <c r="AL17070" s="198"/>
      <c r="AM17070" s="198"/>
      <c r="AN17070" s="198"/>
      <c r="AO17070" s="198"/>
    </row>
    <row r="17071" spans="35:41" ht="19.5" thickBot="1" x14ac:dyDescent="0.35">
      <c r="AI17071" s="1746" t="s">
        <v>150</v>
      </c>
      <c r="AJ17071" s="1747"/>
      <c r="AK17071" s="1748"/>
      <c r="AL17071" s="198"/>
      <c r="AM17071" s="198"/>
      <c r="AN17071" s="198"/>
      <c r="AO17071" s="198"/>
    </row>
    <row r="17072" spans="35:41" ht="19.5" thickBot="1" x14ac:dyDescent="0.35">
      <c r="AI17072" s="1746" t="s">
        <v>150</v>
      </c>
      <c r="AJ17072" s="1747"/>
      <c r="AK17072" s="1748"/>
      <c r="AL17072" s="198"/>
      <c r="AM17072" s="198"/>
      <c r="AN17072" s="198"/>
      <c r="AO17072" s="198"/>
    </row>
    <row r="17073" spans="35:41" ht="19.5" thickBot="1" x14ac:dyDescent="0.35">
      <c r="AI17073" s="1746" t="s">
        <v>150</v>
      </c>
      <c r="AJ17073" s="1747"/>
      <c r="AK17073" s="1748"/>
      <c r="AL17073" s="198"/>
      <c r="AM17073" s="198"/>
      <c r="AN17073" s="198"/>
      <c r="AO17073" s="198"/>
    </row>
    <row r="17074" spans="35:41" ht="19.5" thickBot="1" x14ac:dyDescent="0.35">
      <c r="AI17074" s="1746" t="s">
        <v>150</v>
      </c>
      <c r="AJ17074" s="1747"/>
      <c r="AK17074" s="1748"/>
      <c r="AL17074" s="198"/>
      <c r="AM17074" s="198"/>
      <c r="AN17074" s="198"/>
      <c r="AO17074" s="198"/>
    </row>
    <row r="17075" spans="35:41" ht="19.5" thickBot="1" x14ac:dyDescent="0.35">
      <c r="AI17075" s="1746" t="s">
        <v>150</v>
      </c>
      <c r="AJ17075" s="1747"/>
      <c r="AK17075" s="1748"/>
      <c r="AL17075" s="198"/>
      <c r="AM17075" s="198"/>
      <c r="AN17075" s="198"/>
      <c r="AO17075" s="198"/>
    </row>
    <row r="17076" spans="35:41" ht="19.5" thickBot="1" x14ac:dyDescent="0.35">
      <c r="AI17076" s="1746" t="s">
        <v>150</v>
      </c>
      <c r="AJ17076" s="1747"/>
      <c r="AK17076" s="1748"/>
      <c r="AL17076" s="198"/>
      <c r="AM17076" s="198"/>
      <c r="AN17076" s="198"/>
      <c r="AO17076" s="198"/>
    </row>
    <row r="17077" spans="35:41" ht="19.5" thickBot="1" x14ac:dyDescent="0.35">
      <c r="AI17077" s="1746" t="s">
        <v>150</v>
      </c>
      <c r="AJ17077" s="1747"/>
      <c r="AK17077" s="1748"/>
      <c r="AL17077" s="198"/>
      <c r="AM17077" s="198"/>
      <c r="AN17077" s="198"/>
      <c r="AO17077" s="198"/>
    </row>
    <row r="17078" spans="35:41" ht="19.5" thickBot="1" x14ac:dyDescent="0.35">
      <c r="AI17078" s="1746" t="s">
        <v>150</v>
      </c>
      <c r="AJ17078" s="1747"/>
      <c r="AK17078" s="1748"/>
      <c r="AL17078" s="198"/>
      <c r="AM17078" s="198"/>
      <c r="AN17078" s="198"/>
      <c r="AO17078" s="198"/>
    </row>
    <row r="17079" spans="35:41" ht="19.5" thickBot="1" x14ac:dyDescent="0.35">
      <c r="AI17079" s="1746" t="s">
        <v>150</v>
      </c>
      <c r="AJ17079" s="1747"/>
      <c r="AK17079" s="1748"/>
      <c r="AL17079" s="198"/>
      <c r="AM17079" s="198"/>
      <c r="AN17079" s="198"/>
      <c r="AO17079" s="198"/>
    </row>
    <row r="17080" spans="35:41" ht="19.5" thickBot="1" x14ac:dyDescent="0.35">
      <c r="AI17080" s="1746" t="s">
        <v>150</v>
      </c>
      <c r="AJ17080" s="1747"/>
      <c r="AK17080" s="1748"/>
      <c r="AL17080" s="198"/>
      <c r="AM17080" s="198"/>
      <c r="AN17080" s="198"/>
      <c r="AO17080" s="198"/>
    </row>
    <row r="17081" spans="35:41" ht="19.5" thickBot="1" x14ac:dyDescent="0.35">
      <c r="AI17081" s="1746" t="s">
        <v>150</v>
      </c>
      <c r="AJ17081" s="1747"/>
      <c r="AK17081" s="1748"/>
      <c r="AL17081" s="198"/>
      <c r="AM17081" s="198"/>
      <c r="AN17081" s="198"/>
      <c r="AO17081" s="198"/>
    </row>
    <row r="17082" spans="35:41" ht="19.5" thickBot="1" x14ac:dyDescent="0.35">
      <c r="AI17082" s="1746" t="s">
        <v>150</v>
      </c>
      <c r="AJ17082" s="1747"/>
      <c r="AK17082" s="1748"/>
      <c r="AL17082" s="198"/>
      <c r="AM17082" s="198"/>
      <c r="AN17082" s="198"/>
      <c r="AO17082" s="198"/>
    </row>
    <row r="17083" spans="35:41" ht="19.5" thickBot="1" x14ac:dyDescent="0.35">
      <c r="AI17083" s="1746" t="s">
        <v>150</v>
      </c>
      <c r="AJ17083" s="1747"/>
      <c r="AK17083" s="1748"/>
      <c r="AL17083" s="198"/>
      <c r="AM17083" s="198"/>
      <c r="AN17083" s="198"/>
      <c r="AO17083" s="198"/>
    </row>
    <row r="17084" spans="35:41" ht="19.5" thickBot="1" x14ac:dyDescent="0.35">
      <c r="AI17084" s="1746" t="s">
        <v>150</v>
      </c>
      <c r="AJ17084" s="1747"/>
      <c r="AK17084" s="1748"/>
      <c r="AL17084" s="198"/>
      <c r="AM17084" s="198"/>
      <c r="AN17084" s="198"/>
      <c r="AO17084" s="198"/>
    </row>
    <row r="17085" spans="35:41" ht="19.5" thickBot="1" x14ac:dyDescent="0.35">
      <c r="AI17085" s="1746" t="s">
        <v>150</v>
      </c>
      <c r="AJ17085" s="1747"/>
      <c r="AK17085" s="1748"/>
      <c r="AL17085" s="198"/>
      <c r="AM17085" s="198"/>
      <c r="AN17085" s="198"/>
      <c r="AO17085" s="198"/>
    </row>
    <row r="17086" spans="35:41" ht="19.5" thickBot="1" x14ac:dyDescent="0.35">
      <c r="AI17086" s="1746" t="s">
        <v>150</v>
      </c>
      <c r="AJ17086" s="1747"/>
      <c r="AK17086" s="1748"/>
      <c r="AL17086" s="198"/>
      <c r="AM17086" s="198"/>
      <c r="AN17086" s="198"/>
      <c r="AO17086" s="198"/>
    </row>
    <row r="17087" spans="35:41" ht="19.5" thickBot="1" x14ac:dyDescent="0.35">
      <c r="AI17087" s="1746" t="s">
        <v>150</v>
      </c>
      <c r="AJ17087" s="1747"/>
      <c r="AK17087" s="1748"/>
      <c r="AL17087" s="198"/>
      <c r="AM17087" s="198"/>
      <c r="AN17087" s="198"/>
      <c r="AO17087" s="198"/>
    </row>
    <row r="17088" spans="35:41" ht="19.5" thickBot="1" x14ac:dyDescent="0.35">
      <c r="AI17088" s="1746" t="s">
        <v>150</v>
      </c>
      <c r="AJ17088" s="1747"/>
      <c r="AK17088" s="1748"/>
      <c r="AL17088" s="198"/>
      <c r="AM17088" s="198"/>
      <c r="AN17088" s="198"/>
      <c r="AO17088" s="198"/>
    </row>
    <row r="17089" spans="35:41" ht="19.5" thickBot="1" x14ac:dyDescent="0.35">
      <c r="AI17089" s="1746" t="s">
        <v>150</v>
      </c>
      <c r="AJ17089" s="1747"/>
      <c r="AK17089" s="1748"/>
      <c r="AL17089" s="198"/>
      <c r="AM17089" s="198"/>
      <c r="AN17089" s="198"/>
      <c r="AO17089" s="198"/>
    </row>
    <row r="17090" spans="35:41" ht="19.5" thickBot="1" x14ac:dyDescent="0.35">
      <c r="AI17090" s="1746" t="s">
        <v>150</v>
      </c>
      <c r="AJ17090" s="1747"/>
      <c r="AK17090" s="1748"/>
      <c r="AL17090" s="198"/>
      <c r="AM17090" s="198"/>
      <c r="AN17090" s="198"/>
      <c r="AO17090" s="198"/>
    </row>
    <row r="17091" spans="35:41" ht="19.5" thickBot="1" x14ac:dyDescent="0.35">
      <c r="AI17091" s="1746" t="s">
        <v>150</v>
      </c>
      <c r="AJ17091" s="1747"/>
      <c r="AK17091" s="1748"/>
      <c r="AL17091" s="198"/>
      <c r="AM17091" s="198"/>
      <c r="AN17091" s="198"/>
      <c r="AO17091" s="198"/>
    </row>
    <row r="17092" spans="35:41" ht="19.5" thickBot="1" x14ac:dyDescent="0.35">
      <c r="AI17092" s="1746" t="s">
        <v>150</v>
      </c>
      <c r="AJ17092" s="1747"/>
      <c r="AK17092" s="1748"/>
      <c r="AL17092" s="198"/>
      <c r="AM17092" s="198"/>
      <c r="AN17092" s="198"/>
      <c r="AO17092" s="198"/>
    </row>
    <row r="17093" spans="35:41" ht="19.5" thickBot="1" x14ac:dyDescent="0.35">
      <c r="AI17093" s="1746" t="s">
        <v>150</v>
      </c>
      <c r="AJ17093" s="1747"/>
      <c r="AK17093" s="1748"/>
      <c r="AL17093" s="198"/>
      <c r="AM17093" s="198"/>
      <c r="AN17093" s="198"/>
      <c r="AO17093" s="198"/>
    </row>
    <row r="17094" spans="35:41" ht="19.5" thickBot="1" x14ac:dyDescent="0.35">
      <c r="AI17094" s="1746" t="s">
        <v>150</v>
      </c>
      <c r="AJ17094" s="1747"/>
      <c r="AK17094" s="1748"/>
      <c r="AL17094" s="198"/>
      <c r="AM17094" s="198"/>
      <c r="AN17094" s="198"/>
      <c r="AO17094" s="198"/>
    </row>
    <row r="17095" spans="35:41" ht="19.5" thickBot="1" x14ac:dyDescent="0.35">
      <c r="AI17095" s="1746" t="s">
        <v>150</v>
      </c>
      <c r="AJ17095" s="1747"/>
      <c r="AK17095" s="1748"/>
      <c r="AL17095" s="198"/>
      <c r="AM17095" s="198"/>
      <c r="AN17095" s="198"/>
      <c r="AO17095" s="198"/>
    </row>
    <row r="17096" spans="35:41" ht="19.5" thickBot="1" x14ac:dyDescent="0.35">
      <c r="AI17096" s="1746" t="s">
        <v>150</v>
      </c>
      <c r="AJ17096" s="1747"/>
      <c r="AK17096" s="1748"/>
      <c r="AL17096" s="198"/>
      <c r="AM17096" s="198"/>
      <c r="AN17096" s="198"/>
      <c r="AO17096" s="198"/>
    </row>
    <row r="17097" spans="35:41" ht="19.5" thickBot="1" x14ac:dyDescent="0.35">
      <c r="AI17097" s="1746" t="s">
        <v>150</v>
      </c>
      <c r="AJ17097" s="1747"/>
      <c r="AK17097" s="1748"/>
      <c r="AL17097" s="198"/>
      <c r="AM17097" s="198"/>
      <c r="AN17097" s="198"/>
      <c r="AO17097" s="198"/>
    </row>
    <row r="17098" spans="35:41" ht="19.5" thickBot="1" x14ac:dyDescent="0.35">
      <c r="AI17098" s="1746" t="s">
        <v>150</v>
      </c>
      <c r="AJ17098" s="1747"/>
      <c r="AK17098" s="1748"/>
      <c r="AL17098" s="198"/>
      <c r="AM17098" s="198"/>
      <c r="AN17098" s="198"/>
      <c r="AO17098" s="198"/>
    </row>
    <row r="17099" spans="35:41" ht="19.5" thickBot="1" x14ac:dyDescent="0.35">
      <c r="AI17099" s="1746" t="s">
        <v>150</v>
      </c>
      <c r="AJ17099" s="1747"/>
      <c r="AK17099" s="1748"/>
      <c r="AL17099" s="198"/>
      <c r="AM17099" s="198"/>
      <c r="AN17099" s="198"/>
      <c r="AO17099" s="198"/>
    </row>
    <row r="17100" spans="35:41" ht="19.5" thickBot="1" x14ac:dyDescent="0.35">
      <c r="AI17100" s="1746" t="s">
        <v>150</v>
      </c>
      <c r="AJ17100" s="1747"/>
      <c r="AK17100" s="1748"/>
      <c r="AL17100" s="198"/>
      <c r="AM17100" s="198"/>
      <c r="AN17100" s="198"/>
      <c r="AO17100" s="198"/>
    </row>
    <row r="17101" spans="35:41" ht="19.5" thickBot="1" x14ac:dyDescent="0.35">
      <c r="AI17101" s="1746" t="s">
        <v>150</v>
      </c>
      <c r="AJ17101" s="1747"/>
      <c r="AK17101" s="1748"/>
      <c r="AL17101" s="198"/>
      <c r="AM17101" s="198"/>
      <c r="AN17101" s="198"/>
      <c r="AO17101" s="198"/>
    </row>
    <row r="17102" spans="35:41" ht="19.5" thickBot="1" x14ac:dyDescent="0.35">
      <c r="AI17102" s="1746" t="s">
        <v>150</v>
      </c>
      <c r="AJ17102" s="1747"/>
      <c r="AK17102" s="1748"/>
      <c r="AL17102" s="198"/>
      <c r="AM17102" s="198"/>
      <c r="AN17102" s="198"/>
      <c r="AO17102" s="198"/>
    </row>
    <row r="17103" spans="35:41" ht="19.5" thickBot="1" x14ac:dyDescent="0.35">
      <c r="AI17103" s="1746" t="s">
        <v>150</v>
      </c>
      <c r="AJ17103" s="1747"/>
      <c r="AK17103" s="1748"/>
      <c r="AL17103" s="198"/>
      <c r="AM17103" s="198"/>
      <c r="AN17103" s="198"/>
      <c r="AO17103" s="198"/>
    </row>
    <row r="17104" spans="35:41" ht="19.5" thickBot="1" x14ac:dyDescent="0.35">
      <c r="AI17104" s="1746" t="s">
        <v>150</v>
      </c>
      <c r="AJ17104" s="1747"/>
      <c r="AK17104" s="1748"/>
      <c r="AL17104" s="198"/>
      <c r="AM17104" s="198"/>
      <c r="AN17104" s="198"/>
      <c r="AO17104" s="198"/>
    </row>
    <row r="17105" spans="35:41" ht="19.5" thickBot="1" x14ac:dyDescent="0.35">
      <c r="AI17105" s="1746" t="s">
        <v>150</v>
      </c>
      <c r="AJ17105" s="1747"/>
      <c r="AK17105" s="1748"/>
      <c r="AL17105" s="198"/>
      <c r="AM17105" s="198"/>
      <c r="AN17105" s="198"/>
      <c r="AO17105" s="198"/>
    </row>
    <row r="17106" spans="35:41" ht="19.5" thickBot="1" x14ac:dyDescent="0.35">
      <c r="AI17106" s="1746" t="s">
        <v>150</v>
      </c>
      <c r="AJ17106" s="1747"/>
      <c r="AK17106" s="1748"/>
      <c r="AL17106" s="198"/>
      <c r="AM17106" s="198"/>
      <c r="AN17106" s="198"/>
      <c r="AO17106" s="198"/>
    </row>
    <row r="17107" spans="35:41" ht="19.5" thickBot="1" x14ac:dyDescent="0.35">
      <c r="AI17107" s="1746" t="s">
        <v>150</v>
      </c>
      <c r="AJ17107" s="1747"/>
      <c r="AK17107" s="1748"/>
      <c r="AL17107" s="198"/>
      <c r="AM17107" s="198"/>
      <c r="AN17107" s="198"/>
      <c r="AO17107" s="198"/>
    </row>
    <row r="17108" spans="35:41" ht="19.5" thickBot="1" x14ac:dyDescent="0.35">
      <c r="AI17108" s="1746" t="s">
        <v>150</v>
      </c>
      <c r="AJ17108" s="1747"/>
      <c r="AK17108" s="1748"/>
      <c r="AL17108" s="198"/>
      <c r="AM17108" s="198"/>
      <c r="AN17108" s="198"/>
      <c r="AO17108" s="198"/>
    </row>
    <row r="17109" spans="35:41" ht="19.5" thickBot="1" x14ac:dyDescent="0.35">
      <c r="AI17109" s="1746" t="s">
        <v>150</v>
      </c>
      <c r="AJ17109" s="1747"/>
      <c r="AK17109" s="1748"/>
      <c r="AL17109" s="198"/>
      <c r="AM17109" s="198"/>
      <c r="AN17109" s="198"/>
      <c r="AO17109" s="198"/>
    </row>
    <row r="17110" spans="35:41" ht="19.5" thickBot="1" x14ac:dyDescent="0.35">
      <c r="AI17110" s="1746" t="s">
        <v>150</v>
      </c>
      <c r="AJ17110" s="1747"/>
      <c r="AK17110" s="1748"/>
      <c r="AL17110" s="198"/>
      <c r="AM17110" s="198"/>
      <c r="AN17110" s="198"/>
      <c r="AO17110" s="198"/>
    </row>
    <row r="17111" spans="35:41" ht="19.5" thickBot="1" x14ac:dyDescent="0.35">
      <c r="AI17111" s="1746" t="s">
        <v>150</v>
      </c>
      <c r="AJ17111" s="1747"/>
      <c r="AK17111" s="1748"/>
      <c r="AL17111" s="198"/>
      <c r="AM17111" s="198"/>
      <c r="AN17111" s="198"/>
      <c r="AO17111" s="198"/>
    </row>
    <row r="17112" spans="35:41" ht="19.5" thickBot="1" x14ac:dyDescent="0.35">
      <c r="AI17112" s="1746" t="s">
        <v>150</v>
      </c>
      <c r="AJ17112" s="1747"/>
      <c r="AK17112" s="1748"/>
      <c r="AL17112" s="198"/>
      <c r="AM17112" s="198"/>
      <c r="AN17112" s="198"/>
      <c r="AO17112" s="198"/>
    </row>
    <row r="17113" spans="35:41" ht="19.5" thickBot="1" x14ac:dyDescent="0.35">
      <c r="AI17113" s="1746" t="s">
        <v>150</v>
      </c>
      <c r="AJ17113" s="1747"/>
      <c r="AK17113" s="1748"/>
      <c r="AL17113" s="198"/>
      <c r="AM17113" s="198"/>
      <c r="AN17113" s="198"/>
      <c r="AO17113" s="198"/>
    </row>
    <row r="17114" spans="35:41" ht="19.5" thickBot="1" x14ac:dyDescent="0.35">
      <c r="AI17114" s="1746" t="s">
        <v>150</v>
      </c>
      <c r="AJ17114" s="1747"/>
      <c r="AK17114" s="1748"/>
      <c r="AL17114" s="198"/>
      <c r="AM17114" s="198"/>
      <c r="AN17114" s="198"/>
      <c r="AO17114" s="198"/>
    </row>
    <row r="17115" spans="35:41" ht="19.5" thickBot="1" x14ac:dyDescent="0.35">
      <c r="AI17115" s="1746" t="s">
        <v>150</v>
      </c>
      <c r="AJ17115" s="1747"/>
      <c r="AK17115" s="1748"/>
      <c r="AL17115" s="198"/>
      <c r="AM17115" s="198"/>
      <c r="AN17115" s="198"/>
      <c r="AO17115" s="198"/>
    </row>
    <row r="17116" spans="35:41" ht="19.5" thickBot="1" x14ac:dyDescent="0.35">
      <c r="AI17116" s="1746" t="s">
        <v>150</v>
      </c>
      <c r="AJ17116" s="1747"/>
      <c r="AK17116" s="1748"/>
      <c r="AL17116" s="198"/>
      <c r="AM17116" s="198"/>
      <c r="AN17116" s="198"/>
      <c r="AO17116" s="198"/>
    </row>
    <row r="17117" spans="35:41" ht="19.5" thickBot="1" x14ac:dyDescent="0.35">
      <c r="AI17117" s="1746" t="s">
        <v>150</v>
      </c>
      <c r="AJ17117" s="1747"/>
      <c r="AK17117" s="1748"/>
      <c r="AL17117" s="198"/>
      <c r="AM17117" s="198"/>
      <c r="AN17117" s="198"/>
      <c r="AO17117" s="198"/>
    </row>
    <row r="17118" spans="35:41" ht="19.5" thickBot="1" x14ac:dyDescent="0.35">
      <c r="AI17118" s="1746" t="s">
        <v>150</v>
      </c>
      <c r="AJ17118" s="1747"/>
      <c r="AK17118" s="1748"/>
      <c r="AL17118" s="198"/>
      <c r="AM17118" s="198"/>
      <c r="AN17118" s="198"/>
      <c r="AO17118" s="198"/>
    </row>
    <row r="17119" spans="35:41" ht="19.5" thickBot="1" x14ac:dyDescent="0.35">
      <c r="AI17119" s="1746" t="s">
        <v>150</v>
      </c>
      <c r="AJ17119" s="1747"/>
      <c r="AK17119" s="1748"/>
      <c r="AL17119" s="198"/>
      <c r="AM17119" s="198"/>
      <c r="AN17119" s="198"/>
      <c r="AO17119" s="198"/>
    </row>
    <row r="17120" spans="35:41" ht="19.5" thickBot="1" x14ac:dyDescent="0.35">
      <c r="AI17120" s="1746" t="s">
        <v>150</v>
      </c>
      <c r="AJ17120" s="1747"/>
      <c r="AK17120" s="1748"/>
      <c r="AL17120" s="198"/>
      <c r="AM17120" s="198"/>
      <c r="AN17120" s="198"/>
      <c r="AO17120" s="198"/>
    </row>
    <row r="17121" spans="35:41" ht="19.5" thickBot="1" x14ac:dyDescent="0.35">
      <c r="AI17121" s="1746" t="s">
        <v>150</v>
      </c>
      <c r="AJ17121" s="1747"/>
      <c r="AK17121" s="1748"/>
      <c r="AL17121" s="198"/>
      <c r="AM17121" s="198"/>
      <c r="AN17121" s="198"/>
      <c r="AO17121" s="198"/>
    </row>
    <row r="17122" spans="35:41" ht="19.5" thickBot="1" x14ac:dyDescent="0.35">
      <c r="AI17122" s="1746" t="s">
        <v>150</v>
      </c>
      <c r="AJ17122" s="1747"/>
      <c r="AK17122" s="1748"/>
      <c r="AL17122" s="198"/>
      <c r="AM17122" s="198"/>
      <c r="AN17122" s="198"/>
      <c r="AO17122" s="198"/>
    </row>
    <row r="17123" spans="35:41" ht="19.5" thickBot="1" x14ac:dyDescent="0.35">
      <c r="AI17123" s="1746" t="s">
        <v>150</v>
      </c>
      <c r="AJ17123" s="1747"/>
      <c r="AK17123" s="1748"/>
      <c r="AL17123" s="198"/>
      <c r="AM17123" s="198"/>
      <c r="AN17123" s="198"/>
      <c r="AO17123" s="198"/>
    </row>
    <row r="17124" spans="35:41" ht="19.5" thickBot="1" x14ac:dyDescent="0.35">
      <c r="AI17124" s="1746" t="s">
        <v>150</v>
      </c>
      <c r="AJ17124" s="1747"/>
      <c r="AK17124" s="1748"/>
      <c r="AL17124" s="198"/>
      <c r="AM17124" s="198"/>
      <c r="AN17124" s="198"/>
      <c r="AO17124" s="198"/>
    </row>
    <row r="17125" spans="35:41" ht="19.5" thickBot="1" x14ac:dyDescent="0.35">
      <c r="AI17125" s="1746" t="s">
        <v>150</v>
      </c>
      <c r="AJ17125" s="1747"/>
      <c r="AK17125" s="1748"/>
      <c r="AL17125" s="198"/>
      <c r="AM17125" s="198"/>
      <c r="AN17125" s="198"/>
      <c r="AO17125" s="198"/>
    </row>
    <row r="17126" spans="35:41" ht="19.5" thickBot="1" x14ac:dyDescent="0.35">
      <c r="AI17126" s="1746" t="s">
        <v>150</v>
      </c>
      <c r="AJ17126" s="1747"/>
      <c r="AK17126" s="1748"/>
      <c r="AL17126" s="198"/>
      <c r="AM17126" s="198"/>
      <c r="AN17126" s="198"/>
      <c r="AO17126" s="198"/>
    </row>
    <row r="17127" spans="35:41" ht="19.5" thickBot="1" x14ac:dyDescent="0.35">
      <c r="AI17127" s="1746" t="s">
        <v>150</v>
      </c>
      <c r="AJ17127" s="1747"/>
      <c r="AK17127" s="1748"/>
      <c r="AL17127" s="198"/>
      <c r="AM17127" s="198"/>
      <c r="AN17127" s="198"/>
      <c r="AO17127" s="198"/>
    </row>
    <row r="17128" spans="35:41" ht="19.5" thickBot="1" x14ac:dyDescent="0.35">
      <c r="AI17128" s="1746" t="s">
        <v>150</v>
      </c>
      <c r="AJ17128" s="1747"/>
      <c r="AK17128" s="1748"/>
      <c r="AL17128" s="198"/>
      <c r="AM17128" s="198"/>
      <c r="AN17128" s="198"/>
      <c r="AO17128" s="198"/>
    </row>
    <row r="17129" spans="35:41" ht="19.5" thickBot="1" x14ac:dyDescent="0.35">
      <c r="AI17129" s="1746" t="s">
        <v>150</v>
      </c>
      <c r="AJ17129" s="1747"/>
      <c r="AK17129" s="1748"/>
      <c r="AL17129" s="198"/>
      <c r="AM17129" s="198"/>
      <c r="AN17129" s="198"/>
      <c r="AO17129" s="198"/>
    </row>
    <row r="17130" spans="35:41" ht="19.5" thickBot="1" x14ac:dyDescent="0.35">
      <c r="AI17130" s="1746" t="s">
        <v>150</v>
      </c>
      <c r="AJ17130" s="1747"/>
      <c r="AK17130" s="1748"/>
      <c r="AL17130" s="198"/>
      <c r="AM17130" s="198"/>
      <c r="AN17130" s="198"/>
      <c r="AO17130" s="198"/>
    </row>
    <row r="17131" spans="35:41" ht="19.5" thickBot="1" x14ac:dyDescent="0.35">
      <c r="AI17131" s="1746" t="s">
        <v>150</v>
      </c>
      <c r="AJ17131" s="1747"/>
      <c r="AK17131" s="1748"/>
      <c r="AL17131" s="198"/>
      <c r="AM17131" s="198"/>
      <c r="AN17131" s="198"/>
      <c r="AO17131" s="198"/>
    </row>
    <row r="17132" spans="35:41" ht="19.5" thickBot="1" x14ac:dyDescent="0.35">
      <c r="AI17132" s="1746" t="s">
        <v>150</v>
      </c>
      <c r="AJ17132" s="1747"/>
      <c r="AK17132" s="1748"/>
      <c r="AL17132" s="198"/>
      <c r="AM17132" s="198"/>
      <c r="AN17132" s="198"/>
      <c r="AO17132" s="198"/>
    </row>
    <row r="17133" spans="35:41" ht="19.5" thickBot="1" x14ac:dyDescent="0.35">
      <c r="AI17133" s="1746" t="s">
        <v>150</v>
      </c>
      <c r="AJ17133" s="1747"/>
      <c r="AK17133" s="1748"/>
      <c r="AL17133" s="198"/>
      <c r="AM17133" s="198"/>
      <c r="AN17133" s="198"/>
      <c r="AO17133" s="198"/>
    </row>
    <row r="17134" spans="35:41" ht="19.5" thickBot="1" x14ac:dyDescent="0.35">
      <c r="AI17134" s="1746" t="s">
        <v>150</v>
      </c>
      <c r="AJ17134" s="1747"/>
      <c r="AK17134" s="1748"/>
      <c r="AL17134" s="198"/>
      <c r="AM17134" s="198"/>
      <c r="AN17134" s="198"/>
      <c r="AO17134" s="198"/>
    </row>
    <row r="17135" spans="35:41" ht="19.5" thickBot="1" x14ac:dyDescent="0.35">
      <c r="AI17135" s="1746" t="s">
        <v>150</v>
      </c>
      <c r="AJ17135" s="1747"/>
      <c r="AK17135" s="1748"/>
      <c r="AL17135" s="198"/>
      <c r="AM17135" s="198"/>
      <c r="AN17135" s="198"/>
      <c r="AO17135" s="198"/>
    </row>
    <row r="17136" spans="35:41" ht="19.5" thickBot="1" x14ac:dyDescent="0.35">
      <c r="AI17136" s="1746" t="s">
        <v>150</v>
      </c>
      <c r="AJ17136" s="1747"/>
      <c r="AK17136" s="1748"/>
      <c r="AL17136" s="198"/>
      <c r="AM17136" s="198"/>
      <c r="AN17136" s="198"/>
      <c r="AO17136" s="198"/>
    </row>
    <row r="17137" spans="35:41" ht="19.5" thickBot="1" x14ac:dyDescent="0.35">
      <c r="AI17137" s="1746" t="s">
        <v>150</v>
      </c>
      <c r="AJ17137" s="1747"/>
      <c r="AK17137" s="1748"/>
      <c r="AL17137" s="198"/>
      <c r="AM17137" s="198"/>
      <c r="AN17137" s="198"/>
      <c r="AO17137" s="198"/>
    </row>
    <row r="17138" spans="35:41" ht="19.5" thickBot="1" x14ac:dyDescent="0.35">
      <c r="AI17138" s="1746" t="s">
        <v>150</v>
      </c>
      <c r="AJ17138" s="1747"/>
      <c r="AK17138" s="1748"/>
      <c r="AL17138" s="198"/>
      <c r="AM17138" s="198"/>
      <c r="AN17138" s="198"/>
      <c r="AO17138" s="198"/>
    </row>
    <row r="17139" spans="35:41" ht="19.5" thickBot="1" x14ac:dyDescent="0.35">
      <c r="AI17139" s="1746" t="s">
        <v>150</v>
      </c>
      <c r="AJ17139" s="1747"/>
      <c r="AK17139" s="1748"/>
      <c r="AL17139" s="198"/>
      <c r="AM17139" s="198"/>
      <c r="AN17139" s="198"/>
      <c r="AO17139" s="198"/>
    </row>
    <row r="17140" spans="35:41" ht="19.5" thickBot="1" x14ac:dyDescent="0.35">
      <c r="AI17140" s="1746" t="s">
        <v>150</v>
      </c>
      <c r="AJ17140" s="1747"/>
      <c r="AK17140" s="1748"/>
      <c r="AL17140" s="198"/>
      <c r="AM17140" s="198"/>
      <c r="AN17140" s="198"/>
      <c r="AO17140" s="198"/>
    </row>
    <row r="17141" spans="35:41" ht="19.5" thickBot="1" x14ac:dyDescent="0.35">
      <c r="AI17141" s="1746" t="s">
        <v>150</v>
      </c>
      <c r="AJ17141" s="1747"/>
      <c r="AK17141" s="1748"/>
      <c r="AL17141" s="198"/>
      <c r="AM17141" s="198"/>
      <c r="AN17141" s="198"/>
      <c r="AO17141" s="198"/>
    </row>
    <row r="17142" spans="35:41" ht="19.5" thickBot="1" x14ac:dyDescent="0.35">
      <c r="AI17142" s="1746" t="s">
        <v>150</v>
      </c>
      <c r="AJ17142" s="1747"/>
      <c r="AK17142" s="1748"/>
      <c r="AL17142" s="198"/>
      <c r="AM17142" s="198"/>
      <c r="AN17142" s="198"/>
      <c r="AO17142" s="198"/>
    </row>
    <row r="17143" spans="35:41" ht="19.5" thickBot="1" x14ac:dyDescent="0.35">
      <c r="AI17143" s="1746" t="s">
        <v>150</v>
      </c>
      <c r="AJ17143" s="1747"/>
      <c r="AK17143" s="1748"/>
      <c r="AL17143" s="198"/>
      <c r="AM17143" s="198"/>
      <c r="AN17143" s="198"/>
      <c r="AO17143" s="198"/>
    </row>
    <row r="17144" spans="35:41" ht="19.5" thickBot="1" x14ac:dyDescent="0.35">
      <c r="AI17144" s="1746" t="s">
        <v>150</v>
      </c>
      <c r="AJ17144" s="1747"/>
      <c r="AK17144" s="1748"/>
      <c r="AL17144" s="198"/>
      <c r="AM17144" s="198"/>
      <c r="AN17144" s="198"/>
      <c r="AO17144" s="198"/>
    </row>
    <row r="17145" spans="35:41" ht="19.5" thickBot="1" x14ac:dyDescent="0.35">
      <c r="AI17145" s="1746" t="s">
        <v>150</v>
      </c>
      <c r="AJ17145" s="1747"/>
      <c r="AK17145" s="1748"/>
      <c r="AL17145" s="198"/>
      <c r="AM17145" s="198"/>
      <c r="AN17145" s="198"/>
      <c r="AO17145" s="198"/>
    </row>
    <row r="17146" spans="35:41" ht="19.5" thickBot="1" x14ac:dyDescent="0.35">
      <c r="AI17146" s="1746" t="s">
        <v>150</v>
      </c>
      <c r="AJ17146" s="1747"/>
      <c r="AK17146" s="1748"/>
      <c r="AL17146" s="198"/>
      <c r="AM17146" s="198"/>
      <c r="AN17146" s="198"/>
      <c r="AO17146" s="198"/>
    </row>
    <row r="17147" spans="35:41" ht="19.5" thickBot="1" x14ac:dyDescent="0.35">
      <c r="AI17147" s="1746" t="s">
        <v>150</v>
      </c>
      <c r="AJ17147" s="1747"/>
      <c r="AK17147" s="1748"/>
      <c r="AL17147" s="198"/>
      <c r="AM17147" s="198"/>
      <c r="AN17147" s="198"/>
      <c r="AO17147" s="198"/>
    </row>
    <row r="17148" spans="35:41" ht="19.5" thickBot="1" x14ac:dyDescent="0.35">
      <c r="AI17148" s="1746" t="s">
        <v>150</v>
      </c>
      <c r="AJ17148" s="1747"/>
      <c r="AK17148" s="1748"/>
      <c r="AL17148" s="198"/>
      <c r="AM17148" s="198"/>
      <c r="AN17148" s="198"/>
      <c r="AO17148" s="198"/>
    </row>
    <row r="17149" spans="35:41" ht="19.5" thickBot="1" x14ac:dyDescent="0.35">
      <c r="AI17149" s="1746" t="s">
        <v>150</v>
      </c>
      <c r="AJ17149" s="1747"/>
      <c r="AK17149" s="1748"/>
      <c r="AL17149" s="198"/>
      <c r="AM17149" s="198"/>
      <c r="AN17149" s="198"/>
      <c r="AO17149" s="198"/>
    </row>
    <row r="17150" spans="35:41" ht="19.5" thickBot="1" x14ac:dyDescent="0.35">
      <c r="AI17150" s="1746" t="s">
        <v>150</v>
      </c>
      <c r="AJ17150" s="1747"/>
      <c r="AK17150" s="1748"/>
      <c r="AL17150" s="198"/>
      <c r="AM17150" s="198"/>
      <c r="AN17150" s="198"/>
      <c r="AO17150" s="198"/>
    </row>
    <row r="17151" spans="35:41" ht="19.5" thickBot="1" x14ac:dyDescent="0.35">
      <c r="AI17151" s="1746" t="s">
        <v>150</v>
      </c>
      <c r="AJ17151" s="1747"/>
      <c r="AK17151" s="1748"/>
      <c r="AL17151" s="198"/>
      <c r="AM17151" s="198"/>
      <c r="AN17151" s="198"/>
      <c r="AO17151" s="198"/>
    </row>
    <row r="17152" spans="35:41" ht="19.5" thickBot="1" x14ac:dyDescent="0.35">
      <c r="AI17152" s="1746" t="s">
        <v>150</v>
      </c>
      <c r="AJ17152" s="1747"/>
      <c r="AK17152" s="1748"/>
      <c r="AL17152" s="198"/>
      <c r="AM17152" s="198"/>
      <c r="AN17152" s="198"/>
      <c r="AO17152" s="198"/>
    </row>
    <row r="17153" spans="35:41" ht="19.5" thickBot="1" x14ac:dyDescent="0.35">
      <c r="AI17153" s="1746" t="s">
        <v>150</v>
      </c>
      <c r="AJ17153" s="1747"/>
      <c r="AK17153" s="1748"/>
      <c r="AL17153" s="198"/>
      <c r="AM17153" s="198"/>
      <c r="AN17153" s="198"/>
      <c r="AO17153" s="198"/>
    </row>
    <row r="17154" spans="35:41" ht="19.5" thickBot="1" x14ac:dyDescent="0.35">
      <c r="AI17154" s="1746" t="s">
        <v>150</v>
      </c>
      <c r="AJ17154" s="1747"/>
      <c r="AK17154" s="1748"/>
      <c r="AL17154" s="198"/>
      <c r="AM17154" s="198"/>
      <c r="AN17154" s="198"/>
      <c r="AO17154" s="198"/>
    </row>
    <row r="17155" spans="35:41" ht="19.5" thickBot="1" x14ac:dyDescent="0.35">
      <c r="AI17155" s="1746" t="s">
        <v>150</v>
      </c>
      <c r="AJ17155" s="1747"/>
      <c r="AK17155" s="1748"/>
      <c r="AL17155" s="198"/>
      <c r="AM17155" s="198"/>
      <c r="AN17155" s="198"/>
      <c r="AO17155" s="198"/>
    </row>
    <row r="17156" spans="35:41" ht="19.5" thickBot="1" x14ac:dyDescent="0.35">
      <c r="AI17156" s="1746" t="s">
        <v>150</v>
      </c>
      <c r="AJ17156" s="1747"/>
      <c r="AK17156" s="1748"/>
      <c r="AL17156" s="198"/>
      <c r="AM17156" s="198"/>
      <c r="AN17156" s="198"/>
      <c r="AO17156" s="198"/>
    </row>
    <row r="17157" spans="35:41" ht="19.5" thickBot="1" x14ac:dyDescent="0.35">
      <c r="AI17157" s="1746" t="s">
        <v>150</v>
      </c>
      <c r="AJ17157" s="1747"/>
      <c r="AK17157" s="1748"/>
      <c r="AL17157" s="198"/>
      <c r="AM17157" s="198"/>
      <c r="AN17157" s="198"/>
      <c r="AO17157" s="198"/>
    </row>
    <row r="17158" spans="35:41" ht="19.5" thickBot="1" x14ac:dyDescent="0.35">
      <c r="AI17158" s="1746" t="s">
        <v>150</v>
      </c>
      <c r="AJ17158" s="1747"/>
      <c r="AK17158" s="1748"/>
      <c r="AL17158" s="198"/>
      <c r="AM17158" s="198"/>
      <c r="AN17158" s="198"/>
      <c r="AO17158" s="198"/>
    </row>
    <row r="17159" spans="35:41" ht="19.5" thickBot="1" x14ac:dyDescent="0.35">
      <c r="AI17159" s="1746" t="s">
        <v>150</v>
      </c>
      <c r="AJ17159" s="1747"/>
      <c r="AK17159" s="1748"/>
      <c r="AL17159" s="198"/>
      <c r="AM17159" s="198"/>
      <c r="AN17159" s="198"/>
      <c r="AO17159" s="198"/>
    </row>
    <row r="17160" spans="35:41" ht="19.5" thickBot="1" x14ac:dyDescent="0.35">
      <c r="AI17160" s="1746" t="s">
        <v>150</v>
      </c>
      <c r="AJ17160" s="1747"/>
      <c r="AK17160" s="1748"/>
      <c r="AL17160" s="198"/>
      <c r="AM17160" s="198"/>
      <c r="AN17160" s="198"/>
      <c r="AO17160" s="198"/>
    </row>
    <row r="17161" spans="35:41" ht="19.5" thickBot="1" x14ac:dyDescent="0.35">
      <c r="AI17161" s="1746" t="s">
        <v>150</v>
      </c>
      <c r="AJ17161" s="1747"/>
      <c r="AK17161" s="1748"/>
      <c r="AL17161" s="198"/>
      <c r="AM17161" s="198"/>
      <c r="AN17161" s="198"/>
      <c r="AO17161" s="198"/>
    </row>
    <row r="17162" spans="35:41" ht="19.5" thickBot="1" x14ac:dyDescent="0.35">
      <c r="AI17162" s="1746" t="s">
        <v>150</v>
      </c>
      <c r="AJ17162" s="1747"/>
      <c r="AK17162" s="1748"/>
      <c r="AL17162" s="198"/>
      <c r="AM17162" s="198"/>
      <c r="AN17162" s="198"/>
      <c r="AO17162" s="198"/>
    </row>
    <row r="17163" spans="35:41" ht="19.5" thickBot="1" x14ac:dyDescent="0.35">
      <c r="AI17163" s="1746" t="s">
        <v>150</v>
      </c>
      <c r="AJ17163" s="1747"/>
      <c r="AK17163" s="1748"/>
      <c r="AL17163" s="198"/>
      <c r="AM17163" s="198"/>
      <c r="AN17163" s="198"/>
      <c r="AO17163" s="198"/>
    </row>
    <row r="17164" spans="35:41" ht="19.5" thickBot="1" x14ac:dyDescent="0.35">
      <c r="AI17164" s="1746" t="s">
        <v>150</v>
      </c>
      <c r="AJ17164" s="1747"/>
      <c r="AK17164" s="1748"/>
      <c r="AL17164" s="198"/>
      <c r="AM17164" s="198"/>
      <c r="AN17164" s="198"/>
      <c r="AO17164" s="198"/>
    </row>
    <row r="17165" spans="35:41" ht="19.5" thickBot="1" x14ac:dyDescent="0.35">
      <c r="AI17165" s="1746" t="s">
        <v>150</v>
      </c>
      <c r="AJ17165" s="1747"/>
      <c r="AK17165" s="1748"/>
      <c r="AL17165" s="198"/>
      <c r="AM17165" s="198"/>
      <c r="AN17165" s="198"/>
      <c r="AO17165" s="198"/>
    </row>
    <row r="17166" spans="35:41" ht="19.5" thickBot="1" x14ac:dyDescent="0.35">
      <c r="AI17166" s="1746" t="s">
        <v>150</v>
      </c>
      <c r="AJ17166" s="1747"/>
      <c r="AK17166" s="1748"/>
      <c r="AL17166" s="198"/>
      <c r="AM17166" s="198"/>
      <c r="AN17166" s="198"/>
      <c r="AO17166" s="198"/>
    </row>
    <row r="17167" spans="35:41" ht="19.5" thickBot="1" x14ac:dyDescent="0.35">
      <c r="AI17167" s="1746" t="s">
        <v>150</v>
      </c>
      <c r="AJ17167" s="1747"/>
      <c r="AK17167" s="1748"/>
      <c r="AL17167" s="198"/>
      <c r="AM17167" s="198"/>
      <c r="AN17167" s="198"/>
      <c r="AO17167" s="198"/>
    </row>
    <row r="17168" spans="35:41" ht="19.5" thickBot="1" x14ac:dyDescent="0.35">
      <c r="AI17168" s="1746" t="s">
        <v>150</v>
      </c>
      <c r="AJ17168" s="1747"/>
      <c r="AK17168" s="1748"/>
      <c r="AL17168" s="198"/>
      <c r="AM17168" s="198"/>
      <c r="AN17168" s="198"/>
      <c r="AO17168" s="198"/>
    </row>
    <row r="17169" spans="35:41" ht="19.5" thickBot="1" x14ac:dyDescent="0.35">
      <c r="AI17169" s="1746" t="s">
        <v>150</v>
      </c>
      <c r="AJ17169" s="1747"/>
      <c r="AK17169" s="1748"/>
      <c r="AL17169" s="198"/>
      <c r="AM17169" s="198"/>
      <c r="AN17169" s="198"/>
      <c r="AO17169" s="198"/>
    </row>
    <row r="17170" spans="35:41" ht="19.5" thickBot="1" x14ac:dyDescent="0.35">
      <c r="AI17170" s="1746" t="s">
        <v>150</v>
      </c>
      <c r="AJ17170" s="1747"/>
      <c r="AK17170" s="1748"/>
      <c r="AL17170" s="198"/>
      <c r="AM17170" s="198"/>
      <c r="AN17170" s="198"/>
      <c r="AO17170" s="198"/>
    </row>
    <row r="17171" spans="35:41" ht="19.5" thickBot="1" x14ac:dyDescent="0.35">
      <c r="AI17171" s="1746" t="s">
        <v>150</v>
      </c>
      <c r="AJ17171" s="1747"/>
      <c r="AK17171" s="1748"/>
      <c r="AL17171" s="198"/>
      <c r="AM17171" s="198"/>
      <c r="AN17171" s="198"/>
      <c r="AO17171" s="198"/>
    </row>
    <row r="17172" spans="35:41" ht="19.5" thickBot="1" x14ac:dyDescent="0.35">
      <c r="AI17172" s="1746" t="s">
        <v>150</v>
      </c>
      <c r="AJ17172" s="1747"/>
      <c r="AK17172" s="1748"/>
      <c r="AL17172" s="198"/>
      <c r="AM17172" s="198"/>
      <c r="AN17172" s="198"/>
      <c r="AO17172" s="198"/>
    </row>
    <row r="17173" spans="35:41" ht="19.5" thickBot="1" x14ac:dyDescent="0.35">
      <c r="AI17173" s="1746" t="s">
        <v>150</v>
      </c>
      <c r="AJ17173" s="1747"/>
      <c r="AK17173" s="1748"/>
      <c r="AL17173" s="198"/>
      <c r="AM17173" s="198"/>
      <c r="AN17173" s="198"/>
      <c r="AO17173" s="198"/>
    </row>
    <row r="17174" spans="35:41" ht="19.5" thickBot="1" x14ac:dyDescent="0.35">
      <c r="AI17174" s="1746" t="s">
        <v>150</v>
      </c>
      <c r="AJ17174" s="1747"/>
      <c r="AK17174" s="1748"/>
      <c r="AL17174" s="198"/>
      <c r="AM17174" s="198"/>
      <c r="AN17174" s="198"/>
      <c r="AO17174" s="198"/>
    </row>
    <row r="17175" spans="35:41" ht="19.5" thickBot="1" x14ac:dyDescent="0.35">
      <c r="AI17175" s="1746" t="s">
        <v>150</v>
      </c>
      <c r="AJ17175" s="1747"/>
      <c r="AK17175" s="1748"/>
      <c r="AL17175" s="198"/>
      <c r="AM17175" s="198"/>
      <c r="AN17175" s="198"/>
      <c r="AO17175" s="198"/>
    </row>
    <row r="17176" spans="35:41" ht="19.5" thickBot="1" x14ac:dyDescent="0.35">
      <c r="AI17176" s="1746" t="s">
        <v>150</v>
      </c>
      <c r="AJ17176" s="1747"/>
      <c r="AK17176" s="1748"/>
      <c r="AL17176" s="198"/>
      <c r="AM17176" s="198"/>
      <c r="AN17176" s="198"/>
      <c r="AO17176" s="198"/>
    </row>
    <row r="17177" spans="35:41" ht="19.5" thickBot="1" x14ac:dyDescent="0.35">
      <c r="AI17177" s="1746" t="s">
        <v>150</v>
      </c>
      <c r="AJ17177" s="1747"/>
      <c r="AK17177" s="1748"/>
      <c r="AL17177" s="198"/>
      <c r="AM17177" s="198"/>
      <c r="AN17177" s="198"/>
      <c r="AO17177" s="198"/>
    </row>
    <row r="17178" spans="35:41" ht="19.5" thickBot="1" x14ac:dyDescent="0.35">
      <c r="AI17178" s="1746" t="s">
        <v>150</v>
      </c>
      <c r="AJ17178" s="1747"/>
      <c r="AK17178" s="1748"/>
      <c r="AL17178" s="198"/>
      <c r="AM17178" s="198"/>
      <c r="AN17178" s="198"/>
      <c r="AO17178" s="198"/>
    </row>
    <row r="17179" spans="35:41" ht="19.5" thickBot="1" x14ac:dyDescent="0.35">
      <c r="AI17179" s="1746" t="s">
        <v>150</v>
      </c>
      <c r="AJ17179" s="1747"/>
      <c r="AK17179" s="1748"/>
      <c r="AL17179" s="198"/>
      <c r="AM17179" s="198"/>
      <c r="AN17179" s="198"/>
      <c r="AO17179" s="198"/>
    </row>
    <row r="17180" spans="35:41" ht="19.5" thickBot="1" x14ac:dyDescent="0.35">
      <c r="AI17180" s="1746" t="s">
        <v>150</v>
      </c>
      <c r="AJ17180" s="1747"/>
      <c r="AK17180" s="1748"/>
      <c r="AL17180" s="198"/>
      <c r="AM17180" s="198"/>
      <c r="AN17180" s="198"/>
      <c r="AO17180" s="198"/>
    </row>
    <row r="17181" spans="35:41" ht="19.5" thickBot="1" x14ac:dyDescent="0.35">
      <c r="AI17181" s="1746" t="s">
        <v>150</v>
      </c>
      <c r="AJ17181" s="1747"/>
      <c r="AK17181" s="1748"/>
      <c r="AL17181" s="198"/>
      <c r="AM17181" s="198"/>
      <c r="AN17181" s="198"/>
      <c r="AO17181" s="198"/>
    </row>
    <row r="17182" spans="35:41" ht="19.5" thickBot="1" x14ac:dyDescent="0.35">
      <c r="AI17182" s="1746" t="s">
        <v>150</v>
      </c>
      <c r="AJ17182" s="1747"/>
      <c r="AK17182" s="1748"/>
      <c r="AL17182" s="198"/>
      <c r="AM17182" s="198"/>
      <c r="AN17182" s="198"/>
      <c r="AO17182" s="198"/>
    </row>
    <row r="17183" spans="35:41" ht="19.5" thickBot="1" x14ac:dyDescent="0.35">
      <c r="AI17183" s="1746" t="s">
        <v>150</v>
      </c>
      <c r="AJ17183" s="1747"/>
      <c r="AK17183" s="1748"/>
      <c r="AL17183" s="198"/>
      <c r="AM17183" s="198"/>
      <c r="AN17183" s="198"/>
      <c r="AO17183" s="198"/>
    </row>
    <row r="17184" spans="35:41" ht="19.5" thickBot="1" x14ac:dyDescent="0.35">
      <c r="AI17184" s="1746" t="s">
        <v>150</v>
      </c>
      <c r="AJ17184" s="1747"/>
      <c r="AK17184" s="1748"/>
      <c r="AL17184" s="198"/>
      <c r="AM17184" s="198"/>
      <c r="AN17184" s="198"/>
      <c r="AO17184" s="198"/>
    </row>
    <row r="17185" spans="35:41" ht="19.5" thickBot="1" x14ac:dyDescent="0.35">
      <c r="AI17185" s="1746" t="s">
        <v>150</v>
      </c>
      <c r="AJ17185" s="1747"/>
      <c r="AK17185" s="1748"/>
      <c r="AL17185" s="198"/>
      <c r="AM17185" s="198"/>
      <c r="AN17185" s="198"/>
      <c r="AO17185" s="198"/>
    </row>
    <row r="17186" spans="35:41" ht="19.5" thickBot="1" x14ac:dyDescent="0.35">
      <c r="AI17186" s="1746" t="s">
        <v>150</v>
      </c>
      <c r="AJ17186" s="1747"/>
      <c r="AK17186" s="1748"/>
      <c r="AL17186" s="198"/>
      <c r="AM17186" s="198"/>
      <c r="AN17186" s="198"/>
      <c r="AO17186" s="198"/>
    </row>
    <row r="17187" spans="35:41" ht="19.5" thickBot="1" x14ac:dyDescent="0.35">
      <c r="AI17187" s="1746" t="s">
        <v>150</v>
      </c>
      <c r="AJ17187" s="1747"/>
      <c r="AK17187" s="1748"/>
      <c r="AL17187" s="198"/>
      <c r="AM17187" s="198"/>
      <c r="AN17187" s="198"/>
      <c r="AO17187" s="198"/>
    </row>
    <row r="17188" spans="35:41" ht="19.5" thickBot="1" x14ac:dyDescent="0.35">
      <c r="AI17188" s="1746" t="s">
        <v>150</v>
      </c>
      <c r="AJ17188" s="1747"/>
      <c r="AK17188" s="1748"/>
      <c r="AL17188" s="198"/>
      <c r="AM17188" s="198"/>
      <c r="AN17188" s="198"/>
      <c r="AO17188" s="198"/>
    </row>
    <row r="17189" spans="35:41" ht="19.5" thickBot="1" x14ac:dyDescent="0.35">
      <c r="AI17189" s="1746" t="s">
        <v>150</v>
      </c>
      <c r="AJ17189" s="1747"/>
      <c r="AK17189" s="1748"/>
      <c r="AL17189" s="198"/>
      <c r="AM17189" s="198"/>
      <c r="AN17189" s="198"/>
      <c r="AO17189" s="198"/>
    </row>
    <row r="17190" spans="35:41" ht="19.5" thickBot="1" x14ac:dyDescent="0.35">
      <c r="AI17190" s="1746" t="s">
        <v>150</v>
      </c>
      <c r="AJ17190" s="1747"/>
      <c r="AK17190" s="1748"/>
      <c r="AL17190" s="198"/>
      <c r="AM17190" s="198"/>
      <c r="AN17190" s="198"/>
      <c r="AO17190" s="198"/>
    </row>
    <row r="17191" spans="35:41" ht="19.5" thickBot="1" x14ac:dyDescent="0.35">
      <c r="AI17191" s="1746" t="s">
        <v>150</v>
      </c>
      <c r="AJ17191" s="1747"/>
      <c r="AK17191" s="1748"/>
      <c r="AL17191" s="198"/>
      <c r="AM17191" s="198"/>
      <c r="AN17191" s="198"/>
      <c r="AO17191" s="198"/>
    </row>
    <row r="17192" spans="35:41" ht="19.5" thickBot="1" x14ac:dyDescent="0.35">
      <c r="AI17192" s="1746" t="s">
        <v>150</v>
      </c>
      <c r="AJ17192" s="1747"/>
      <c r="AK17192" s="1748"/>
      <c r="AL17192" s="198"/>
      <c r="AM17192" s="198"/>
      <c r="AN17192" s="198"/>
      <c r="AO17192" s="198"/>
    </row>
    <row r="17193" spans="35:41" ht="19.5" thickBot="1" x14ac:dyDescent="0.35">
      <c r="AI17193" s="1746" t="s">
        <v>150</v>
      </c>
      <c r="AJ17193" s="1747"/>
      <c r="AK17193" s="1748"/>
      <c r="AL17193" s="198"/>
      <c r="AM17193" s="198"/>
      <c r="AN17193" s="198"/>
      <c r="AO17193" s="198"/>
    </row>
    <row r="17194" spans="35:41" ht="19.5" thickBot="1" x14ac:dyDescent="0.35">
      <c r="AI17194" s="1746" t="s">
        <v>150</v>
      </c>
      <c r="AJ17194" s="1747"/>
      <c r="AK17194" s="1748"/>
      <c r="AL17194" s="198"/>
      <c r="AM17194" s="198"/>
      <c r="AN17194" s="198"/>
      <c r="AO17194" s="198"/>
    </row>
    <row r="17195" spans="35:41" ht="19.5" thickBot="1" x14ac:dyDescent="0.35">
      <c r="AI17195" s="1746" t="s">
        <v>150</v>
      </c>
      <c r="AJ17195" s="1747"/>
      <c r="AK17195" s="1748"/>
      <c r="AL17195" s="198"/>
      <c r="AM17195" s="198"/>
      <c r="AN17195" s="198"/>
      <c r="AO17195" s="198"/>
    </row>
    <row r="17196" spans="35:41" ht="19.5" thickBot="1" x14ac:dyDescent="0.35">
      <c r="AI17196" s="1746" t="s">
        <v>150</v>
      </c>
      <c r="AJ17196" s="1747"/>
      <c r="AK17196" s="1748"/>
      <c r="AL17196" s="198"/>
      <c r="AM17196" s="198"/>
      <c r="AN17196" s="198"/>
      <c r="AO17196" s="198"/>
    </row>
    <row r="17197" spans="35:41" ht="19.5" thickBot="1" x14ac:dyDescent="0.35">
      <c r="AI17197" s="1746" t="s">
        <v>150</v>
      </c>
      <c r="AJ17197" s="1747"/>
      <c r="AK17197" s="1748"/>
      <c r="AL17197" s="198"/>
      <c r="AM17197" s="198"/>
      <c r="AN17197" s="198"/>
      <c r="AO17197" s="198"/>
    </row>
    <row r="17198" spans="35:41" ht="19.5" thickBot="1" x14ac:dyDescent="0.35">
      <c r="AI17198" s="1746" t="s">
        <v>150</v>
      </c>
      <c r="AJ17198" s="1747"/>
      <c r="AK17198" s="1748"/>
      <c r="AL17198" s="198"/>
      <c r="AM17198" s="198"/>
      <c r="AN17198" s="198"/>
      <c r="AO17198" s="198"/>
    </row>
    <row r="17199" spans="35:41" ht="19.5" thickBot="1" x14ac:dyDescent="0.35">
      <c r="AI17199" s="1746" t="s">
        <v>150</v>
      </c>
      <c r="AJ17199" s="1747"/>
      <c r="AK17199" s="1748"/>
      <c r="AL17199" s="198"/>
      <c r="AM17199" s="198"/>
      <c r="AN17199" s="198"/>
      <c r="AO17199" s="198"/>
    </row>
    <row r="17200" spans="35:41" ht="19.5" thickBot="1" x14ac:dyDescent="0.35">
      <c r="AI17200" s="1746" t="s">
        <v>150</v>
      </c>
      <c r="AJ17200" s="1747"/>
      <c r="AK17200" s="1748"/>
      <c r="AL17200" s="198"/>
      <c r="AM17200" s="198"/>
      <c r="AN17200" s="198"/>
      <c r="AO17200" s="198"/>
    </row>
    <row r="17201" spans="35:41" ht="19.5" thickBot="1" x14ac:dyDescent="0.35">
      <c r="AI17201" s="1746" t="s">
        <v>150</v>
      </c>
      <c r="AJ17201" s="1747"/>
      <c r="AK17201" s="1748"/>
      <c r="AL17201" s="198"/>
      <c r="AM17201" s="198"/>
      <c r="AN17201" s="198"/>
      <c r="AO17201" s="198"/>
    </row>
    <row r="17202" spans="35:41" ht="19.5" thickBot="1" x14ac:dyDescent="0.35">
      <c r="AI17202" s="1746" t="s">
        <v>150</v>
      </c>
      <c r="AJ17202" s="1747"/>
      <c r="AK17202" s="1748"/>
      <c r="AL17202" s="198"/>
      <c r="AM17202" s="198"/>
      <c r="AN17202" s="198"/>
      <c r="AO17202" s="198"/>
    </row>
    <row r="17203" spans="35:41" ht="19.5" thickBot="1" x14ac:dyDescent="0.35">
      <c r="AI17203" s="1746" t="s">
        <v>150</v>
      </c>
      <c r="AJ17203" s="1747"/>
      <c r="AK17203" s="1748"/>
      <c r="AL17203" s="198"/>
      <c r="AM17203" s="198"/>
      <c r="AN17203" s="198"/>
      <c r="AO17203" s="198"/>
    </row>
    <row r="17204" spans="35:41" ht="19.5" thickBot="1" x14ac:dyDescent="0.35">
      <c r="AI17204" s="1746" t="s">
        <v>150</v>
      </c>
      <c r="AJ17204" s="1747"/>
      <c r="AK17204" s="1748"/>
      <c r="AL17204" s="198"/>
      <c r="AM17204" s="198"/>
      <c r="AN17204" s="198"/>
      <c r="AO17204" s="198"/>
    </row>
    <row r="17205" spans="35:41" ht="19.5" thickBot="1" x14ac:dyDescent="0.35">
      <c r="AI17205" s="1746" t="s">
        <v>150</v>
      </c>
      <c r="AJ17205" s="1747"/>
      <c r="AK17205" s="1748"/>
      <c r="AL17205" s="198"/>
      <c r="AM17205" s="198"/>
      <c r="AN17205" s="198"/>
      <c r="AO17205" s="198"/>
    </row>
    <row r="17206" spans="35:41" ht="19.5" thickBot="1" x14ac:dyDescent="0.35">
      <c r="AI17206" s="1746" t="s">
        <v>150</v>
      </c>
      <c r="AJ17206" s="1747"/>
      <c r="AK17206" s="1748"/>
      <c r="AL17206" s="198"/>
      <c r="AM17206" s="198"/>
      <c r="AN17206" s="198"/>
      <c r="AO17206" s="198"/>
    </row>
    <row r="17207" spans="35:41" ht="19.5" thickBot="1" x14ac:dyDescent="0.35">
      <c r="AI17207" s="1746" t="s">
        <v>150</v>
      </c>
      <c r="AJ17207" s="1747"/>
      <c r="AK17207" s="1748"/>
      <c r="AL17207" s="198"/>
      <c r="AM17207" s="198"/>
      <c r="AN17207" s="198"/>
      <c r="AO17207" s="198"/>
    </row>
    <row r="17208" spans="35:41" ht="19.5" thickBot="1" x14ac:dyDescent="0.35">
      <c r="AI17208" s="1746" t="s">
        <v>150</v>
      </c>
      <c r="AJ17208" s="1747"/>
      <c r="AK17208" s="1748"/>
      <c r="AL17208" s="198"/>
      <c r="AM17208" s="198"/>
      <c r="AN17208" s="198"/>
      <c r="AO17208" s="198"/>
    </row>
    <row r="17209" spans="35:41" ht="19.5" thickBot="1" x14ac:dyDescent="0.35">
      <c r="AI17209" s="1746" t="s">
        <v>150</v>
      </c>
      <c r="AJ17209" s="1747"/>
      <c r="AK17209" s="1748"/>
      <c r="AL17209" s="198"/>
      <c r="AM17209" s="198"/>
      <c r="AN17209" s="198"/>
      <c r="AO17209" s="198"/>
    </row>
    <row r="17210" spans="35:41" ht="19.5" thickBot="1" x14ac:dyDescent="0.35">
      <c r="AI17210" s="1746" t="s">
        <v>150</v>
      </c>
      <c r="AJ17210" s="1747"/>
      <c r="AK17210" s="1748"/>
      <c r="AL17210" s="198"/>
      <c r="AM17210" s="198"/>
      <c r="AN17210" s="198"/>
      <c r="AO17210" s="198"/>
    </row>
    <row r="17211" spans="35:41" ht="19.5" thickBot="1" x14ac:dyDescent="0.35">
      <c r="AI17211" s="1746" t="s">
        <v>150</v>
      </c>
      <c r="AJ17211" s="1747"/>
      <c r="AK17211" s="1748"/>
      <c r="AL17211" s="198"/>
      <c r="AM17211" s="198"/>
      <c r="AN17211" s="198"/>
      <c r="AO17211" s="198"/>
    </row>
    <row r="17212" spans="35:41" ht="19.5" thickBot="1" x14ac:dyDescent="0.35">
      <c r="AI17212" s="1746" t="s">
        <v>150</v>
      </c>
      <c r="AJ17212" s="1747"/>
      <c r="AK17212" s="1748"/>
      <c r="AL17212" s="198"/>
      <c r="AM17212" s="198"/>
      <c r="AN17212" s="198"/>
      <c r="AO17212" s="198"/>
    </row>
    <row r="17213" spans="35:41" ht="19.5" thickBot="1" x14ac:dyDescent="0.35">
      <c r="AI17213" s="1746" t="s">
        <v>150</v>
      </c>
      <c r="AJ17213" s="1747"/>
      <c r="AK17213" s="1748"/>
      <c r="AL17213" s="198"/>
      <c r="AM17213" s="198"/>
      <c r="AN17213" s="198"/>
      <c r="AO17213" s="198"/>
    </row>
    <row r="17214" spans="35:41" ht="19.5" thickBot="1" x14ac:dyDescent="0.35">
      <c r="AI17214" s="1746" t="s">
        <v>150</v>
      </c>
      <c r="AJ17214" s="1747"/>
      <c r="AK17214" s="1748"/>
      <c r="AL17214" s="198"/>
      <c r="AM17214" s="198"/>
      <c r="AN17214" s="198"/>
      <c r="AO17214" s="198"/>
    </row>
    <row r="17215" spans="35:41" ht="19.5" thickBot="1" x14ac:dyDescent="0.35">
      <c r="AI17215" s="1746" t="s">
        <v>150</v>
      </c>
      <c r="AJ17215" s="1747"/>
      <c r="AK17215" s="1748"/>
      <c r="AL17215" s="198"/>
      <c r="AM17215" s="198"/>
      <c r="AN17215" s="198"/>
      <c r="AO17215" s="198"/>
    </row>
    <row r="17216" spans="35:41" ht="19.5" thickBot="1" x14ac:dyDescent="0.35">
      <c r="AI17216" s="1746" t="s">
        <v>150</v>
      </c>
      <c r="AJ17216" s="1747"/>
      <c r="AK17216" s="1748"/>
      <c r="AL17216" s="198"/>
      <c r="AM17216" s="198"/>
      <c r="AN17216" s="198"/>
      <c r="AO17216" s="198"/>
    </row>
    <row r="17217" spans="35:41" ht="19.5" thickBot="1" x14ac:dyDescent="0.35">
      <c r="AI17217" s="1746" t="s">
        <v>150</v>
      </c>
      <c r="AJ17217" s="1747"/>
      <c r="AK17217" s="1748"/>
      <c r="AL17217" s="198"/>
      <c r="AM17217" s="198"/>
      <c r="AN17217" s="198"/>
      <c r="AO17217" s="198"/>
    </row>
    <row r="17218" spans="35:41" ht="19.5" thickBot="1" x14ac:dyDescent="0.35">
      <c r="AI17218" s="1746" t="s">
        <v>150</v>
      </c>
      <c r="AJ17218" s="1747"/>
      <c r="AK17218" s="1748"/>
      <c r="AL17218" s="198"/>
      <c r="AM17218" s="198"/>
      <c r="AN17218" s="198"/>
      <c r="AO17218" s="198"/>
    </row>
    <row r="17219" spans="35:41" ht="19.5" thickBot="1" x14ac:dyDescent="0.35">
      <c r="AI17219" s="1746" t="s">
        <v>150</v>
      </c>
      <c r="AJ17219" s="1747"/>
      <c r="AK17219" s="1748"/>
      <c r="AL17219" s="198"/>
      <c r="AM17219" s="198"/>
      <c r="AN17219" s="198"/>
      <c r="AO17219" s="198"/>
    </row>
    <row r="17220" spans="35:41" ht="19.5" thickBot="1" x14ac:dyDescent="0.35">
      <c r="AI17220" s="1746" t="s">
        <v>150</v>
      </c>
      <c r="AJ17220" s="1747"/>
      <c r="AK17220" s="1748"/>
      <c r="AL17220" s="198"/>
      <c r="AM17220" s="198"/>
      <c r="AN17220" s="198"/>
      <c r="AO17220" s="198"/>
    </row>
    <row r="17221" spans="35:41" ht="19.5" thickBot="1" x14ac:dyDescent="0.35">
      <c r="AI17221" s="1746" t="s">
        <v>150</v>
      </c>
      <c r="AJ17221" s="1747"/>
      <c r="AK17221" s="1748"/>
      <c r="AL17221" s="198"/>
      <c r="AM17221" s="198"/>
      <c r="AN17221" s="198"/>
      <c r="AO17221" s="198"/>
    </row>
    <row r="17222" spans="35:41" ht="19.5" thickBot="1" x14ac:dyDescent="0.35">
      <c r="AI17222" s="1746" t="s">
        <v>150</v>
      </c>
      <c r="AJ17222" s="1747"/>
      <c r="AK17222" s="1748"/>
      <c r="AL17222" s="198"/>
      <c r="AM17222" s="198"/>
      <c r="AN17222" s="198"/>
      <c r="AO17222" s="198"/>
    </row>
    <row r="17223" spans="35:41" ht="19.5" thickBot="1" x14ac:dyDescent="0.35">
      <c r="AI17223" s="1746" t="s">
        <v>150</v>
      </c>
      <c r="AJ17223" s="1747"/>
      <c r="AK17223" s="1748"/>
      <c r="AL17223" s="198"/>
      <c r="AM17223" s="198"/>
      <c r="AN17223" s="198"/>
      <c r="AO17223" s="198"/>
    </row>
    <row r="17224" spans="35:41" ht="19.5" thickBot="1" x14ac:dyDescent="0.35">
      <c r="AI17224" s="1746" t="s">
        <v>150</v>
      </c>
      <c r="AJ17224" s="1747"/>
      <c r="AK17224" s="1748"/>
      <c r="AL17224" s="198"/>
      <c r="AM17224" s="198"/>
      <c r="AN17224" s="198"/>
      <c r="AO17224" s="198"/>
    </row>
    <row r="17225" spans="35:41" ht="19.5" thickBot="1" x14ac:dyDescent="0.35">
      <c r="AI17225" s="1746" t="s">
        <v>150</v>
      </c>
      <c r="AJ17225" s="1747"/>
      <c r="AK17225" s="1748"/>
      <c r="AL17225" s="198"/>
      <c r="AM17225" s="198"/>
      <c r="AN17225" s="198"/>
      <c r="AO17225" s="198"/>
    </row>
    <row r="17226" spans="35:41" ht="19.5" thickBot="1" x14ac:dyDescent="0.35">
      <c r="AI17226" s="1746" t="s">
        <v>150</v>
      </c>
      <c r="AJ17226" s="1747"/>
      <c r="AK17226" s="1748"/>
      <c r="AL17226" s="198"/>
      <c r="AM17226" s="198"/>
      <c r="AN17226" s="198"/>
      <c r="AO17226" s="198"/>
    </row>
    <row r="17227" spans="35:41" ht="19.5" thickBot="1" x14ac:dyDescent="0.35">
      <c r="AI17227" s="1746" t="s">
        <v>150</v>
      </c>
      <c r="AJ17227" s="1747"/>
      <c r="AK17227" s="1748"/>
      <c r="AL17227" s="198"/>
      <c r="AM17227" s="198"/>
      <c r="AN17227" s="198"/>
      <c r="AO17227" s="198"/>
    </row>
    <row r="17228" spans="35:41" ht="19.5" thickBot="1" x14ac:dyDescent="0.35">
      <c r="AI17228" s="1746" t="s">
        <v>150</v>
      </c>
      <c r="AJ17228" s="1747"/>
      <c r="AK17228" s="1748"/>
      <c r="AL17228" s="198"/>
      <c r="AM17228" s="198"/>
      <c r="AN17228" s="198"/>
      <c r="AO17228" s="198"/>
    </row>
    <row r="17229" spans="35:41" ht="19.5" thickBot="1" x14ac:dyDescent="0.35">
      <c r="AI17229" s="1746" t="s">
        <v>150</v>
      </c>
      <c r="AJ17229" s="1747"/>
      <c r="AK17229" s="1748"/>
      <c r="AL17229" s="198"/>
      <c r="AM17229" s="198"/>
      <c r="AN17229" s="198"/>
      <c r="AO17229" s="198"/>
    </row>
    <row r="17230" spans="35:41" ht="19.5" thickBot="1" x14ac:dyDescent="0.35">
      <c r="AI17230" s="1746" t="s">
        <v>150</v>
      </c>
      <c r="AJ17230" s="1747"/>
      <c r="AK17230" s="1748"/>
      <c r="AL17230" s="198"/>
      <c r="AM17230" s="198"/>
      <c r="AN17230" s="198"/>
      <c r="AO17230" s="198"/>
    </row>
    <row r="17231" spans="35:41" ht="19.5" thickBot="1" x14ac:dyDescent="0.35">
      <c r="AI17231" s="1746" t="s">
        <v>150</v>
      </c>
      <c r="AJ17231" s="1747"/>
      <c r="AK17231" s="1748"/>
      <c r="AL17231" s="198"/>
      <c r="AM17231" s="198"/>
      <c r="AN17231" s="198"/>
      <c r="AO17231" s="198"/>
    </row>
    <row r="17232" spans="35:41" ht="19.5" thickBot="1" x14ac:dyDescent="0.35">
      <c r="AI17232" s="1746" t="s">
        <v>150</v>
      </c>
      <c r="AJ17232" s="1747"/>
      <c r="AK17232" s="1748"/>
      <c r="AL17232" s="198"/>
      <c r="AM17232" s="198"/>
      <c r="AN17232" s="198"/>
      <c r="AO17232" s="198"/>
    </row>
    <row r="17233" spans="35:41" ht="19.5" thickBot="1" x14ac:dyDescent="0.35">
      <c r="AI17233" s="1746" t="s">
        <v>150</v>
      </c>
      <c r="AJ17233" s="1747"/>
      <c r="AK17233" s="1748"/>
      <c r="AL17233" s="198"/>
      <c r="AM17233" s="198"/>
      <c r="AN17233" s="198"/>
      <c r="AO17233" s="198"/>
    </row>
    <row r="17234" spans="35:41" ht="19.5" thickBot="1" x14ac:dyDescent="0.35">
      <c r="AI17234" s="1746" t="s">
        <v>150</v>
      </c>
      <c r="AJ17234" s="1747"/>
      <c r="AK17234" s="1748"/>
      <c r="AL17234" s="198"/>
      <c r="AM17234" s="198"/>
      <c r="AN17234" s="198"/>
      <c r="AO17234" s="198"/>
    </row>
    <row r="17235" spans="35:41" ht="19.5" thickBot="1" x14ac:dyDescent="0.35">
      <c r="AI17235" s="1746" t="s">
        <v>150</v>
      </c>
      <c r="AJ17235" s="1747"/>
      <c r="AK17235" s="1748"/>
      <c r="AL17235" s="198"/>
      <c r="AM17235" s="198"/>
      <c r="AN17235" s="198"/>
      <c r="AO17235" s="198"/>
    </row>
    <row r="17236" spans="35:41" ht="19.5" thickBot="1" x14ac:dyDescent="0.35">
      <c r="AI17236" s="1746" t="s">
        <v>150</v>
      </c>
      <c r="AJ17236" s="1747"/>
      <c r="AK17236" s="1748"/>
      <c r="AL17236" s="198"/>
      <c r="AM17236" s="198"/>
      <c r="AN17236" s="198"/>
      <c r="AO17236" s="198"/>
    </row>
    <row r="17237" spans="35:41" ht="19.5" thickBot="1" x14ac:dyDescent="0.35">
      <c r="AI17237" s="1746" t="s">
        <v>150</v>
      </c>
      <c r="AJ17237" s="1747"/>
      <c r="AK17237" s="1748"/>
      <c r="AL17237" s="198"/>
      <c r="AM17237" s="198"/>
      <c r="AN17237" s="198"/>
      <c r="AO17237" s="198"/>
    </row>
    <row r="17238" spans="35:41" ht="19.5" thickBot="1" x14ac:dyDescent="0.35">
      <c r="AI17238" s="1746" t="s">
        <v>150</v>
      </c>
      <c r="AJ17238" s="1747"/>
      <c r="AK17238" s="1748"/>
      <c r="AL17238" s="198"/>
      <c r="AM17238" s="198"/>
      <c r="AN17238" s="198"/>
      <c r="AO17238" s="198"/>
    </row>
    <row r="17239" spans="35:41" ht="19.5" thickBot="1" x14ac:dyDescent="0.35">
      <c r="AI17239" s="1746" t="s">
        <v>150</v>
      </c>
      <c r="AJ17239" s="1747"/>
      <c r="AK17239" s="1748"/>
      <c r="AL17239" s="198"/>
      <c r="AM17239" s="198"/>
      <c r="AN17239" s="198"/>
      <c r="AO17239" s="198"/>
    </row>
    <row r="17240" spans="35:41" ht="19.5" thickBot="1" x14ac:dyDescent="0.35">
      <c r="AI17240" s="1746" t="s">
        <v>150</v>
      </c>
      <c r="AJ17240" s="1747"/>
      <c r="AK17240" s="1748"/>
      <c r="AL17240" s="198"/>
      <c r="AM17240" s="198"/>
      <c r="AN17240" s="198"/>
      <c r="AO17240" s="198"/>
    </row>
    <row r="17241" spans="35:41" ht="19.5" thickBot="1" x14ac:dyDescent="0.35">
      <c r="AI17241" s="1746" t="s">
        <v>150</v>
      </c>
      <c r="AJ17241" s="1747"/>
      <c r="AK17241" s="1748"/>
      <c r="AL17241" s="198"/>
      <c r="AM17241" s="198"/>
      <c r="AN17241" s="198"/>
      <c r="AO17241" s="198"/>
    </row>
    <row r="17242" spans="35:41" ht="19.5" thickBot="1" x14ac:dyDescent="0.35">
      <c r="AI17242" s="1746" t="s">
        <v>150</v>
      </c>
      <c r="AJ17242" s="1747"/>
      <c r="AK17242" s="1748"/>
      <c r="AL17242" s="198"/>
      <c r="AM17242" s="198"/>
      <c r="AN17242" s="198"/>
      <c r="AO17242" s="198"/>
    </row>
    <row r="17243" spans="35:41" ht="19.5" thickBot="1" x14ac:dyDescent="0.35">
      <c r="AI17243" s="1746" t="s">
        <v>150</v>
      </c>
      <c r="AJ17243" s="1747"/>
      <c r="AK17243" s="1748"/>
      <c r="AL17243" s="198"/>
      <c r="AM17243" s="198"/>
      <c r="AN17243" s="198"/>
      <c r="AO17243" s="198"/>
    </row>
    <row r="17244" spans="35:41" ht="19.5" thickBot="1" x14ac:dyDescent="0.35">
      <c r="AI17244" s="1746" t="s">
        <v>150</v>
      </c>
      <c r="AJ17244" s="1747"/>
      <c r="AK17244" s="1748"/>
      <c r="AL17244" s="198"/>
      <c r="AM17244" s="198"/>
      <c r="AN17244" s="198"/>
      <c r="AO17244" s="198"/>
    </row>
    <row r="17245" spans="35:41" ht="19.5" thickBot="1" x14ac:dyDescent="0.35">
      <c r="AI17245" s="1746" t="s">
        <v>150</v>
      </c>
      <c r="AJ17245" s="1747"/>
      <c r="AK17245" s="1748"/>
      <c r="AL17245" s="198"/>
      <c r="AM17245" s="198"/>
      <c r="AN17245" s="198"/>
      <c r="AO17245" s="198"/>
    </row>
    <row r="17246" spans="35:41" ht="19.5" thickBot="1" x14ac:dyDescent="0.35">
      <c r="AI17246" s="1746" t="s">
        <v>150</v>
      </c>
      <c r="AJ17246" s="1747"/>
      <c r="AK17246" s="1748"/>
      <c r="AL17246" s="198"/>
      <c r="AM17246" s="198"/>
      <c r="AN17246" s="198"/>
      <c r="AO17246" s="198"/>
    </row>
    <row r="17247" spans="35:41" ht="19.5" thickBot="1" x14ac:dyDescent="0.35">
      <c r="AI17247" s="1746" t="s">
        <v>150</v>
      </c>
      <c r="AJ17247" s="1747"/>
      <c r="AK17247" s="1748"/>
      <c r="AL17247" s="198"/>
      <c r="AM17247" s="198"/>
      <c r="AN17247" s="198"/>
      <c r="AO17247" s="198"/>
    </row>
    <row r="17248" spans="35:41" ht="19.5" thickBot="1" x14ac:dyDescent="0.35">
      <c r="AI17248" s="1746" t="s">
        <v>150</v>
      </c>
      <c r="AJ17248" s="1747"/>
      <c r="AK17248" s="1748"/>
      <c r="AL17248" s="198"/>
      <c r="AM17248" s="198"/>
      <c r="AN17248" s="198"/>
      <c r="AO17248" s="198"/>
    </row>
    <row r="17249" spans="35:41" ht="19.5" thickBot="1" x14ac:dyDescent="0.35">
      <c r="AI17249" s="1746" t="s">
        <v>150</v>
      </c>
      <c r="AJ17249" s="1747"/>
      <c r="AK17249" s="1748"/>
      <c r="AL17249" s="198"/>
      <c r="AM17249" s="198"/>
      <c r="AN17249" s="198"/>
      <c r="AO17249" s="198"/>
    </row>
    <row r="17250" spans="35:41" ht="19.5" thickBot="1" x14ac:dyDescent="0.35">
      <c r="AI17250" s="1746" t="s">
        <v>150</v>
      </c>
      <c r="AJ17250" s="1747"/>
      <c r="AK17250" s="1748"/>
      <c r="AL17250" s="198"/>
      <c r="AM17250" s="198"/>
      <c r="AN17250" s="198"/>
      <c r="AO17250" s="198"/>
    </row>
    <row r="17251" spans="35:41" ht="19.5" thickBot="1" x14ac:dyDescent="0.35">
      <c r="AI17251" s="1746" t="s">
        <v>150</v>
      </c>
      <c r="AJ17251" s="1747"/>
      <c r="AK17251" s="1748"/>
      <c r="AL17251" s="198"/>
      <c r="AM17251" s="198"/>
      <c r="AN17251" s="198"/>
      <c r="AO17251" s="198"/>
    </row>
    <row r="17252" spans="35:41" ht="19.5" thickBot="1" x14ac:dyDescent="0.35">
      <c r="AI17252" s="1746" t="s">
        <v>150</v>
      </c>
      <c r="AJ17252" s="1747"/>
      <c r="AK17252" s="1748"/>
      <c r="AL17252" s="198"/>
      <c r="AM17252" s="198"/>
      <c r="AN17252" s="198"/>
      <c r="AO17252" s="198"/>
    </row>
    <row r="17253" spans="35:41" ht="19.5" thickBot="1" x14ac:dyDescent="0.35">
      <c r="AI17253" s="1746" t="s">
        <v>150</v>
      </c>
      <c r="AJ17253" s="1747"/>
      <c r="AK17253" s="1748"/>
      <c r="AL17253" s="198"/>
      <c r="AM17253" s="198"/>
      <c r="AN17253" s="198"/>
      <c r="AO17253" s="198"/>
    </row>
    <row r="17254" spans="35:41" ht="19.5" thickBot="1" x14ac:dyDescent="0.35">
      <c r="AI17254" s="1746" t="s">
        <v>150</v>
      </c>
      <c r="AJ17254" s="1747"/>
      <c r="AK17254" s="1748"/>
      <c r="AL17254" s="198"/>
      <c r="AM17254" s="198"/>
      <c r="AN17254" s="198"/>
      <c r="AO17254" s="198"/>
    </row>
    <row r="17255" spans="35:41" ht="19.5" thickBot="1" x14ac:dyDescent="0.35">
      <c r="AI17255" s="1746" t="s">
        <v>150</v>
      </c>
      <c r="AJ17255" s="1747"/>
      <c r="AK17255" s="1748"/>
      <c r="AL17255" s="198"/>
      <c r="AM17255" s="198"/>
      <c r="AN17255" s="198"/>
      <c r="AO17255" s="198"/>
    </row>
    <row r="17256" spans="35:41" ht="19.5" thickBot="1" x14ac:dyDescent="0.35">
      <c r="AI17256" s="1746" t="s">
        <v>150</v>
      </c>
      <c r="AJ17256" s="1747"/>
      <c r="AK17256" s="1748"/>
      <c r="AL17256" s="198"/>
      <c r="AM17256" s="198"/>
      <c r="AN17256" s="198"/>
      <c r="AO17256" s="198"/>
    </row>
    <row r="17257" spans="35:41" ht="19.5" thickBot="1" x14ac:dyDescent="0.35">
      <c r="AI17257" s="1746" t="s">
        <v>150</v>
      </c>
      <c r="AJ17257" s="1747"/>
      <c r="AK17257" s="1748"/>
      <c r="AL17257" s="198"/>
      <c r="AM17257" s="198"/>
      <c r="AN17257" s="198"/>
      <c r="AO17257" s="198"/>
    </row>
    <row r="17258" spans="35:41" ht="19.5" thickBot="1" x14ac:dyDescent="0.35">
      <c r="AI17258" s="1746" t="s">
        <v>150</v>
      </c>
      <c r="AJ17258" s="1747"/>
      <c r="AK17258" s="1748"/>
      <c r="AL17258" s="198"/>
      <c r="AM17258" s="198"/>
      <c r="AN17258" s="198"/>
      <c r="AO17258" s="198"/>
    </row>
    <row r="17259" spans="35:41" ht="19.5" thickBot="1" x14ac:dyDescent="0.35">
      <c r="AI17259" s="1746" t="s">
        <v>150</v>
      </c>
      <c r="AJ17259" s="1747"/>
      <c r="AK17259" s="1748"/>
      <c r="AL17259" s="198"/>
      <c r="AM17259" s="198"/>
      <c r="AN17259" s="198"/>
      <c r="AO17259" s="198"/>
    </row>
    <row r="17260" spans="35:41" ht="19.5" thickBot="1" x14ac:dyDescent="0.35">
      <c r="AI17260" s="1746" t="s">
        <v>150</v>
      </c>
      <c r="AJ17260" s="1747"/>
      <c r="AK17260" s="1748"/>
      <c r="AL17260" s="198"/>
      <c r="AM17260" s="198"/>
      <c r="AN17260" s="198"/>
      <c r="AO17260" s="198"/>
    </row>
    <row r="17261" spans="35:41" ht="19.5" thickBot="1" x14ac:dyDescent="0.35">
      <c r="AI17261" s="1746" t="s">
        <v>150</v>
      </c>
      <c r="AJ17261" s="1747"/>
      <c r="AK17261" s="1748"/>
      <c r="AL17261" s="198"/>
      <c r="AM17261" s="198"/>
      <c r="AN17261" s="198"/>
      <c r="AO17261" s="198"/>
    </row>
    <row r="17262" spans="35:41" ht="19.5" thickBot="1" x14ac:dyDescent="0.35">
      <c r="AI17262" s="1746" t="s">
        <v>150</v>
      </c>
      <c r="AJ17262" s="1747"/>
      <c r="AK17262" s="1748"/>
      <c r="AL17262" s="198"/>
      <c r="AM17262" s="198"/>
      <c r="AN17262" s="198"/>
      <c r="AO17262" s="198"/>
    </row>
    <row r="17263" spans="35:41" ht="19.5" thickBot="1" x14ac:dyDescent="0.35">
      <c r="AI17263" s="1746" t="s">
        <v>150</v>
      </c>
      <c r="AJ17263" s="1747"/>
      <c r="AK17263" s="1748"/>
      <c r="AL17263" s="198"/>
      <c r="AM17263" s="198"/>
      <c r="AN17263" s="198"/>
      <c r="AO17263" s="198"/>
    </row>
    <row r="17264" spans="35:41" ht="19.5" thickBot="1" x14ac:dyDescent="0.35">
      <c r="AI17264" s="1746" t="s">
        <v>150</v>
      </c>
      <c r="AJ17264" s="1747"/>
      <c r="AK17264" s="1748"/>
      <c r="AL17264" s="198"/>
      <c r="AM17264" s="198"/>
      <c r="AN17264" s="198"/>
      <c r="AO17264" s="198"/>
    </row>
    <row r="17265" spans="35:41" ht="19.5" thickBot="1" x14ac:dyDescent="0.35">
      <c r="AI17265" s="1746" t="s">
        <v>150</v>
      </c>
      <c r="AJ17265" s="1747"/>
      <c r="AK17265" s="1748"/>
      <c r="AL17265" s="198"/>
      <c r="AM17265" s="198"/>
      <c r="AN17265" s="198"/>
      <c r="AO17265" s="198"/>
    </row>
    <row r="17266" spans="35:41" ht="19.5" thickBot="1" x14ac:dyDescent="0.35">
      <c r="AI17266" s="1746" t="s">
        <v>150</v>
      </c>
      <c r="AJ17266" s="1747"/>
      <c r="AK17266" s="1748"/>
      <c r="AL17266" s="198"/>
      <c r="AM17266" s="198"/>
      <c r="AN17266" s="198"/>
      <c r="AO17266" s="198"/>
    </row>
    <row r="17267" spans="35:41" ht="19.5" thickBot="1" x14ac:dyDescent="0.35">
      <c r="AI17267" s="1746" t="s">
        <v>150</v>
      </c>
      <c r="AJ17267" s="1747"/>
      <c r="AK17267" s="1748"/>
      <c r="AL17267" s="198"/>
      <c r="AM17267" s="198"/>
      <c r="AN17267" s="198"/>
      <c r="AO17267" s="198"/>
    </row>
    <row r="17268" spans="35:41" ht="19.5" thickBot="1" x14ac:dyDescent="0.35">
      <c r="AI17268" s="1746" t="s">
        <v>150</v>
      </c>
      <c r="AJ17268" s="1747"/>
      <c r="AK17268" s="1748"/>
      <c r="AL17268" s="198"/>
      <c r="AM17268" s="198"/>
      <c r="AN17268" s="198"/>
      <c r="AO17268" s="198"/>
    </row>
    <row r="17269" spans="35:41" ht="19.5" thickBot="1" x14ac:dyDescent="0.35">
      <c r="AI17269" s="1746" t="s">
        <v>150</v>
      </c>
      <c r="AJ17269" s="1747"/>
      <c r="AK17269" s="1748"/>
      <c r="AL17269" s="198"/>
      <c r="AM17269" s="198"/>
      <c r="AN17269" s="198"/>
      <c r="AO17269" s="198"/>
    </row>
    <row r="17270" spans="35:41" ht="19.5" thickBot="1" x14ac:dyDescent="0.35">
      <c r="AI17270" s="1746" t="s">
        <v>150</v>
      </c>
      <c r="AJ17270" s="1747"/>
      <c r="AK17270" s="1748"/>
      <c r="AL17270" s="198"/>
      <c r="AM17270" s="198"/>
      <c r="AN17270" s="198"/>
      <c r="AO17270" s="198"/>
    </row>
    <row r="17271" spans="35:41" ht="19.5" thickBot="1" x14ac:dyDescent="0.35">
      <c r="AI17271" s="1746" t="s">
        <v>150</v>
      </c>
      <c r="AJ17271" s="1747"/>
      <c r="AK17271" s="1748"/>
      <c r="AL17271" s="198"/>
      <c r="AM17271" s="198"/>
      <c r="AN17271" s="198"/>
      <c r="AO17271" s="198"/>
    </row>
    <row r="17272" spans="35:41" ht="19.5" thickBot="1" x14ac:dyDescent="0.35">
      <c r="AI17272" s="1746" t="s">
        <v>150</v>
      </c>
      <c r="AJ17272" s="1747"/>
      <c r="AK17272" s="1748"/>
      <c r="AL17272" s="198"/>
      <c r="AM17272" s="198"/>
      <c r="AN17272" s="198"/>
      <c r="AO17272" s="198"/>
    </row>
    <row r="17273" spans="35:41" ht="19.5" thickBot="1" x14ac:dyDescent="0.35">
      <c r="AI17273" s="1746" t="s">
        <v>150</v>
      </c>
      <c r="AJ17273" s="1747"/>
      <c r="AK17273" s="1748"/>
      <c r="AL17273" s="198"/>
      <c r="AM17273" s="198"/>
      <c r="AN17273" s="198"/>
      <c r="AO17273" s="198"/>
    </row>
    <row r="17274" spans="35:41" ht="19.5" thickBot="1" x14ac:dyDescent="0.35">
      <c r="AI17274" s="1746" t="s">
        <v>150</v>
      </c>
      <c r="AJ17274" s="1747"/>
      <c r="AK17274" s="1748"/>
      <c r="AL17274" s="198"/>
      <c r="AM17274" s="198"/>
      <c r="AN17274" s="198"/>
      <c r="AO17274" s="198"/>
    </row>
    <row r="17275" spans="35:41" ht="19.5" thickBot="1" x14ac:dyDescent="0.35">
      <c r="AI17275" s="1746" t="s">
        <v>150</v>
      </c>
      <c r="AJ17275" s="1747"/>
      <c r="AK17275" s="1748"/>
      <c r="AL17275" s="198"/>
      <c r="AM17275" s="198"/>
      <c r="AN17275" s="198"/>
      <c r="AO17275" s="198"/>
    </row>
    <row r="17276" spans="35:41" ht="19.5" thickBot="1" x14ac:dyDescent="0.35">
      <c r="AI17276" s="1746" t="s">
        <v>150</v>
      </c>
      <c r="AJ17276" s="1747"/>
      <c r="AK17276" s="1748"/>
      <c r="AL17276" s="198"/>
      <c r="AM17276" s="198"/>
      <c r="AN17276" s="198"/>
      <c r="AO17276" s="198"/>
    </row>
    <row r="17277" spans="35:41" ht="19.5" thickBot="1" x14ac:dyDescent="0.35">
      <c r="AI17277" s="1746" t="s">
        <v>150</v>
      </c>
      <c r="AJ17277" s="1747"/>
      <c r="AK17277" s="1748"/>
      <c r="AL17277" s="198"/>
      <c r="AM17277" s="198"/>
      <c r="AN17277" s="198"/>
      <c r="AO17277" s="198"/>
    </row>
    <row r="17278" spans="35:41" ht="19.5" thickBot="1" x14ac:dyDescent="0.35">
      <c r="AI17278" s="1746" t="s">
        <v>150</v>
      </c>
      <c r="AJ17278" s="1747"/>
      <c r="AK17278" s="1748"/>
      <c r="AL17278" s="198"/>
      <c r="AM17278" s="198"/>
      <c r="AN17278" s="198"/>
      <c r="AO17278" s="198"/>
    </row>
    <row r="17279" spans="35:41" ht="19.5" thickBot="1" x14ac:dyDescent="0.35">
      <c r="AI17279" s="1746" t="s">
        <v>150</v>
      </c>
      <c r="AJ17279" s="1747"/>
      <c r="AK17279" s="1748"/>
      <c r="AL17279" s="198"/>
      <c r="AM17279" s="198"/>
      <c r="AN17279" s="198"/>
      <c r="AO17279" s="198"/>
    </row>
    <row r="17280" spans="35:41" ht="19.5" thickBot="1" x14ac:dyDescent="0.35">
      <c r="AI17280" s="1746" t="s">
        <v>150</v>
      </c>
      <c r="AJ17280" s="1747"/>
      <c r="AK17280" s="1748"/>
      <c r="AL17280" s="198"/>
      <c r="AM17280" s="198"/>
      <c r="AN17280" s="198"/>
      <c r="AO17280" s="198"/>
    </row>
    <row r="17281" spans="35:41" ht="19.5" thickBot="1" x14ac:dyDescent="0.35">
      <c r="AI17281" s="1746" t="s">
        <v>150</v>
      </c>
      <c r="AJ17281" s="1747"/>
      <c r="AK17281" s="1748"/>
      <c r="AL17281" s="198"/>
      <c r="AM17281" s="198"/>
      <c r="AN17281" s="198"/>
      <c r="AO17281" s="198"/>
    </row>
    <row r="17282" spans="35:41" ht="19.5" thickBot="1" x14ac:dyDescent="0.35">
      <c r="AI17282" s="1746" t="s">
        <v>150</v>
      </c>
      <c r="AJ17282" s="1747"/>
      <c r="AK17282" s="1748"/>
      <c r="AL17282" s="198"/>
      <c r="AM17282" s="198"/>
      <c r="AN17282" s="198"/>
      <c r="AO17282" s="198"/>
    </row>
    <row r="17283" spans="35:41" ht="19.5" thickBot="1" x14ac:dyDescent="0.35">
      <c r="AI17283" s="1746" t="s">
        <v>150</v>
      </c>
      <c r="AJ17283" s="1747"/>
      <c r="AK17283" s="1748"/>
      <c r="AL17283" s="198"/>
      <c r="AM17283" s="198"/>
      <c r="AN17283" s="198"/>
      <c r="AO17283" s="198"/>
    </row>
    <row r="17284" spans="35:41" ht="19.5" thickBot="1" x14ac:dyDescent="0.35">
      <c r="AI17284" s="1746" t="s">
        <v>150</v>
      </c>
      <c r="AJ17284" s="1747"/>
      <c r="AK17284" s="1748"/>
      <c r="AL17284" s="198"/>
      <c r="AM17284" s="198"/>
      <c r="AN17284" s="198"/>
      <c r="AO17284" s="198"/>
    </row>
    <row r="17285" spans="35:41" ht="19.5" thickBot="1" x14ac:dyDescent="0.35">
      <c r="AI17285" s="1746" t="s">
        <v>150</v>
      </c>
      <c r="AJ17285" s="1747"/>
      <c r="AK17285" s="1748"/>
      <c r="AL17285" s="198"/>
      <c r="AM17285" s="198"/>
      <c r="AN17285" s="198"/>
      <c r="AO17285" s="198"/>
    </row>
    <row r="17286" spans="35:41" ht="19.5" thickBot="1" x14ac:dyDescent="0.35">
      <c r="AI17286" s="1746" t="s">
        <v>150</v>
      </c>
      <c r="AJ17286" s="1747"/>
      <c r="AK17286" s="1748"/>
      <c r="AL17286" s="198"/>
      <c r="AM17286" s="198"/>
      <c r="AN17286" s="198"/>
      <c r="AO17286" s="198"/>
    </row>
    <row r="17287" spans="35:41" ht="19.5" thickBot="1" x14ac:dyDescent="0.35">
      <c r="AI17287" s="1746" t="s">
        <v>150</v>
      </c>
      <c r="AJ17287" s="1747"/>
      <c r="AK17287" s="1748"/>
      <c r="AL17287" s="198"/>
      <c r="AM17287" s="198"/>
      <c r="AN17287" s="198"/>
      <c r="AO17287" s="198"/>
    </row>
    <row r="17288" spans="35:41" ht="19.5" thickBot="1" x14ac:dyDescent="0.35">
      <c r="AI17288" s="1746" t="s">
        <v>150</v>
      </c>
      <c r="AJ17288" s="1747"/>
      <c r="AK17288" s="1748"/>
      <c r="AL17288" s="198"/>
      <c r="AM17288" s="198"/>
      <c r="AN17288" s="198"/>
      <c r="AO17288" s="198"/>
    </row>
    <row r="17289" spans="35:41" ht="19.5" thickBot="1" x14ac:dyDescent="0.35">
      <c r="AI17289" s="1746" t="s">
        <v>150</v>
      </c>
      <c r="AJ17289" s="1747"/>
      <c r="AK17289" s="1748"/>
      <c r="AL17289" s="198"/>
      <c r="AM17289" s="198"/>
      <c r="AN17289" s="198"/>
      <c r="AO17289" s="198"/>
    </row>
    <row r="17290" spans="35:41" ht="19.5" thickBot="1" x14ac:dyDescent="0.35">
      <c r="AI17290" s="1746" t="s">
        <v>150</v>
      </c>
      <c r="AJ17290" s="1747"/>
      <c r="AK17290" s="1748"/>
      <c r="AL17290" s="198"/>
      <c r="AM17290" s="198"/>
      <c r="AN17290" s="198"/>
      <c r="AO17290" s="198"/>
    </row>
    <row r="17291" spans="35:41" ht="19.5" thickBot="1" x14ac:dyDescent="0.35">
      <c r="AI17291" s="1746" t="s">
        <v>150</v>
      </c>
      <c r="AJ17291" s="1747"/>
      <c r="AK17291" s="1748"/>
      <c r="AL17291" s="198"/>
      <c r="AM17291" s="198"/>
      <c r="AN17291" s="198"/>
      <c r="AO17291" s="198"/>
    </row>
    <row r="17292" spans="35:41" ht="19.5" thickBot="1" x14ac:dyDescent="0.35">
      <c r="AI17292" s="1746" t="s">
        <v>150</v>
      </c>
      <c r="AJ17292" s="1747"/>
      <c r="AK17292" s="1748"/>
      <c r="AL17292" s="198"/>
      <c r="AM17292" s="198"/>
      <c r="AN17292" s="198"/>
      <c r="AO17292" s="198"/>
    </row>
    <row r="17293" spans="35:41" ht="19.5" thickBot="1" x14ac:dyDescent="0.35">
      <c r="AI17293" s="1746" t="s">
        <v>150</v>
      </c>
      <c r="AJ17293" s="1747"/>
      <c r="AK17293" s="1748"/>
      <c r="AL17293" s="198"/>
      <c r="AM17293" s="198"/>
      <c r="AN17293" s="198"/>
      <c r="AO17293" s="198"/>
    </row>
    <row r="17294" spans="35:41" ht="19.5" thickBot="1" x14ac:dyDescent="0.35">
      <c r="AI17294" s="1746" t="s">
        <v>150</v>
      </c>
      <c r="AJ17294" s="1747"/>
      <c r="AK17294" s="1748"/>
      <c r="AL17294" s="198"/>
      <c r="AM17294" s="198"/>
      <c r="AN17294" s="198"/>
      <c r="AO17294" s="198"/>
    </row>
    <row r="17295" spans="35:41" ht="19.5" thickBot="1" x14ac:dyDescent="0.35">
      <c r="AI17295" s="1746" t="s">
        <v>150</v>
      </c>
      <c r="AJ17295" s="1747"/>
      <c r="AK17295" s="1748"/>
      <c r="AL17295" s="198"/>
      <c r="AM17295" s="198"/>
      <c r="AN17295" s="198"/>
      <c r="AO17295" s="198"/>
    </row>
    <row r="17296" spans="35:41" ht="19.5" thickBot="1" x14ac:dyDescent="0.35">
      <c r="AI17296" s="1746" t="s">
        <v>150</v>
      </c>
      <c r="AJ17296" s="1747"/>
      <c r="AK17296" s="1748"/>
      <c r="AL17296" s="198"/>
      <c r="AM17296" s="198"/>
      <c r="AN17296" s="198"/>
      <c r="AO17296" s="198"/>
    </row>
    <row r="17297" spans="35:41" ht="19.5" thickBot="1" x14ac:dyDescent="0.35">
      <c r="AI17297" s="1746" t="s">
        <v>150</v>
      </c>
      <c r="AJ17297" s="1747"/>
      <c r="AK17297" s="1748"/>
      <c r="AL17297" s="198"/>
      <c r="AM17297" s="198"/>
      <c r="AN17297" s="198"/>
      <c r="AO17297" s="198"/>
    </row>
    <row r="17298" spans="35:41" ht="19.5" thickBot="1" x14ac:dyDescent="0.35">
      <c r="AI17298" s="1746" t="s">
        <v>150</v>
      </c>
      <c r="AJ17298" s="1747"/>
      <c r="AK17298" s="1748"/>
      <c r="AL17298" s="198"/>
      <c r="AM17298" s="198"/>
      <c r="AN17298" s="198"/>
      <c r="AO17298" s="198"/>
    </row>
    <row r="17299" spans="35:41" ht="19.5" thickBot="1" x14ac:dyDescent="0.35">
      <c r="AI17299" s="1746" t="s">
        <v>150</v>
      </c>
      <c r="AJ17299" s="1747"/>
      <c r="AK17299" s="1748"/>
      <c r="AL17299" s="198"/>
      <c r="AM17299" s="198"/>
      <c r="AN17299" s="198"/>
      <c r="AO17299" s="198"/>
    </row>
    <row r="17300" spans="35:41" ht="19.5" thickBot="1" x14ac:dyDescent="0.35">
      <c r="AI17300" s="1746" t="s">
        <v>150</v>
      </c>
      <c r="AJ17300" s="1747"/>
      <c r="AK17300" s="1748"/>
      <c r="AL17300" s="198"/>
      <c r="AM17300" s="198"/>
      <c r="AN17300" s="198"/>
      <c r="AO17300" s="198"/>
    </row>
    <row r="17301" spans="35:41" ht="19.5" thickBot="1" x14ac:dyDescent="0.35">
      <c r="AI17301" s="1746" t="s">
        <v>150</v>
      </c>
      <c r="AJ17301" s="1747"/>
      <c r="AK17301" s="1748"/>
      <c r="AL17301" s="198"/>
      <c r="AM17301" s="198"/>
      <c r="AN17301" s="198"/>
      <c r="AO17301" s="198"/>
    </row>
    <row r="17302" spans="35:41" ht="19.5" thickBot="1" x14ac:dyDescent="0.35">
      <c r="AI17302" s="1746" t="s">
        <v>150</v>
      </c>
      <c r="AJ17302" s="1747"/>
      <c r="AK17302" s="1748"/>
      <c r="AL17302" s="198"/>
      <c r="AM17302" s="198"/>
      <c r="AN17302" s="198"/>
      <c r="AO17302" s="198"/>
    </row>
    <row r="17303" spans="35:41" ht="19.5" thickBot="1" x14ac:dyDescent="0.35">
      <c r="AI17303" s="1746" t="s">
        <v>150</v>
      </c>
      <c r="AJ17303" s="1747"/>
      <c r="AK17303" s="1748"/>
      <c r="AL17303" s="198"/>
      <c r="AM17303" s="198"/>
      <c r="AN17303" s="198"/>
      <c r="AO17303" s="198"/>
    </row>
    <row r="17304" spans="35:41" ht="19.5" thickBot="1" x14ac:dyDescent="0.35">
      <c r="AI17304" s="1746" t="s">
        <v>150</v>
      </c>
      <c r="AJ17304" s="1747"/>
      <c r="AK17304" s="1748"/>
      <c r="AL17304" s="198"/>
      <c r="AM17304" s="198"/>
      <c r="AN17304" s="198"/>
      <c r="AO17304" s="198"/>
    </row>
    <row r="17305" spans="35:41" ht="19.5" thickBot="1" x14ac:dyDescent="0.35">
      <c r="AI17305" s="1746" t="s">
        <v>150</v>
      </c>
      <c r="AJ17305" s="1747"/>
      <c r="AK17305" s="1748"/>
      <c r="AL17305" s="198"/>
      <c r="AM17305" s="198"/>
      <c r="AN17305" s="198"/>
      <c r="AO17305" s="198"/>
    </row>
    <row r="17306" spans="35:41" ht="19.5" thickBot="1" x14ac:dyDescent="0.35">
      <c r="AI17306" s="1746" t="s">
        <v>150</v>
      </c>
      <c r="AJ17306" s="1747"/>
      <c r="AK17306" s="1748"/>
      <c r="AL17306" s="198"/>
      <c r="AM17306" s="198"/>
      <c r="AN17306" s="198"/>
      <c r="AO17306" s="198"/>
    </row>
    <row r="17307" spans="35:41" ht="19.5" thickBot="1" x14ac:dyDescent="0.35">
      <c r="AI17307" s="1746" t="s">
        <v>150</v>
      </c>
      <c r="AJ17307" s="1747"/>
      <c r="AK17307" s="1748"/>
      <c r="AL17307" s="198"/>
      <c r="AM17307" s="198"/>
      <c r="AN17307" s="198"/>
      <c r="AO17307" s="198"/>
    </row>
    <row r="17308" spans="35:41" ht="19.5" thickBot="1" x14ac:dyDescent="0.35">
      <c r="AI17308" s="1746" t="s">
        <v>150</v>
      </c>
      <c r="AJ17308" s="1747"/>
      <c r="AK17308" s="1748"/>
      <c r="AL17308" s="198"/>
      <c r="AM17308" s="198"/>
      <c r="AN17308" s="198"/>
      <c r="AO17308" s="198"/>
    </row>
    <row r="17309" spans="35:41" ht="19.5" thickBot="1" x14ac:dyDescent="0.35">
      <c r="AI17309" s="1746" t="s">
        <v>150</v>
      </c>
      <c r="AJ17309" s="1747"/>
      <c r="AK17309" s="1748"/>
      <c r="AL17309" s="198"/>
      <c r="AM17309" s="198"/>
      <c r="AN17309" s="198"/>
      <c r="AO17309" s="198"/>
    </row>
    <row r="17310" spans="35:41" ht="19.5" thickBot="1" x14ac:dyDescent="0.35">
      <c r="AI17310" s="1746" t="s">
        <v>150</v>
      </c>
      <c r="AJ17310" s="1747"/>
      <c r="AK17310" s="1748"/>
      <c r="AL17310" s="198"/>
      <c r="AM17310" s="198"/>
      <c r="AN17310" s="198"/>
      <c r="AO17310" s="198"/>
    </row>
    <row r="17311" spans="35:41" ht="19.5" thickBot="1" x14ac:dyDescent="0.35">
      <c r="AI17311" s="1746" t="s">
        <v>150</v>
      </c>
      <c r="AJ17311" s="1747"/>
      <c r="AK17311" s="1748"/>
      <c r="AL17311" s="198"/>
      <c r="AM17311" s="198"/>
      <c r="AN17311" s="198"/>
      <c r="AO17311" s="198"/>
    </row>
    <row r="17312" spans="35:41" ht="19.5" thickBot="1" x14ac:dyDescent="0.35">
      <c r="AI17312" s="1746" t="s">
        <v>150</v>
      </c>
      <c r="AJ17312" s="1747"/>
      <c r="AK17312" s="1748"/>
      <c r="AL17312" s="198"/>
      <c r="AM17312" s="198"/>
      <c r="AN17312" s="198"/>
      <c r="AO17312" s="198"/>
    </row>
    <row r="17313" spans="35:41" ht="19.5" thickBot="1" x14ac:dyDescent="0.35">
      <c r="AI17313" s="1746" t="s">
        <v>150</v>
      </c>
      <c r="AJ17313" s="1747"/>
      <c r="AK17313" s="1748"/>
      <c r="AL17313" s="198"/>
      <c r="AM17313" s="198"/>
      <c r="AN17313" s="198"/>
      <c r="AO17313" s="198"/>
    </row>
    <row r="17314" spans="35:41" ht="19.5" thickBot="1" x14ac:dyDescent="0.35">
      <c r="AI17314" s="1746" t="s">
        <v>150</v>
      </c>
      <c r="AJ17314" s="1747"/>
      <c r="AK17314" s="1748"/>
      <c r="AL17314" s="198"/>
      <c r="AM17314" s="198"/>
      <c r="AN17314" s="198"/>
      <c r="AO17314" s="198"/>
    </row>
    <row r="17315" spans="35:41" ht="19.5" thickBot="1" x14ac:dyDescent="0.35">
      <c r="AI17315" s="1746" t="s">
        <v>150</v>
      </c>
      <c r="AJ17315" s="1747"/>
      <c r="AK17315" s="1748"/>
      <c r="AL17315" s="198"/>
      <c r="AM17315" s="198"/>
      <c r="AN17315" s="198"/>
      <c r="AO17315" s="198"/>
    </row>
    <row r="17316" spans="35:41" ht="19.5" thickBot="1" x14ac:dyDescent="0.35">
      <c r="AI17316" s="1746" t="s">
        <v>150</v>
      </c>
      <c r="AJ17316" s="1747"/>
      <c r="AK17316" s="1748"/>
      <c r="AL17316" s="198"/>
      <c r="AM17316" s="198"/>
      <c r="AN17316" s="198"/>
      <c r="AO17316" s="198"/>
    </row>
    <row r="17317" spans="35:41" ht="19.5" thickBot="1" x14ac:dyDescent="0.35">
      <c r="AI17317" s="1746" t="s">
        <v>150</v>
      </c>
      <c r="AJ17317" s="1747"/>
      <c r="AK17317" s="1748"/>
      <c r="AL17317" s="198"/>
      <c r="AM17317" s="198"/>
      <c r="AN17317" s="198"/>
      <c r="AO17317" s="198"/>
    </row>
    <row r="17318" spans="35:41" ht="19.5" thickBot="1" x14ac:dyDescent="0.35">
      <c r="AI17318" s="1746" t="s">
        <v>150</v>
      </c>
      <c r="AJ17318" s="1747"/>
      <c r="AK17318" s="1748"/>
      <c r="AL17318" s="198"/>
      <c r="AM17318" s="198"/>
      <c r="AN17318" s="198"/>
      <c r="AO17318" s="198"/>
    </row>
    <row r="17319" spans="35:41" ht="19.5" thickBot="1" x14ac:dyDescent="0.35">
      <c r="AI17319" s="1746" t="s">
        <v>150</v>
      </c>
      <c r="AJ17319" s="1747"/>
      <c r="AK17319" s="1748"/>
      <c r="AL17319" s="198"/>
      <c r="AM17319" s="198"/>
      <c r="AN17319" s="198"/>
      <c r="AO17319" s="198"/>
    </row>
    <row r="17320" spans="35:41" ht="19.5" thickBot="1" x14ac:dyDescent="0.35">
      <c r="AI17320" s="1746" t="s">
        <v>150</v>
      </c>
      <c r="AJ17320" s="1747"/>
      <c r="AK17320" s="1748"/>
      <c r="AL17320" s="198"/>
      <c r="AM17320" s="198"/>
      <c r="AN17320" s="198"/>
      <c r="AO17320" s="198"/>
    </row>
    <row r="17321" spans="35:41" ht="19.5" thickBot="1" x14ac:dyDescent="0.35">
      <c r="AI17321" s="1746" t="s">
        <v>150</v>
      </c>
      <c r="AJ17321" s="1747"/>
      <c r="AK17321" s="1748"/>
      <c r="AL17321" s="198"/>
      <c r="AM17321" s="198"/>
      <c r="AN17321" s="198"/>
      <c r="AO17321" s="198"/>
    </row>
    <row r="17322" spans="35:41" ht="19.5" thickBot="1" x14ac:dyDescent="0.35">
      <c r="AI17322" s="1746" t="s">
        <v>150</v>
      </c>
      <c r="AJ17322" s="1747"/>
      <c r="AK17322" s="1748"/>
      <c r="AL17322" s="198"/>
      <c r="AM17322" s="198"/>
      <c r="AN17322" s="198"/>
      <c r="AO17322" s="198"/>
    </row>
    <row r="17323" spans="35:41" ht="19.5" thickBot="1" x14ac:dyDescent="0.35">
      <c r="AI17323" s="1746" t="s">
        <v>150</v>
      </c>
      <c r="AJ17323" s="1747"/>
      <c r="AK17323" s="1748"/>
      <c r="AL17323" s="198"/>
      <c r="AM17323" s="198"/>
      <c r="AN17323" s="198"/>
      <c r="AO17323" s="198"/>
    </row>
    <row r="17324" spans="35:41" ht="19.5" thickBot="1" x14ac:dyDescent="0.35">
      <c r="AI17324" s="1746" t="s">
        <v>150</v>
      </c>
      <c r="AJ17324" s="1747"/>
      <c r="AK17324" s="1748"/>
      <c r="AL17324" s="198"/>
      <c r="AM17324" s="198"/>
      <c r="AN17324" s="198"/>
      <c r="AO17324" s="198"/>
    </row>
    <row r="17325" spans="35:41" ht="19.5" thickBot="1" x14ac:dyDescent="0.35">
      <c r="AI17325" s="1746" t="s">
        <v>150</v>
      </c>
      <c r="AJ17325" s="1747"/>
      <c r="AK17325" s="1748"/>
      <c r="AL17325" s="198"/>
      <c r="AM17325" s="198"/>
      <c r="AN17325" s="198"/>
      <c r="AO17325" s="198"/>
    </row>
    <row r="17326" spans="35:41" ht="19.5" thickBot="1" x14ac:dyDescent="0.35">
      <c r="AI17326" s="1746" t="s">
        <v>150</v>
      </c>
      <c r="AJ17326" s="1747"/>
      <c r="AK17326" s="1748"/>
      <c r="AL17326" s="198"/>
      <c r="AM17326" s="198"/>
      <c r="AN17326" s="198"/>
      <c r="AO17326" s="198"/>
    </row>
    <row r="17327" spans="35:41" ht="19.5" thickBot="1" x14ac:dyDescent="0.35">
      <c r="AI17327" s="1746" t="s">
        <v>150</v>
      </c>
      <c r="AJ17327" s="1747"/>
      <c r="AK17327" s="1748"/>
      <c r="AL17327" s="198"/>
      <c r="AM17327" s="198"/>
      <c r="AN17327" s="198"/>
      <c r="AO17327" s="198"/>
    </row>
    <row r="17328" spans="35:41" ht="19.5" thickBot="1" x14ac:dyDescent="0.35">
      <c r="AI17328" s="1746" t="s">
        <v>150</v>
      </c>
      <c r="AJ17328" s="1747"/>
      <c r="AK17328" s="1748"/>
      <c r="AL17328" s="198"/>
      <c r="AM17328" s="198"/>
      <c r="AN17328" s="198"/>
      <c r="AO17328" s="198"/>
    </row>
    <row r="17329" spans="35:41" ht="19.5" thickBot="1" x14ac:dyDescent="0.35">
      <c r="AI17329" s="1746" t="s">
        <v>150</v>
      </c>
      <c r="AJ17329" s="1747"/>
      <c r="AK17329" s="1748"/>
      <c r="AL17329" s="198"/>
      <c r="AM17329" s="198"/>
      <c r="AN17329" s="198"/>
      <c r="AO17329" s="198"/>
    </row>
    <row r="17330" spans="35:41" ht="19.5" thickBot="1" x14ac:dyDescent="0.35">
      <c r="AI17330" s="1746" t="s">
        <v>150</v>
      </c>
      <c r="AJ17330" s="1747"/>
      <c r="AK17330" s="1748"/>
      <c r="AL17330" s="198"/>
      <c r="AM17330" s="198"/>
      <c r="AN17330" s="198"/>
      <c r="AO17330" s="198"/>
    </row>
    <row r="17331" spans="35:41" ht="19.5" thickBot="1" x14ac:dyDescent="0.35">
      <c r="AI17331" s="1746" t="s">
        <v>150</v>
      </c>
      <c r="AJ17331" s="1747"/>
      <c r="AK17331" s="1748"/>
      <c r="AL17331" s="198"/>
      <c r="AM17331" s="198"/>
      <c r="AN17331" s="198"/>
      <c r="AO17331" s="198"/>
    </row>
    <row r="17332" spans="35:41" ht="19.5" thickBot="1" x14ac:dyDescent="0.35">
      <c r="AI17332" s="1746" t="s">
        <v>150</v>
      </c>
      <c r="AJ17332" s="1747"/>
      <c r="AK17332" s="1748"/>
      <c r="AL17332" s="198"/>
      <c r="AM17332" s="198"/>
      <c r="AN17332" s="198"/>
      <c r="AO17332" s="198"/>
    </row>
    <row r="17333" spans="35:41" ht="19.5" thickBot="1" x14ac:dyDescent="0.35">
      <c r="AI17333" s="1746" t="s">
        <v>150</v>
      </c>
      <c r="AJ17333" s="1747"/>
      <c r="AK17333" s="1748"/>
      <c r="AL17333" s="198"/>
      <c r="AM17333" s="198"/>
      <c r="AN17333" s="198"/>
      <c r="AO17333" s="198"/>
    </row>
    <row r="17334" spans="35:41" ht="19.5" thickBot="1" x14ac:dyDescent="0.35">
      <c r="AI17334" s="1746" t="s">
        <v>150</v>
      </c>
      <c r="AJ17334" s="1747"/>
      <c r="AK17334" s="1748"/>
      <c r="AL17334" s="198"/>
      <c r="AM17334" s="198"/>
      <c r="AN17334" s="198"/>
      <c r="AO17334" s="198"/>
    </row>
    <row r="17335" spans="35:41" ht="19.5" thickBot="1" x14ac:dyDescent="0.35">
      <c r="AI17335" s="1746" t="s">
        <v>150</v>
      </c>
      <c r="AJ17335" s="1747"/>
      <c r="AK17335" s="1748"/>
      <c r="AL17335" s="198"/>
      <c r="AM17335" s="198"/>
      <c r="AN17335" s="198"/>
      <c r="AO17335" s="198"/>
    </row>
    <row r="17336" spans="35:41" ht="19.5" thickBot="1" x14ac:dyDescent="0.35">
      <c r="AI17336" s="1746" t="s">
        <v>150</v>
      </c>
      <c r="AJ17336" s="1747"/>
      <c r="AK17336" s="1748"/>
      <c r="AL17336" s="198"/>
      <c r="AM17336" s="198"/>
      <c r="AN17336" s="198"/>
      <c r="AO17336" s="198"/>
    </row>
    <row r="17337" spans="35:41" ht="19.5" thickBot="1" x14ac:dyDescent="0.35">
      <c r="AI17337" s="1746" t="s">
        <v>150</v>
      </c>
      <c r="AJ17337" s="1747"/>
      <c r="AK17337" s="1748"/>
      <c r="AL17337" s="198"/>
      <c r="AM17337" s="198"/>
      <c r="AN17337" s="198"/>
      <c r="AO17337" s="198"/>
    </row>
    <row r="17338" spans="35:41" ht="19.5" thickBot="1" x14ac:dyDescent="0.35">
      <c r="AI17338" s="1746" t="s">
        <v>150</v>
      </c>
      <c r="AJ17338" s="1747"/>
      <c r="AK17338" s="1748"/>
      <c r="AL17338" s="198"/>
      <c r="AM17338" s="198"/>
      <c r="AN17338" s="198"/>
      <c r="AO17338" s="198"/>
    </row>
    <row r="17339" spans="35:41" ht="19.5" thickBot="1" x14ac:dyDescent="0.35">
      <c r="AI17339" s="1746" t="s">
        <v>150</v>
      </c>
      <c r="AJ17339" s="1747"/>
      <c r="AK17339" s="1748"/>
      <c r="AL17339" s="198"/>
      <c r="AM17339" s="198"/>
      <c r="AN17339" s="198"/>
      <c r="AO17339" s="198"/>
    </row>
    <row r="17340" spans="35:41" ht="19.5" thickBot="1" x14ac:dyDescent="0.35">
      <c r="AI17340" s="1746" t="s">
        <v>150</v>
      </c>
      <c r="AJ17340" s="1747"/>
      <c r="AK17340" s="1748"/>
      <c r="AL17340" s="198"/>
      <c r="AM17340" s="198"/>
      <c r="AN17340" s="198"/>
      <c r="AO17340" s="198"/>
    </row>
    <row r="17341" spans="35:41" ht="19.5" thickBot="1" x14ac:dyDescent="0.35">
      <c r="AI17341" s="1746" t="s">
        <v>150</v>
      </c>
      <c r="AJ17341" s="1747"/>
      <c r="AK17341" s="1748"/>
      <c r="AL17341" s="198"/>
      <c r="AM17341" s="198"/>
      <c r="AN17341" s="198"/>
      <c r="AO17341" s="198"/>
    </row>
    <row r="17342" spans="35:41" ht="19.5" thickBot="1" x14ac:dyDescent="0.35">
      <c r="AI17342" s="1746" t="s">
        <v>150</v>
      </c>
      <c r="AJ17342" s="1747"/>
      <c r="AK17342" s="1748"/>
      <c r="AL17342" s="198"/>
      <c r="AM17342" s="198"/>
      <c r="AN17342" s="198"/>
      <c r="AO17342" s="198"/>
    </row>
    <row r="17343" spans="35:41" ht="19.5" thickBot="1" x14ac:dyDescent="0.35">
      <c r="AI17343" s="1746" t="s">
        <v>150</v>
      </c>
      <c r="AJ17343" s="1747"/>
      <c r="AK17343" s="1748"/>
      <c r="AL17343" s="198"/>
      <c r="AM17343" s="198"/>
      <c r="AN17343" s="198"/>
      <c r="AO17343" s="198"/>
    </row>
    <row r="17344" spans="35:41" ht="19.5" thickBot="1" x14ac:dyDescent="0.35">
      <c r="AI17344" s="1746" t="s">
        <v>150</v>
      </c>
      <c r="AJ17344" s="1747"/>
      <c r="AK17344" s="1748"/>
      <c r="AL17344" s="198"/>
      <c r="AM17344" s="198"/>
      <c r="AN17344" s="198"/>
      <c r="AO17344" s="198"/>
    </row>
    <row r="17345" spans="35:41" ht="19.5" thickBot="1" x14ac:dyDescent="0.35">
      <c r="AI17345" s="1746" t="s">
        <v>150</v>
      </c>
      <c r="AJ17345" s="1747"/>
      <c r="AK17345" s="1748"/>
      <c r="AL17345" s="198"/>
      <c r="AM17345" s="198"/>
      <c r="AN17345" s="198"/>
      <c r="AO17345" s="198"/>
    </row>
    <row r="17346" spans="35:41" ht="19.5" thickBot="1" x14ac:dyDescent="0.35">
      <c r="AI17346" s="1746" t="s">
        <v>150</v>
      </c>
      <c r="AJ17346" s="1747"/>
      <c r="AK17346" s="1748"/>
      <c r="AL17346" s="198"/>
      <c r="AM17346" s="198"/>
      <c r="AN17346" s="198"/>
      <c r="AO17346" s="198"/>
    </row>
    <row r="17347" spans="35:41" ht="19.5" thickBot="1" x14ac:dyDescent="0.35">
      <c r="AI17347" s="1746" t="s">
        <v>150</v>
      </c>
      <c r="AJ17347" s="1747"/>
      <c r="AK17347" s="1748"/>
      <c r="AL17347" s="198"/>
      <c r="AM17347" s="198"/>
      <c r="AN17347" s="198"/>
      <c r="AO17347" s="198"/>
    </row>
    <row r="17348" spans="35:41" ht="19.5" thickBot="1" x14ac:dyDescent="0.35">
      <c r="AI17348" s="1746" t="s">
        <v>150</v>
      </c>
      <c r="AJ17348" s="1747"/>
      <c r="AK17348" s="1748"/>
      <c r="AL17348" s="198"/>
      <c r="AM17348" s="198"/>
      <c r="AN17348" s="198"/>
      <c r="AO17348" s="198"/>
    </row>
    <row r="17349" spans="35:41" ht="19.5" thickBot="1" x14ac:dyDescent="0.35">
      <c r="AI17349" s="1746" t="s">
        <v>150</v>
      </c>
      <c r="AJ17349" s="1747"/>
      <c r="AK17349" s="1748"/>
      <c r="AL17349" s="198"/>
      <c r="AM17349" s="198"/>
      <c r="AN17349" s="198"/>
      <c r="AO17349" s="198"/>
    </row>
    <row r="17350" spans="35:41" ht="19.5" thickBot="1" x14ac:dyDescent="0.35">
      <c r="AI17350" s="1746" t="s">
        <v>150</v>
      </c>
      <c r="AJ17350" s="1747"/>
      <c r="AK17350" s="1748"/>
      <c r="AL17350" s="198"/>
      <c r="AM17350" s="198"/>
      <c r="AN17350" s="198"/>
      <c r="AO17350" s="198"/>
    </row>
    <row r="17351" spans="35:41" ht="19.5" thickBot="1" x14ac:dyDescent="0.35">
      <c r="AI17351" s="1746" t="s">
        <v>150</v>
      </c>
      <c r="AJ17351" s="1747"/>
      <c r="AK17351" s="1748"/>
      <c r="AL17351" s="198"/>
      <c r="AM17351" s="198"/>
      <c r="AN17351" s="198"/>
      <c r="AO17351" s="198"/>
    </row>
    <row r="17352" spans="35:41" ht="19.5" thickBot="1" x14ac:dyDescent="0.35">
      <c r="AI17352" s="1746" t="s">
        <v>150</v>
      </c>
      <c r="AJ17352" s="1747"/>
      <c r="AK17352" s="1748"/>
      <c r="AL17352" s="198"/>
      <c r="AM17352" s="198"/>
      <c r="AN17352" s="198"/>
      <c r="AO17352" s="198"/>
    </row>
    <row r="17353" spans="35:41" ht="19.5" thickBot="1" x14ac:dyDescent="0.35">
      <c r="AI17353" s="1746" t="s">
        <v>150</v>
      </c>
      <c r="AJ17353" s="1747"/>
      <c r="AK17353" s="1748"/>
      <c r="AL17353" s="198"/>
      <c r="AM17353" s="198"/>
      <c r="AN17353" s="198"/>
      <c r="AO17353" s="198"/>
    </row>
    <row r="17354" spans="35:41" ht="19.5" thickBot="1" x14ac:dyDescent="0.35">
      <c r="AI17354" s="1746" t="s">
        <v>150</v>
      </c>
      <c r="AJ17354" s="1747"/>
      <c r="AK17354" s="1748"/>
      <c r="AL17354" s="198"/>
      <c r="AM17354" s="198"/>
      <c r="AN17354" s="198"/>
      <c r="AO17354" s="198"/>
    </row>
    <row r="17355" spans="35:41" ht="19.5" thickBot="1" x14ac:dyDescent="0.35">
      <c r="AI17355" s="1746" t="s">
        <v>150</v>
      </c>
      <c r="AJ17355" s="1747"/>
      <c r="AK17355" s="1748"/>
      <c r="AL17355" s="198"/>
      <c r="AM17355" s="198"/>
      <c r="AN17355" s="198"/>
      <c r="AO17355" s="198"/>
    </row>
    <row r="17356" spans="35:41" ht="19.5" thickBot="1" x14ac:dyDescent="0.35">
      <c r="AI17356" s="1746" t="s">
        <v>150</v>
      </c>
      <c r="AJ17356" s="1747"/>
      <c r="AK17356" s="1748"/>
      <c r="AL17356" s="198"/>
      <c r="AM17356" s="198"/>
      <c r="AN17356" s="198"/>
      <c r="AO17356" s="198"/>
    </row>
    <row r="17357" spans="35:41" ht="19.5" thickBot="1" x14ac:dyDescent="0.35">
      <c r="AI17357" s="1746" t="s">
        <v>150</v>
      </c>
      <c r="AJ17357" s="1747"/>
      <c r="AK17357" s="1748"/>
      <c r="AL17357" s="198"/>
      <c r="AM17357" s="198"/>
      <c r="AN17357" s="198"/>
      <c r="AO17357" s="198"/>
    </row>
    <row r="17358" spans="35:41" ht="19.5" thickBot="1" x14ac:dyDescent="0.35">
      <c r="AI17358" s="1746" t="s">
        <v>150</v>
      </c>
      <c r="AJ17358" s="1747"/>
      <c r="AK17358" s="1748"/>
      <c r="AL17358" s="198"/>
      <c r="AM17358" s="198"/>
      <c r="AN17358" s="198"/>
      <c r="AO17358" s="198"/>
    </row>
    <row r="17359" spans="35:41" ht="19.5" thickBot="1" x14ac:dyDescent="0.35">
      <c r="AI17359" s="1746" t="s">
        <v>150</v>
      </c>
      <c r="AJ17359" s="1747"/>
      <c r="AK17359" s="1748"/>
      <c r="AL17359" s="198"/>
      <c r="AM17359" s="198"/>
      <c r="AN17359" s="198"/>
      <c r="AO17359" s="198"/>
    </row>
    <row r="17360" spans="35:41" ht="19.5" thickBot="1" x14ac:dyDescent="0.35">
      <c r="AI17360" s="1746" t="s">
        <v>150</v>
      </c>
      <c r="AJ17360" s="1747"/>
      <c r="AK17360" s="1748"/>
      <c r="AL17360" s="198"/>
      <c r="AM17360" s="198"/>
      <c r="AN17360" s="198"/>
      <c r="AO17360" s="198"/>
    </row>
    <row r="17361" spans="35:41" ht="19.5" thickBot="1" x14ac:dyDescent="0.35">
      <c r="AI17361" s="1746" t="s">
        <v>150</v>
      </c>
      <c r="AJ17361" s="1747"/>
      <c r="AK17361" s="1748"/>
      <c r="AL17361" s="198"/>
      <c r="AM17361" s="198"/>
      <c r="AN17361" s="198"/>
      <c r="AO17361" s="198"/>
    </row>
    <row r="17362" spans="35:41" ht="19.5" thickBot="1" x14ac:dyDescent="0.35">
      <c r="AI17362" s="1746" t="s">
        <v>150</v>
      </c>
      <c r="AJ17362" s="1747"/>
      <c r="AK17362" s="1748"/>
      <c r="AL17362" s="198"/>
      <c r="AM17362" s="198"/>
      <c r="AN17362" s="198"/>
      <c r="AO17362" s="198"/>
    </row>
    <row r="17363" spans="35:41" ht="19.5" thickBot="1" x14ac:dyDescent="0.35">
      <c r="AI17363" s="1746" t="s">
        <v>150</v>
      </c>
      <c r="AJ17363" s="1747"/>
      <c r="AK17363" s="1748"/>
      <c r="AL17363" s="198"/>
      <c r="AM17363" s="198"/>
      <c r="AN17363" s="198"/>
      <c r="AO17363" s="198"/>
    </row>
    <row r="17364" spans="35:41" ht="19.5" thickBot="1" x14ac:dyDescent="0.35">
      <c r="AI17364" s="1746" t="s">
        <v>150</v>
      </c>
      <c r="AJ17364" s="1747"/>
      <c r="AK17364" s="1748"/>
      <c r="AL17364" s="198"/>
      <c r="AM17364" s="198"/>
      <c r="AN17364" s="198"/>
      <c r="AO17364" s="198"/>
    </row>
    <row r="17365" spans="35:41" ht="19.5" thickBot="1" x14ac:dyDescent="0.35">
      <c r="AI17365" s="1746" t="s">
        <v>150</v>
      </c>
      <c r="AJ17365" s="1747"/>
      <c r="AK17365" s="1748"/>
      <c r="AL17365" s="198"/>
      <c r="AM17365" s="198"/>
      <c r="AN17365" s="198"/>
      <c r="AO17365" s="198"/>
    </row>
    <row r="17366" spans="35:41" ht="19.5" thickBot="1" x14ac:dyDescent="0.35">
      <c r="AI17366" s="1746" t="s">
        <v>150</v>
      </c>
      <c r="AJ17366" s="1747"/>
      <c r="AK17366" s="1748"/>
      <c r="AL17366" s="198"/>
      <c r="AM17366" s="198"/>
      <c r="AN17366" s="198"/>
      <c r="AO17366" s="198"/>
    </row>
    <row r="17367" spans="35:41" ht="19.5" thickBot="1" x14ac:dyDescent="0.35">
      <c r="AI17367" s="1746" t="s">
        <v>150</v>
      </c>
      <c r="AJ17367" s="1747"/>
      <c r="AK17367" s="1748"/>
      <c r="AL17367" s="198"/>
      <c r="AM17367" s="198"/>
      <c r="AN17367" s="198"/>
      <c r="AO17367" s="198"/>
    </row>
    <row r="17368" spans="35:41" ht="19.5" thickBot="1" x14ac:dyDescent="0.35">
      <c r="AI17368" s="1746" t="s">
        <v>150</v>
      </c>
      <c r="AJ17368" s="1747"/>
      <c r="AK17368" s="1748"/>
      <c r="AL17368" s="198"/>
      <c r="AM17368" s="198"/>
      <c r="AN17368" s="198"/>
      <c r="AO17368" s="198"/>
    </row>
    <row r="17369" spans="35:41" ht="19.5" thickBot="1" x14ac:dyDescent="0.35">
      <c r="AI17369" s="1746" t="s">
        <v>150</v>
      </c>
      <c r="AJ17369" s="1747"/>
      <c r="AK17369" s="1748"/>
      <c r="AL17369" s="198"/>
      <c r="AM17369" s="198"/>
      <c r="AN17369" s="198"/>
      <c r="AO17369" s="198"/>
    </row>
    <row r="17370" spans="35:41" ht="19.5" thickBot="1" x14ac:dyDescent="0.35">
      <c r="AI17370" s="1746" t="s">
        <v>150</v>
      </c>
      <c r="AJ17370" s="1747"/>
      <c r="AK17370" s="1748"/>
      <c r="AL17370" s="198"/>
      <c r="AM17370" s="198"/>
      <c r="AN17370" s="198"/>
      <c r="AO17370" s="198"/>
    </row>
    <row r="17371" spans="35:41" ht="19.5" thickBot="1" x14ac:dyDescent="0.35">
      <c r="AI17371" s="1746" t="s">
        <v>150</v>
      </c>
      <c r="AJ17371" s="1747"/>
      <c r="AK17371" s="1748"/>
      <c r="AL17371" s="198"/>
      <c r="AM17371" s="198"/>
      <c r="AN17371" s="198"/>
      <c r="AO17371" s="198"/>
    </row>
    <row r="17372" spans="35:41" ht="19.5" thickBot="1" x14ac:dyDescent="0.35">
      <c r="AI17372" s="1746" t="s">
        <v>150</v>
      </c>
      <c r="AJ17372" s="1747"/>
      <c r="AK17372" s="1748"/>
      <c r="AL17372" s="198"/>
      <c r="AM17372" s="198"/>
      <c r="AN17372" s="198"/>
      <c r="AO17372" s="198"/>
    </row>
    <row r="17373" spans="35:41" ht="19.5" thickBot="1" x14ac:dyDescent="0.35">
      <c r="AI17373" s="1746" t="s">
        <v>150</v>
      </c>
      <c r="AJ17373" s="1747"/>
      <c r="AK17373" s="1748"/>
      <c r="AL17373" s="198"/>
      <c r="AM17373" s="198"/>
      <c r="AN17373" s="198"/>
      <c r="AO17373" s="198"/>
    </row>
    <row r="17374" spans="35:41" ht="19.5" thickBot="1" x14ac:dyDescent="0.35">
      <c r="AI17374" s="1746" t="s">
        <v>150</v>
      </c>
      <c r="AJ17374" s="1747"/>
      <c r="AK17374" s="1748"/>
      <c r="AL17374" s="198"/>
      <c r="AM17374" s="198"/>
      <c r="AN17374" s="198"/>
      <c r="AO17374" s="198"/>
    </row>
    <row r="17375" spans="35:41" ht="19.5" thickBot="1" x14ac:dyDescent="0.35">
      <c r="AI17375" s="1746" t="s">
        <v>150</v>
      </c>
      <c r="AJ17375" s="1747"/>
      <c r="AK17375" s="1748"/>
      <c r="AL17375" s="198"/>
      <c r="AM17375" s="198"/>
      <c r="AN17375" s="198"/>
      <c r="AO17375" s="198"/>
    </row>
    <row r="17376" spans="35:41" ht="19.5" thickBot="1" x14ac:dyDescent="0.35">
      <c r="AI17376" s="1746" t="s">
        <v>150</v>
      </c>
      <c r="AJ17376" s="1747"/>
      <c r="AK17376" s="1748"/>
      <c r="AL17376" s="198"/>
      <c r="AM17376" s="198"/>
      <c r="AN17376" s="198"/>
      <c r="AO17376" s="198"/>
    </row>
    <row r="17377" spans="35:41" ht="19.5" thickBot="1" x14ac:dyDescent="0.35">
      <c r="AI17377" s="1746" t="s">
        <v>150</v>
      </c>
      <c r="AJ17377" s="1747"/>
      <c r="AK17377" s="1748"/>
      <c r="AL17377" s="198"/>
      <c r="AM17377" s="198"/>
      <c r="AN17377" s="198"/>
      <c r="AO17377" s="198"/>
    </row>
    <row r="17378" spans="35:41" ht="19.5" thickBot="1" x14ac:dyDescent="0.35">
      <c r="AI17378" s="1746" t="s">
        <v>150</v>
      </c>
      <c r="AJ17378" s="1747"/>
      <c r="AK17378" s="1748"/>
      <c r="AL17378" s="198"/>
      <c r="AM17378" s="198"/>
      <c r="AN17378" s="198"/>
      <c r="AO17378" s="198"/>
    </row>
    <row r="17379" spans="35:41" ht="19.5" thickBot="1" x14ac:dyDescent="0.35">
      <c r="AI17379" s="1746" t="s">
        <v>150</v>
      </c>
      <c r="AJ17379" s="1747"/>
      <c r="AK17379" s="1748"/>
      <c r="AL17379" s="198"/>
      <c r="AM17379" s="198"/>
      <c r="AN17379" s="198"/>
      <c r="AO17379" s="198"/>
    </row>
    <row r="17380" spans="35:41" ht="19.5" thickBot="1" x14ac:dyDescent="0.35">
      <c r="AI17380" s="1746" t="s">
        <v>150</v>
      </c>
      <c r="AJ17380" s="1747"/>
      <c r="AK17380" s="1748"/>
      <c r="AL17380" s="198"/>
      <c r="AM17380" s="198"/>
      <c r="AN17380" s="198"/>
      <c r="AO17380" s="198"/>
    </row>
    <row r="17381" spans="35:41" ht="19.5" thickBot="1" x14ac:dyDescent="0.35">
      <c r="AI17381" s="1746" t="s">
        <v>150</v>
      </c>
      <c r="AJ17381" s="1747"/>
      <c r="AK17381" s="1748"/>
      <c r="AL17381" s="198"/>
      <c r="AM17381" s="198"/>
      <c r="AN17381" s="198"/>
      <c r="AO17381" s="198"/>
    </row>
    <row r="17382" spans="35:41" ht="19.5" thickBot="1" x14ac:dyDescent="0.35">
      <c r="AI17382" s="1746" t="s">
        <v>150</v>
      </c>
      <c r="AJ17382" s="1747"/>
      <c r="AK17382" s="1748"/>
      <c r="AL17382" s="198"/>
      <c r="AM17382" s="198"/>
      <c r="AN17382" s="198"/>
      <c r="AO17382" s="198"/>
    </row>
    <row r="17383" spans="35:41" ht="19.5" thickBot="1" x14ac:dyDescent="0.35">
      <c r="AI17383" s="1746" t="s">
        <v>150</v>
      </c>
      <c r="AJ17383" s="1747"/>
      <c r="AK17383" s="1748"/>
      <c r="AL17383" s="198"/>
      <c r="AM17383" s="198"/>
      <c r="AN17383" s="198"/>
      <c r="AO17383" s="198"/>
    </row>
    <row r="17384" spans="35:41" ht="19.5" thickBot="1" x14ac:dyDescent="0.35">
      <c r="AI17384" s="1746" t="s">
        <v>150</v>
      </c>
      <c r="AJ17384" s="1747"/>
      <c r="AK17384" s="1748"/>
      <c r="AL17384" s="198"/>
      <c r="AM17384" s="198"/>
      <c r="AN17384" s="198"/>
      <c r="AO17384" s="198"/>
    </row>
    <row r="17385" spans="35:41" ht="19.5" thickBot="1" x14ac:dyDescent="0.35">
      <c r="AI17385" s="1746" t="s">
        <v>150</v>
      </c>
      <c r="AJ17385" s="1747"/>
      <c r="AK17385" s="1748"/>
      <c r="AL17385" s="198"/>
      <c r="AM17385" s="198"/>
      <c r="AN17385" s="198"/>
      <c r="AO17385" s="198"/>
    </row>
    <row r="17386" spans="35:41" ht="19.5" thickBot="1" x14ac:dyDescent="0.35">
      <c r="AI17386" s="1746" t="s">
        <v>150</v>
      </c>
      <c r="AJ17386" s="1747"/>
      <c r="AK17386" s="1748"/>
      <c r="AL17386" s="198"/>
      <c r="AM17386" s="198"/>
      <c r="AN17386" s="198"/>
      <c r="AO17386" s="198"/>
    </row>
    <row r="17387" spans="35:41" ht="19.5" thickBot="1" x14ac:dyDescent="0.35">
      <c r="AI17387" s="1746" t="s">
        <v>150</v>
      </c>
      <c r="AJ17387" s="1747"/>
      <c r="AK17387" s="1748"/>
      <c r="AL17387" s="198"/>
      <c r="AM17387" s="198"/>
      <c r="AN17387" s="198"/>
      <c r="AO17387" s="198"/>
    </row>
    <row r="17388" spans="35:41" ht="19.5" thickBot="1" x14ac:dyDescent="0.35">
      <c r="AI17388" s="1746" t="s">
        <v>150</v>
      </c>
      <c r="AJ17388" s="1747"/>
      <c r="AK17388" s="1748"/>
      <c r="AL17388" s="198"/>
      <c r="AM17388" s="198"/>
      <c r="AN17388" s="198"/>
      <c r="AO17388" s="198"/>
    </row>
    <row r="17389" spans="35:41" ht="19.5" thickBot="1" x14ac:dyDescent="0.35">
      <c r="AI17389" s="1746" t="s">
        <v>150</v>
      </c>
      <c r="AJ17389" s="1747"/>
      <c r="AK17389" s="1748"/>
      <c r="AL17389" s="198"/>
      <c r="AM17389" s="198"/>
      <c r="AN17389" s="198"/>
      <c r="AO17389" s="198"/>
    </row>
    <row r="17390" spans="35:41" ht="19.5" thickBot="1" x14ac:dyDescent="0.35">
      <c r="AI17390" s="1746" t="s">
        <v>150</v>
      </c>
      <c r="AJ17390" s="1747"/>
      <c r="AK17390" s="1748"/>
      <c r="AL17390" s="198"/>
      <c r="AM17390" s="198"/>
      <c r="AN17390" s="198"/>
      <c r="AO17390" s="198"/>
    </row>
    <row r="17391" spans="35:41" ht="19.5" thickBot="1" x14ac:dyDescent="0.35">
      <c r="AI17391" s="1746" t="s">
        <v>150</v>
      </c>
      <c r="AJ17391" s="1747"/>
      <c r="AK17391" s="1748"/>
      <c r="AL17391" s="198"/>
      <c r="AM17391" s="198"/>
      <c r="AN17391" s="198"/>
      <c r="AO17391" s="198"/>
    </row>
    <row r="17392" spans="35:41" ht="19.5" thickBot="1" x14ac:dyDescent="0.35">
      <c r="AI17392" s="1746" t="s">
        <v>150</v>
      </c>
      <c r="AJ17392" s="1747"/>
      <c r="AK17392" s="1748"/>
      <c r="AL17392" s="198"/>
      <c r="AM17392" s="198"/>
      <c r="AN17392" s="198"/>
      <c r="AO17392" s="198"/>
    </row>
    <row r="17393" spans="35:41" ht="19.5" thickBot="1" x14ac:dyDescent="0.35">
      <c r="AI17393" s="1746" t="s">
        <v>150</v>
      </c>
      <c r="AJ17393" s="1747"/>
      <c r="AK17393" s="1748"/>
      <c r="AL17393" s="198"/>
      <c r="AM17393" s="198"/>
      <c r="AN17393" s="198"/>
      <c r="AO17393" s="198"/>
    </row>
    <row r="17394" spans="35:41" ht="19.5" thickBot="1" x14ac:dyDescent="0.35">
      <c r="AI17394" s="1746" t="s">
        <v>150</v>
      </c>
      <c r="AJ17394" s="1747"/>
      <c r="AK17394" s="1748"/>
      <c r="AL17394" s="198"/>
      <c r="AM17394" s="198"/>
      <c r="AN17394" s="198"/>
      <c r="AO17394" s="198"/>
    </row>
    <row r="17395" spans="35:41" ht="19.5" thickBot="1" x14ac:dyDescent="0.35">
      <c r="AI17395" s="1746" t="s">
        <v>150</v>
      </c>
      <c r="AJ17395" s="1747"/>
      <c r="AK17395" s="1748"/>
      <c r="AL17395" s="198"/>
      <c r="AM17395" s="198"/>
      <c r="AN17395" s="198"/>
      <c r="AO17395" s="198"/>
    </row>
    <row r="17396" spans="35:41" ht="19.5" thickBot="1" x14ac:dyDescent="0.35">
      <c r="AI17396" s="1746" t="s">
        <v>150</v>
      </c>
      <c r="AJ17396" s="1747"/>
      <c r="AK17396" s="1748"/>
      <c r="AL17396" s="198"/>
      <c r="AM17396" s="198"/>
      <c r="AN17396" s="198"/>
      <c r="AO17396" s="198"/>
    </row>
    <row r="17397" spans="35:41" ht="19.5" thickBot="1" x14ac:dyDescent="0.35">
      <c r="AI17397" s="1746" t="s">
        <v>150</v>
      </c>
      <c r="AJ17397" s="1747"/>
      <c r="AK17397" s="1748"/>
      <c r="AL17397" s="198"/>
      <c r="AM17397" s="198"/>
      <c r="AN17397" s="198"/>
      <c r="AO17397" s="198"/>
    </row>
    <row r="17398" spans="35:41" ht="19.5" thickBot="1" x14ac:dyDescent="0.35">
      <c r="AI17398" s="1746" t="s">
        <v>150</v>
      </c>
      <c r="AJ17398" s="1747"/>
      <c r="AK17398" s="1748"/>
      <c r="AL17398" s="198"/>
      <c r="AM17398" s="198"/>
      <c r="AN17398" s="198"/>
      <c r="AO17398" s="198"/>
    </row>
    <row r="17399" spans="35:41" ht="19.5" thickBot="1" x14ac:dyDescent="0.35">
      <c r="AI17399" s="1746" t="s">
        <v>150</v>
      </c>
      <c r="AJ17399" s="1747"/>
      <c r="AK17399" s="1748"/>
      <c r="AL17399" s="198"/>
      <c r="AM17399" s="198"/>
      <c r="AN17399" s="198"/>
      <c r="AO17399" s="198"/>
    </row>
    <row r="17400" spans="35:41" ht="19.5" thickBot="1" x14ac:dyDescent="0.35">
      <c r="AI17400" s="1746" t="s">
        <v>150</v>
      </c>
      <c r="AJ17400" s="1747"/>
      <c r="AK17400" s="1748"/>
      <c r="AL17400" s="198"/>
      <c r="AM17400" s="198"/>
      <c r="AN17400" s="198"/>
      <c r="AO17400" s="198"/>
    </row>
    <row r="17401" spans="35:41" ht="19.5" thickBot="1" x14ac:dyDescent="0.35">
      <c r="AI17401" s="1746" t="s">
        <v>150</v>
      </c>
      <c r="AJ17401" s="1747"/>
      <c r="AK17401" s="1748"/>
      <c r="AL17401" s="198"/>
      <c r="AM17401" s="198"/>
      <c r="AN17401" s="198"/>
      <c r="AO17401" s="198"/>
    </row>
    <row r="17402" spans="35:41" ht="19.5" thickBot="1" x14ac:dyDescent="0.35">
      <c r="AI17402" s="1746" t="s">
        <v>150</v>
      </c>
      <c r="AJ17402" s="1747"/>
      <c r="AK17402" s="1748"/>
      <c r="AL17402" s="198"/>
      <c r="AM17402" s="198"/>
      <c r="AN17402" s="198"/>
      <c r="AO17402" s="198"/>
    </row>
    <row r="17403" spans="35:41" ht="19.5" thickBot="1" x14ac:dyDescent="0.35">
      <c r="AI17403" s="1746" t="s">
        <v>150</v>
      </c>
      <c r="AJ17403" s="1747"/>
      <c r="AK17403" s="1748"/>
      <c r="AL17403" s="198"/>
      <c r="AM17403" s="198"/>
      <c r="AN17403" s="198"/>
      <c r="AO17403" s="198"/>
    </row>
    <row r="17404" spans="35:41" ht="19.5" thickBot="1" x14ac:dyDescent="0.35">
      <c r="AI17404" s="1746" t="s">
        <v>150</v>
      </c>
      <c r="AJ17404" s="1747"/>
      <c r="AK17404" s="1748"/>
      <c r="AL17404" s="198"/>
      <c r="AM17404" s="198"/>
      <c r="AN17404" s="198"/>
      <c r="AO17404" s="198"/>
    </row>
    <row r="17405" spans="35:41" ht="19.5" thickBot="1" x14ac:dyDescent="0.35">
      <c r="AI17405" s="1746" t="s">
        <v>150</v>
      </c>
      <c r="AJ17405" s="1747"/>
      <c r="AK17405" s="1748"/>
      <c r="AL17405" s="198"/>
      <c r="AM17405" s="198"/>
      <c r="AN17405" s="198"/>
      <c r="AO17405" s="198"/>
    </row>
    <row r="17406" spans="35:41" ht="19.5" thickBot="1" x14ac:dyDescent="0.35">
      <c r="AI17406" s="1746" t="s">
        <v>150</v>
      </c>
      <c r="AJ17406" s="1747"/>
      <c r="AK17406" s="1748"/>
      <c r="AL17406" s="198"/>
      <c r="AM17406" s="198"/>
      <c r="AN17406" s="198"/>
      <c r="AO17406" s="198"/>
    </row>
    <row r="17407" spans="35:41" ht="19.5" thickBot="1" x14ac:dyDescent="0.35">
      <c r="AI17407" s="1746" t="s">
        <v>150</v>
      </c>
      <c r="AJ17407" s="1747"/>
      <c r="AK17407" s="1748"/>
      <c r="AL17407" s="198"/>
      <c r="AM17407" s="198"/>
      <c r="AN17407" s="198"/>
      <c r="AO17407" s="198"/>
    </row>
    <row r="17408" spans="35:41" ht="19.5" thickBot="1" x14ac:dyDescent="0.35">
      <c r="AI17408" s="1746" t="s">
        <v>150</v>
      </c>
      <c r="AJ17408" s="1747"/>
      <c r="AK17408" s="1748"/>
      <c r="AL17408" s="198"/>
      <c r="AM17408" s="198"/>
      <c r="AN17408" s="198"/>
      <c r="AO17408" s="198"/>
    </row>
    <row r="17409" spans="35:41" ht="19.5" thickBot="1" x14ac:dyDescent="0.35">
      <c r="AI17409" s="1746" t="s">
        <v>150</v>
      </c>
      <c r="AJ17409" s="1747"/>
      <c r="AK17409" s="1748"/>
      <c r="AL17409" s="198"/>
      <c r="AM17409" s="198"/>
      <c r="AN17409" s="198"/>
      <c r="AO17409" s="198"/>
    </row>
    <row r="17410" spans="35:41" ht="19.5" thickBot="1" x14ac:dyDescent="0.35">
      <c r="AI17410" s="1746" t="s">
        <v>150</v>
      </c>
      <c r="AJ17410" s="1747"/>
      <c r="AK17410" s="1748"/>
      <c r="AL17410" s="198"/>
      <c r="AM17410" s="198"/>
      <c r="AN17410" s="198"/>
      <c r="AO17410" s="198"/>
    </row>
    <row r="17411" spans="35:41" ht="19.5" thickBot="1" x14ac:dyDescent="0.35">
      <c r="AI17411" s="1746" t="s">
        <v>150</v>
      </c>
      <c r="AJ17411" s="1747"/>
      <c r="AK17411" s="1748"/>
      <c r="AL17411" s="198"/>
      <c r="AM17411" s="198"/>
      <c r="AN17411" s="198"/>
      <c r="AO17411" s="198"/>
    </row>
    <row r="17412" spans="35:41" ht="19.5" thickBot="1" x14ac:dyDescent="0.35">
      <c r="AI17412" s="1746" t="s">
        <v>150</v>
      </c>
      <c r="AJ17412" s="1747"/>
      <c r="AK17412" s="1748"/>
      <c r="AL17412" s="198"/>
      <c r="AM17412" s="198"/>
      <c r="AN17412" s="198"/>
      <c r="AO17412" s="198"/>
    </row>
    <row r="17413" spans="35:41" ht="19.5" thickBot="1" x14ac:dyDescent="0.35">
      <c r="AI17413" s="1746" t="s">
        <v>150</v>
      </c>
      <c r="AJ17413" s="1747"/>
      <c r="AK17413" s="1748"/>
      <c r="AL17413" s="198"/>
      <c r="AM17413" s="198"/>
      <c r="AN17413" s="198"/>
      <c r="AO17413" s="198"/>
    </row>
    <row r="17414" spans="35:41" ht="19.5" thickBot="1" x14ac:dyDescent="0.35">
      <c r="AI17414" s="1746" t="s">
        <v>150</v>
      </c>
      <c r="AJ17414" s="1747"/>
      <c r="AK17414" s="1748"/>
      <c r="AL17414" s="198"/>
      <c r="AM17414" s="198"/>
      <c r="AN17414" s="198"/>
      <c r="AO17414" s="198"/>
    </row>
    <row r="17415" spans="35:41" ht="19.5" thickBot="1" x14ac:dyDescent="0.35">
      <c r="AI17415" s="1746" t="s">
        <v>150</v>
      </c>
      <c r="AJ17415" s="1747"/>
      <c r="AK17415" s="1748"/>
      <c r="AL17415" s="198"/>
      <c r="AM17415" s="198"/>
      <c r="AN17415" s="198"/>
      <c r="AO17415" s="198"/>
    </row>
    <row r="17416" spans="35:41" ht="19.5" thickBot="1" x14ac:dyDescent="0.35">
      <c r="AI17416" s="1746" t="s">
        <v>150</v>
      </c>
      <c r="AJ17416" s="1747"/>
      <c r="AK17416" s="1748"/>
      <c r="AL17416" s="198"/>
      <c r="AM17416" s="198"/>
      <c r="AN17416" s="198"/>
      <c r="AO17416" s="198"/>
    </row>
    <row r="17417" spans="35:41" ht="19.5" thickBot="1" x14ac:dyDescent="0.35">
      <c r="AI17417" s="1746" t="s">
        <v>150</v>
      </c>
      <c r="AJ17417" s="1747"/>
      <c r="AK17417" s="1748"/>
      <c r="AL17417" s="198"/>
      <c r="AM17417" s="198"/>
      <c r="AN17417" s="198"/>
      <c r="AO17417" s="198"/>
    </row>
    <row r="17418" spans="35:41" ht="19.5" thickBot="1" x14ac:dyDescent="0.35">
      <c r="AI17418" s="1746" t="s">
        <v>150</v>
      </c>
      <c r="AJ17418" s="1747"/>
      <c r="AK17418" s="1748"/>
      <c r="AL17418" s="198"/>
      <c r="AM17418" s="198"/>
      <c r="AN17418" s="198"/>
      <c r="AO17418" s="198"/>
    </row>
    <row r="17419" spans="35:41" ht="19.5" thickBot="1" x14ac:dyDescent="0.35">
      <c r="AI17419" s="1746" t="s">
        <v>150</v>
      </c>
      <c r="AJ17419" s="1747"/>
      <c r="AK17419" s="1748"/>
      <c r="AL17419" s="198"/>
      <c r="AM17419" s="198"/>
      <c r="AN17419" s="198"/>
      <c r="AO17419" s="198"/>
    </row>
    <row r="17420" spans="35:41" ht="19.5" thickBot="1" x14ac:dyDescent="0.35">
      <c r="AI17420" s="1746" t="s">
        <v>150</v>
      </c>
      <c r="AJ17420" s="1747"/>
      <c r="AK17420" s="1748"/>
      <c r="AL17420" s="198"/>
      <c r="AM17420" s="198"/>
      <c r="AN17420" s="198"/>
      <c r="AO17420" s="198"/>
    </row>
    <row r="17421" spans="35:41" ht="19.5" thickBot="1" x14ac:dyDescent="0.35">
      <c r="AI17421" s="1746" t="s">
        <v>150</v>
      </c>
      <c r="AJ17421" s="1747"/>
      <c r="AK17421" s="1748"/>
      <c r="AL17421" s="198"/>
      <c r="AM17421" s="198"/>
      <c r="AN17421" s="198"/>
      <c r="AO17421" s="198"/>
    </row>
    <row r="17422" spans="35:41" ht="19.5" thickBot="1" x14ac:dyDescent="0.35">
      <c r="AI17422" s="1746" t="s">
        <v>150</v>
      </c>
      <c r="AJ17422" s="1747"/>
      <c r="AK17422" s="1748"/>
      <c r="AL17422" s="198"/>
      <c r="AM17422" s="198"/>
      <c r="AN17422" s="198"/>
      <c r="AO17422" s="198"/>
    </row>
    <row r="17423" spans="35:41" ht="19.5" thickBot="1" x14ac:dyDescent="0.35">
      <c r="AI17423" s="1746" t="s">
        <v>150</v>
      </c>
      <c r="AJ17423" s="1747"/>
      <c r="AK17423" s="1748"/>
      <c r="AL17423" s="198"/>
      <c r="AM17423" s="198"/>
      <c r="AN17423" s="198"/>
      <c r="AO17423" s="198"/>
    </row>
    <row r="17424" spans="35:41" ht="19.5" thickBot="1" x14ac:dyDescent="0.35">
      <c r="AI17424" s="1746" t="s">
        <v>150</v>
      </c>
      <c r="AJ17424" s="1747"/>
      <c r="AK17424" s="1748"/>
      <c r="AL17424" s="198"/>
      <c r="AM17424" s="198"/>
      <c r="AN17424" s="198"/>
      <c r="AO17424" s="198"/>
    </row>
    <row r="17425" spans="35:41" ht="19.5" thickBot="1" x14ac:dyDescent="0.35">
      <c r="AI17425" s="1746" t="s">
        <v>150</v>
      </c>
      <c r="AJ17425" s="1747"/>
      <c r="AK17425" s="1748"/>
      <c r="AL17425" s="198"/>
      <c r="AM17425" s="198"/>
      <c r="AN17425" s="198"/>
      <c r="AO17425" s="198"/>
    </row>
    <row r="17426" spans="35:41" ht="19.5" thickBot="1" x14ac:dyDescent="0.35">
      <c r="AI17426" s="1746" t="s">
        <v>150</v>
      </c>
      <c r="AJ17426" s="1747"/>
      <c r="AK17426" s="1748"/>
      <c r="AL17426" s="198"/>
      <c r="AM17426" s="198"/>
      <c r="AN17426" s="198"/>
      <c r="AO17426" s="198"/>
    </row>
    <row r="17427" spans="35:41" ht="19.5" thickBot="1" x14ac:dyDescent="0.35">
      <c r="AI17427" s="1746" t="s">
        <v>150</v>
      </c>
      <c r="AJ17427" s="1747"/>
      <c r="AK17427" s="1748"/>
      <c r="AL17427" s="198"/>
      <c r="AM17427" s="198"/>
      <c r="AN17427" s="198"/>
      <c r="AO17427" s="198"/>
    </row>
    <row r="17428" spans="35:41" ht="19.5" thickBot="1" x14ac:dyDescent="0.35">
      <c r="AI17428" s="1746" t="s">
        <v>150</v>
      </c>
      <c r="AJ17428" s="1747"/>
      <c r="AK17428" s="1748"/>
      <c r="AL17428" s="198"/>
      <c r="AM17428" s="198"/>
      <c r="AN17428" s="198"/>
      <c r="AO17428" s="198"/>
    </row>
    <row r="17429" spans="35:41" ht="19.5" thickBot="1" x14ac:dyDescent="0.35">
      <c r="AI17429" s="1746" t="s">
        <v>150</v>
      </c>
      <c r="AJ17429" s="1747"/>
      <c r="AK17429" s="1748"/>
      <c r="AL17429" s="198"/>
      <c r="AM17429" s="198"/>
      <c r="AN17429" s="198"/>
      <c r="AO17429" s="198"/>
    </row>
    <row r="17430" spans="35:41" ht="19.5" thickBot="1" x14ac:dyDescent="0.35">
      <c r="AI17430" s="1746" t="s">
        <v>150</v>
      </c>
      <c r="AJ17430" s="1747"/>
      <c r="AK17430" s="1748"/>
      <c r="AL17430" s="198"/>
      <c r="AM17430" s="198"/>
      <c r="AN17430" s="198"/>
      <c r="AO17430" s="198"/>
    </row>
    <row r="17431" spans="35:41" ht="19.5" thickBot="1" x14ac:dyDescent="0.35">
      <c r="AI17431" s="1746" t="s">
        <v>150</v>
      </c>
      <c r="AJ17431" s="1747"/>
      <c r="AK17431" s="1748"/>
      <c r="AL17431" s="198"/>
      <c r="AM17431" s="198"/>
      <c r="AN17431" s="198"/>
      <c r="AO17431" s="198"/>
    </row>
    <row r="17432" spans="35:41" ht="19.5" thickBot="1" x14ac:dyDescent="0.35">
      <c r="AI17432" s="1746" t="s">
        <v>150</v>
      </c>
      <c r="AJ17432" s="1747"/>
      <c r="AK17432" s="1748"/>
      <c r="AL17432" s="198"/>
      <c r="AM17432" s="198"/>
      <c r="AN17432" s="198"/>
      <c r="AO17432" s="198"/>
    </row>
    <row r="17433" spans="35:41" ht="19.5" thickBot="1" x14ac:dyDescent="0.35">
      <c r="AI17433" s="1746" t="s">
        <v>150</v>
      </c>
      <c r="AJ17433" s="1747"/>
      <c r="AK17433" s="1748"/>
      <c r="AL17433" s="198"/>
      <c r="AM17433" s="198"/>
      <c r="AN17433" s="198"/>
      <c r="AO17433" s="198"/>
    </row>
    <row r="17434" spans="35:41" ht="19.5" thickBot="1" x14ac:dyDescent="0.35">
      <c r="AI17434" s="1746" t="s">
        <v>150</v>
      </c>
      <c r="AJ17434" s="1747"/>
      <c r="AK17434" s="1748"/>
      <c r="AL17434" s="198"/>
      <c r="AM17434" s="198"/>
      <c r="AN17434" s="198"/>
      <c r="AO17434" s="198"/>
    </row>
    <row r="17435" spans="35:41" ht="19.5" thickBot="1" x14ac:dyDescent="0.35">
      <c r="AI17435" s="1746" t="s">
        <v>150</v>
      </c>
      <c r="AJ17435" s="1747"/>
      <c r="AK17435" s="1748"/>
      <c r="AL17435" s="198"/>
      <c r="AM17435" s="198"/>
      <c r="AN17435" s="198"/>
      <c r="AO17435" s="198"/>
    </row>
    <row r="17436" spans="35:41" ht="19.5" thickBot="1" x14ac:dyDescent="0.35">
      <c r="AI17436" s="1746" t="s">
        <v>150</v>
      </c>
      <c r="AJ17436" s="1747"/>
      <c r="AK17436" s="1748"/>
      <c r="AL17436" s="198"/>
      <c r="AM17436" s="198"/>
      <c r="AN17436" s="198"/>
      <c r="AO17436" s="198"/>
    </row>
    <row r="17437" spans="35:41" ht="19.5" thickBot="1" x14ac:dyDescent="0.35">
      <c r="AI17437" s="1746" t="s">
        <v>150</v>
      </c>
      <c r="AJ17437" s="1747"/>
      <c r="AK17437" s="1748"/>
      <c r="AL17437" s="198"/>
      <c r="AM17437" s="198"/>
      <c r="AN17437" s="198"/>
      <c r="AO17437" s="198"/>
    </row>
    <row r="17438" spans="35:41" ht="19.5" thickBot="1" x14ac:dyDescent="0.35">
      <c r="AI17438" s="1746" t="s">
        <v>150</v>
      </c>
      <c r="AJ17438" s="1747"/>
      <c r="AK17438" s="1748"/>
      <c r="AL17438" s="198"/>
      <c r="AM17438" s="198"/>
      <c r="AN17438" s="198"/>
      <c r="AO17438" s="198"/>
    </row>
    <row r="17439" spans="35:41" ht="19.5" thickBot="1" x14ac:dyDescent="0.35">
      <c r="AI17439" s="1746" t="s">
        <v>150</v>
      </c>
      <c r="AJ17439" s="1747"/>
      <c r="AK17439" s="1748"/>
      <c r="AL17439" s="198"/>
      <c r="AM17439" s="198"/>
      <c r="AN17439" s="198"/>
      <c r="AO17439" s="198"/>
    </row>
    <row r="17440" spans="35:41" ht="19.5" thickBot="1" x14ac:dyDescent="0.35">
      <c r="AI17440" s="1746" t="s">
        <v>150</v>
      </c>
      <c r="AJ17440" s="1747"/>
      <c r="AK17440" s="1748"/>
      <c r="AL17440" s="198"/>
      <c r="AM17440" s="198"/>
      <c r="AN17440" s="198"/>
      <c r="AO17440" s="198"/>
    </row>
    <row r="17441" spans="35:41" ht="19.5" thickBot="1" x14ac:dyDescent="0.35">
      <c r="AI17441" s="1746" t="s">
        <v>150</v>
      </c>
      <c r="AJ17441" s="1747"/>
      <c r="AK17441" s="1748"/>
      <c r="AL17441" s="198"/>
      <c r="AM17441" s="198"/>
      <c r="AN17441" s="198"/>
      <c r="AO17441" s="198"/>
    </row>
    <row r="17442" spans="35:41" ht="19.5" thickBot="1" x14ac:dyDescent="0.35">
      <c r="AI17442" s="1746" t="s">
        <v>150</v>
      </c>
      <c r="AJ17442" s="1747"/>
      <c r="AK17442" s="1748"/>
      <c r="AL17442" s="198"/>
      <c r="AM17442" s="198"/>
      <c r="AN17442" s="198"/>
      <c r="AO17442" s="198"/>
    </row>
    <row r="17443" spans="35:41" ht="19.5" thickBot="1" x14ac:dyDescent="0.35">
      <c r="AI17443" s="1746" t="s">
        <v>150</v>
      </c>
      <c r="AJ17443" s="1747"/>
      <c r="AK17443" s="1748"/>
      <c r="AL17443" s="198"/>
      <c r="AM17443" s="198"/>
      <c r="AN17443" s="198"/>
      <c r="AO17443" s="198"/>
    </row>
    <row r="17444" spans="35:41" ht="19.5" thickBot="1" x14ac:dyDescent="0.35">
      <c r="AI17444" s="1746" t="s">
        <v>150</v>
      </c>
      <c r="AJ17444" s="1747"/>
      <c r="AK17444" s="1748"/>
      <c r="AL17444" s="198"/>
      <c r="AM17444" s="198"/>
      <c r="AN17444" s="198"/>
      <c r="AO17444" s="198"/>
    </row>
    <row r="17445" spans="35:41" ht="19.5" thickBot="1" x14ac:dyDescent="0.35">
      <c r="AI17445" s="1746" t="s">
        <v>150</v>
      </c>
      <c r="AJ17445" s="1747"/>
      <c r="AK17445" s="1748"/>
      <c r="AL17445" s="198"/>
      <c r="AM17445" s="198"/>
      <c r="AN17445" s="198"/>
      <c r="AO17445" s="198"/>
    </row>
    <row r="17446" spans="35:41" ht="19.5" thickBot="1" x14ac:dyDescent="0.35">
      <c r="AI17446" s="1746" t="s">
        <v>150</v>
      </c>
      <c r="AJ17446" s="1747"/>
      <c r="AK17446" s="1748"/>
      <c r="AL17446" s="198"/>
      <c r="AM17446" s="198"/>
      <c r="AN17446" s="198"/>
      <c r="AO17446" s="198"/>
    </row>
    <row r="17447" spans="35:41" ht="19.5" thickBot="1" x14ac:dyDescent="0.35">
      <c r="AI17447" s="1746" t="s">
        <v>150</v>
      </c>
      <c r="AJ17447" s="1747"/>
      <c r="AK17447" s="1748"/>
      <c r="AL17447" s="198"/>
      <c r="AM17447" s="198"/>
      <c r="AN17447" s="198"/>
      <c r="AO17447" s="198"/>
    </row>
    <row r="17448" spans="35:41" ht="19.5" thickBot="1" x14ac:dyDescent="0.35">
      <c r="AI17448" s="1746" t="s">
        <v>150</v>
      </c>
      <c r="AJ17448" s="1747"/>
      <c r="AK17448" s="1748"/>
      <c r="AL17448" s="198"/>
      <c r="AM17448" s="198"/>
      <c r="AN17448" s="198"/>
      <c r="AO17448" s="198"/>
    </row>
    <row r="17449" spans="35:41" ht="19.5" thickBot="1" x14ac:dyDescent="0.35">
      <c r="AI17449" s="1746" t="s">
        <v>150</v>
      </c>
      <c r="AJ17449" s="1747"/>
      <c r="AK17449" s="1748"/>
      <c r="AL17449" s="198"/>
      <c r="AM17449" s="198"/>
      <c r="AN17449" s="198"/>
      <c r="AO17449" s="198"/>
    </row>
    <row r="17450" spans="35:41" ht="19.5" thickBot="1" x14ac:dyDescent="0.35">
      <c r="AI17450" s="1746" t="s">
        <v>150</v>
      </c>
      <c r="AJ17450" s="1747"/>
      <c r="AK17450" s="1748"/>
      <c r="AL17450" s="198"/>
      <c r="AM17450" s="198"/>
      <c r="AN17450" s="198"/>
      <c r="AO17450" s="198"/>
    </row>
    <row r="17451" spans="35:41" ht="19.5" thickBot="1" x14ac:dyDescent="0.35">
      <c r="AI17451" s="1746" t="s">
        <v>150</v>
      </c>
      <c r="AJ17451" s="1747"/>
      <c r="AK17451" s="1748"/>
      <c r="AL17451" s="198"/>
      <c r="AM17451" s="198"/>
      <c r="AN17451" s="198"/>
      <c r="AO17451" s="198"/>
    </row>
    <row r="17452" spans="35:41" ht="19.5" thickBot="1" x14ac:dyDescent="0.35">
      <c r="AI17452" s="1746" t="s">
        <v>150</v>
      </c>
      <c r="AJ17452" s="1747"/>
      <c r="AK17452" s="1748"/>
      <c r="AL17452" s="198"/>
      <c r="AM17452" s="198"/>
      <c r="AN17452" s="198"/>
      <c r="AO17452" s="198"/>
    </row>
    <row r="17453" spans="35:41" ht="19.5" thickBot="1" x14ac:dyDescent="0.35">
      <c r="AI17453" s="1746" t="s">
        <v>150</v>
      </c>
      <c r="AJ17453" s="1747"/>
      <c r="AK17453" s="1748"/>
      <c r="AL17453" s="198"/>
      <c r="AM17453" s="198"/>
      <c r="AN17453" s="198"/>
      <c r="AO17453" s="198"/>
    </row>
    <row r="17454" spans="35:41" ht="19.5" thickBot="1" x14ac:dyDescent="0.35">
      <c r="AI17454" s="1746" t="s">
        <v>150</v>
      </c>
      <c r="AJ17454" s="1747"/>
      <c r="AK17454" s="1748"/>
      <c r="AL17454" s="198"/>
      <c r="AM17454" s="198"/>
      <c r="AN17454" s="198"/>
      <c r="AO17454" s="198"/>
    </row>
    <row r="17455" spans="35:41" ht="19.5" thickBot="1" x14ac:dyDescent="0.35">
      <c r="AI17455" s="1746" t="s">
        <v>150</v>
      </c>
      <c r="AJ17455" s="1747"/>
      <c r="AK17455" s="1748"/>
      <c r="AL17455" s="198"/>
      <c r="AM17455" s="198"/>
      <c r="AN17455" s="198"/>
      <c r="AO17455" s="198"/>
    </row>
    <row r="17456" spans="35:41" ht="19.5" thickBot="1" x14ac:dyDescent="0.35">
      <c r="AI17456" s="1746" t="s">
        <v>150</v>
      </c>
      <c r="AJ17456" s="1747"/>
      <c r="AK17456" s="1748"/>
      <c r="AL17456" s="198"/>
      <c r="AM17456" s="198"/>
      <c r="AN17456" s="198"/>
      <c r="AO17456" s="198"/>
    </row>
    <row r="17457" spans="35:41" ht="19.5" thickBot="1" x14ac:dyDescent="0.35">
      <c r="AI17457" s="1746" t="s">
        <v>150</v>
      </c>
      <c r="AJ17457" s="1747"/>
      <c r="AK17457" s="1748"/>
      <c r="AL17457" s="198"/>
      <c r="AM17457" s="198"/>
      <c r="AN17457" s="198"/>
      <c r="AO17457" s="198"/>
    </row>
    <row r="17458" spans="35:41" ht="19.5" thickBot="1" x14ac:dyDescent="0.35">
      <c r="AI17458" s="1746" t="s">
        <v>150</v>
      </c>
      <c r="AJ17458" s="1747"/>
      <c r="AK17458" s="1748"/>
      <c r="AL17458" s="198"/>
      <c r="AM17458" s="198"/>
      <c r="AN17458" s="198"/>
      <c r="AO17458" s="198"/>
    </row>
    <row r="17459" spans="35:41" ht="19.5" thickBot="1" x14ac:dyDescent="0.35">
      <c r="AI17459" s="1746" t="s">
        <v>150</v>
      </c>
      <c r="AJ17459" s="1747"/>
      <c r="AK17459" s="1748"/>
      <c r="AL17459" s="198"/>
      <c r="AM17459" s="198"/>
      <c r="AN17459" s="198"/>
      <c r="AO17459" s="198"/>
    </row>
    <row r="17460" spans="35:41" ht="19.5" thickBot="1" x14ac:dyDescent="0.35">
      <c r="AI17460" s="1746" t="s">
        <v>150</v>
      </c>
      <c r="AJ17460" s="1747"/>
      <c r="AK17460" s="1748"/>
      <c r="AL17460" s="198"/>
      <c r="AM17460" s="198"/>
      <c r="AN17460" s="198"/>
      <c r="AO17460" s="198"/>
    </row>
    <row r="17461" spans="35:41" ht="19.5" thickBot="1" x14ac:dyDescent="0.35">
      <c r="AI17461" s="1746" t="s">
        <v>150</v>
      </c>
      <c r="AJ17461" s="1747"/>
      <c r="AK17461" s="1748"/>
      <c r="AL17461" s="198"/>
      <c r="AM17461" s="198"/>
      <c r="AN17461" s="198"/>
      <c r="AO17461" s="198"/>
    </row>
    <row r="17462" spans="35:41" ht="19.5" thickBot="1" x14ac:dyDescent="0.35">
      <c r="AI17462" s="1746" t="s">
        <v>150</v>
      </c>
      <c r="AJ17462" s="1747"/>
      <c r="AK17462" s="1748"/>
      <c r="AL17462" s="198"/>
      <c r="AM17462" s="198"/>
      <c r="AN17462" s="198"/>
      <c r="AO17462" s="198"/>
    </row>
    <row r="17463" spans="35:41" ht="19.5" thickBot="1" x14ac:dyDescent="0.35">
      <c r="AI17463" s="1746" t="s">
        <v>150</v>
      </c>
      <c r="AJ17463" s="1747"/>
      <c r="AK17463" s="1748"/>
      <c r="AL17463" s="198"/>
      <c r="AM17463" s="198"/>
      <c r="AN17463" s="198"/>
      <c r="AO17463" s="198"/>
    </row>
    <row r="17464" spans="35:41" ht="19.5" thickBot="1" x14ac:dyDescent="0.35">
      <c r="AI17464" s="1746" t="s">
        <v>150</v>
      </c>
      <c r="AJ17464" s="1747"/>
      <c r="AK17464" s="1748"/>
      <c r="AL17464" s="198"/>
      <c r="AM17464" s="198"/>
      <c r="AN17464" s="198"/>
      <c r="AO17464" s="198"/>
    </row>
    <row r="17465" spans="35:41" ht="19.5" thickBot="1" x14ac:dyDescent="0.35">
      <c r="AI17465" s="1746" t="s">
        <v>150</v>
      </c>
      <c r="AJ17465" s="1747"/>
      <c r="AK17465" s="1748"/>
      <c r="AL17465" s="198"/>
      <c r="AM17465" s="198"/>
      <c r="AN17465" s="198"/>
      <c r="AO17465" s="198"/>
    </row>
    <row r="17466" spans="35:41" ht="19.5" thickBot="1" x14ac:dyDescent="0.35">
      <c r="AI17466" s="1746" t="s">
        <v>150</v>
      </c>
      <c r="AJ17466" s="1747"/>
      <c r="AK17466" s="1748"/>
      <c r="AL17466" s="198"/>
      <c r="AM17466" s="198"/>
      <c r="AN17466" s="198"/>
      <c r="AO17466" s="198"/>
    </row>
    <row r="17467" spans="35:41" ht="19.5" thickBot="1" x14ac:dyDescent="0.35">
      <c r="AI17467" s="1746" t="s">
        <v>150</v>
      </c>
      <c r="AJ17467" s="1747"/>
      <c r="AK17467" s="1748"/>
      <c r="AL17467" s="198"/>
      <c r="AM17467" s="198"/>
      <c r="AN17467" s="198"/>
      <c r="AO17467" s="198"/>
    </row>
    <row r="17468" spans="35:41" ht="19.5" thickBot="1" x14ac:dyDescent="0.35">
      <c r="AI17468" s="1746" t="s">
        <v>150</v>
      </c>
      <c r="AJ17468" s="1747"/>
      <c r="AK17468" s="1748"/>
      <c r="AL17468" s="198"/>
      <c r="AM17468" s="198"/>
      <c r="AN17468" s="198"/>
      <c r="AO17468" s="198"/>
    </row>
    <row r="17469" spans="35:41" ht="19.5" thickBot="1" x14ac:dyDescent="0.35">
      <c r="AI17469" s="1746" t="s">
        <v>150</v>
      </c>
      <c r="AJ17469" s="1747"/>
      <c r="AK17469" s="1748"/>
      <c r="AL17469" s="198"/>
      <c r="AM17469" s="198"/>
      <c r="AN17469" s="198"/>
      <c r="AO17469" s="198"/>
    </row>
    <row r="17470" spans="35:41" ht="19.5" thickBot="1" x14ac:dyDescent="0.35">
      <c r="AI17470" s="1746" t="s">
        <v>150</v>
      </c>
      <c r="AJ17470" s="1747"/>
      <c r="AK17470" s="1748"/>
      <c r="AL17470" s="198"/>
      <c r="AM17470" s="198"/>
      <c r="AN17470" s="198"/>
      <c r="AO17470" s="198"/>
    </row>
    <row r="17471" spans="35:41" ht="19.5" thickBot="1" x14ac:dyDescent="0.35">
      <c r="AI17471" s="1746" t="s">
        <v>150</v>
      </c>
      <c r="AJ17471" s="1747"/>
      <c r="AK17471" s="1748"/>
      <c r="AL17471" s="198"/>
      <c r="AM17471" s="198"/>
      <c r="AN17471" s="198"/>
      <c r="AO17471" s="198"/>
    </row>
    <row r="17472" spans="35:41" ht="19.5" thickBot="1" x14ac:dyDescent="0.35">
      <c r="AI17472" s="1746" t="s">
        <v>150</v>
      </c>
      <c r="AJ17472" s="1747"/>
      <c r="AK17472" s="1748"/>
      <c r="AL17472" s="198"/>
      <c r="AM17472" s="198"/>
      <c r="AN17472" s="198"/>
      <c r="AO17472" s="198"/>
    </row>
    <row r="17473" spans="35:41" ht="19.5" thickBot="1" x14ac:dyDescent="0.35">
      <c r="AI17473" s="1746" t="s">
        <v>150</v>
      </c>
      <c r="AJ17473" s="1747"/>
      <c r="AK17473" s="1748"/>
      <c r="AL17473" s="198"/>
      <c r="AM17473" s="198"/>
      <c r="AN17473" s="198"/>
      <c r="AO17473" s="198"/>
    </row>
    <row r="17474" spans="35:41" ht="19.5" thickBot="1" x14ac:dyDescent="0.35">
      <c r="AI17474" s="1746" t="s">
        <v>150</v>
      </c>
      <c r="AJ17474" s="1747"/>
      <c r="AK17474" s="1748"/>
      <c r="AL17474" s="198"/>
      <c r="AM17474" s="198"/>
      <c r="AN17474" s="198"/>
      <c r="AO17474" s="198"/>
    </row>
    <row r="17475" spans="35:41" ht="19.5" thickBot="1" x14ac:dyDescent="0.35">
      <c r="AI17475" s="1746" t="s">
        <v>150</v>
      </c>
      <c r="AJ17475" s="1747"/>
      <c r="AK17475" s="1748"/>
      <c r="AL17475" s="198"/>
      <c r="AM17475" s="198"/>
      <c r="AN17475" s="198"/>
      <c r="AO17475" s="198"/>
    </row>
    <row r="17476" spans="35:41" ht="19.5" thickBot="1" x14ac:dyDescent="0.35">
      <c r="AI17476" s="1746" t="s">
        <v>150</v>
      </c>
      <c r="AJ17476" s="1747"/>
      <c r="AK17476" s="1748"/>
      <c r="AL17476" s="198"/>
      <c r="AM17476" s="198"/>
      <c r="AN17476" s="198"/>
      <c r="AO17476" s="198"/>
    </row>
    <row r="17477" spans="35:41" ht="19.5" thickBot="1" x14ac:dyDescent="0.35">
      <c r="AI17477" s="1746" t="s">
        <v>150</v>
      </c>
      <c r="AJ17477" s="1747"/>
      <c r="AK17477" s="1748"/>
      <c r="AL17477" s="198"/>
      <c r="AM17477" s="198"/>
      <c r="AN17477" s="198"/>
      <c r="AO17477" s="198"/>
    </row>
    <row r="17478" spans="35:41" ht="19.5" thickBot="1" x14ac:dyDescent="0.35">
      <c r="AI17478" s="1746" t="s">
        <v>150</v>
      </c>
      <c r="AJ17478" s="1747"/>
      <c r="AK17478" s="1748"/>
      <c r="AL17478" s="198"/>
      <c r="AM17478" s="198"/>
      <c r="AN17478" s="198"/>
      <c r="AO17478" s="198"/>
    </row>
    <row r="17479" spans="35:41" ht="19.5" thickBot="1" x14ac:dyDescent="0.35">
      <c r="AI17479" s="1746" t="s">
        <v>150</v>
      </c>
      <c r="AJ17479" s="1747"/>
      <c r="AK17479" s="1748"/>
      <c r="AL17479" s="198"/>
      <c r="AM17479" s="198"/>
      <c r="AN17479" s="198"/>
      <c r="AO17479" s="198"/>
    </row>
    <row r="17480" spans="35:41" ht="19.5" thickBot="1" x14ac:dyDescent="0.35">
      <c r="AI17480" s="1746" t="s">
        <v>150</v>
      </c>
      <c r="AJ17480" s="1747"/>
      <c r="AK17480" s="1748"/>
      <c r="AL17480" s="198"/>
      <c r="AM17480" s="198"/>
      <c r="AN17480" s="198"/>
      <c r="AO17480" s="198"/>
    </row>
    <row r="17481" spans="35:41" ht="19.5" thickBot="1" x14ac:dyDescent="0.35">
      <c r="AI17481" s="1746" t="s">
        <v>150</v>
      </c>
      <c r="AJ17481" s="1747"/>
      <c r="AK17481" s="1748"/>
      <c r="AL17481" s="198"/>
      <c r="AM17481" s="198"/>
      <c r="AN17481" s="198"/>
      <c r="AO17481" s="198"/>
    </row>
    <row r="17482" spans="35:41" ht="19.5" thickBot="1" x14ac:dyDescent="0.35">
      <c r="AI17482" s="1746" t="s">
        <v>150</v>
      </c>
      <c r="AJ17482" s="1747"/>
      <c r="AK17482" s="1748"/>
      <c r="AL17482" s="198"/>
      <c r="AM17482" s="198"/>
      <c r="AN17482" s="198"/>
      <c r="AO17482" s="198"/>
    </row>
    <row r="17483" spans="35:41" ht="19.5" thickBot="1" x14ac:dyDescent="0.35">
      <c r="AI17483" s="1746" t="s">
        <v>150</v>
      </c>
      <c r="AJ17483" s="1747"/>
      <c r="AK17483" s="1748"/>
      <c r="AL17483" s="198"/>
      <c r="AM17483" s="198"/>
      <c r="AN17483" s="198"/>
      <c r="AO17483" s="198"/>
    </row>
    <row r="17484" spans="35:41" ht="19.5" thickBot="1" x14ac:dyDescent="0.35">
      <c r="AI17484" s="1746" t="s">
        <v>150</v>
      </c>
      <c r="AJ17484" s="1747"/>
      <c r="AK17484" s="1748"/>
      <c r="AL17484" s="198"/>
      <c r="AM17484" s="198"/>
      <c r="AN17484" s="198"/>
      <c r="AO17484" s="198"/>
    </row>
    <row r="17485" spans="35:41" ht="19.5" thickBot="1" x14ac:dyDescent="0.35">
      <c r="AI17485" s="1746" t="s">
        <v>150</v>
      </c>
      <c r="AJ17485" s="1747"/>
      <c r="AK17485" s="1748"/>
      <c r="AL17485" s="198"/>
      <c r="AM17485" s="198"/>
      <c r="AN17485" s="198"/>
      <c r="AO17485" s="198"/>
    </row>
    <row r="17486" spans="35:41" ht="19.5" thickBot="1" x14ac:dyDescent="0.35">
      <c r="AI17486" s="1746" t="s">
        <v>150</v>
      </c>
      <c r="AJ17486" s="1747"/>
      <c r="AK17486" s="1748"/>
      <c r="AL17486" s="198"/>
      <c r="AM17486" s="198"/>
      <c r="AN17486" s="198"/>
      <c r="AO17486" s="198"/>
    </row>
    <row r="17487" spans="35:41" ht="19.5" thickBot="1" x14ac:dyDescent="0.35">
      <c r="AI17487" s="1746" t="s">
        <v>150</v>
      </c>
      <c r="AJ17487" s="1747"/>
      <c r="AK17487" s="1748"/>
      <c r="AL17487" s="198"/>
      <c r="AM17487" s="198"/>
      <c r="AN17487" s="198"/>
      <c r="AO17487" s="198"/>
    </row>
    <row r="17488" spans="35:41" ht="19.5" thickBot="1" x14ac:dyDescent="0.35">
      <c r="AI17488" s="1746" t="s">
        <v>150</v>
      </c>
      <c r="AJ17488" s="1747"/>
      <c r="AK17488" s="1748"/>
      <c r="AL17488" s="198"/>
      <c r="AM17488" s="198"/>
      <c r="AN17488" s="198"/>
      <c r="AO17488" s="198"/>
    </row>
    <row r="17489" spans="35:41" ht="19.5" thickBot="1" x14ac:dyDescent="0.35">
      <c r="AI17489" s="1746" t="s">
        <v>150</v>
      </c>
      <c r="AJ17489" s="1747"/>
      <c r="AK17489" s="1748"/>
      <c r="AL17489" s="198"/>
      <c r="AM17489" s="198"/>
      <c r="AN17489" s="198"/>
      <c r="AO17489" s="198"/>
    </row>
    <row r="17490" spans="35:41" ht="19.5" thickBot="1" x14ac:dyDescent="0.35">
      <c r="AI17490" s="1746" t="s">
        <v>150</v>
      </c>
      <c r="AJ17490" s="1747"/>
      <c r="AK17490" s="1748"/>
      <c r="AL17490" s="198"/>
      <c r="AM17490" s="198"/>
      <c r="AN17490" s="198"/>
      <c r="AO17490" s="198"/>
    </row>
    <row r="17491" spans="35:41" ht="19.5" thickBot="1" x14ac:dyDescent="0.35">
      <c r="AI17491" s="1746" t="s">
        <v>150</v>
      </c>
      <c r="AJ17491" s="1747"/>
      <c r="AK17491" s="1748"/>
      <c r="AL17491" s="198"/>
      <c r="AM17491" s="198"/>
      <c r="AN17491" s="198"/>
      <c r="AO17491" s="198"/>
    </row>
    <row r="17492" spans="35:41" ht="19.5" thickBot="1" x14ac:dyDescent="0.35">
      <c r="AI17492" s="1746" t="s">
        <v>150</v>
      </c>
      <c r="AJ17492" s="1747"/>
      <c r="AK17492" s="1748"/>
      <c r="AL17492" s="198"/>
      <c r="AM17492" s="198"/>
      <c r="AN17492" s="198"/>
      <c r="AO17492" s="198"/>
    </row>
    <row r="17493" spans="35:41" ht="19.5" thickBot="1" x14ac:dyDescent="0.35">
      <c r="AI17493" s="1746" t="s">
        <v>150</v>
      </c>
      <c r="AJ17493" s="1747"/>
      <c r="AK17493" s="1748"/>
      <c r="AL17493" s="198"/>
      <c r="AM17493" s="198"/>
      <c r="AN17493" s="198"/>
      <c r="AO17493" s="198"/>
    </row>
    <row r="17494" spans="35:41" ht="19.5" thickBot="1" x14ac:dyDescent="0.35">
      <c r="AI17494" s="1746" t="s">
        <v>150</v>
      </c>
      <c r="AJ17494" s="1747"/>
      <c r="AK17494" s="1748"/>
      <c r="AL17494" s="198"/>
      <c r="AM17494" s="198"/>
      <c r="AN17494" s="198"/>
      <c r="AO17494" s="198"/>
    </row>
    <row r="17495" spans="35:41" ht="19.5" thickBot="1" x14ac:dyDescent="0.35">
      <c r="AI17495" s="1746" t="s">
        <v>150</v>
      </c>
      <c r="AJ17495" s="1747"/>
      <c r="AK17495" s="1748"/>
      <c r="AL17495" s="198"/>
      <c r="AM17495" s="198"/>
      <c r="AN17495" s="198"/>
      <c r="AO17495" s="198"/>
    </row>
    <row r="17496" spans="35:41" ht="19.5" thickBot="1" x14ac:dyDescent="0.35">
      <c r="AI17496" s="1746" t="s">
        <v>150</v>
      </c>
      <c r="AJ17496" s="1747"/>
      <c r="AK17496" s="1748"/>
      <c r="AL17496" s="198"/>
      <c r="AM17496" s="198"/>
      <c r="AN17496" s="198"/>
      <c r="AO17496" s="198"/>
    </row>
    <row r="17497" spans="35:41" ht="19.5" thickBot="1" x14ac:dyDescent="0.35">
      <c r="AI17497" s="1746" t="s">
        <v>150</v>
      </c>
      <c r="AJ17497" s="1747"/>
      <c r="AK17497" s="1748"/>
      <c r="AL17497" s="198"/>
      <c r="AM17497" s="198"/>
      <c r="AN17497" s="198"/>
      <c r="AO17497" s="198"/>
    </row>
    <row r="17498" spans="35:41" ht="19.5" thickBot="1" x14ac:dyDescent="0.35">
      <c r="AI17498" s="1746" t="s">
        <v>150</v>
      </c>
      <c r="AJ17498" s="1747"/>
      <c r="AK17498" s="1748"/>
      <c r="AL17498" s="198"/>
      <c r="AM17498" s="198"/>
      <c r="AN17498" s="198"/>
      <c r="AO17498" s="198"/>
    </row>
    <row r="17499" spans="35:41" ht="19.5" thickBot="1" x14ac:dyDescent="0.35">
      <c r="AI17499" s="1746" t="s">
        <v>150</v>
      </c>
      <c r="AJ17499" s="1747"/>
      <c r="AK17499" s="1748"/>
      <c r="AL17499" s="198"/>
      <c r="AM17499" s="198"/>
      <c r="AN17499" s="198"/>
      <c r="AO17499" s="198"/>
    </row>
    <row r="17500" spans="35:41" ht="19.5" thickBot="1" x14ac:dyDescent="0.35">
      <c r="AI17500" s="1746" t="s">
        <v>150</v>
      </c>
      <c r="AJ17500" s="1747"/>
      <c r="AK17500" s="1748"/>
      <c r="AL17500" s="198"/>
      <c r="AM17500" s="198"/>
      <c r="AN17500" s="198"/>
      <c r="AO17500" s="198"/>
    </row>
    <row r="17501" spans="35:41" ht="19.5" thickBot="1" x14ac:dyDescent="0.35">
      <c r="AI17501" s="1746" t="s">
        <v>150</v>
      </c>
      <c r="AJ17501" s="1747"/>
      <c r="AK17501" s="1748"/>
      <c r="AL17501" s="198"/>
      <c r="AM17501" s="198"/>
      <c r="AN17501" s="198"/>
      <c r="AO17501" s="198"/>
    </row>
    <row r="17502" spans="35:41" ht="19.5" thickBot="1" x14ac:dyDescent="0.35">
      <c r="AI17502" s="1746" t="s">
        <v>150</v>
      </c>
      <c r="AJ17502" s="1747"/>
      <c r="AK17502" s="1748"/>
      <c r="AL17502" s="198"/>
      <c r="AM17502" s="198"/>
      <c r="AN17502" s="198"/>
      <c r="AO17502" s="198"/>
    </row>
    <row r="17503" spans="35:41" ht="19.5" thickBot="1" x14ac:dyDescent="0.35">
      <c r="AI17503" s="1746" t="s">
        <v>150</v>
      </c>
      <c r="AJ17503" s="1747"/>
      <c r="AK17503" s="1748"/>
      <c r="AL17503" s="198"/>
      <c r="AM17503" s="198"/>
      <c r="AN17503" s="198"/>
      <c r="AO17503" s="198"/>
    </row>
    <row r="17504" spans="35:41" ht="19.5" thickBot="1" x14ac:dyDescent="0.35">
      <c r="AI17504" s="1746" t="s">
        <v>150</v>
      </c>
      <c r="AJ17504" s="1747"/>
      <c r="AK17504" s="1748"/>
      <c r="AL17504" s="198"/>
      <c r="AM17504" s="198"/>
      <c r="AN17504" s="198"/>
      <c r="AO17504" s="198"/>
    </row>
    <row r="17505" spans="35:41" ht="19.5" thickBot="1" x14ac:dyDescent="0.35">
      <c r="AI17505" s="1746" t="s">
        <v>150</v>
      </c>
      <c r="AJ17505" s="1747"/>
      <c r="AK17505" s="1748"/>
      <c r="AL17505" s="198"/>
      <c r="AM17505" s="198"/>
      <c r="AN17505" s="198"/>
      <c r="AO17505" s="198"/>
    </row>
    <row r="17506" spans="35:41" ht="19.5" thickBot="1" x14ac:dyDescent="0.35">
      <c r="AI17506" s="1746" t="s">
        <v>150</v>
      </c>
      <c r="AJ17506" s="1747"/>
      <c r="AK17506" s="1748"/>
      <c r="AL17506" s="198"/>
      <c r="AM17506" s="198"/>
      <c r="AN17506" s="198"/>
      <c r="AO17506" s="198"/>
    </row>
    <row r="17507" spans="35:41" ht="19.5" thickBot="1" x14ac:dyDescent="0.35">
      <c r="AI17507" s="1746" t="s">
        <v>150</v>
      </c>
      <c r="AJ17507" s="1747"/>
      <c r="AK17507" s="1748"/>
      <c r="AL17507" s="198"/>
      <c r="AM17507" s="198"/>
      <c r="AN17507" s="198"/>
      <c r="AO17507" s="198"/>
    </row>
    <row r="17508" spans="35:41" ht="19.5" thickBot="1" x14ac:dyDescent="0.35">
      <c r="AI17508" s="1746" t="s">
        <v>150</v>
      </c>
      <c r="AJ17508" s="1747"/>
      <c r="AK17508" s="1748"/>
      <c r="AL17508" s="198"/>
      <c r="AM17508" s="198"/>
      <c r="AN17508" s="198"/>
      <c r="AO17508" s="198"/>
    </row>
    <row r="17509" spans="35:41" ht="19.5" thickBot="1" x14ac:dyDescent="0.35">
      <c r="AI17509" s="1746" t="s">
        <v>150</v>
      </c>
      <c r="AJ17509" s="1747"/>
      <c r="AK17509" s="1748"/>
      <c r="AL17509" s="198"/>
      <c r="AM17509" s="198"/>
      <c r="AN17509" s="198"/>
      <c r="AO17509" s="198"/>
    </row>
    <row r="17510" spans="35:41" ht="19.5" thickBot="1" x14ac:dyDescent="0.35">
      <c r="AI17510" s="1746" t="s">
        <v>150</v>
      </c>
      <c r="AJ17510" s="1747"/>
      <c r="AK17510" s="1748"/>
      <c r="AL17510" s="198"/>
      <c r="AM17510" s="198"/>
      <c r="AN17510" s="198"/>
      <c r="AO17510" s="198"/>
    </row>
    <row r="17511" spans="35:41" ht="19.5" thickBot="1" x14ac:dyDescent="0.35">
      <c r="AI17511" s="1746" t="s">
        <v>150</v>
      </c>
      <c r="AJ17511" s="1747"/>
      <c r="AK17511" s="1748"/>
      <c r="AL17511" s="198"/>
      <c r="AM17511" s="198"/>
      <c r="AN17511" s="198"/>
      <c r="AO17511" s="198"/>
    </row>
    <row r="17512" spans="35:41" ht="19.5" thickBot="1" x14ac:dyDescent="0.35">
      <c r="AI17512" s="1746" t="s">
        <v>150</v>
      </c>
      <c r="AJ17512" s="1747"/>
      <c r="AK17512" s="1748"/>
      <c r="AL17512" s="198"/>
      <c r="AM17512" s="198"/>
      <c r="AN17512" s="198"/>
      <c r="AO17512" s="198"/>
    </row>
    <row r="17513" spans="35:41" ht="19.5" thickBot="1" x14ac:dyDescent="0.35">
      <c r="AI17513" s="1746" t="s">
        <v>150</v>
      </c>
      <c r="AJ17513" s="1747"/>
      <c r="AK17513" s="1748"/>
      <c r="AL17513" s="198"/>
      <c r="AM17513" s="198"/>
      <c r="AN17513" s="198"/>
      <c r="AO17513" s="198"/>
    </row>
    <row r="17514" spans="35:41" ht="19.5" thickBot="1" x14ac:dyDescent="0.35">
      <c r="AI17514" s="1746" t="s">
        <v>150</v>
      </c>
      <c r="AJ17514" s="1747"/>
      <c r="AK17514" s="1748"/>
      <c r="AL17514" s="198"/>
      <c r="AM17514" s="198"/>
      <c r="AN17514" s="198"/>
      <c r="AO17514" s="198"/>
    </row>
    <row r="17515" spans="35:41" ht="19.5" thickBot="1" x14ac:dyDescent="0.35">
      <c r="AI17515" s="1746" t="s">
        <v>150</v>
      </c>
      <c r="AJ17515" s="1747"/>
      <c r="AK17515" s="1748"/>
      <c r="AL17515" s="198"/>
      <c r="AM17515" s="198"/>
      <c r="AN17515" s="198"/>
      <c r="AO17515" s="198"/>
    </row>
    <row r="17516" spans="35:41" ht="19.5" thickBot="1" x14ac:dyDescent="0.35">
      <c r="AI17516" s="1746" t="s">
        <v>150</v>
      </c>
      <c r="AJ17516" s="1747"/>
      <c r="AK17516" s="1748"/>
      <c r="AL17516" s="198"/>
      <c r="AM17516" s="198"/>
      <c r="AN17516" s="198"/>
      <c r="AO17516" s="198"/>
    </row>
    <row r="17517" spans="35:41" ht="19.5" thickBot="1" x14ac:dyDescent="0.35">
      <c r="AI17517" s="1746" t="s">
        <v>150</v>
      </c>
      <c r="AJ17517" s="1747"/>
      <c r="AK17517" s="1748"/>
      <c r="AL17517" s="198"/>
      <c r="AM17517" s="198"/>
      <c r="AN17517" s="198"/>
      <c r="AO17517" s="198"/>
    </row>
    <row r="17518" spans="35:41" ht="19.5" thickBot="1" x14ac:dyDescent="0.35">
      <c r="AI17518" s="1746" t="s">
        <v>150</v>
      </c>
      <c r="AJ17518" s="1747"/>
      <c r="AK17518" s="1748"/>
      <c r="AL17518" s="198"/>
      <c r="AM17518" s="198"/>
      <c r="AN17518" s="198"/>
      <c r="AO17518" s="198"/>
    </row>
    <row r="17519" spans="35:41" ht="19.5" thickBot="1" x14ac:dyDescent="0.35">
      <c r="AI17519" s="1746" t="s">
        <v>150</v>
      </c>
      <c r="AJ17519" s="1747"/>
      <c r="AK17519" s="1748"/>
      <c r="AL17519" s="198"/>
      <c r="AM17519" s="198"/>
      <c r="AN17519" s="198"/>
      <c r="AO17519" s="198"/>
    </row>
    <row r="17520" spans="35:41" ht="19.5" thickBot="1" x14ac:dyDescent="0.35">
      <c r="AI17520" s="1746" t="s">
        <v>150</v>
      </c>
      <c r="AJ17520" s="1747"/>
      <c r="AK17520" s="1748"/>
      <c r="AL17520" s="198"/>
      <c r="AM17520" s="198"/>
      <c r="AN17520" s="198"/>
      <c r="AO17520" s="198"/>
    </row>
    <row r="17521" spans="35:41" ht="19.5" thickBot="1" x14ac:dyDescent="0.35">
      <c r="AI17521" s="1746" t="s">
        <v>150</v>
      </c>
      <c r="AJ17521" s="1747"/>
      <c r="AK17521" s="1748"/>
      <c r="AL17521" s="198"/>
      <c r="AM17521" s="198"/>
      <c r="AN17521" s="198"/>
      <c r="AO17521" s="198"/>
    </row>
    <row r="17522" spans="35:41" ht="19.5" thickBot="1" x14ac:dyDescent="0.35">
      <c r="AI17522" s="1746" t="s">
        <v>150</v>
      </c>
      <c r="AJ17522" s="1747"/>
      <c r="AK17522" s="1748"/>
      <c r="AL17522" s="198"/>
      <c r="AM17522" s="198"/>
      <c r="AN17522" s="198"/>
      <c r="AO17522" s="198"/>
    </row>
    <row r="17523" spans="35:41" ht="19.5" thickBot="1" x14ac:dyDescent="0.35">
      <c r="AI17523" s="1746" t="s">
        <v>150</v>
      </c>
      <c r="AJ17523" s="1747"/>
      <c r="AK17523" s="1748"/>
      <c r="AL17523" s="198"/>
      <c r="AM17523" s="198"/>
      <c r="AN17523" s="198"/>
      <c r="AO17523" s="198"/>
    </row>
    <row r="17524" spans="35:41" ht="19.5" thickBot="1" x14ac:dyDescent="0.35">
      <c r="AI17524" s="1746" t="s">
        <v>150</v>
      </c>
      <c r="AJ17524" s="1747"/>
      <c r="AK17524" s="1748"/>
      <c r="AL17524" s="198"/>
      <c r="AM17524" s="198"/>
      <c r="AN17524" s="198"/>
      <c r="AO17524" s="198"/>
    </row>
    <row r="17525" spans="35:41" ht="19.5" thickBot="1" x14ac:dyDescent="0.35">
      <c r="AI17525" s="1746" t="s">
        <v>150</v>
      </c>
      <c r="AJ17525" s="1747"/>
      <c r="AK17525" s="1748"/>
      <c r="AL17525" s="198"/>
      <c r="AM17525" s="198"/>
      <c r="AN17525" s="198"/>
      <c r="AO17525" s="198"/>
    </row>
    <row r="17526" spans="35:41" ht="19.5" thickBot="1" x14ac:dyDescent="0.35">
      <c r="AI17526" s="1746" t="s">
        <v>150</v>
      </c>
      <c r="AJ17526" s="1747"/>
      <c r="AK17526" s="1748"/>
      <c r="AL17526" s="198"/>
      <c r="AM17526" s="198"/>
      <c r="AN17526" s="198"/>
      <c r="AO17526" s="198"/>
    </row>
    <row r="17527" spans="35:41" ht="19.5" thickBot="1" x14ac:dyDescent="0.35">
      <c r="AI17527" s="1746" t="s">
        <v>150</v>
      </c>
      <c r="AJ17527" s="1747"/>
      <c r="AK17527" s="1748"/>
      <c r="AL17527" s="198"/>
      <c r="AM17527" s="198"/>
      <c r="AN17527" s="198"/>
      <c r="AO17527" s="198"/>
    </row>
    <row r="17528" spans="35:41" ht="19.5" thickBot="1" x14ac:dyDescent="0.35">
      <c r="AI17528" s="1746" t="s">
        <v>150</v>
      </c>
      <c r="AJ17528" s="1747"/>
      <c r="AK17528" s="1748"/>
      <c r="AL17528" s="198"/>
      <c r="AM17528" s="198"/>
      <c r="AN17528" s="198"/>
      <c r="AO17528" s="198"/>
    </row>
    <row r="17529" spans="35:41" ht="19.5" thickBot="1" x14ac:dyDescent="0.35">
      <c r="AI17529" s="1746" t="s">
        <v>150</v>
      </c>
      <c r="AJ17529" s="1747"/>
      <c r="AK17529" s="1748"/>
      <c r="AL17529" s="198"/>
      <c r="AM17529" s="198"/>
      <c r="AN17529" s="198"/>
      <c r="AO17529" s="198"/>
    </row>
    <row r="17530" spans="35:41" ht="19.5" thickBot="1" x14ac:dyDescent="0.35">
      <c r="AI17530" s="1746" t="s">
        <v>150</v>
      </c>
      <c r="AJ17530" s="1747"/>
      <c r="AK17530" s="1748"/>
      <c r="AL17530" s="198"/>
      <c r="AM17530" s="198"/>
      <c r="AN17530" s="198"/>
      <c r="AO17530" s="198"/>
    </row>
    <row r="17531" spans="35:41" ht="19.5" thickBot="1" x14ac:dyDescent="0.35">
      <c r="AI17531" s="1746" t="s">
        <v>150</v>
      </c>
      <c r="AJ17531" s="1747"/>
      <c r="AK17531" s="1748"/>
      <c r="AL17531" s="198"/>
      <c r="AM17531" s="198"/>
      <c r="AN17531" s="198"/>
      <c r="AO17531" s="198"/>
    </row>
    <row r="17532" spans="35:41" ht="19.5" thickBot="1" x14ac:dyDescent="0.35">
      <c r="AI17532" s="1746" t="s">
        <v>150</v>
      </c>
      <c r="AJ17532" s="1747"/>
      <c r="AK17532" s="1748"/>
      <c r="AL17532" s="198"/>
      <c r="AM17532" s="198"/>
      <c r="AN17532" s="198"/>
      <c r="AO17532" s="198"/>
    </row>
    <row r="17533" spans="35:41" ht="19.5" thickBot="1" x14ac:dyDescent="0.35">
      <c r="AI17533" s="1746" t="s">
        <v>150</v>
      </c>
      <c r="AJ17533" s="1747"/>
      <c r="AK17533" s="1748"/>
      <c r="AL17533" s="198"/>
      <c r="AM17533" s="198"/>
      <c r="AN17533" s="198"/>
      <c r="AO17533" s="198"/>
    </row>
    <row r="17534" spans="35:41" ht="19.5" thickBot="1" x14ac:dyDescent="0.35">
      <c r="AI17534" s="1746" t="s">
        <v>150</v>
      </c>
      <c r="AJ17534" s="1747"/>
      <c r="AK17534" s="1748"/>
      <c r="AL17534" s="198"/>
      <c r="AM17534" s="198"/>
      <c r="AN17534" s="198"/>
      <c r="AO17534" s="198"/>
    </row>
    <row r="17535" spans="35:41" ht="19.5" thickBot="1" x14ac:dyDescent="0.35">
      <c r="AI17535" s="1746" t="s">
        <v>150</v>
      </c>
      <c r="AJ17535" s="1747"/>
      <c r="AK17535" s="1748"/>
      <c r="AL17535" s="198"/>
      <c r="AM17535" s="198"/>
      <c r="AN17535" s="198"/>
      <c r="AO17535" s="198"/>
    </row>
    <row r="17536" spans="35:41" ht="19.5" thickBot="1" x14ac:dyDescent="0.35">
      <c r="AI17536" s="1746" t="s">
        <v>150</v>
      </c>
      <c r="AJ17536" s="1747"/>
      <c r="AK17536" s="1748"/>
      <c r="AL17536" s="198"/>
      <c r="AM17536" s="198"/>
      <c r="AN17536" s="198"/>
      <c r="AO17536" s="198"/>
    </row>
    <row r="17537" spans="35:41" ht="19.5" thickBot="1" x14ac:dyDescent="0.35">
      <c r="AI17537" s="1746" t="s">
        <v>150</v>
      </c>
      <c r="AJ17537" s="1747"/>
      <c r="AK17537" s="1748"/>
      <c r="AL17537" s="198"/>
      <c r="AM17537" s="198"/>
      <c r="AN17537" s="198"/>
      <c r="AO17537" s="198"/>
    </row>
    <row r="17538" spans="35:41" ht="19.5" thickBot="1" x14ac:dyDescent="0.35">
      <c r="AI17538" s="1746" t="s">
        <v>150</v>
      </c>
      <c r="AJ17538" s="1747"/>
      <c r="AK17538" s="1748"/>
      <c r="AL17538" s="198"/>
      <c r="AM17538" s="198"/>
      <c r="AN17538" s="198"/>
      <c r="AO17538" s="198"/>
    </row>
    <row r="17539" spans="35:41" ht="19.5" thickBot="1" x14ac:dyDescent="0.35">
      <c r="AI17539" s="1746" t="s">
        <v>150</v>
      </c>
      <c r="AJ17539" s="1747"/>
      <c r="AK17539" s="1748"/>
      <c r="AL17539" s="198"/>
      <c r="AM17539" s="198"/>
      <c r="AN17539" s="198"/>
      <c r="AO17539" s="198"/>
    </row>
    <row r="17540" spans="35:41" ht="19.5" thickBot="1" x14ac:dyDescent="0.35">
      <c r="AI17540" s="1746" t="s">
        <v>150</v>
      </c>
      <c r="AJ17540" s="1747"/>
      <c r="AK17540" s="1748"/>
      <c r="AL17540" s="198"/>
      <c r="AM17540" s="198"/>
      <c r="AN17540" s="198"/>
      <c r="AO17540" s="198"/>
    </row>
    <row r="17541" spans="35:41" ht="19.5" thickBot="1" x14ac:dyDescent="0.35">
      <c r="AI17541" s="1746" t="s">
        <v>150</v>
      </c>
      <c r="AJ17541" s="1747"/>
      <c r="AK17541" s="1748"/>
      <c r="AL17541" s="198"/>
      <c r="AM17541" s="198"/>
      <c r="AN17541" s="198"/>
      <c r="AO17541" s="198"/>
    </row>
    <row r="17542" spans="35:41" ht="19.5" thickBot="1" x14ac:dyDescent="0.35">
      <c r="AI17542" s="1746" t="s">
        <v>150</v>
      </c>
      <c r="AJ17542" s="1747"/>
      <c r="AK17542" s="1748"/>
      <c r="AL17542" s="198"/>
      <c r="AM17542" s="198"/>
      <c r="AN17542" s="198"/>
      <c r="AO17542" s="198"/>
    </row>
    <row r="17543" spans="35:41" ht="19.5" thickBot="1" x14ac:dyDescent="0.35">
      <c r="AI17543" s="1746" t="s">
        <v>150</v>
      </c>
      <c r="AJ17543" s="1747"/>
      <c r="AK17543" s="1748"/>
      <c r="AL17543" s="198"/>
      <c r="AM17543" s="198"/>
      <c r="AN17543" s="198"/>
      <c r="AO17543" s="198"/>
    </row>
    <row r="17544" spans="35:41" ht="19.5" thickBot="1" x14ac:dyDescent="0.35">
      <c r="AI17544" s="1746" t="s">
        <v>150</v>
      </c>
      <c r="AJ17544" s="1747"/>
      <c r="AK17544" s="1748"/>
      <c r="AL17544" s="198"/>
      <c r="AM17544" s="198"/>
      <c r="AN17544" s="198"/>
      <c r="AO17544" s="198"/>
    </row>
    <row r="17545" spans="35:41" ht="19.5" thickBot="1" x14ac:dyDescent="0.35">
      <c r="AI17545" s="1746" t="s">
        <v>150</v>
      </c>
      <c r="AJ17545" s="1747"/>
      <c r="AK17545" s="1748"/>
      <c r="AL17545" s="198"/>
      <c r="AM17545" s="198"/>
      <c r="AN17545" s="198"/>
      <c r="AO17545" s="198"/>
    </row>
    <row r="17546" spans="35:41" ht="19.5" thickBot="1" x14ac:dyDescent="0.35">
      <c r="AI17546" s="1746" t="s">
        <v>150</v>
      </c>
      <c r="AJ17546" s="1747"/>
      <c r="AK17546" s="1748"/>
      <c r="AL17546" s="198"/>
      <c r="AM17546" s="198"/>
      <c r="AN17546" s="198"/>
      <c r="AO17546" s="198"/>
    </row>
    <row r="17547" spans="35:41" ht="19.5" thickBot="1" x14ac:dyDescent="0.35">
      <c r="AI17547" s="1746" t="s">
        <v>150</v>
      </c>
      <c r="AJ17547" s="1747"/>
      <c r="AK17547" s="1748"/>
      <c r="AL17547" s="198"/>
      <c r="AM17547" s="198"/>
      <c r="AN17547" s="198"/>
      <c r="AO17547" s="198"/>
    </row>
    <row r="17548" spans="35:41" ht="19.5" thickBot="1" x14ac:dyDescent="0.35">
      <c r="AI17548" s="1746" t="s">
        <v>150</v>
      </c>
      <c r="AJ17548" s="1747"/>
      <c r="AK17548" s="1748"/>
      <c r="AL17548" s="198"/>
      <c r="AM17548" s="198"/>
      <c r="AN17548" s="198"/>
      <c r="AO17548" s="198"/>
    </row>
    <row r="17549" spans="35:41" ht="19.5" thickBot="1" x14ac:dyDescent="0.35">
      <c r="AI17549" s="1746" t="s">
        <v>150</v>
      </c>
      <c r="AJ17549" s="1747"/>
      <c r="AK17549" s="1748"/>
      <c r="AL17549" s="198"/>
      <c r="AM17549" s="198"/>
      <c r="AN17549" s="198"/>
      <c r="AO17549" s="198"/>
    </row>
    <row r="17550" spans="35:41" ht="19.5" thickBot="1" x14ac:dyDescent="0.35">
      <c r="AI17550" s="1746" t="s">
        <v>150</v>
      </c>
      <c r="AJ17550" s="1747"/>
      <c r="AK17550" s="1748"/>
      <c r="AL17550" s="198"/>
      <c r="AM17550" s="198"/>
      <c r="AN17550" s="198"/>
      <c r="AO17550" s="198"/>
    </row>
    <row r="17551" spans="35:41" ht="19.5" thickBot="1" x14ac:dyDescent="0.35">
      <c r="AI17551" s="1746" t="s">
        <v>150</v>
      </c>
      <c r="AJ17551" s="1747"/>
      <c r="AK17551" s="1748"/>
      <c r="AL17551" s="198"/>
      <c r="AM17551" s="198"/>
      <c r="AN17551" s="198"/>
      <c r="AO17551" s="198"/>
    </row>
    <row r="17552" spans="35:41" ht="19.5" thickBot="1" x14ac:dyDescent="0.35">
      <c r="AI17552" s="1746" t="s">
        <v>150</v>
      </c>
      <c r="AJ17552" s="1747"/>
      <c r="AK17552" s="1748"/>
      <c r="AL17552" s="198"/>
      <c r="AM17552" s="198"/>
      <c r="AN17552" s="198"/>
      <c r="AO17552" s="198"/>
    </row>
    <row r="17553" spans="35:41" ht="19.5" thickBot="1" x14ac:dyDescent="0.35">
      <c r="AI17553" s="1746" t="s">
        <v>150</v>
      </c>
      <c r="AJ17553" s="1747"/>
      <c r="AK17553" s="1748"/>
      <c r="AL17553" s="198"/>
      <c r="AM17553" s="198"/>
      <c r="AN17553" s="198"/>
      <c r="AO17553" s="198"/>
    </row>
    <row r="17554" spans="35:41" ht="19.5" thickBot="1" x14ac:dyDescent="0.35">
      <c r="AI17554" s="1746" t="s">
        <v>150</v>
      </c>
      <c r="AJ17554" s="1747"/>
      <c r="AK17554" s="1748"/>
      <c r="AL17554" s="198"/>
      <c r="AM17554" s="198"/>
      <c r="AN17554" s="198"/>
      <c r="AO17554" s="198"/>
    </row>
    <row r="17555" spans="35:41" ht="19.5" thickBot="1" x14ac:dyDescent="0.35">
      <c r="AI17555" s="1746" t="s">
        <v>150</v>
      </c>
      <c r="AJ17555" s="1747"/>
      <c r="AK17555" s="1748"/>
      <c r="AL17555" s="198"/>
      <c r="AM17555" s="198"/>
      <c r="AN17555" s="198"/>
      <c r="AO17555" s="198"/>
    </row>
    <row r="17556" spans="35:41" ht="19.5" thickBot="1" x14ac:dyDescent="0.35">
      <c r="AI17556" s="1746" t="s">
        <v>150</v>
      </c>
      <c r="AJ17556" s="1747"/>
      <c r="AK17556" s="1748"/>
      <c r="AL17556" s="198"/>
      <c r="AM17556" s="198"/>
      <c r="AN17556" s="198"/>
      <c r="AO17556" s="198"/>
    </row>
    <row r="17557" spans="35:41" ht="19.5" thickBot="1" x14ac:dyDescent="0.35">
      <c r="AI17557" s="1746" t="s">
        <v>150</v>
      </c>
      <c r="AJ17557" s="1747"/>
      <c r="AK17557" s="1748"/>
      <c r="AL17557" s="198"/>
      <c r="AM17557" s="198"/>
      <c r="AN17557" s="198"/>
      <c r="AO17557" s="198"/>
    </row>
    <row r="17558" spans="35:41" ht="19.5" thickBot="1" x14ac:dyDescent="0.35">
      <c r="AI17558" s="1746" t="s">
        <v>150</v>
      </c>
      <c r="AJ17558" s="1747"/>
      <c r="AK17558" s="1748"/>
      <c r="AL17558" s="198"/>
      <c r="AM17558" s="198"/>
      <c r="AN17558" s="198"/>
      <c r="AO17558" s="198"/>
    </row>
    <row r="17559" spans="35:41" ht="19.5" thickBot="1" x14ac:dyDescent="0.35">
      <c r="AI17559" s="1746" t="s">
        <v>150</v>
      </c>
      <c r="AJ17559" s="1747"/>
      <c r="AK17559" s="1748"/>
      <c r="AL17559" s="198"/>
      <c r="AM17559" s="198"/>
      <c r="AN17559" s="198"/>
      <c r="AO17559" s="198"/>
    </row>
    <row r="17560" spans="35:41" ht="19.5" thickBot="1" x14ac:dyDescent="0.35">
      <c r="AI17560" s="1746" t="s">
        <v>150</v>
      </c>
      <c r="AJ17560" s="1747"/>
      <c r="AK17560" s="1748"/>
      <c r="AL17560" s="198"/>
      <c r="AM17560" s="198"/>
      <c r="AN17560" s="198"/>
      <c r="AO17560" s="198"/>
    </row>
    <row r="17561" spans="35:41" ht="19.5" thickBot="1" x14ac:dyDescent="0.35">
      <c r="AI17561" s="1746" t="s">
        <v>150</v>
      </c>
      <c r="AJ17561" s="1747"/>
      <c r="AK17561" s="1748"/>
      <c r="AL17561" s="198"/>
      <c r="AM17561" s="198"/>
      <c r="AN17561" s="198"/>
      <c r="AO17561" s="198"/>
    </row>
    <row r="17562" spans="35:41" ht="19.5" thickBot="1" x14ac:dyDescent="0.35">
      <c r="AI17562" s="1746" t="s">
        <v>150</v>
      </c>
      <c r="AJ17562" s="1747"/>
      <c r="AK17562" s="1748"/>
      <c r="AL17562" s="198"/>
      <c r="AM17562" s="198"/>
      <c r="AN17562" s="198"/>
      <c r="AO17562" s="198"/>
    </row>
    <row r="17563" spans="35:41" ht="19.5" thickBot="1" x14ac:dyDescent="0.35">
      <c r="AI17563" s="1746" t="s">
        <v>150</v>
      </c>
      <c r="AJ17563" s="1747"/>
      <c r="AK17563" s="1748"/>
      <c r="AL17563" s="198"/>
      <c r="AM17563" s="198"/>
      <c r="AN17563" s="198"/>
      <c r="AO17563" s="198"/>
    </row>
    <row r="17564" spans="35:41" ht="19.5" thickBot="1" x14ac:dyDescent="0.35">
      <c r="AI17564" s="1746" t="s">
        <v>150</v>
      </c>
      <c r="AJ17564" s="1747"/>
      <c r="AK17564" s="1748"/>
      <c r="AL17564" s="198"/>
      <c r="AM17564" s="198"/>
      <c r="AN17564" s="198"/>
      <c r="AO17564" s="198"/>
    </row>
    <row r="17565" spans="35:41" ht="19.5" thickBot="1" x14ac:dyDescent="0.35">
      <c r="AI17565" s="1746" t="s">
        <v>150</v>
      </c>
      <c r="AJ17565" s="1747"/>
      <c r="AK17565" s="1748"/>
      <c r="AL17565" s="198"/>
      <c r="AM17565" s="198"/>
      <c r="AN17565" s="198"/>
      <c r="AO17565" s="198"/>
    </row>
    <row r="17566" spans="35:41" ht="19.5" thickBot="1" x14ac:dyDescent="0.35">
      <c r="AI17566" s="1746" t="s">
        <v>150</v>
      </c>
      <c r="AJ17566" s="1747"/>
      <c r="AK17566" s="1748"/>
      <c r="AL17566" s="198"/>
      <c r="AM17566" s="198"/>
      <c r="AN17566" s="198"/>
      <c r="AO17566" s="198"/>
    </row>
    <row r="17567" spans="35:41" ht="19.5" thickBot="1" x14ac:dyDescent="0.35">
      <c r="AI17567" s="1746" t="s">
        <v>150</v>
      </c>
      <c r="AJ17567" s="1747"/>
      <c r="AK17567" s="1748"/>
      <c r="AL17567" s="198"/>
      <c r="AM17567" s="198"/>
      <c r="AN17567" s="198"/>
      <c r="AO17567" s="198"/>
    </row>
    <row r="17568" spans="35:41" ht="19.5" thickBot="1" x14ac:dyDescent="0.35">
      <c r="AI17568" s="1746" t="s">
        <v>150</v>
      </c>
      <c r="AJ17568" s="1747"/>
      <c r="AK17568" s="1748"/>
      <c r="AL17568" s="198"/>
      <c r="AM17568" s="198"/>
      <c r="AN17568" s="198"/>
      <c r="AO17568" s="198"/>
    </row>
    <row r="17569" spans="35:41" ht="19.5" thickBot="1" x14ac:dyDescent="0.35">
      <c r="AI17569" s="1746" t="s">
        <v>150</v>
      </c>
      <c r="AJ17569" s="1747"/>
      <c r="AK17569" s="1748"/>
      <c r="AL17569" s="198"/>
      <c r="AM17569" s="198"/>
      <c r="AN17569" s="198"/>
      <c r="AO17569" s="198"/>
    </row>
    <row r="17570" spans="35:41" ht="19.5" thickBot="1" x14ac:dyDescent="0.35">
      <c r="AI17570" s="1746" t="s">
        <v>150</v>
      </c>
      <c r="AJ17570" s="1747"/>
      <c r="AK17570" s="1748"/>
      <c r="AL17570" s="198"/>
      <c r="AM17570" s="198"/>
      <c r="AN17570" s="198"/>
      <c r="AO17570" s="198"/>
    </row>
    <row r="17571" spans="35:41" ht="19.5" thickBot="1" x14ac:dyDescent="0.35">
      <c r="AI17571" s="1746" t="s">
        <v>150</v>
      </c>
      <c r="AJ17571" s="1747"/>
      <c r="AK17571" s="1748"/>
      <c r="AL17571" s="198"/>
      <c r="AM17571" s="198"/>
      <c r="AN17571" s="198"/>
      <c r="AO17571" s="198"/>
    </row>
    <row r="17572" spans="35:41" ht="19.5" thickBot="1" x14ac:dyDescent="0.35">
      <c r="AI17572" s="1746" t="s">
        <v>150</v>
      </c>
      <c r="AJ17572" s="1747"/>
      <c r="AK17572" s="1748"/>
      <c r="AL17572" s="198"/>
      <c r="AM17572" s="198"/>
      <c r="AN17572" s="198"/>
      <c r="AO17572" s="198"/>
    </row>
    <row r="17573" spans="35:41" ht="19.5" thickBot="1" x14ac:dyDescent="0.35">
      <c r="AI17573" s="1746" t="s">
        <v>150</v>
      </c>
      <c r="AJ17573" s="1747"/>
      <c r="AK17573" s="1748"/>
      <c r="AL17573" s="198"/>
      <c r="AM17573" s="198"/>
      <c r="AN17573" s="198"/>
      <c r="AO17573" s="198"/>
    </row>
    <row r="17574" spans="35:41" ht="19.5" thickBot="1" x14ac:dyDescent="0.35">
      <c r="AI17574" s="1746" t="s">
        <v>150</v>
      </c>
      <c r="AJ17574" s="1747"/>
      <c r="AK17574" s="1748"/>
      <c r="AL17574" s="198"/>
      <c r="AM17574" s="198"/>
      <c r="AN17574" s="198"/>
      <c r="AO17574" s="198"/>
    </row>
    <row r="17575" spans="35:41" ht="19.5" thickBot="1" x14ac:dyDescent="0.35">
      <c r="AI17575" s="1746" t="s">
        <v>150</v>
      </c>
      <c r="AJ17575" s="1747"/>
      <c r="AK17575" s="1748"/>
      <c r="AL17575" s="198"/>
      <c r="AM17575" s="198"/>
      <c r="AN17575" s="198"/>
      <c r="AO17575" s="198"/>
    </row>
    <row r="17576" spans="35:41" ht="19.5" thickBot="1" x14ac:dyDescent="0.35">
      <c r="AI17576" s="1746" t="s">
        <v>150</v>
      </c>
      <c r="AJ17576" s="1747"/>
      <c r="AK17576" s="1748"/>
      <c r="AL17576" s="198"/>
      <c r="AM17576" s="198"/>
      <c r="AN17576" s="198"/>
      <c r="AO17576" s="198"/>
    </row>
    <row r="17577" spans="35:41" ht="19.5" thickBot="1" x14ac:dyDescent="0.35">
      <c r="AI17577" s="1746" t="s">
        <v>150</v>
      </c>
      <c r="AJ17577" s="1747"/>
      <c r="AK17577" s="1748"/>
      <c r="AL17577" s="198"/>
      <c r="AM17577" s="198"/>
      <c r="AN17577" s="198"/>
      <c r="AO17577" s="198"/>
    </row>
    <row r="17578" spans="35:41" ht="19.5" thickBot="1" x14ac:dyDescent="0.35">
      <c r="AI17578" s="1746" t="s">
        <v>150</v>
      </c>
      <c r="AJ17578" s="1747"/>
      <c r="AK17578" s="1748"/>
      <c r="AL17578" s="198"/>
      <c r="AM17578" s="198"/>
      <c r="AN17578" s="198"/>
      <c r="AO17578" s="198"/>
    </row>
    <row r="17579" spans="35:41" ht="19.5" thickBot="1" x14ac:dyDescent="0.35">
      <c r="AI17579" s="1746" t="s">
        <v>150</v>
      </c>
      <c r="AJ17579" s="1747"/>
      <c r="AK17579" s="1748"/>
      <c r="AL17579" s="198"/>
      <c r="AM17579" s="198"/>
      <c r="AN17579" s="198"/>
      <c r="AO17579" s="198"/>
    </row>
    <row r="17580" spans="35:41" ht="19.5" thickBot="1" x14ac:dyDescent="0.35">
      <c r="AI17580" s="1746" t="s">
        <v>150</v>
      </c>
      <c r="AJ17580" s="1747"/>
      <c r="AK17580" s="1748"/>
      <c r="AL17580" s="198"/>
      <c r="AM17580" s="198"/>
      <c r="AN17580" s="198"/>
      <c r="AO17580" s="198"/>
    </row>
    <row r="17581" spans="35:41" ht="19.5" thickBot="1" x14ac:dyDescent="0.35">
      <c r="AI17581" s="1746" t="s">
        <v>150</v>
      </c>
      <c r="AJ17581" s="1747"/>
      <c r="AK17581" s="1748"/>
      <c r="AL17581" s="198"/>
      <c r="AM17581" s="198"/>
      <c r="AN17581" s="198"/>
      <c r="AO17581" s="198"/>
    </row>
    <row r="17582" spans="35:41" ht="19.5" thickBot="1" x14ac:dyDescent="0.35">
      <c r="AI17582" s="1746" t="s">
        <v>150</v>
      </c>
      <c r="AJ17582" s="1747"/>
      <c r="AK17582" s="1748"/>
      <c r="AL17582" s="198"/>
      <c r="AM17582" s="198"/>
      <c r="AN17582" s="198"/>
      <c r="AO17582" s="198"/>
    </row>
    <row r="17583" spans="35:41" ht="19.5" thickBot="1" x14ac:dyDescent="0.35">
      <c r="AI17583" s="1746" t="s">
        <v>150</v>
      </c>
      <c r="AJ17583" s="1747"/>
      <c r="AK17583" s="1748"/>
      <c r="AL17583" s="198"/>
      <c r="AM17583" s="198"/>
      <c r="AN17583" s="198"/>
      <c r="AO17583" s="198"/>
    </row>
    <row r="17584" spans="35:41" ht="19.5" thickBot="1" x14ac:dyDescent="0.35">
      <c r="AI17584" s="1746" t="s">
        <v>150</v>
      </c>
      <c r="AJ17584" s="1747"/>
      <c r="AK17584" s="1748"/>
      <c r="AL17584" s="198"/>
      <c r="AM17584" s="198"/>
      <c r="AN17584" s="198"/>
      <c r="AO17584" s="198"/>
    </row>
    <row r="17585" spans="35:41" ht="19.5" thickBot="1" x14ac:dyDescent="0.35">
      <c r="AI17585" s="1746" t="s">
        <v>150</v>
      </c>
      <c r="AJ17585" s="1747"/>
      <c r="AK17585" s="1748"/>
      <c r="AL17585" s="198"/>
      <c r="AM17585" s="198"/>
      <c r="AN17585" s="198"/>
      <c r="AO17585" s="198"/>
    </row>
    <row r="17586" spans="35:41" ht="19.5" thickBot="1" x14ac:dyDescent="0.35">
      <c r="AI17586" s="1746" t="s">
        <v>150</v>
      </c>
      <c r="AJ17586" s="1747"/>
      <c r="AK17586" s="1748"/>
      <c r="AL17586" s="198"/>
      <c r="AM17586" s="198"/>
      <c r="AN17586" s="198"/>
      <c r="AO17586" s="198"/>
    </row>
    <row r="17587" spans="35:41" ht="19.5" thickBot="1" x14ac:dyDescent="0.35">
      <c r="AI17587" s="1746" t="s">
        <v>150</v>
      </c>
      <c r="AJ17587" s="1747"/>
      <c r="AK17587" s="1748"/>
      <c r="AL17587" s="198"/>
      <c r="AM17587" s="198"/>
      <c r="AN17587" s="198"/>
      <c r="AO17587" s="198"/>
    </row>
    <row r="17588" spans="35:41" ht="19.5" thickBot="1" x14ac:dyDescent="0.35">
      <c r="AI17588" s="1746" t="s">
        <v>150</v>
      </c>
      <c r="AJ17588" s="1747"/>
      <c r="AK17588" s="1748"/>
      <c r="AL17588" s="198"/>
      <c r="AM17588" s="198"/>
      <c r="AN17588" s="198"/>
      <c r="AO17588" s="198"/>
    </row>
    <row r="17589" spans="35:41" ht="19.5" thickBot="1" x14ac:dyDescent="0.35">
      <c r="AI17589" s="1746" t="s">
        <v>150</v>
      </c>
      <c r="AJ17589" s="1747"/>
      <c r="AK17589" s="1748"/>
      <c r="AL17589" s="198"/>
      <c r="AM17589" s="198"/>
      <c r="AN17589" s="198"/>
      <c r="AO17589" s="198"/>
    </row>
    <row r="17590" spans="35:41" ht="19.5" thickBot="1" x14ac:dyDescent="0.35">
      <c r="AI17590" s="1746" t="s">
        <v>150</v>
      </c>
      <c r="AJ17590" s="1747"/>
      <c r="AK17590" s="1748"/>
      <c r="AL17590" s="198"/>
      <c r="AM17590" s="198"/>
      <c r="AN17590" s="198"/>
      <c r="AO17590" s="198"/>
    </row>
    <row r="17591" spans="35:41" ht="19.5" thickBot="1" x14ac:dyDescent="0.35">
      <c r="AI17591" s="1746" t="s">
        <v>150</v>
      </c>
      <c r="AJ17591" s="1747"/>
      <c r="AK17591" s="1748"/>
      <c r="AL17591" s="198"/>
      <c r="AM17591" s="198"/>
      <c r="AN17591" s="198"/>
      <c r="AO17591" s="198"/>
    </row>
    <row r="17592" spans="35:41" ht="19.5" thickBot="1" x14ac:dyDescent="0.35">
      <c r="AI17592" s="1746" t="s">
        <v>150</v>
      </c>
      <c r="AJ17592" s="1747"/>
      <c r="AK17592" s="1748"/>
      <c r="AL17592" s="198"/>
      <c r="AM17592" s="198"/>
      <c r="AN17592" s="198"/>
      <c r="AO17592" s="198"/>
    </row>
    <row r="17593" spans="35:41" ht="19.5" thickBot="1" x14ac:dyDescent="0.35">
      <c r="AI17593" s="1746" t="s">
        <v>150</v>
      </c>
      <c r="AJ17593" s="1747"/>
      <c r="AK17593" s="1748"/>
      <c r="AL17593" s="198"/>
      <c r="AM17593" s="198"/>
      <c r="AN17593" s="198"/>
      <c r="AO17593" s="198"/>
    </row>
    <row r="17594" spans="35:41" ht="19.5" thickBot="1" x14ac:dyDescent="0.35">
      <c r="AI17594" s="1746" t="s">
        <v>150</v>
      </c>
      <c r="AJ17594" s="1747"/>
      <c r="AK17594" s="1748"/>
      <c r="AL17594" s="198"/>
      <c r="AM17594" s="198"/>
      <c r="AN17594" s="198"/>
      <c r="AO17594" s="198"/>
    </row>
    <row r="17595" spans="35:41" ht="19.5" thickBot="1" x14ac:dyDescent="0.35">
      <c r="AI17595" s="1746" t="s">
        <v>150</v>
      </c>
      <c r="AJ17595" s="1747"/>
      <c r="AK17595" s="1748"/>
      <c r="AL17595" s="198"/>
      <c r="AM17595" s="198"/>
      <c r="AN17595" s="198"/>
      <c r="AO17595" s="198"/>
    </row>
    <row r="17596" spans="35:41" ht="19.5" thickBot="1" x14ac:dyDescent="0.35">
      <c r="AI17596" s="1746" t="s">
        <v>150</v>
      </c>
      <c r="AJ17596" s="1747"/>
      <c r="AK17596" s="1748"/>
      <c r="AL17596" s="198"/>
      <c r="AM17596" s="198"/>
      <c r="AN17596" s="198"/>
      <c r="AO17596" s="198"/>
    </row>
    <row r="17597" spans="35:41" ht="19.5" thickBot="1" x14ac:dyDescent="0.35">
      <c r="AI17597" s="1746" t="s">
        <v>150</v>
      </c>
      <c r="AJ17597" s="1747"/>
      <c r="AK17597" s="1748"/>
      <c r="AL17597" s="198"/>
      <c r="AM17597" s="198"/>
      <c r="AN17597" s="198"/>
      <c r="AO17597" s="198"/>
    </row>
    <row r="17598" spans="35:41" ht="19.5" thickBot="1" x14ac:dyDescent="0.35">
      <c r="AI17598" s="1746" t="s">
        <v>150</v>
      </c>
      <c r="AJ17598" s="1747"/>
      <c r="AK17598" s="1748"/>
      <c r="AL17598" s="198"/>
      <c r="AM17598" s="198"/>
      <c r="AN17598" s="198"/>
      <c r="AO17598" s="198"/>
    </row>
    <row r="17599" spans="35:41" ht="19.5" thickBot="1" x14ac:dyDescent="0.35">
      <c r="AI17599" s="1746" t="s">
        <v>150</v>
      </c>
      <c r="AJ17599" s="1747"/>
      <c r="AK17599" s="1748"/>
      <c r="AL17599" s="198"/>
      <c r="AM17599" s="198"/>
      <c r="AN17599" s="198"/>
      <c r="AO17599" s="198"/>
    </row>
    <row r="17600" spans="35:41" ht="19.5" thickBot="1" x14ac:dyDescent="0.35">
      <c r="AI17600" s="1746" t="s">
        <v>150</v>
      </c>
      <c r="AJ17600" s="1747"/>
      <c r="AK17600" s="1748"/>
      <c r="AL17600" s="198"/>
      <c r="AM17600" s="198"/>
      <c r="AN17600" s="198"/>
      <c r="AO17600" s="198"/>
    </row>
    <row r="17601" spans="35:41" ht="19.5" thickBot="1" x14ac:dyDescent="0.35">
      <c r="AI17601" s="1746" t="s">
        <v>150</v>
      </c>
      <c r="AJ17601" s="1747"/>
      <c r="AK17601" s="1748"/>
      <c r="AL17601" s="198"/>
      <c r="AM17601" s="198"/>
      <c r="AN17601" s="198"/>
      <c r="AO17601" s="198"/>
    </row>
    <row r="17602" spans="35:41" ht="19.5" thickBot="1" x14ac:dyDescent="0.35">
      <c r="AI17602" s="1746" t="s">
        <v>150</v>
      </c>
      <c r="AJ17602" s="1747"/>
      <c r="AK17602" s="1748"/>
      <c r="AL17602" s="198"/>
      <c r="AM17602" s="198"/>
      <c r="AN17602" s="198"/>
      <c r="AO17602" s="198"/>
    </row>
    <row r="17603" spans="35:41" ht="19.5" thickBot="1" x14ac:dyDescent="0.35">
      <c r="AI17603" s="1746" t="s">
        <v>150</v>
      </c>
      <c r="AJ17603" s="1747"/>
      <c r="AK17603" s="1748"/>
      <c r="AL17603" s="198"/>
      <c r="AM17603" s="198"/>
      <c r="AN17603" s="198"/>
      <c r="AO17603" s="198"/>
    </row>
    <row r="17604" spans="35:41" ht="19.5" thickBot="1" x14ac:dyDescent="0.35">
      <c r="AI17604" s="1746" t="s">
        <v>150</v>
      </c>
      <c r="AJ17604" s="1747"/>
      <c r="AK17604" s="1748"/>
      <c r="AL17604" s="198"/>
      <c r="AM17604" s="198"/>
      <c r="AN17604" s="198"/>
      <c r="AO17604" s="198"/>
    </row>
    <row r="17605" spans="35:41" ht="19.5" thickBot="1" x14ac:dyDescent="0.35">
      <c r="AI17605" s="1746" t="s">
        <v>150</v>
      </c>
      <c r="AJ17605" s="1747"/>
      <c r="AK17605" s="1748"/>
      <c r="AL17605" s="198"/>
      <c r="AM17605" s="198"/>
      <c r="AN17605" s="198"/>
      <c r="AO17605" s="198"/>
    </row>
    <row r="17606" spans="35:41" ht="19.5" thickBot="1" x14ac:dyDescent="0.35">
      <c r="AI17606" s="1746" t="s">
        <v>150</v>
      </c>
      <c r="AJ17606" s="1747"/>
      <c r="AK17606" s="1748"/>
      <c r="AL17606" s="198"/>
      <c r="AM17606" s="198"/>
      <c r="AN17606" s="198"/>
      <c r="AO17606" s="198"/>
    </row>
    <row r="17607" spans="35:41" ht="19.5" thickBot="1" x14ac:dyDescent="0.35">
      <c r="AI17607" s="1746" t="s">
        <v>150</v>
      </c>
      <c r="AJ17607" s="1747"/>
      <c r="AK17607" s="1748"/>
      <c r="AL17607" s="198"/>
      <c r="AM17607" s="198"/>
      <c r="AN17607" s="198"/>
      <c r="AO17607" s="198"/>
    </row>
    <row r="17608" spans="35:41" ht="19.5" thickBot="1" x14ac:dyDescent="0.35">
      <c r="AI17608" s="1746" t="s">
        <v>150</v>
      </c>
      <c r="AJ17608" s="1747"/>
      <c r="AK17608" s="1748"/>
      <c r="AL17608" s="198"/>
      <c r="AM17608" s="198"/>
      <c r="AN17608" s="198"/>
      <c r="AO17608" s="198"/>
    </row>
    <row r="17609" spans="35:41" ht="19.5" thickBot="1" x14ac:dyDescent="0.35">
      <c r="AI17609" s="1746" t="s">
        <v>150</v>
      </c>
      <c r="AJ17609" s="1747"/>
      <c r="AK17609" s="1748"/>
      <c r="AL17609" s="198"/>
      <c r="AM17609" s="198"/>
      <c r="AN17609" s="198"/>
      <c r="AO17609" s="198"/>
    </row>
    <row r="17610" spans="35:41" ht="19.5" thickBot="1" x14ac:dyDescent="0.35">
      <c r="AI17610" s="1746" t="s">
        <v>150</v>
      </c>
      <c r="AJ17610" s="1747"/>
      <c r="AK17610" s="1748"/>
      <c r="AL17610" s="198"/>
      <c r="AM17610" s="198"/>
      <c r="AN17610" s="198"/>
      <c r="AO17610" s="198"/>
    </row>
    <row r="17611" spans="35:41" ht="19.5" thickBot="1" x14ac:dyDescent="0.35">
      <c r="AI17611" s="1746" t="s">
        <v>150</v>
      </c>
      <c r="AJ17611" s="1747"/>
      <c r="AK17611" s="1748"/>
      <c r="AL17611" s="198"/>
      <c r="AM17611" s="198"/>
      <c r="AN17611" s="198"/>
      <c r="AO17611" s="198"/>
    </row>
    <row r="17612" spans="35:41" ht="19.5" thickBot="1" x14ac:dyDescent="0.35">
      <c r="AI17612" s="1746" t="s">
        <v>150</v>
      </c>
      <c r="AJ17612" s="1747"/>
      <c r="AK17612" s="1748"/>
      <c r="AL17612" s="198"/>
      <c r="AM17612" s="198"/>
      <c r="AN17612" s="198"/>
      <c r="AO17612" s="198"/>
    </row>
    <row r="17613" spans="35:41" ht="19.5" thickBot="1" x14ac:dyDescent="0.35">
      <c r="AI17613" s="1746" t="s">
        <v>150</v>
      </c>
      <c r="AJ17613" s="1747"/>
      <c r="AK17613" s="1748"/>
      <c r="AL17613" s="198"/>
      <c r="AM17613" s="198"/>
      <c r="AN17613" s="198"/>
      <c r="AO17613" s="198"/>
    </row>
    <row r="17614" spans="35:41" ht="19.5" thickBot="1" x14ac:dyDescent="0.35">
      <c r="AI17614" s="1746" t="s">
        <v>150</v>
      </c>
      <c r="AJ17614" s="1747"/>
      <c r="AK17614" s="1748"/>
      <c r="AL17614" s="198"/>
      <c r="AM17614" s="198"/>
      <c r="AN17614" s="198"/>
      <c r="AO17614" s="198"/>
    </row>
    <row r="17615" spans="35:41" ht="19.5" thickBot="1" x14ac:dyDescent="0.35">
      <c r="AI17615" s="1746" t="s">
        <v>150</v>
      </c>
      <c r="AJ17615" s="1747"/>
      <c r="AK17615" s="1748"/>
      <c r="AL17615" s="198"/>
      <c r="AM17615" s="198"/>
      <c r="AN17615" s="198"/>
      <c r="AO17615" s="198"/>
    </row>
    <row r="17616" spans="35:41" ht="19.5" thickBot="1" x14ac:dyDescent="0.35">
      <c r="AI17616" s="1746" t="s">
        <v>150</v>
      </c>
      <c r="AJ17616" s="1747"/>
      <c r="AK17616" s="1748"/>
      <c r="AL17616" s="198"/>
      <c r="AM17616" s="198"/>
      <c r="AN17616" s="198"/>
      <c r="AO17616" s="198"/>
    </row>
    <row r="17617" spans="35:41" ht="19.5" thickBot="1" x14ac:dyDescent="0.35">
      <c r="AI17617" s="1746" t="s">
        <v>150</v>
      </c>
      <c r="AJ17617" s="1747"/>
      <c r="AK17617" s="1748"/>
      <c r="AL17617" s="198"/>
      <c r="AM17617" s="198"/>
      <c r="AN17617" s="198"/>
      <c r="AO17617" s="198"/>
    </row>
    <row r="17618" spans="35:41" ht="19.5" thickBot="1" x14ac:dyDescent="0.35">
      <c r="AI17618" s="1746" t="s">
        <v>150</v>
      </c>
      <c r="AJ17618" s="1747"/>
      <c r="AK17618" s="1748"/>
      <c r="AL17618" s="198"/>
      <c r="AM17618" s="198"/>
      <c r="AN17618" s="198"/>
      <c r="AO17618" s="198"/>
    </row>
    <row r="17619" spans="35:41" ht="19.5" thickBot="1" x14ac:dyDescent="0.35">
      <c r="AI17619" s="1746" t="s">
        <v>150</v>
      </c>
      <c r="AJ17619" s="1747"/>
      <c r="AK17619" s="1748"/>
      <c r="AL17619" s="198"/>
      <c r="AM17619" s="198"/>
      <c r="AN17619" s="198"/>
      <c r="AO17619" s="198"/>
    </row>
    <row r="17620" spans="35:41" ht="19.5" thickBot="1" x14ac:dyDescent="0.35">
      <c r="AI17620" s="1746" t="s">
        <v>150</v>
      </c>
      <c r="AJ17620" s="1747"/>
      <c r="AK17620" s="1748"/>
      <c r="AL17620" s="198"/>
      <c r="AM17620" s="198"/>
      <c r="AN17620" s="198"/>
      <c r="AO17620" s="198"/>
    </row>
    <row r="17621" spans="35:41" ht="19.5" thickBot="1" x14ac:dyDescent="0.35">
      <c r="AI17621" s="1746" t="s">
        <v>150</v>
      </c>
      <c r="AJ17621" s="1747"/>
      <c r="AK17621" s="1748"/>
      <c r="AL17621" s="198"/>
      <c r="AM17621" s="198"/>
      <c r="AN17621" s="198"/>
      <c r="AO17621" s="198"/>
    </row>
    <row r="17622" spans="35:41" ht="19.5" thickBot="1" x14ac:dyDescent="0.35">
      <c r="AI17622" s="1746" t="s">
        <v>150</v>
      </c>
      <c r="AJ17622" s="1747"/>
      <c r="AK17622" s="1748"/>
      <c r="AL17622" s="198"/>
      <c r="AM17622" s="198"/>
      <c r="AN17622" s="198"/>
      <c r="AO17622" s="198"/>
    </row>
    <row r="17623" spans="35:41" ht="19.5" thickBot="1" x14ac:dyDescent="0.35">
      <c r="AI17623" s="1746" t="s">
        <v>150</v>
      </c>
      <c r="AJ17623" s="1747"/>
      <c r="AK17623" s="1748"/>
      <c r="AL17623" s="198"/>
      <c r="AM17623" s="198"/>
      <c r="AN17623" s="198"/>
      <c r="AO17623" s="198"/>
    </row>
    <row r="17624" spans="35:41" ht="19.5" thickBot="1" x14ac:dyDescent="0.35">
      <c r="AI17624" s="1746" t="s">
        <v>150</v>
      </c>
      <c r="AJ17624" s="1747"/>
      <c r="AK17624" s="1748"/>
      <c r="AL17624" s="198"/>
      <c r="AM17624" s="198"/>
      <c r="AN17624" s="198"/>
      <c r="AO17624" s="198"/>
    </row>
    <row r="17625" spans="35:41" ht="19.5" thickBot="1" x14ac:dyDescent="0.35">
      <c r="AI17625" s="1746" t="s">
        <v>150</v>
      </c>
      <c r="AJ17625" s="1747"/>
      <c r="AK17625" s="1748"/>
      <c r="AL17625" s="198"/>
      <c r="AM17625" s="198"/>
      <c r="AN17625" s="198"/>
      <c r="AO17625" s="198"/>
    </row>
    <row r="17626" spans="35:41" ht="19.5" thickBot="1" x14ac:dyDescent="0.35">
      <c r="AI17626" s="1746" t="s">
        <v>150</v>
      </c>
      <c r="AJ17626" s="1747"/>
      <c r="AK17626" s="1748"/>
      <c r="AL17626" s="198"/>
      <c r="AM17626" s="198"/>
      <c r="AN17626" s="198"/>
      <c r="AO17626" s="198"/>
    </row>
    <row r="17627" spans="35:41" ht="19.5" thickBot="1" x14ac:dyDescent="0.35">
      <c r="AI17627" s="1746" t="s">
        <v>150</v>
      </c>
      <c r="AJ17627" s="1747"/>
      <c r="AK17627" s="1748"/>
      <c r="AL17627" s="198"/>
      <c r="AM17627" s="198"/>
      <c r="AN17627" s="198"/>
      <c r="AO17627" s="198"/>
    </row>
    <row r="17628" spans="35:41" ht="19.5" thickBot="1" x14ac:dyDescent="0.35">
      <c r="AI17628" s="1746" t="s">
        <v>150</v>
      </c>
      <c r="AJ17628" s="1747"/>
      <c r="AK17628" s="1748"/>
      <c r="AL17628" s="198"/>
      <c r="AM17628" s="198"/>
      <c r="AN17628" s="198"/>
      <c r="AO17628" s="198"/>
    </row>
    <row r="17629" spans="35:41" ht="19.5" thickBot="1" x14ac:dyDescent="0.35">
      <c r="AI17629" s="1746" t="s">
        <v>150</v>
      </c>
      <c r="AJ17629" s="1747"/>
      <c r="AK17629" s="1748"/>
      <c r="AL17629" s="198"/>
      <c r="AM17629" s="198"/>
      <c r="AN17629" s="198"/>
      <c r="AO17629" s="198"/>
    </row>
    <row r="17630" spans="35:41" ht="19.5" thickBot="1" x14ac:dyDescent="0.35">
      <c r="AI17630" s="1746" t="s">
        <v>150</v>
      </c>
      <c r="AJ17630" s="1747"/>
      <c r="AK17630" s="1748"/>
      <c r="AL17630" s="198"/>
      <c r="AM17630" s="198"/>
      <c r="AN17630" s="198"/>
      <c r="AO17630" s="198"/>
    </row>
    <row r="17631" spans="35:41" ht="19.5" thickBot="1" x14ac:dyDescent="0.35">
      <c r="AI17631" s="1746" t="s">
        <v>150</v>
      </c>
      <c r="AJ17631" s="1747"/>
      <c r="AK17631" s="1748"/>
      <c r="AL17631" s="198"/>
      <c r="AM17631" s="198"/>
      <c r="AN17631" s="198"/>
      <c r="AO17631" s="198"/>
    </row>
    <row r="17632" spans="35:41" ht="19.5" thickBot="1" x14ac:dyDescent="0.35">
      <c r="AI17632" s="1746" t="s">
        <v>150</v>
      </c>
      <c r="AJ17632" s="1747"/>
      <c r="AK17632" s="1748"/>
      <c r="AL17632" s="198"/>
      <c r="AM17632" s="198"/>
      <c r="AN17632" s="198"/>
      <c r="AO17632" s="198"/>
    </row>
    <row r="17633" spans="35:41" ht="19.5" thickBot="1" x14ac:dyDescent="0.35">
      <c r="AI17633" s="1746" t="s">
        <v>150</v>
      </c>
      <c r="AJ17633" s="1747"/>
      <c r="AK17633" s="1748"/>
      <c r="AL17633" s="198"/>
      <c r="AM17633" s="198"/>
      <c r="AN17633" s="198"/>
      <c r="AO17633" s="198"/>
    </row>
    <row r="17634" spans="35:41" ht="19.5" thickBot="1" x14ac:dyDescent="0.35">
      <c r="AI17634" s="1746" t="s">
        <v>150</v>
      </c>
      <c r="AJ17634" s="1747"/>
      <c r="AK17634" s="1748"/>
      <c r="AL17634" s="198"/>
      <c r="AM17634" s="198"/>
      <c r="AN17634" s="198"/>
      <c r="AO17634" s="198"/>
    </row>
    <row r="17635" spans="35:41" ht="19.5" thickBot="1" x14ac:dyDescent="0.35">
      <c r="AI17635" s="1746" t="s">
        <v>150</v>
      </c>
      <c r="AJ17635" s="1747"/>
      <c r="AK17635" s="1748"/>
      <c r="AL17635" s="198"/>
      <c r="AM17635" s="198"/>
      <c r="AN17635" s="198"/>
      <c r="AO17635" s="198"/>
    </row>
    <row r="17636" spans="35:41" ht="19.5" thickBot="1" x14ac:dyDescent="0.35">
      <c r="AI17636" s="1746" t="s">
        <v>150</v>
      </c>
      <c r="AJ17636" s="1747"/>
      <c r="AK17636" s="1748"/>
      <c r="AL17636" s="198"/>
      <c r="AM17636" s="198"/>
      <c r="AN17636" s="198"/>
      <c r="AO17636" s="198"/>
    </row>
    <row r="17637" spans="35:41" ht="19.5" thickBot="1" x14ac:dyDescent="0.35">
      <c r="AI17637" s="1746" t="s">
        <v>150</v>
      </c>
      <c r="AJ17637" s="1747"/>
      <c r="AK17637" s="1748"/>
      <c r="AL17637" s="198"/>
      <c r="AM17637" s="198"/>
      <c r="AN17637" s="198"/>
      <c r="AO17637" s="198"/>
    </row>
    <row r="17638" spans="35:41" ht="19.5" thickBot="1" x14ac:dyDescent="0.35">
      <c r="AI17638" s="1746" t="s">
        <v>150</v>
      </c>
      <c r="AJ17638" s="1747"/>
      <c r="AK17638" s="1748"/>
      <c r="AL17638" s="198"/>
      <c r="AM17638" s="198"/>
      <c r="AN17638" s="198"/>
      <c r="AO17638" s="198"/>
    </row>
    <row r="17639" spans="35:41" ht="19.5" thickBot="1" x14ac:dyDescent="0.35">
      <c r="AI17639" s="1746" t="s">
        <v>150</v>
      </c>
      <c r="AJ17639" s="1747"/>
      <c r="AK17639" s="1748"/>
      <c r="AL17639" s="198"/>
      <c r="AM17639" s="198"/>
      <c r="AN17639" s="198"/>
      <c r="AO17639" s="198"/>
    </row>
    <row r="17640" spans="35:41" ht="19.5" thickBot="1" x14ac:dyDescent="0.35">
      <c r="AI17640" s="1746" t="s">
        <v>150</v>
      </c>
      <c r="AJ17640" s="1747"/>
      <c r="AK17640" s="1748"/>
      <c r="AL17640" s="198"/>
      <c r="AM17640" s="198"/>
      <c r="AN17640" s="198"/>
      <c r="AO17640" s="198"/>
    </row>
    <row r="17641" spans="35:41" ht="19.5" thickBot="1" x14ac:dyDescent="0.35">
      <c r="AI17641" s="1746" t="s">
        <v>150</v>
      </c>
      <c r="AJ17641" s="1747"/>
      <c r="AK17641" s="1748"/>
      <c r="AL17641" s="198"/>
      <c r="AM17641" s="198"/>
      <c r="AN17641" s="198"/>
      <c r="AO17641" s="198"/>
    </row>
    <row r="17642" spans="35:41" ht="19.5" thickBot="1" x14ac:dyDescent="0.35">
      <c r="AI17642" s="1746" t="s">
        <v>150</v>
      </c>
      <c r="AJ17642" s="1747"/>
      <c r="AK17642" s="1748"/>
      <c r="AL17642" s="198"/>
      <c r="AM17642" s="198"/>
      <c r="AN17642" s="198"/>
      <c r="AO17642" s="198"/>
    </row>
    <row r="17643" spans="35:41" ht="19.5" thickBot="1" x14ac:dyDescent="0.35">
      <c r="AI17643" s="1746" t="s">
        <v>150</v>
      </c>
      <c r="AJ17643" s="1747"/>
      <c r="AK17643" s="1748"/>
      <c r="AL17643" s="198"/>
      <c r="AM17643" s="198"/>
      <c r="AN17643" s="198"/>
      <c r="AO17643" s="198"/>
    </row>
    <row r="17644" spans="35:41" ht="19.5" thickBot="1" x14ac:dyDescent="0.35">
      <c r="AI17644" s="1746" t="s">
        <v>150</v>
      </c>
      <c r="AJ17644" s="1747"/>
      <c r="AK17644" s="1748"/>
      <c r="AL17644" s="198"/>
      <c r="AM17644" s="198"/>
      <c r="AN17644" s="198"/>
      <c r="AO17644" s="198"/>
    </row>
    <row r="17645" spans="35:41" ht="19.5" thickBot="1" x14ac:dyDescent="0.35">
      <c r="AI17645" s="1746" t="s">
        <v>150</v>
      </c>
      <c r="AJ17645" s="1747"/>
      <c r="AK17645" s="1748"/>
      <c r="AL17645" s="198"/>
      <c r="AM17645" s="198"/>
      <c r="AN17645" s="198"/>
      <c r="AO17645" s="198"/>
    </row>
    <row r="17646" spans="35:41" ht="19.5" thickBot="1" x14ac:dyDescent="0.35">
      <c r="AI17646" s="1746" t="s">
        <v>150</v>
      </c>
      <c r="AJ17646" s="1747"/>
      <c r="AK17646" s="1748"/>
      <c r="AL17646" s="198"/>
      <c r="AM17646" s="198"/>
      <c r="AN17646" s="198"/>
      <c r="AO17646" s="198"/>
    </row>
    <row r="17647" spans="35:41" ht="19.5" thickBot="1" x14ac:dyDescent="0.35">
      <c r="AI17647" s="1746" t="s">
        <v>150</v>
      </c>
      <c r="AJ17647" s="1747"/>
      <c r="AK17647" s="1748"/>
      <c r="AL17647" s="198"/>
      <c r="AM17647" s="198"/>
      <c r="AN17647" s="198"/>
      <c r="AO17647" s="198"/>
    </row>
    <row r="17648" spans="35:41" ht="19.5" thickBot="1" x14ac:dyDescent="0.35">
      <c r="AI17648" s="1746" t="s">
        <v>150</v>
      </c>
      <c r="AJ17648" s="1747"/>
      <c r="AK17648" s="1748"/>
      <c r="AL17648" s="198"/>
      <c r="AM17648" s="198"/>
      <c r="AN17648" s="198"/>
      <c r="AO17648" s="198"/>
    </row>
    <row r="17649" spans="35:41" ht="19.5" thickBot="1" x14ac:dyDescent="0.35">
      <c r="AI17649" s="1746" t="s">
        <v>150</v>
      </c>
      <c r="AJ17649" s="1747"/>
      <c r="AK17649" s="1748"/>
      <c r="AL17649" s="198"/>
      <c r="AM17649" s="198"/>
      <c r="AN17649" s="198"/>
      <c r="AO17649" s="198"/>
    </row>
    <row r="17650" spans="35:41" ht="19.5" thickBot="1" x14ac:dyDescent="0.35">
      <c r="AI17650" s="1746" t="s">
        <v>150</v>
      </c>
      <c r="AJ17650" s="1747"/>
      <c r="AK17650" s="1748"/>
      <c r="AL17650" s="198"/>
      <c r="AM17650" s="198"/>
      <c r="AN17650" s="198"/>
      <c r="AO17650" s="198"/>
    </row>
    <row r="17651" spans="35:41" ht="19.5" thickBot="1" x14ac:dyDescent="0.35">
      <c r="AI17651" s="1746" t="s">
        <v>150</v>
      </c>
      <c r="AJ17651" s="1747"/>
      <c r="AK17651" s="1748"/>
      <c r="AL17651" s="198"/>
      <c r="AM17651" s="198"/>
      <c r="AN17651" s="198"/>
      <c r="AO17651" s="198"/>
    </row>
    <row r="17652" spans="35:41" ht="19.5" thickBot="1" x14ac:dyDescent="0.35">
      <c r="AI17652" s="1746" t="s">
        <v>150</v>
      </c>
      <c r="AJ17652" s="1747"/>
      <c r="AK17652" s="1748"/>
      <c r="AL17652" s="198"/>
      <c r="AM17652" s="198"/>
      <c r="AN17652" s="198"/>
      <c r="AO17652" s="198"/>
    </row>
    <row r="17653" spans="35:41" ht="19.5" thickBot="1" x14ac:dyDescent="0.35">
      <c r="AI17653" s="1746" t="s">
        <v>150</v>
      </c>
      <c r="AJ17653" s="1747"/>
      <c r="AK17653" s="1748"/>
      <c r="AL17653" s="198"/>
      <c r="AM17653" s="198"/>
      <c r="AN17653" s="198"/>
      <c r="AO17653" s="198"/>
    </row>
    <row r="17654" spans="35:41" ht="19.5" thickBot="1" x14ac:dyDescent="0.35">
      <c r="AI17654" s="1746" t="s">
        <v>150</v>
      </c>
      <c r="AJ17654" s="1747"/>
      <c r="AK17654" s="1748"/>
      <c r="AL17654" s="198"/>
      <c r="AM17654" s="198"/>
      <c r="AN17654" s="198"/>
      <c r="AO17654" s="198"/>
    </row>
    <row r="17655" spans="35:41" ht="19.5" thickBot="1" x14ac:dyDescent="0.35">
      <c r="AI17655" s="1746" t="s">
        <v>150</v>
      </c>
      <c r="AJ17655" s="1747"/>
      <c r="AK17655" s="1748"/>
      <c r="AL17655" s="198"/>
      <c r="AM17655" s="198"/>
      <c r="AN17655" s="198"/>
      <c r="AO17655" s="198"/>
    </row>
    <row r="17656" spans="35:41" ht="19.5" thickBot="1" x14ac:dyDescent="0.35">
      <c r="AI17656" s="1746" t="s">
        <v>150</v>
      </c>
      <c r="AJ17656" s="1747"/>
      <c r="AK17656" s="1748"/>
      <c r="AL17656" s="198"/>
      <c r="AM17656" s="198"/>
      <c r="AN17656" s="198"/>
      <c r="AO17656" s="198"/>
    </row>
    <row r="17657" spans="35:41" ht="19.5" thickBot="1" x14ac:dyDescent="0.35">
      <c r="AI17657" s="1746" t="s">
        <v>150</v>
      </c>
      <c r="AJ17657" s="1747"/>
      <c r="AK17657" s="1748"/>
      <c r="AL17657" s="198"/>
      <c r="AM17657" s="198"/>
      <c r="AN17657" s="198"/>
      <c r="AO17657" s="198"/>
    </row>
    <row r="17658" spans="35:41" ht="19.5" thickBot="1" x14ac:dyDescent="0.35">
      <c r="AI17658" s="1746" t="s">
        <v>150</v>
      </c>
      <c r="AJ17658" s="1747"/>
      <c r="AK17658" s="1748"/>
      <c r="AL17658" s="198"/>
      <c r="AM17658" s="198"/>
      <c r="AN17658" s="198"/>
      <c r="AO17658" s="198"/>
    </row>
    <row r="17659" spans="35:41" ht="19.5" thickBot="1" x14ac:dyDescent="0.35">
      <c r="AI17659" s="1746" t="s">
        <v>150</v>
      </c>
      <c r="AJ17659" s="1747"/>
      <c r="AK17659" s="1748"/>
      <c r="AL17659" s="198"/>
      <c r="AM17659" s="198"/>
      <c r="AN17659" s="198"/>
      <c r="AO17659" s="198"/>
    </row>
    <row r="17660" spans="35:41" ht="19.5" thickBot="1" x14ac:dyDescent="0.35">
      <c r="AI17660" s="1746" t="s">
        <v>150</v>
      </c>
      <c r="AJ17660" s="1747"/>
      <c r="AK17660" s="1748"/>
      <c r="AL17660" s="198"/>
      <c r="AM17660" s="198"/>
      <c r="AN17660" s="198"/>
      <c r="AO17660" s="198"/>
    </row>
    <row r="17661" spans="35:41" ht="19.5" thickBot="1" x14ac:dyDescent="0.35">
      <c r="AI17661" s="1746" t="s">
        <v>150</v>
      </c>
      <c r="AJ17661" s="1747"/>
      <c r="AK17661" s="1748"/>
      <c r="AL17661" s="198"/>
      <c r="AM17661" s="198"/>
      <c r="AN17661" s="198"/>
      <c r="AO17661" s="198"/>
    </row>
    <row r="17662" spans="35:41" ht="19.5" thickBot="1" x14ac:dyDescent="0.35">
      <c r="AI17662" s="1746" t="s">
        <v>150</v>
      </c>
      <c r="AJ17662" s="1747"/>
      <c r="AK17662" s="1748"/>
      <c r="AL17662" s="198"/>
      <c r="AM17662" s="198"/>
      <c r="AN17662" s="198"/>
      <c r="AO17662" s="198"/>
    </row>
    <row r="17663" spans="35:41" ht="19.5" thickBot="1" x14ac:dyDescent="0.35">
      <c r="AI17663" s="1746" t="s">
        <v>150</v>
      </c>
      <c r="AJ17663" s="1747"/>
      <c r="AK17663" s="1748"/>
      <c r="AL17663" s="198"/>
      <c r="AM17663" s="198"/>
      <c r="AN17663" s="198"/>
      <c r="AO17663" s="198"/>
    </row>
    <row r="17664" spans="35:41" ht="19.5" thickBot="1" x14ac:dyDescent="0.35">
      <c r="AI17664" s="1746" t="s">
        <v>150</v>
      </c>
      <c r="AJ17664" s="1747"/>
      <c r="AK17664" s="1748"/>
      <c r="AL17664" s="198"/>
      <c r="AM17664" s="198"/>
      <c r="AN17664" s="198"/>
      <c r="AO17664" s="198"/>
    </row>
    <row r="17665" spans="35:41" ht="19.5" thickBot="1" x14ac:dyDescent="0.35">
      <c r="AI17665" s="1746" t="s">
        <v>150</v>
      </c>
      <c r="AJ17665" s="1747"/>
      <c r="AK17665" s="1748"/>
      <c r="AL17665" s="198"/>
      <c r="AM17665" s="198"/>
      <c r="AN17665" s="198"/>
      <c r="AO17665" s="198"/>
    </row>
    <row r="17666" spans="35:41" ht="19.5" thickBot="1" x14ac:dyDescent="0.35">
      <c r="AI17666" s="1746" t="s">
        <v>150</v>
      </c>
      <c r="AJ17666" s="1747"/>
      <c r="AK17666" s="1748"/>
      <c r="AL17666" s="198"/>
      <c r="AM17666" s="198"/>
      <c r="AN17666" s="198"/>
      <c r="AO17666" s="198"/>
    </row>
    <row r="17667" spans="35:41" ht="19.5" thickBot="1" x14ac:dyDescent="0.35">
      <c r="AI17667" s="1746" t="s">
        <v>150</v>
      </c>
      <c r="AJ17667" s="1747"/>
      <c r="AK17667" s="1748"/>
      <c r="AL17667" s="198"/>
      <c r="AM17667" s="198"/>
      <c r="AN17667" s="198"/>
      <c r="AO17667" s="198"/>
    </row>
    <row r="17668" spans="35:41" ht="19.5" thickBot="1" x14ac:dyDescent="0.35">
      <c r="AI17668" s="1746" t="s">
        <v>150</v>
      </c>
      <c r="AJ17668" s="1747"/>
      <c r="AK17668" s="1748"/>
      <c r="AL17668" s="198"/>
      <c r="AM17668" s="198"/>
      <c r="AN17668" s="198"/>
      <c r="AO17668" s="198"/>
    </row>
    <row r="17669" spans="35:41" ht="19.5" thickBot="1" x14ac:dyDescent="0.35">
      <c r="AI17669" s="1746" t="s">
        <v>150</v>
      </c>
      <c r="AJ17669" s="1747"/>
      <c r="AK17669" s="1748"/>
      <c r="AL17669" s="198"/>
      <c r="AM17669" s="198"/>
      <c r="AN17669" s="198"/>
      <c r="AO17669" s="198"/>
    </row>
    <row r="17670" spans="35:41" ht="19.5" thickBot="1" x14ac:dyDescent="0.35">
      <c r="AI17670" s="1746" t="s">
        <v>150</v>
      </c>
      <c r="AJ17670" s="1747"/>
      <c r="AK17670" s="1748"/>
      <c r="AL17670" s="198"/>
      <c r="AM17670" s="198"/>
      <c r="AN17670" s="198"/>
      <c r="AO17670" s="198"/>
    </row>
    <row r="17671" spans="35:41" ht="19.5" thickBot="1" x14ac:dyDescent="0.35">
      <c r="AI17671" s="1746" t="s">
        <v>150</v>
      </c>
      <c r="AJ17671" s="1747"/>
      <c r="AK17671" s="1748"/>
      <c r="AL17671" s="198"/>
      <c r="AM17671" s="198"/>
      <c r="AN17671" s="198"/>
      <c r="AO17671" s="198"/>
    </row>
    <row r="17672" spans="35:41" ht="19.5" thickBot="1" x14ac:dyDescent="0.35">
      <c r="AI17672" s="1746" t="s">
        <v>150</v>
      </c>
      <c r="AJ17672" s="1747"/>
      <c r="AK17672" s="1748"/>
      <c r="AL17672" s="198"/>
      <c r="AM17672" s="198"/>
      <c r="AN17672" s="198"/>
      <c r="AO17672" s="198"/>
    </row>
    <row r="17673" spans="35:41" ht="19.5" thickBot="1" x14ac:dyDescent="0.35">
      <c r="AI17673" s="1746" t="s">
        <v>150</v>
      </c>
      <c r="AJ17673" s="1747"/>
      <c r="AK17673" s="1748"/>
      <c r="AL17673" s="198"/>
      <c r="AM17673" s="198"/>
      <c r="AN17673" s="198"/>
      <c r="AO17673" s="198"/>
    </row>
    <row r="17674" spans="35:41" ht="19.5" thickBot="1" x14ac:dyDescent="0.35">
      <c r="AI17674" s="1746" t="s">
        <v>150</v>
      </c>
      <c r="AJ17674" s="1747"/>
      <c r="AK17674" s="1748"/>
      <c r="AL17674" s="198"/>
      <c r="AM17674" s="198"/>
      <c r="AN17674" s="198"/>
      <c r="AO17674" s="198"/>
    </row>
    <row r="17675" spans="35:41" ht="19.5" thickBot="1" x14ac:dyDescent="0.35">
      <c r="AI17675" s="1746" t="s">
        <v>150</v>
      </c>
      <c r="AJ17675" s="1747"/>
      <c r="AK17675" s="1748"/>
      <c r="AL17675" s="198"/>
      <c r="AM17675" s="198"/>
      <c r="AN17675" s="198"/>
      <c r="AO17675" s="198"/>
    </row>
    <row r="17676" spans="35:41" ht="19.5" thickBot="1" x14ac:dyDescent="0.35">
      <c r="AI17676" s="1746" t="s">
        <v>150</v>
      </c>
      <c r="AJ17676" s="1747"/>
      <c r="AK17676" s="1748"/>
      <c r="AL17676" s="198"/>
      <c r="AM17676" s="198"/>
      <c r="AN17676" s="198"/>
      <c r="AO17676" s="198"/>
    </row>
    <row r="17677" spans="35:41" ht="19.5" thickBot="1" x14ac:dyDescent="0.35">
      <c r="AI17677" s="1746" t="s">
        <v>150</v>
      </c>
      <c r="AJ17677" s="1747"/>
      <c r="AK17677" s="1748"/>
      <c r="AL17677" s="198"/>
      <c r="AM17677" s="198"/>
      <c r="AN17677" s="198"/>
      <c r="AO17677" s="198"/>
    </row>
    <row r="17678" spans="35:41" ht="19.5" thickBot="1" x14ac:dyDescent="0.35">
      <c r="AI17678" s="1746" t="s">
        <v>150</v>
      </c>
      <c r="AJ17678" s="1747"/>
      <c r="AK17678" s="1748"/>
      <c r="AL17678" s="198"/>
      <c r="AM17678" s="198"/>
      <c r="AN17678" s="198"/>
      <c r="AO17678" s="198"/>
    </row>
    <row r="17679" spans="35:41" ht="19.5" thickBot="1" x14ac:dyDescent="0.35">
      <c r="AI17679" s="1746" t="s">
        <v>150</v>
      </c>
      <c r="AJ17679" s="1747"/>
      <c r="AK17679" s="1748"/>
      <c r="AL17679" s="198"/>
      <c r="AM17679" s="198"/>
      <c r="AN17679" s="198"/>
      <c r="AO17679" s="198"/>
    </row>
    <row r="17680" spans="35:41" ht="19.5" thickBot="1" x14ac:dyDescent="0.35">
      <c r="AI17680" s="1746" t="s">
        <v>150</v>
      </c>
      <c r="AJ17680" s="1747"/>
      <c r="AK17680" s="1748"/>
      <c r="AL17680" s="198"/>
      <c r="AM17680" s="198"/>
      <c r="AN17680" s="198"/>
      <c r="AO17680" s="198"/>
    </row>
    <row r="17681" spans="35:41" ht="19.5" thickBot="1" x14ac:dyDescent="0.35">
      <c r="AI17681" s="1746" t="s">
        <v>150</v>
      </c>
      <c r="AJ17681" s="1747"/>
      <c r="AK17681" s="1748"/>
      <c r="AL17681" s="198"/>
      <c r="AM17681" s="198"/>
      <c r="AN17681" s="198"/>
      <c r="AO17681" s="198"/>
    </row>
    <row r="17682" spans="35:41" ht="19.5" thickBot="1" x14ac:dyDescent="0.35">
      <c r="AI17682" s="1746" t="s">
        <v>150</v>
      </c>
      <c r="AJ17682" s="1747"/>
      <c r="AK17682" s="1748"/>
      <c r="AL17682" s="198"/>
      <c r="AM17682" s="198"/>
      <c r="AN17682" s="198"/>
      <c r="AO17682" s="198"/>
    </row>
    <row r="17683" spans="35:41" ht="19.5" thickBot="1" x14ac:dyDescent="0.35">
      <c r="AI17683" s="1746" t="s">
        <v>150</v>
      </c>
      <c r="AJ17683" s="1747"/>
      <c r="AK17683" s="1748"/>
      <c r="AL17683" s="198"/>
      <c r="AM17683" s="198"/>
      <c r="AN17683" s="198"/>
      <c r="AO17683" s="198"/>
    </row>
    <row r="17684" spans="35:41" ht="19.5" thickBot="1" x14ac:dyDescent="0.35">
      <c r="AI17684" s="1746" t="s">
        <v>150</v>
      </c>
      <c r="AJ17684" s="1747"/>
      <c r="AK17684" s="1748"/>
      <c r="AL17684" s="198"/>
      <c r="AM17684" s="198"/>
      <c r="AN17684" s="198"/>
      <c r="AO17684" s="198"/>
    </row>
    <row r="17685" spans="35:41" ht="19.5" thickBot="1" x14ac:dyDescent="0.35">
      <c r="AI17685" s="1746" t="s">
        <v>150</v>
      </c>
      <c r="AJ17685" s="1747"/>
      <c r="AK17685" s="1748"/>
      <c r="AL17685" s="198"/>
      <c r="AM17685" s="198"/>
      <c r="AN17685" s="198"/>
      <c r="AO17685" s="198"/>
    </row>
    <row r="17686" spans="35:41" ht="19.5" thickBot="1" x14ac:dyDescent="0.35">
      <c r="AI17686" s="1746" t="s">
        <v>150</v>
      </c>
      <c r="AJ17686" s="1747"/>
      <c r="AK17686" s="1748"/>
      <c r="AL17686" s="198"/>
      <c r="AM17686" s="198"/>
      <c r="AN17686" s="198"/>
      <c r="AO17686" s="198"/>
    </row>
    <row r="17687" spans="35:41" ht="19.5" thickBot="1" x14ac:dyDescent="0.35">
      <c r="AI17687" s="1746" t="s">
        <v>150</v>
      </c>
      <c r="AJ17687" s="1747"/>
      <c r="AK17687" s="1748"/>
      <c r="AL17687" s="198"/>
      <c r="AM17687" s="198"/>
      <c r="AN17687" s="198"/>
      <c r="AO17687" s="198"/>
    </row>
    <row r="17688" spans="35:41" ht="19.5" thickBot="1" x14ac:dyDescent="0.35">
      <c r="AI17688" s="1746" t="s">
        <v>150</v>
      </c>
      <c r="AJ17688" s="1747"/>
      <c r="AK17688" s="1748"/>
      <c r="AL17688" s="198"/>
      <c r="AM17688" s="198"/>
      <c r="AN17688" s="198"/>
      <c r="AO17688" s="198"/>
    </row>
    <row r="17689" spans="35:41" ht="19.5" thickBot="1" x14ac:dyDescent="0.35">
      <c r="AI17689" s="1746" t="s">
        <v>150</v>
      </c>
      <c r="AJ17689" s="1747"/>
      <c r="AK17689" s="1748"/>
      <c r="AL17689" s="198"/>
      <c r="AM17689" s="198"/>
      <c r="AN17689" s="198"/>
      <c r="AO17689" s="198"/>
    </row>
    <row r="17690" spans="35:41" ht="19.5" thickBot="1" x14ac:dyDescent="0.35">
      <c r="AI17690" s="1746" t="s">
        <v>150</v>
      </c>
      <c r="AJ17690" s="1747"/>
      <c r="AK17690" s="1748"/>
      <c r="AL17690" s="198"/>
      <c r="AM17690" s="198"/>
      <c r="AN17690" s="198"/>
      <c r="AO17690" s="198"/>
    </row>
    <row r="17691" spans="35:41" ht="19.5" thickBot="1" x14ac:dyDescent="0.35">
      <c r="AI17691" s="1746" t="s">
        <v>150</v>
      </c>
      <c r="AJ17691" s="1747"/>
      <c r="AK17691" s="1748"/>
      <c r="AL17691" s="198"/>
      <c r="AM17691" s="198"/>
      <c r="AN17691" s="198"/>
      <c r="AO17691" s="198"/>
    </row>
    <row r="17692" spans="35:41" ht="19.5" thickBot="1" x14ac:dyDescent="0.35">
      <c r="AI17692" s="1746" t="s">
        <v>150</v>
      </c>
      <c r="AJ17692" s="1747"/>
      <c r="AK17692" s="1748"/>
      <c r="AL17692" s="198"/>
      <c r="AM17692" s="198"/>
      <c r="AN17692" s="198"/>
      <c r="AO17692" s="198"/>
    </row>
    <row r="17693" spans="35:41" ht="19.5" thickBot="1" x14ac:dyDescent="0.35">
      <c r="AI17693" s="1746" t="s">
        <v>150</v>
      </c>
      <c r="AJ17693" s="1747"/>
      <c r="AK17693" s="1748"/>
      <c r="AL17693" s="198"/>
      <c r="AM17693" s="198"/>
      <c r="AN17693" s="198"/>
      <c r="AO17693" s="198"/>
    </row>
    <row r="17694" spans="35:41" ht="19.5" thickBot="1" x14ac:dyDescent="0.35">
      <c r="AI17694" s="1746" t="s">
        <v>150</v>
      </c>
      <c r="AJ17694" s="1747"/>
      <c r="AK17694" s="1748"/>
      <c r="AL17694" s="198"/>
      <c r="AM17694" s="198"/>
      <c r="AN17694" s="198"/>
      <c r="AO17694" s="198"/>
    </row>
    <row r="17695" spans="35:41" ht="19.5" thickBot="1" x14ac:dyDescent="0.35">
      <c r="AI17695" s="1746" t="s">
        <v>150</v>
      </c>
      <c r="AJ17695" s="1747"/>
      <c r="AK17695" s="1748"/>
      <c r="AL17695" s="198"/>
      <c r="AM17695" s="198"/>
      <c r="AN17695" s="198"/>
      <c r="AO17695" s="198"/>
    </row>
    <row r="17696" spans="35:41" ht="19.5" thickBot="1" x14ac:dyDescent="0.35">
      <c r="AI17696" s="1746" t="s">
        <v>150</v>
      </c>
      <c r="AJ17696" s="1747"/>
      <c r="AK17696" s="1748"/>
      <c r="AL17696" s="198"/>
      <c r="AM17696" s="198"/>
      <c r="AN17696" s="198"/>
      <c r="AO17696" s="198"/>
    </row>
    <row r="17697" spans="35:41" ht="19.5" thickBot="1" x14ac:dyDescent="0.35">
      <c r="AI17697" s="1746" t="s">
        <v>150</v>
      </c>
      <c r="AJ17697" s="1747"/>
      <c r="AK17697" s="1748"/>
      <c r="AL17697" s="198"/>
      <c r="AM17697" s="198"/>
      <c r="AN17697" s="198"/>
      <c r="AO17697" s="198"/>
    </row>
    <row r="17698" spans="35:41" ht="19.5" thickBot="1" x14ac:dyDescent="0.35">
      <c r="AI17698" s="1746" t="s">
        <v>150</v>
      </c>
      <c r="AJ17698" s="1747"/>
      <c r="AK17698" s="1748"/>
      <c r="AL17698" s="198"/>
      <c r="AM17698" s="198"/>
      <c r="AN17698" s="198"/>
      <c r="AO17698" s="198"/>
    </row>
    <row r="17699" spans="35:41" ht="19.5" thickBot="1" x14ac:dyDescent="0.35">
      <c r="AI17699" s="1746" t="s">
        <v>150</v>
      </c>
      <c r="AJ17699" s="1747"/>
      <c r="AK17699" s="1748"/>
      <c r="AL17699" s="198"/>
      <c r="AM17699" s="198"/>
      <c r="AN17699" s="198"/>
      <c r="AO17699" s="198"/>
    </row>
    <row r="17700" spans="35:41" ht="19.5" thickBot="1" x14ac:dyDescent="0.35">
      <c r="AI17700" s="1746" t="s">
        <v>150</v>
      </c>
      <c r="AJ17700" s="1747"/>
      <c r="AK17700" s="1748"/>
      <c r="AL17700" s="198"/>
      <c r="AM17700" s="198"/>
      <c r="AN17700" s="198"/>
      <c r="AO17700" s="198"/>
    </row>
    <row r="17701" spans="35:41" ht="19.5" thickBot="1" x14ac:dyDescent="0.35">
      <c r="AI17701" s="1746" t="s">
        <v>150</v>
      </c>
      <c r="AJ17701" s="1747"/>
      <c r="AK17701" s="1748"/>
      <c r="AL17701" s="198"/>
      <c r="AM17701" s="198"/>
      <c r="AN17701" s="198"/>
      <c r="AO17701" s="198"/>
    </row>
    <row r="17702" spans="35:41" ht="19.5" thickBot="1" x14ac:dyDescent="0.35">
      <c r="AI17702" s="1746" t="s">
        <v>150</v>
      </c>
      <c r="AJ17702" s="1747"/>
      <c r="AK17702" s="1748"/>
      <c r="AL17702" s="198"/>
      <c r="AM17702" s="198"/>
      <c r="AN17702" s="198"/>
      <c r="AO17702" s="198"/>
    </row>
    <row r="17703" spans="35:41" ht="19.5" thickBot="1" x14ac:dyDescent="0.35">
      <c r="AI17703" s="1746" t="s">
        <v>150</v>
      </c>
      <c r="AJ17703" s="1747"/>
      <c r="AK17703" s="1748"/>
      <c r="AL17703" s="198"/>
      <c r="AM17703" s="198"/>
      <c r="AN17703" s="198"/>
      <c r="AO17703" s="198"/>
    </row>
    <row r="17704" spans="35:41" ht="19.5" thickBot="1" x14ac:dyDescent="0.35">
      <c r="AI17704" s="1746" t="s">
        <v>150</v>
      </c>
      <c r="AJ17704" s="1747"/>
      <c r="AK17704" s="1748"/>
      <c r="AL17704" s="198"/>
      <c r="AM17704" s="198"/>
      <c r="AN17704" s="198"/>
      <c r="AO17704" s="198"/>
    </row>
    <row r="17705" spans="35:41" ht="19.5" thickBot="1" x14ac:dyDescent="0.35">
      <c r="AI17705" s="1746" t="s">
        <v>150</v>
      </c>
      <c r="AJ17705" s="1747"/>
      <c r="AK17705" s="1748"/>
      <c r="AL17705" s="198"/>
      <c r="AM17705" s="198"/>
      <c r="AN17705" s="198"/>
      <c r="AO17705" s="198"/>
    </row>
    <row r="17706" spans="35:41" ht="19.5" thickBot="1" x14ac:dyDescent="0.35">
      <c r="AI17706" s="1746" t="s">
        <v>150</v>
      </c>
      <c r="AJ17706" s="1747"/>
      <c r="AK17706" s="1748"/>
      <c r="AL17706" s="198"/>
      <c r="AM17706" s="198"/>
      <c r="AN17706" s="198"/>
      <c r="AO17706" s="198"/>
    </row>
    <row r="17707" spans="35:41" ht="19.5" thickBot="1" x14ac:dyDescent="0.35">
      <c r="AI17707" s="1746" t="s">
        <v>150</v>
      </c>
      <c r="AJ17707" s="1747"/>
      <c r="AK17707" s="1748"/>
      <c r="AL17707" s="198"/>
      <c r="AM17707" s="198"/>
      <c r="AN17707" s="198"/>
      <c r="AO17707" s="198"/>
    </row>
    <row r="17708" spans="35:41" ht="19.5" thickBot="1" x14ac:dyDescent="0.35">
      <c r="AI17708" s="1746" t="s">
        <v>150</v>
      </c>
      <c r="AJ17708" s="1747"/>
      <c r="AK17708" s="1748"/>
      <c r="AL17708" s="198"/>
      <c r="AM17708" s="198"/>
      <c r="AN17708" s="198"/>
      <c r="AO17708" s="198"/>
    </row>
    <row r="17709" spans="35:41" ht="19.5" thickBot="1" x14ac:dyDescent="0.35">
      <c r="AI17709" s="1746" t="s">
        <v>150</v>
      </c>
      <c r="AJ17709" s="1747"/>
      <c r="AK17709" s="1748"/>
      <c r="AL17709" s="198"/>
      <c r="AM17709" s="198"/>
      <c r="AN17709" s="198"/>
      <c r="AO17709" s="198"/>
    </row>
    <row r="17710" spans="35:41" ht="19.5" thickBot="1" x14ac:dyDescent="0.35">
      <c r="AI17710" s="1746" t="s">
        <v>150</v>
      </c>
      <c r="AJ17710" s="1747"/>
      <c r="AK17710" s="1748"/>
      <c r="AL17710" s="198"/>
      <c r="AM17710" s="198"/>
      <c r="AN17710" s="198"/>
      <c r="AO17710" s="198"/>
    </row>
    <row r="17711" spans="35:41" ht="19.5" thickBot="1" x14ac:dyDescent="0.35">
      <c r="AI17711" s="1746" t="s">
        <v>150</v>
      </c>
      <c r="AJ17711" s="1747"/>
      <c r="AK17711" s="1748"/>
      <c r="AL17711" s="198"/>
      <c r="AM17711" s="198"/>
      <c r="AN17711" s="198"/>
      <c r="AO17711" s="198"/>
    </row>
    <row r="17712" spans="35:41" ht="19.5" thickBot="1" x14ac:dyDescent="0.35">
      <c r="AI17712" s="1746" t="s">
        <v>150</v>
      </c>
      <c r="AJ17712" s="1747"/>
      <c r="AK17712" s="1748"/>
      <c r="AL17712" s="198"/>
      <c r="AM17712" s="198"/>
      <c r="AN17712" s="198"/>
      <c r="AO17712" s="198"/>
    </row>
    <row r="17713" spans="35:41" ht="19.5" thickBot="1" x14ac:dyDescent="0.35">
      <c r="AI17713" s="1746" t="s">
        <v>150</v>
      </c>
      <c r="AJ17713" s="1747"/>
      <c r="AK17713" s="1748"/>
      <c r="AL17713" s="198"/>
      <c r="AM17713" s="198"/>
      <c r="AN17713" s="198"/>
      <c r="AO17713" s="198"/>
    </row>
    <row r="17714" spans="35:41" ht="19.5" thickBot="1" x14ac:dyDescent="0.35">
      <c r="AI17714" s="1746" t="s">
        <v>150</v>
      </c>
      <c r="AJ17714" s="1747"/>
      <c r="AK17714" s="1748"/>
      <c r="AL17714" s="198"/>
      <c r="AM17714" s="198"/>
      <c r="AN17714" s="198"/>
      <c r="AO17714" s="198"/>
    </row>
    <row r="17715" spans="35:41" ht="19.5" thickBot="1" x14ac:dyDescent="0.35">
      <c r="AI17715" s="1746" t="s">
        <v>150</v>
      </c>
      <c r="AJ17715" s="1747"/>
      <c r="AK17715" s="1748"/>
      <c r="AL17715" s="198"/>
      <c r="AM17715" s="198"/>
      <c r="AN17715" s="198"/>
      <c r="AO17715" s="198"/>
    </row>
    <row r="17716" spans="35:41" ht="19.5" thickBot="1" x14ac:dyDescent="0.35">
      <c r="AI17716" s="1746" t="s">
        <v>150</v>
      </c>
      <c r="AJ17716" s="1747"/>
      <c r="AK17716" s="1748"/>
      <c r="AL17716" s="198"/>
      <c r="AM17716" s="198"/>
      <c r="AN17716" s="198"/>
      <c r="AO17716" s="198"/>
    </row>
    <row r="17717" spans="35:41" ht="19.5" thickBot="1" x14ac:dyDescent="0.35">
      <c r="AI17717" s="1746" t="s">
        <v>150</v>
      </c>
      <c r="AJ17717" s="1747"/>
      <c r="AK17717" s="1748"/>
      <c r="AL17717" s="198"/>
      <c r="AM17717" s="198"/>
      <c r="AN17717" s="198"/>
      <c r="AO17717" s="198"/>
    </row>
    <row r="17718" spans="35:41" ht="19.5" thickBot="1" x14ac:dyDescent="0.35">
      <c r="AI17718" s="1746" t="s">
        <v>150</v>
      </c>
      <c r="AJ17718" s="1747"/>
      <c r="AK17718" s="1748"/>
      <c r="AL17718" s="198"/>
      <c r="AM17718" s="198"/>
      <c r="AN17718" s="198"/>
      <c r="AO17718" s="198"/>
    </row>
    <row r="17719" spans="35:41" ht="19.5" thickBot="1" x14ac:dyDescent="0.35">
      <c r="AI17719" s="1746" t="s">
        <v>150</v>
      </c>
      <c r="AJ17719" s="1747"/>
      <c r="AK17719" s="1748"/>
      <c r="AL17719" s="198"/>
      <c r="AM17719" s="198"/>
      <c r="AN17719" s="198"/>
      <c r="AO17719" s="198"/>
    </row>
    <row r="17720" spans="35:41" ht="19.5" thickBot="1" x14ac:dyDescent="0.35">
      <c r="AI17720" s="1746" t="s">
        <v>150</v>
      </c>
      <c r="AJ17720" s="1747"/>
      <c r="AK17720" s="1748"/>
      <c r="AL17720" s="198"/>
      <c r="AM17720" s="198"/>
      <c r="AN17720" s="198"/>
      <c r="AO17720" s="198"/>
    </row>
    <row r="17721" spans="35:41" ht="19.5" thickBot="1" x14ac:dyDescent="0.35">
      <c r="AI17721" s="1746" t="s">
        <v>150</v>
      </c>
      <c r="AJ17721" s="1747"/>
      <c r="AK17721" s="1748"/>
      <c r="AL17721" s="198"/>
      <c r="AM17721" s="198"/>
      <c r="AN17721" s="198"/>
      <c r="AO17721" s="198"/>
    </row>
    <row r="17722" spans="35:41" ht="19.5" thickBot="1" x14ac:dyDescent="0.35">
      <c r="AI17722" s="1746" t="s">
        <v>150</v>
      </c>
      <c r="AJ17722" s="1747"/>
      <c r="AK17722" s="1748"/>
      <c r="AL17722" s="198"/>
      <c r="AM17722" s="198"/>
      <c r="AN17722" s="198"/>
      <c r="AO17722" s="198"/>
    </row>
    <row r="17723" spans="35:41" ht="19.5" thickBot="1" x14ac:dyDescent="0.35">
      <c r="AI17723" s="1746" t="s">
        <v>150</v>
      </c>
      <c r="AJ17723" s="1747"/>
      <c r="AK17723" s="1748"/>
      <c r="AL17723" s="198"/>
      <c r="AM17723" s="198"/>
      <c r="AN17723" s="198"/>
      <c r="AO17723" s="198"/>
    </row>
    <row r="17724" spans="35:41" ht="19.5" thickBot="1" x14ac:dyDescent="0.35">
      <c r="AI17724" s="1746" t="s">
        <v>150</v>
      </c>
      <c r="AJ17724" s="1747"/>
      <c r="AK17724" s="1748"/>
      <c r="AL17724" s="198"/>
      <c r="AM17724" s="198"/>
      <c r="AN17724" s="198"/>
      <c r="AO17724" s="198"/>
    </row>
    <row r="17725" spans="35:41" ht="19.5" thickBot="1" x14ac:dyDescent="0.35">
      <c r="AI17725" s="1746" t="s">
        <v>150</v>
      </c>
      <c r="AJ17725" s="1747"/>
      <c r="AK17725" s="1748"/>
      <c r="AL17725" s="198"/>
      <c r="AM17725" s="198"/>
      <c r="AN17725" s="198"/>
      <c r="AO17725" s="198"/>
    </row>
    <row r="17726" spans="35:41" ht="19.5" thickBot="1" x14ac:dyDescent="0.35">
      <c r="AI17726" s="1746" t="s">
        <v>150</v>
      </c>
      <c r="AJ17726" s="1747"/>
      <c r="AK17726" s="1748"/>
      <c r="AL17726" s="198"/>
      <c r="AM17726" s="198"/>
      <c r="AN17726" s="198"/>
      <c r="AO17726" s="198"/>
    </row>
    <row r="17727" spans="35:41" ht="19.5" thickBot="1" x14ac:dyDescent="0.35">
      <c r="AI17727" s="1746" t="s">
        <v>150</v>
      </c>
      <c r="AJ17727" s="1747"/>
      <c r="AK17727" s="1748"/>
      <c r="AL17727" s="198"/>
      <c r="AM17727" s="198"/>
      <c r="AN17727" s="198"/>
      <c r="AO17727" s="198"/>
    </row>
    <row r="17728" spans="35:41" ht="19.5" thickBot="1" x14ac:dyDescent="0.35">
      <c r="AI17728" s="1746" t="s">
        <v>150</v>
      </c>
      <c r="AJ17728" s="1747"/>
      <c r="AK17728" s="1748"/>
      <c r="AL17728" s="198"/>
      <c r="AM17728" s="198"/>
      <c r="AN17728" s="198"/>
      <c r="AO17728" s="198"/>
    </row>
    <row r="17729" spans="35:41" ht="19.5" thickBot="1" x14ac:dyDescent="0.35">
      <c r="AI17729" s="1746" t="s">
        <v>150</v>
      </c>
      <c r="AJ17729" s="1747"/>
      <c r="AK17729" s="1748"/>
      <c r="AL17729" s="198"/>
      <c r="AM17729" s="198"/>
      <c r="AN17729" s="198"/>
      <c r="AO17729" s="198"/>
    </row>
    <row r="17730" spans="35:41" ht="19.5" thickBot="1" x14ac:dyDescent="0.35">
      <c r="AI17730" s="1746" t="s">
        <v>150</v>
      </c>
      <c r="AJ17730" s="1747"/>
      <c r="AK17730" s="1748"/>
      <c r="AL17730" s="198"/>
      <c r="AM17730" s="198"/>
      <c r="AN17730" s="198"/>
      <c r="AO17730" s="198"/>
    </row>
    <row r="17731" spans="35:41" ht="19.5" thickBot="1" x14ac:dyDescent="0.35">
      <c r="AI17731" s="1746" t="s">
        <v>150</v>
      </c>
      <c r="AJ17731" s="1747"/>
      <c r="AK17731" s="1748"/>
      <c r="AL17731" s="198"/>
      <c r="AM17731" s="198"/>
      <c r="AN17731" s="198"/>
      <c r="AO17731" s="198"/>
    </row>
    <row r="17732" spans="35:41" ht="19.5" thickBot="1" x14ac:dyDescent="0.35">
      <c r="AI17732" s="1746" t="s">
        <v>150</v>
      </c>
      <c r="AJ17732" s="1747"/>
      <c r="AK17732" s="1748"/>
      <c r="AL17732" s="198"/>
      <c r="AM17732" s="198"/>
      <c r="AN17732" s="198"/>
      <c r="AO17732" s="198"/>
    </row>
    <row r="17733" spans="35:41" ht="19.5" thickBot="1" x14ac:dyDescent="0.35">
      <c r="AI17733" s="1746" t="s">
        <v>150</v>
      </c>
      <c r="AJ17733" s="1747"/>
      <c r="AK17733" s="1748"/>
      <c r="AL17733" s="198"/>
      <c r="AM17733" s="198"/>
      <c r="AN17733" s="198"/>
      <c r="AO17733" s="198"/>
    </row>
    <row r="17734" spans="35:41" ht="19.5" thickBot="1" x14ac:dyDescent="0.35">
      <c r="AI17734" s="1746" t="s">
        <v>150</v>
      </c>
      <c r="AJ17734" s="1747"/>
      <c r="AK17734" s="1748"/>
      <c r="AL17734" s="198"/>
      <c r="AM17734" s="198"/>
      <c r="AN17734" s="198"/>
      <c r="AO17734" s="198"/>
    </row>
    <row r="17735" spans="35:41" ht="19.5" thickBot="1" x14ac:dyDescent="0.35">
      <c r="AI17735" s="1746" t="s">
        <v>150</v>
      </c>
      <c r="AJ17735" s="1747"/>
      <c r="AK17735" s="1748"/>
      <c r="AL17735" s="198"/>
      <c r="AM17735" s="198"/>
      <c r="AN17735" s="198"/>
      <c r="AO17735" s="198"/>
    </row>
    <row r="17736" spans="35:41" ht="19.5" thickBot="1" x14ac:dyDescent="0.35">
      <c r="AI17736" s="1746" t="s">
        <v>150</v>
      </c>
      <c r="AJ17736" s="1747"/>
      <c r="AK17736" s="1748"/>
      <c r="AL17736" s="198"/>
      <c r="AM17736" s="198"/>
      <c r="AN17736" s="198"/>
      <c r="AO17736" s="198"/>
    </row>
    <row r="17737" spans="35:41" ht="19.5" thickBot="1" x14ac:dyDescent="0.35">
      <c r="AI17737" s="1746" t="s">
        <v>150</v>
      </c>
      <c r="AJ17737" s="1747"/>
      <c r="AK17737" s="1748"/>
      <c r="AL17737" s="198"/>
      <c r="AM17737" s="198"/>
      <c r="AN17737" s="198"/>
      <c r="AO17737" s="198"/>
    </row>
    <row r="17738" spans="35:41" ht="19.5" thickBot="1" x14ac:dyDescent="0.35">
      <c r="AI17738" s="1746" t="s">
        <v>150</v>
      </c>
      <c r="AJ17738" s="1747"/>
      <c r="AK17738" s="1748"/>
      <c r="AL17738" s="198"/>
      <c r="AM17738" s="198"/>
      <c r="AN17738" s="198"/>
      <c r="AO17738" s="198"/>
    </row>
    <row r="17739" spans="35:41" ht="19.5" thickBot="1" x14ac:dyDescent="0.35">
      <c r="AI17739" s="1746" t="s">
        <v>150</v>
      </c>
      <c r="AJ17739" s="1747"/>
      <c r="AK17739" s="1748"/>
      <c r="AL17739" s="198"/>
      <c r="AM17739" s="198"/>
      <c r="AN17739" s="198"/>
      <c r="AO17739" s="198"/>
    </row>
    <row r="17740" spans="35:41" ht="19.5" thickBot="1" x14ac:dyDescent="0.35">
      <c r="AI17740" s="1746" t="s">
        <v>150</v>
      </c>
      <c r="AJ17740" s="1747"/>
      <c r="AK17740" s="1748"/>
      <c r="AL17740" s="198"/>
      <c r="AM17740" s="198"/>
      <c r="AN17740" s="198"/>
      <c r="AO17740" s="198"/>
    </row>
    <row r="17741" spans="35:41" ht="19.5" thickBot="1" x14ac:dyDescent="0.35">
      <c r="AI17741" s="1746" t="s">
        <v>150</v>
      </c>
      <c r="AJ17741" s="1747"/>
      <c r="AK17741" s="1748"/>
      <c r="AL17741" s="198"/>
      <c r="AM17741" s="198"/>
      <c r="AN17741" s="198"/>
      <c r="AO17741" s="198"/>
    </row>
    <row r="17742" spans="35:41" ht="19.5" thickBot="1" x14ac:dyDescent="0.35">
      <c r="AI17742" s="1746" t="s">
        <v>150</v>
      </c>
      <c r="AJ17742" s="1747"/>
      <c r="AK17742" s="1748"/>
      <c r="AL17742" s="198"/>
      <c r="AM17742" s="198"/>
      <c r="AN17742" s="198"/>
      <c r="AO17742" s="198"/>
    </row>
    <row r="17743" spans="35:41" ht="19.5" thickBot="1" x14ac:dyDescent="0.35">
      <c r="AI17743" s="1746" t="s">
        <v>150</v>
      </c>
      <c r="AJ17743" s="1747"/>
      <c r="AK17743" s="1748"/>
      <c r="AL17743" s="198"/>
      <c r="AM17743" s="198"/>
      <c r="AN17743" s="198"/>
      <c r="AO17743" s="198"/>
    </row>
    <row r="17744" spans="35:41" ht="19.5" thickBot="1" x14ac:dyDescent="0.35">
      <c r="AI17744" s="1746" t="s">
        <v>150</v>
      </c>
      <c r="AJ17744" s="1747"/>
      <c r="AK17744" s="1748"/>
      <c r="AL17744" s="198"/>
      <c r="AM17744" s="198"/>
      <c r="AN17744" s="198"/>
      <c r="AO17744" s="198"/>
    </row>
    <row r="17745" spans="35:41" ht="19.5" thickBot="1" x14ac:dyDescent="0.35">
      <c r="AI17745" s="1746" t="s">
        <v>150</v>
      </c>
      <c r="AJ17745" s="1747"/>
      <c r="AK17745" s="1748"/>
      <c r="AL17745" s="198"/>
      <c r="AM17745" s="198"/>
      <c r="AN17745" s="198"/>
      <c r="AO17745" s="198"/>
    </row>
    <row r="17746" spans="35:41" ht="19.5" thickBot="1" x14ac:dyDescent="0.35">
      <c r="AI17746" s="1746" t="s">
        <v>150</v>
      </c>
      <c r="AJ17746" s="1747"/>
      <c r="AK17746" s="1748"/>
      <c r="AL17746" s="198"/>
      <c r="AM17746" s="198"/>
      <c r="AN17746" s="198"/>
      <c r="AO17746" s="198"/>
    </row>
    <row r="17747" spans="35:41" ht="19.5" thickBot="1" x14ac:dyDescent="0.35">
      <c r="AI17747" s="1746" t="s">
        <v>150</v>
      </c>
      <c r="AJ17747" s="1747"/>
      <c r="AK17747" s="1748"/>
      <c r="AL17747" s="198"/>
      <c r="AM17747" s="198"/>
      <c r="AN17747" s="198"/>
      <c r="AO17747" s="198"/>
    </row>
    <row r="17748" spans="35:41" ht="19.5" thickBot="1" x14ac:dyDescent="0.35">
      <c r="AI17748" s="1746" t="s">
        <v>150</v>
      </c>
      <c r="AJ17748" s="1747"/>
      <c r="AK17748" s="1748"/>
      <c r="AL17748" s="198"/>
      <c r="AM17748" s="198"/>
      <c r="AN17748" s="198"/>
      <c r="AO17748" s="198"/>
    </row>
    <row r="17749" spans="35:41" ht="19.5" thickBot="1" x14ac:dyDescent="0.35">
      <c r="AI17749" s="1746" t="s">
        <v>150</v>
      </c>
      <c r="AJ17749" s="1747"/>
      <c r="AK17749" s="1748"/>
      <c r="AL17749" s="198"/>
      <c r="AM17749" s="198"/>
      <c r="AN17749" s="198"/>
      <c r="AO17749" s="198"/>
    </row>
    <row r="17750" spans="35:41" ht="19.5" thickBot="1" x14ac:dyDescent="0.35">
      <c r="AI17750" s="1746" t="s">
        <v>150</v>
      </c>
      <c r="AJ17750" s="1747"/>
      <c r="AK17750" s="1748"/>
      <c r="AL17750" s="198"/>
      <c r="AM17750" s="198"/>
      <c r="AN17750" s="198"/>
      <c r="AO17750" s="198"/>
    </row>
    <row r="17751" spans="35:41" ht="19.5" thickBot="1" x14ac:dyDescent="0.35">
      <c r="AI17751" s="1746" t="s">
        <v>150</v>
      </c>
      <c r="AJ17751" s="1747"/>
      <c r="AK17751" s="1748"/>
      <c r="AL17751" s="198"/>
      <c r="AM17751" s="198"/>
      <c r="AN17751" s="198"/>
      <c r="AO17751" s="198"/>
    </row>
    <row r="17752" spans="35:41" ht="19.5" thickBot="1" x14ac:dyDescent="0.35">
      <c r="AI17752" s="1746" t="s">
        <v>150</v>
      </c>
      <c r="AJ17752" s="1747"/>
      <c r="AK17752" s="1748"/>
      <c r="AL17752" s="198"/>
      <c r="AM17752" s="198"/>
      <c r="AN17752" s="198"/>
      <c r="AO17752" s="198"/>
    </row>
    <row r="17753" spans="35:41" ht="19.5" thickBot="1" x14ac:dyDescent="0.35">
      <c r="AI17753" s="1746" t="s">
        <v>150</v>
      </c>
      <c r="AJ17753" s="1747"/>
      <c r="AK17753" s="1748"/>
      <c r="AL17753" s="198"/>
      <c r="AM17753" s="198"/>
      <c r="AN17753" s="198"/>
      <c r="AO17753" s="198"/>
    </row>
    <row r="17754" spans="35:41" ht="19.5" thickBot="1" x14ac:dyDescent="0.35">
      <c r="AI17754" s="1746" t="s">
        <v>150</v>
      </c>
      <c r="AJ17754" s="1747"/>
      <c r="AK17754" s="1748"/>
      <c r="AL17754" s="198"/>
      <c r="AM17754" s="198"/>
      <c r="AN17754" s="198"/>
      <c r="AO17754" s="198"/>
    </row>
    <row r="17755" spans="35:41" ht="19.5" thickBot="1" x14ac:dyDescent="0.35">
      <c r="AI17755" s="1746" t="s">
        <v>150</v>
      </c>
      <c r="AJ17755" s="1747"/>
      <c r="AK17755" s="1748"/>
      <c r="AL17755" s="198"/>
      <c r="AM17755" s="198"/>
      <c r="AN17755" s="198"/>
      <c r="AO17755" s="198"/>
    </row>
    <row r="17756" spans="35:41" ht="19.5" thickBot="1" x14ac:dyDescent="0.35">
      <c r="AI17756" s="1746" t="s">
        <v>150</v>
      </c>
      <c r="AJ17756" s="1747"/>
      <c r="AK17756" s="1748"/>
      <c r="AL17756" s="198"/>
      <c r="AM17756" s="198"/>
      <c r="AN17756" s="198"/>
      <c r="AO17756" s="198"/>
    </row>
    <row r="17757" spans="35:41" ht="19.5" thickBot="1" x14ac:dyDescent="0.35">
      <c r="AI17757" s="1746" t="s">
        <v>150</v>
      </c>
      <c r="AJ17757" s="1747"/>
      <c r="AK17757" s="1748"/>
      <c r="AL17757" s="198"/>
      <c r="AM17757" s="198"/>
      <c r="AN17757" s="198"/>
      <c r="AO17757" s="198"/>
    </row>
    <row r="17758" spans="35:41" ht="19.5" thickBot="1" x14ac:dyDescent="0.35">
      <c r="AI17758" s="1746" t="s">
        <v>150</v>
      </c>
      <c r="AJ17758" s="1747"/>
      <c r="AK17758" s="1748"/>
      <c r="AL17758" s="198"/>
      <c r="AM17758" s="198"/>
      <c r="AN17758" s="198"/>
      <c r="AO17758" s="198"/>
    </row>
    <row r="17759" spans="35:41" ht="19.5" thickBot="1" x14ac:dyDescent="0.35">
      <c r="AI17759" s="1746" t="s">
        <v>150</v>
      </c>
      <c r="AJ17759" s="1747"/>
      <c r="AK17759" s="1748"/>
      <c r="AL17759" s="198"/>
      <c r="AM17759" s="198"/>
      <c r="AN17759" s="198"/>
      <c r="AO17759" s="198"/>
    </row>
    <row r="17760" spans="35:41" ht="19.5" thickBot="1" x14ac:dyDescent="0.35">
      <c r="AI17760" s="1746" t="s">
        <v>150</v>
      </c>
      <c r="AJ17760" s="1747"/>
      <c r="AK17760" s="1748"/>
      <c r="AL17760" s="198"/>
      <c r="AM17760" s="198"/>
      <c r="AN17760" s="198"/>
      <c r="AO17760" s="198"/>
    </row>
    <row r="17761" spans="35:41" ht="19.5" thickBot="1" x14ac:dyDescent="0.35">
      <c r="AI17761" s="1746" t="s">
        <v>150</v>
      </c>
      <c r="AJ17761" s="1747"/>
      <c r="AK17761" s="1748"/>
      <c r="AL17761" s="198"/>
      <c r="AM17761" s="198"/>
      <c r="AN17761" s="198"/>
      <c r="AO17761" s="198"/>
    </row>
    <row r="17762" spans="35:41" ht="19.5" thickBot="1" x14ac:dyDescent="0.35">
      <c r="AI17762" s="1746" t="s">
        <v>150</v>
      </c>
      <c r="AJ17762" s="1747"/>
      <c r="AK17762" s="1748"/>
      <c r="AL17762" s="198"/>
      <c r="AM17762" s="198"/>
      <c r="AN17762" s="198"/>
      <c r="AO17762" s="198"/>
    </row>
    <row r="17763" spans="35:41" ht="19.5" thickBot="1" x14ac:dyDescent="0.35">
      <c r="AI17763" s="1746" t="s">
        <v>150</v>
      </c>
      <c r="AJ17763" s="1747"/>
      <c r="AK17763" s="1748"/>
      <c r="AL17763" s="198"/>
      <c r="AM17763" s="198"/>
      <c r="AN17763" s="198"/>
      <c r="AO17763" s="198"/>
    </row>
    <row r="17764" spans="35:41" ht="19.5" thickBot="1" x14ac:dyDescent="0.35">
      <c r="AI17764" s="1746" t="s">
        <v>150</v>
      </c>
      <c r="AJ17764" s="1747"/>
      <c r="AK17764" s="1748"/>
      <c r="AL17764" s="198"/>
      <c r="AM17764" s="198"/>
      <c r="AN17764" s="198"/>
      <c r="AO17764" s="198"/>
    </row>
    <row r="17765" spans="35:41" ht="19.5" thickBot="1" x14ac:dyDescent="0.35">
      <c r="AI17765" s="1746" t="s">
        <v>150</v>
      </c>
      <c r="AJ17765" s="1747"/>
      <c r="AK17765" s="1748"/>
      <c r="AL17765" s="198"/>
      <c r="AM17765" s="198"/>
      <c r="AN17765" s="198"/>
      <c r="AO17765" s="198"/>
    </row>
    <row r="17766" spans="35:41" ht="19.5" thickBot="1" x14ac:dyDescent="0.35">
      <c r="AI17766" s="1746" t="s">
        <v>150</v>
      </c>
      <c r="AJ17766" s="1747"/>
      <c r="AK17766" s="1748"/>
      <c r="AL17766" s="198"/>
      <c r="AM17766" s="198"/>
      <c r="AN17766" s="198"/>
      <c r="AO17766" s="198"/>
    </row>
    <row r="17767" spans="35:41" ht="19.5" thickBot="1" x14ac:dyDescent="0.35">
      <c r="AI17767" s="1746" t="s">
        <v>150</v>
      </c>
      <c r="AJ17767" s="1747"/>
      <c r="AK17767" s="1748"/>
      <c r="AL17767" s="198"/>
      <c r="AM17767" s="198"/>
      <c r="AN17767" s="198"/>
      <c r="AO17767" s="198"/>
    </row>
    <row r="17768" spans="35:41" ht="19.5" thickBot="1" x14ac:dyDescent="0.35">
      <c r="AI17768" s="1746" t="s">
        <v>150</v>
      </c>
      <c r="AJ17768" s="1747"/>
      <c r="AK17768" s="1748"/>
      <c r="AL17768" s="198"/>
      <c r="AM17768" s="198"/>
      <c r="AN17768" s="198"/>
      <c r="AO17768" s="198"/>
    </row>
    <row r="17769" spans="35:41" ht="19.5" thickBot="1" x14ac:dyDescent="0.35">
      <c r="AI17769" s="1746" t="s">
        <v>150</v>
      </c>
      <c r="AJ17769" s="1747"/>
      <c r="AK17769" s="1748"/>
      <c r="AL17769" s="198"/>
      <c r="AM17769" s="198"/>
      <c r="AN17769" s="198"/>
      <c r="AO17769" s="198"/>
    </row>
    <row r="17770" spans="35:41" ht="19.5" thickBot="1" x14ac:dyDescent="0.35">
      <c r="AI17770" s="1746" t="s">
        <v>150</v>
      </c>
      <c r="AJ17770" s="1747"/>
      <c r="AK17770" s="1748"/>
      <c r="AL17770" s="198"/>
      <c r="AM17770" s="198"/>
      <c r="AN17770" s="198"/>
      <c r="AO17770" s="198"/>
    </row>
    <row r="17771" spans="35:41" ht="19.5" thickBot="1" x14ac:dyDescent="0.35">
      <c r="AI17771" s="1746" t="s">
        <v>150</v>
      </c>
      <c r="AJ17771" s="1747"/>
      <c r="AK17771" s="1748"/>
      <c r="AL17771" s="198"/>
      <c r="AM17771" s="198"/>
      <c r="AN17771" s="198"/>
      <c r="AO17771" s="198"/>
    </row>
    <row r="17772" spans="35:41" ht="19.5" thickBot="1" x14ac:dyDescent="0.35">
      <c r="AI17772" s="1746" t="s">
        <v>150</v>
      </c>
      <c r="AJ17772" s="1747"/>
      <c r="AK17772" s="1748"/>
      <c r="AL17772" s="198"/>
      <c r="AM17772" s="198"/>
      <c r="AN17772" s="198"/>
      <c r="AO17772" s="198"/>
    </row>
    <row r="17773" spans="35:41" ht="19.5" thickBot="1" x14ac:dyDescent="0.35">
      <c r="AI17773" s="1746" t="s">
        <v>150</v>
      </c>
      <c r="AJ17773" s="1747"/>
      <c r="AK17773" s="1748"/>
      <c r="AL17773" s="198"/>
      <c r="AM17773" s="198"/>
      <c r="AN17773" s="198"/>
      <c r="AO17773" s="198"/>
    </row>
    <row r="17774" spans="35:41" ht="19.5" thickBot="1" x14ac:dyDescent="0.35">
      <c r="AI17774" s="1746" t="s">
        <v>150</v>
      </c>
      <c r="AJ17774" s="1747"/>
      <c r="AK17774" s="1748"/>
      <c r="AL17774" s="198"/>
      <c r="AM17774" s="198"/>
      <c r="AN17774" s="198"/>
      <c r="AO17774" s="198"/>
    </row>
    <row r="17775" spans="35:41" ht="19.5" thickBot="1" x14ac:dyDescent="0.35">
      <c r="AI17775" s="1746" t="s">
        <v>150</v>
      </c>
      <c r="AJ17775" s="1747"/>
      <c r="AK17775" s="1748"/>
      <c r="AL17775" s="198"/>
      <c r="AM17775" s="198"/>
      <c r="AN17775" s="198"/>
      <c r="AO17775" s="198"/>
    </row>
    <row r="17776" spans="35:41" ht="19.5" thickBot="1" x14ac:dyDescent="0.35">
      <c r="AI17776" s="1746" t="s">
        <v>150</v>
      </c>
      <c r="AJ17776" s="1747"/>
      <c r="AK17776" s="1748"/>
      <c r="AL17776" s="198"/>
      <c r="AM17776" s="198"/>
      <c r="AN17776" s="198"/>
      <c r="AO17776" s="198"/>
    </row>
    <row r="17777" spans="35:41" ht="19.5" thickBot="1" x14ac:dyDescent="0.35">
      <c r="AI17777" s="1746" t="s">
        <v>150</v>
      </c>
      <c r="AJ17777" s="1747"/>
      <c r="AK17777" s="1748"/>
      <c r="AL17777" s="198"/>
      <c r="AM17777" s="198"/>
      <c r="AN17777" s="198"/>
      <c r="AO17777" s="198"/>
    </row>
    <row r="17778" spans="35:41" ht="19.5" thickBot="1" x14ac:dyDescent="0.35">
      <c r="AI17778" s="1746" t="s">
        <v>150</v>
      </c>
      <c r="AJ17778" s="1747"/>
      <c r="AK17778" s="1748"/>
      <c r="AL17778" s="198"/>
      <c r="AM17778" s="198"/>
      <c r="AN17778" s="198"/>
      <c r="AO17778" s="198"/>
    </row>
    <row r="17779" spans="35:41" ht="19.5" thickBot="1" x14ac:dyDescent="0.35">
      <c r="AI17779" s="1746" t="s">
        <v>150</v>
      </c>
      <c r="AJ17779" s="1747"/>
      <c r="AK17779" s="1748"/>
      <c r="AL17779" s="198"/>
      <c r="AM17779" s="198"/>
      <c r="AN17779" s="198"/>
      <c r="AO17779" s="198"/>
    </row>
    <row r="17780" spans="35:41" ht="19.5" thickBot="1" x14ac:dyDescent="0.35">
      <c r="AI17780" s="1746" t="s">
        <v>150</v>
      </c>
      <c r="AJ17780" s="1747"/>
      <c r="AK17780" s="1748"/>
      <c r="AL17780" s="198"/>
      <c r="AM17780" s="198"/>
      <c r="AN17780" s="198"/>
      <c r="AO17780" s="198"/>
    </row>
    <row r="17781" spans="35:41" ht="19.5" thickBot="1" x14ac:dyDescent="0.35">
      <c r="AI17781" s="1746" t="s">
        <v>150</v>
      </c>
      <c r="AJ17781" s="1747"/>
      <c r="AK17781" s="1748"/>
      <c r="AL17781" s="198"/>
      <c r="AM17781" s="198"/>
      <c r="AN17781" s="198"/>
      <c r="AO17781" s="198"/>
    </row>
    <row r="17782" spans="35:41" ht="19.5" thickBot="1" x14ac:dyDescent="0.35">
      <c r="AI17782" s="1746" t="s">
        <v>150</v>
      </c>
      <c r="AJ17782" s="1747"/>
      <c r="AK17782" s="1748"/>
      <c r="AL17782" s="198"/>
      <c r="AM17782" s="198"/>
      <c r="AN17782" s="198"/>
      <c r="AO17782" s="198"/>
    </row>
    <row r="17783" spans="35:41" ht="19.5" thickBot="1" x14ac:dyDescent="0.35">
      <c r="AI17783" s="1746" t="s">
        <v>150</v>
      </c>
      <c r="AJ17783" s="1747"/>
      <c r="AK17783" s="1748"/>
      <c r="AL17783" s="198"/>
      <c r="AM17783" s="198"/>
      <c r="AN17783" s="198"/>
      <c r="AO17783" s="198"/>
    </row>
    <row r="17784" spans="35:41" ht="19.5" thickBot="1" x14ac:dyDescent="0.35">
      <c r="AI17784" s="1746" t="s">
        <v>150</v>
      </c>
      <c r="AJ17784" s="1747"/>
      <c r="AK17784" s="1748"/>
      <c r="AL17784" s="198"/>
      <c r="AM17784" s="198"/>
      <c r="AN17784" s="198"/>
      <c r="AO17784" s="198"/>
    </row>
    <row r="17785" spans="35:41" ht="19.5" thickBot="1" x14ac:dyDescent="0.35">
      <c r="AI17785" s="1746" t="s">
        <v>150</v>
      </c>
      <c r="AJ17785" s="1747"/>
      <c r="AK17785" s="1748"/>
      <c r="AL17785" s="198"/>
      <c r="AM17785" s="198"/>
      <c r="AN17785" s="198"/>
      <c r="AO17785" s="198"/>
    </row>
    <row r="17786" spans="35:41" ht="19.5" thickBot="1" x14ac:dyDescent="0.35">
      <c r="AI17786" s="1746" t="s">
        <v>150</v>
      </c>
      <c r="AJ17786" s="1747"/>
      <c r="AK17786" s="1748"/>
      <c r="AL17786" s="198"/>
      <c r="AM17786" s="198"/>
      <c r="AN17786" s="198"/>
      <c r="AO17786" s="198"/>
    </row>
    <row r="17787" spans="35:41" ht="19.5" thickBot="1" x14ac:dyDescent="0.35">
      <c r="AI17787" s="1746" t="s">
        <v>150</v>
      </c>
      <c r="AJ17787" s="1747"/>
      <c r="AK17787" s="1748"/>
      <c r="AL17787" s="198"/>
      <c r="AM17787" s="198"/>
      <c r="AN17787" s="198"/>
      <c r="AO17787" s="198"/>
    </row>
    <row r="17788" spans="35:41" ht="19.5" thickBot="1" x14ac:dyDescent="0.35">
      <c r="AI17788" s="1746" t="s">
        <v>150</v>
      </c>
      <c r="AJ17788" s="1747"/>
      <c r="AK17788" s="1748"/>
      <c r="AL17788" s="198"/>
      <c r="AM17788" s="198"/>
      <c r="AN17788" s="198"/>
      <c r="AO17788" s="198"/>
    </row>
    <row r="17789" spans="35:41" ht="19.5" thickBot="1" x14ac:dyDescent="0.35">
      <c r="AI17789" s="1746" t="s">
        <v>150</v>
      </c>
      <c r="AJ17789" s="1747"/>
      <c r="AK17789" s="1748"/>
      <c r="AL17789" s="198"/>
      <c r="AM17789" s="198"/>
      <c r="AN17789" s="198"/>
      <c r="AO17789" s="198"/>
    </row>
    <row r="17790" spans="35:41" ht="19.5" thickBot="1" x14ac:dyDescent="0.35">
      <c r="AI17790" s="1746" t="s">
        <v>150</v>
      </c>
      <c r="AJ17790" s="1747"/>
      <c r="AK17790" s="1748"/>
      <c r="AL17790" s="198"/>
      <c r="AM17790" s="198"/>
      <c r="AN17790" s="198"/>
      <c r="AO17790" s="198"/>
    </row>
    <row r="17791" spans="35:41" ht="19.5" thickBot="1" x14ac:dyDescent="0.35">
      <c r="AI17791" s="1746" t="s">
        <v>150</v>
      </c>
      <c r="AJ17791" s="1747"/>
      <c r="AK17791" s="1748"/>
      <c r="AL17791" s="198"/>
      <c r="AM17791" s="198"/>
      <c r="AN17791" s="198"/>
      <c r="AO17791" s="198"/>
    </row>
    <row r="17792" spans="35:41" ht="19.5" thickBot="1" x14ac:dyDescent="0.35">
      <c r="AI17792" s="1746" t="s">
        <v>150</v>
      </c>
      <c r="AJ17792" s="1747"/>
      <c r="AK17792" s="1748"/>
      <c r="AL17792" s="198"/>
      <c r="AM17792" s="198"/>
      <c r="AN17792" s="198"/>
      <c r="AO17792" s="198"/>
    </row>
    <row r="17793" spans="35:41" ht="19.5" thickBot="1" x14ac:dyDescent="0.35">
      <c r="AI17793" s="1746" t="s">
        <v>150</v>
      </c>
      <c r="AJ17793" s="1747"/>
      <c r="AK17793" s="1748"/>
      <c r="AL17793" s="198"/>
      <c r="AM17793" s="198"/>
      <c r="AN17793" s="198"/>
      <c r="AO17793" s="198"/>
    </row>
    <row r="17794" spans="35:41" ht="19.5" thickBot="1" x14ac:dyDescent="0.35">
      <c r="AI17794" s="1746" t="s">
        <v>150</v>
      </c>
      <c r="AJ17794" s="1747"/>
      <c r="AK17794" s="1748"/>
      <c r="AL17794" s="198"/>
      <c r="AM17794" s="198"/>
      <c r="AN17794" s="198"/>
      <c r="AO17794" s="198"/>
    </row>
    <row r="17795" spans="35:41" ht="19.5" thickBot="1" x14ac:dyDescent="0.35">
      <c r="AI17795" s="1746" t="s">
        <v>150</v>
      </c>
      <c r="AJ17795" s="1747"/>
      <c r="AK17795" s="1748"/>
      <c r="AL17795" s="198"/>
      <c r="AM17795" s="198"/>
      <c r="AN17795" s="198"/>
      <c r="AO17795" s="198"/>
    </row>
    <row r="17796" spans="35:41" ht="19.5" thickBot="1" x14ac:dyDescent="0.35">
      <c r="AI17796" s="1746" t="s">
        <v>150</v>
      </c>
      <c r="AJ17796" s="1747"/>
      <c r="AK17796" s="1748"/>
      <c r="AL17796" s="198"/>
      <c r="AM17796" s="198"/>
      <c r="AN17796" s="198"/>
      <c r="AO17796" s="198"/>
    </row>
    <row r="17797" spans="35:41" ht="19.5" thickBot="1" x14ac:dyDescent="0.35">
      <c r="AI17797" s="1746" t="s">
        <v>150</v>
      </c>
      <c r="AJ17797" s="1747"/>
      <c r="AK17797" s="1748"/>
      <c r="AL17797" s="198"/>
      <c r="AM17797" s="198"/>
      <c r="AN17797" s="198"/>
      <c r="AO17797" s="198"/>
    </row>
    <row r="17798" spans="35:41" ht="19.5" thickBot="1" x14ac:dyDescent="0.35">
      <c r="AI17798" s="1746" t="s">
        <v>150</v>
      </c>
      <c r="AJ17798" s="1747"/>
      <c r="AK17798" s="1748"/>
      <c r="AL17798" s="198"/>
      <c r="AM17798" s="198"/>
      <c r="AN17798" s="198"/>
      <c r="AO17798" s="198"/>
    </row>
    <row r="17799" spans="35:41" ht="19.5" thickBot="1" x14ac:dyDescent="0.35">
      <c r="AI17799" s="1746" t="s">
        <v>150</v>
      </c>
      <c r="AJ17799" s="1747"/>
      <c r="AK17799" s="1748"/>
      <c r="AL17799" s="198"/>
      <c r="AM17799" s="198"/>
      <c r="AN17799" s="198"/>
      <c r="AO17799" s="198"/>
    </row>
    <row r="17800" spans="35:41" ht="19.5" thickBot="1" x14ac:dyDescent="0.35">
      <c r="AI17800" s="1746" t="s">
        <v>150</v>
      </c>
      <c r="AJ17800" s="1747"/>
      <c r="AK17800" s="1748"/>
      <c r="AL17800" s="198"/>
      <c r="AM17800" s="198"/>
      <c r="AN17800" s="198"/>
      <c r="AO17800" s="198"/>
    </row>
    <row r="17801" spans="35:41" ht="19.5" thickBot="1" x14ac:dyDescent="0.35">
      <c r="AI17801" s="1746" t="s">
        <v>150</v>
      </c>
      <c r="AJ17801" s="1747"/>
      <c r="AK17801" s="1748"/>
      <c r="AL17801" s="198"/>
      <c r="AM17801" s="198"/>
      <c r="AN17801" s="198"/>
      <c r="AO17801" s="198"/>
    </row>
    <row r="17802" spans="35:41" ht="19.5" thickBot="1" x14ac:dyDescent="0.35">
      <c r="AI17802" s="1746" t="s">
        <v>150</v>
      </c>
      <c r="AJ17802" s="1747"/>
      <c r="AK17802" s="1748"/>
      <c r="AL17802" s="198"/>
      <c r="AM17802" s="198"/>
      <c r="AN17802" s="198"/>
      <c r="AO17802" s="198"/>
    </row>
    <row r="17803" spans="35:41" ht="19.5" thickBot="1" x14ac:dyDescent="0.35">
      <c r="AI17803" s="1746" t="s">
        <v>150</v>
      </c>
      <c r="AJ17803" s="1747"/>
      <c r="AK17803" s="1748"/>
      <c r="AL17803" s="198"/>
      <c r="AM17803" s="198"/>
      <c r="AN17803" s="198"/>
      <c r="AO17803" s="198"/>
    </row>
    <row r="17804" spans="35:41" ht="19.5" thickBot="1" x14ac:dyDescent="0.35">
      <c r="AI17804" s="1746" t="s">
        <v>150</v>
      </c>
      <c r="AJ17804" s="1747"/>
      <c r="AK17804" s="1748"/>
      <c r="AL17804" s="198"/>
      <c r="AM17804" s="198"/>
      <c r="AN17804" s="198"/>
      <c r="AO17804" s="198"/>
    </row>
    <row r="17805" spans="35:41" ht="19.5" thickBot="1" x14ac:dyDescent="0.35">
      <c r="AI17805" s="1746" t="s">
        <v>150</v>
      </c>
      <c r="AJ17805" s="1747"/>
      <c r="AK17805" s="1748"/>
      <c r="AL17805" s="198"/>
      <c r="AM17805" s="198"/>
      <c r="AN17805" s="198"/>
      <c r="AO17805" s="198"/>
    </row>
    <row r="17806" spans="35:41" ht="19.5" thickBot="1" x14ac:dyDescent="0.35">
      <c r="AI17806" s="1746" t="s">
        <v>150</v>
      </c>
      <c r="AJ17806" s="1747"/>
      <c r="AK17806" s="1748"/>
      <c r="AL17806" s="198"/>
      <c r="AM17806" s="198"/>
      <c r="AN17806" s="198"/>
      <c r="AO17806" s="198"/>
    </row>
    <row r="17807" spans="35:41" ht="19.5" thickBot="1" x14ac:dyDescent="0.35">
      <c r="AI17807" s="1746" t="s">
        <v>150</v>
      </c>
      <c r="AJ17807" s="1747"/>
      <c r="AK17807" s="1748"/>
      <c r="AL17807" s="198"/>
      <c r="AM17807" s="198"/>
      <c r="AN17807" s="198"/>
      <c r="AO17807" s="198"/>
    </row>
    <row r="17808" spans="35:41" ht="19.5" thickBot="1" x14ac:dyDescent="0.35">
      <c r="AI17808" s="1746" t="s">
        <v>150</v>
      </c>
      <c r="AJ17808" s="1747"/>
      <c r="AK17808" s="1748"/>
      <c r="AL17808" s="198"/>
      <c r="AM17808" s="198"/>
      <c r="AN17808" s="198"/>
      <c r="AO17808" s="198"/>
    </row>
    <row r="17809" spans="35:41" ht="19.5" thickBot="1" x14ac:dyDescent="0.35">
      <c r="AI17809" s="1746" t="s">
        <v>150</v>
      </c>
      <c r="AJ17809" s="1747"/>
      <c r="AK17809" s="1748"/>
      <c r="AL17809" s="198"/>
      <c r="AM17809" s="198"/>
      <c r="AN17809" s="198"/>
      <c r="AO17809" s="198"/>
    </row>
    <row r="17810" spans="35:41" ht="19.5" thickBot="1" x14ac:dyDescent="0.35">
      <c r="AI17810" s="1746" t="s">
        <v>150</v>
      </c>
      <c r="AJ17810" s="1747"/>
      <c r="AK17810" s="1748"/>
      <c r="AL17810" s="198"/>
      <c r="AM17810" s="198"/>
      <c r="AN17810" s="198"/>
      <c r="AO17810" s="198"/>
    </row>
    <row r="17811" spans="35:41" ht="19.5" thickBot="1" x14ac:dyDescent="0.35">
      <c r="AI17811" s="1746" t="s">
        <v>150</v>
      </c>
      <c r="AJ17811" s="1747"/>
      <c r="AK17811" s="1748"/>
      <c r="AL17811" s="198"/>
      <c r="AM17811" s="198"/>
      <c r="AN17811" s="198"/>
      <c r="AO17811" s="198"/>
    </row>
    <row r="17812" spans="35:41" ht="19.5" thickBot="1" x14ac:dyDescent="0.35">
      <c r="AI17812" s="1746" t="s">
        <v>150</v>
      </c>
      <c r="AJ17812" s="1747"/>
      <c r="AK17812" s="1748"/>
      <c r="AL17812" s="198"/>
      <c r="AM17812" s="198"/>
      <c r="AN17812" s="198"/>
      <c r="AO17812" s="198"/>
    </row>
    <row r="17813" spans="35:41" ht="19.5" thickBot="1" x14ac:dyDescent="0.35">
      <c r="AI17813" s="1746" t="s">
        <v>150</v>
      </c>
      <c r="AJ17813" s="1747"/>
      <c r="AK17813" s="1748"/>
      <c r="AL17813" s="198"/>
      <c r="AM17813" s="198"/>
      <c r="AN17813" s="198"/>
      <c r="AO17813" s="198"/>
    </row>
    <row r="17814" spans="35:41" ht="19.5" thickBot="1" x14ac:dyDescent="0.35">
      <c r="AI17814" s="1746" t="s">
        <v>150</v>
      </c>
      <c r="AJ17814" s="1747"/>
      <c r="AK17814" s="1748"/>
      <c r="AL17814" s="198"/>
      <c r="AM17814" s="198"/>
      <c r="AN17814" s="198"/>
      <c r="AO17814" s="198"/>
    </row>
    <row r="17815" spans="35:41" ht="19.5" thickBot="1" x14ac:dyDescent="0.35">
      <c r="AI17815" s="1746" t="s">
        <v>150</v>
      </c>
      <c r="AJ17815" s="1747"/>
      <c r="AK17815" s="1748"/>
      <c r="AL17815" s="198"/>
      <c r="AM17815" s="198"/>
      <c r="AN17815" s="198"/>
      <c r="AO17815" s="198"/>
    </row>
    <row r="17816" spans="35:41" ht="19.5" thickBot="1" x14ac:dyDescent="0.35">
      <c r="AI17816" s="1746" t="s">
        <v>150</v>
      </c>
      <c r="AJ17816" s="1747"/>
      <c r="AK17816" s="1748"/>
      <c r="AL17816" s="198"/>
      <c r="AM17816" s="198"/>
      <c r="AN17816" s="198"/>
      <c r="AO17816" s="198"/>
    </row>
    <row r="17817" spans="35:41" ht="19.5" thickBot="1" x14ac:dyDescent="0.35">
      <c r="AI17817" s="1746" t="s">
        <v>150</v>
      </c>
      <c r="AJ17817" s="1747"/>
      <c r="AK17817" s="1748"/>
      <c r="AL17817" s="198"/>
      <c r="AM17817" s="198"/>
      <c r="AN17817" s="198"/>
      <c r="AO17817" s="198"/>
    </row>
    <row r="17818" spans="35:41" ht="19.5" thickBot="1" x14ac:dyDescent="0.35">
      <c r="AI17818" s="1746" t="s">
        <v>150</v>
      </c>
      <c r="AJ17818" s="1747"/>
      <c r="AK17818" s="1748"/>
      <c r="AL17818" s="198"/>
      <c r="AM17818" s="198"/>
      <c r="AN17818" s="198"/>
      <c r="AO17818" s="198"/>
    </row>
    <row r="17819" spans="35:41" ht="19.5" thickBot="1" x14ac:dyDescent="0.35">
      <c r="AI17819" s="1746" t="s">
        <v>150</v>
      </c>
      <c r="AJ17819" s="1747"/>
      <c r="AK17819" s="1748"/>
      <c r="AL17819" s="198"/>
      <c r="AM17819" s="198"/>
      <c r="AN17819" s="198"/>
      <c r="AO17819" s="198"/>
    </row>
    <row r="17820" spans="35:41" ht="19.5" thickBot="1" x14ac:dyDescent="0.35">
      <c r="AI17820" s="1746" t="s">
        <v>150</v>
      </c>
      <c r="AJ17820" s="1747"/>
      <c r="AK17820" s="1748"/>
      <c r="AL17820" s="198"/>
      <c r="AM17820" s="198"/>
      <c r="AN17820" s="198"/>
      <c r="AO17820" s="198"/>
    </row>
    <row r="17821" spans="35:41" ht="19.5" thickBot="1" x14ac:dyDescent="0.35">
      <c r="AI17821" s="1746" t="s">
        <v>150</v>
      </c>
      <c r="AJ17821" s="1747"/>
      <c r="AK17821" s="1748"/>
      <c r="AL17821" s="198"/>
      <c r="AM17821" s="198"/>
      <c r="AN17821" s="198"/>
      <c r="AO17821" s="198"/>
    </row>
    <row r="17822" spans="35:41" ht="19.5" thickBot="1" x14ac:dyDescent="0.35">
      <c r="AI17822" s="1746" t="s">
        <v>150</v>
      </c>
      <c r="AJ17822" s="1747"/>
      <c r="AK17822" s="1748"/>
      <c r="AL17822" s="198"/>
      <c r="AM17822" s="198"/>
      <c r="AN17822" s="198"/>
      <c r="AO17822" s="198"/>
    </row>
    <row r="17823" spans="35:41" ht="19.5" thickBot="1" x14ac:dyDescent="0.35">
      <c r="AI17823" s="1746" t="s">
        <v>150</v>
      </c>
      <c r="AJ17823" s="1747"/>
      <c r="AK17823" s="1748"/>
      <c r="AL17823" s="198"/>
      <c r="AM17823" s="198"/>
      <c r="AN17823" s="198"/>
      <c r="AO17823" s="198"/>
    </row>
    <row r="17824" spans="35:41" ht="19.5" thickBot="1" x14ac:dyDescent="0.35">
      <c r="AI17824" s="1746" t="s">
        <v>150</v>
      </c>
      <c r="AJ17824" s="1747"/>
      <c r="AK17824" s="1748"/>
      <c r="AL17824" s="198"/>
      <c r="AM17824" s="198"/>
      <c r="AN17824" s="198"/>
      <c r="AO17824" s="198"/>
    </row>
    <row r="17825" spans="35:41" ht="19.5" thickBot="1" x14ac:dyDescent="0.35">
      <c r="AI17825" s="1746" t="s">
        <v>150</v>
      </c>
      <c r="AJ17825" s="1747"/>
      <c r="AK17825" s="1748"/>
      <c r="AL17825" s="198"/>
      <c r="AM17825" s="198"/>
      <c r="AN17825" s="198"/>
      <c r="AO17825" s="198"/>
    </row>
    <row r="17826" spans="35:41" ht="19.5" thickBot="1" x14ac:dyDescent="0.35">
      <c r="AI17826" s="1746" t="s">
        <v>150</v>
      </c>
      <c r="AJ17826" s="1747"/>
      <c r="AK17826" s="1748"/>
      <c r="AL17826" s="198"/>
      <c r="AM17826" s="198"/>
      <c r="AN17826" s="198"/>
      <c r="AO17826" s="198"/>
    </row>
    <row r="17827" spans="35:41" ht="19.5" thickBot="1" x14ac:dyDescent="0.35">
      <c r="AI17827" s="1746" t="s">
        <v>150</v>
      </c>
      <c r="AJ17827" s="1747"/>
      <c r="AK17827" s="1748"/>
      <c r="AL17827" s="198"/>
      <c r="AM17827" s="198"/>
      <c r="AN17827" s="198"/>
      <c r="AO17827" s="198"/>
    </row>
    <row r="17828" spans="35:41" ht="19.5" thickBot="1" x14ac:dyDescent="0.35">
      <c r="AI17828" s="1746" t="s">
        <v>150</v>
      </c>
      <c r="AJ17828" s="1747"/>
      <c r="AK17828" s="1748"/>
      <c r="AL17828" s="198"/>
      <c r="AM17828" s="198"/>
      <c r="AN17828" s="198"/>
      <c r="AO17828" s="198"/>
    </row>
    <row r="17829" spans="35:41" ht="19.5" thickBot="1" x14ac:dyDescent="0.35">
      <c r="AI17829" s="1746" t="s">
        <v>150</v>
      </c>
      <c r="AJ17829" s="1747"/>
      <c r="AK17829" s="1748"/>
      <c r="AL17829" s="198"/>
      <c r="AM17829" s="198"/>
      <c r="AN17829" s="198"/>
      <c r="AO17829" s="198"/>
    </row>
    <row r="17830" spans="35:41" ht="19.5" thickBot="1" x14ac:dyDescent="0.35">
      <c r="AI17830" s="1746" t="s">
        <v>150</v>
      </c>
      <c r="AJ17830" s="1747"/>
      <c r="AK17830" s="1748"/>
      <c r="AL17830" s="198"/>
      <c r="AM17830" s="198"/>
      <c r="AN17830" s="198"/>
      <c r="AO17830" s="198"/>
    </row>
    <row r="17831" spans="35:41" ht="19.5" thickBot="1" x14ac:dyDescent="0.35">
      <c r="AI17831" s="1746" t="s">
        <v>150</v>
      </c>
      <c r="AJ17831" s="1747"/>
      <c r="AK17831" s="1748"/>
      <c r="AL17831" s="198"/>
      <c r="AM17831" s="198"/>
      <c r="AN17831" s="198"/>
      <c r="AO17831" s="198"/>
    </row>
    <row r="17832" spans="35:41" ht="19.5" thickBot="1" x14ac:dyDescent="0.35">
      <c r="AI17832" s="1746" t="s">
        <v>150</v>
      </c>
      <c r="AJ17832" s="1747"/>
      <c r="AK17832" s="1748"/>
      <c r="AL17832" s="198"/>
      <c r="AM17832" s="198"/>
      <c r="AN17832" s="198"/>
      <c r="AO17832" s="198"/>
    </row>
    <row r="17833" spans="35:41" ht="19.5" thickBot="1" x14ac:dyDescent="0.35">
      <c r="AI17833" s="1746" t="s">
        <v>150</v>
      </c>
      <c r="AJ17833" s="1747"/>
      <c r="AK17833" s="1748"/>
      <c r="AL17833" s="198"/>
      <c r="AM17833" s="198"/>
      <c r="AN17833" s="198"/>
      <c r="AO17833" s="198"/>
    </row>
    <row r="17834" spans="35:41" ht="19.5" thickBot="1" x14ac:dyDescent="0.35">
      <c r="AI17834" s="1746" t="s">
        <v>150</v>
      </c>
      <c r="AJ17834" s="1747"/>
      <c r="AK17834" s="1748"/>
      <c r="AL17834" s="198"/>
      <c r="AM17834" s="198"/>
      <c r="AN17834" s="198"/>
      <c r="AO17834" s="198"/>
    </row>
    <row r="17835" spans="35:41" ht="19.5" thickBot="1" x14ac:dyDescent="0.35">
      <c r="AI17835" s="1746" t="s">
        <v>150</v>
      </c>
      <c r="AJ17835" s="1747"/>
      <c r="AK17835" s="1748"/>
      <c r="AL17835" s="198"/>
      <c r="AM17835" s="198"/>
      <c r="AN17835" s="198"/>
      <c r="AO17835" s="198"/>
    </row>
    <row r="17836" spans="35:41" ht="19.5" thickBot="1" x14ac:dyDescent="0.35">
      <c r="AI17836" s="1746" t="s">
        <v>150</v>
      </c>
      <c r="AJ17836" s="1747"/>
      <c r="AK17836" s="1748"/>
      <c r="AL17836" s="198"/>
      <c r="AM17836" s="198"/>
      <c r="AN17836" s="198"/>
      <c r="AO17836" s="198"/>
    </row>
    <row r="17837" spans="35:41" ht="19.5" thickBot="1" x14ac:dyDescent="0.35">
      <c r="AI17837" s="1746" t="s">
        <v>150</v>
      </c>
      <c r="AJ17837" s="1747"/>
      <c r="AK17837" s="1748"/>
      <c r="AL17837" s="198"/>
      <c r="AM17837" s="198"/>
      <c r="AN17837" s="198"/>
      <c r="AO17837" s="198"/>
    </row>
    <row r="17838" spans="35:41" ht="19.5" thickBot="1" x14ac:dyDescent="0.35">
      <c r="AI17838" s="1746" t="s">
        <v>150</v>
      </c>
      <c r="AJ17838" s="1747"/>
      <c r="AK17838" s="1748"/>
      <c r="AL17838" s="198"/>
      <c r="AM17838" s="198"/>
      <c r="AN17838" s="198"/>
      <c r="AO17838" s="198"/>
    </row>
    <row r="17839" spans="35:41" ht="19.5" thickBot="1" x14ac:dyDescent="0.35">
      <c r="AI17839" s="1746" t="s">
        <v>150</v>
      </c>
      <c r="AJ17839" s="1747"/>
      <c r="AK17839" s="1748"/>
      <c r="AL17839" s="198"/>
      <c r="AM17839" s="198"/>
      <c r="AN17839" s="198"/>
      <c r="AO17839" s="198"/>
    </row>
    <row r="17840" spans="35:41" ht="19.5" thickBot="1" x14ac:dyDescent="0.35">
      <c r="AI17840" s="1746" t="s">
        <v>150</v>
      </c>
      <c r="AJ17840" s="1747"/>
      <c r="AK17840" s="1748"/>
      <c r="AL17840" s="198"/>
      <c r="AM17840" s="198"/>
      <c r="AN17840" s="198"/>
      <c r="AO17840" s="198"/>
    </row>
    <row r="17841" spans="35:41" ht="19.5" thickBot="1" x14ac:dyDescent="0.35">
      <c r="AI17841" s="1746" t="s">
        <v>150</v>
      </c>
      <c r="AJ17841" s="1747"/>
      <c r="AK17841" s="1748"/>
      <c r="AL17841" s="198"/>
      <c r="AM17841" s="198"/>
      <c r="AN17841" s="198"/>
      <c r="AO17841" s="198"/>
    </row>
    <row r="17842" spans="35:41" ht="19.5" thickBot="1" x14ac:dyDescent="0.35">
      <c r="AI17842" s="1746" t="s">
        <v>150</v>
      </c>
      <c r="AJ17842" s="1747"/>
      <c r="AK17842" s="1748"/>
      <c r="AL17842" s="198"/>
      <c r="AM17842" s="198"/>
      <c r="AN17842" s="198"/>
      <c r="AO17842" s="198"/>
    </row>
    <row r="17843" spans="35:41" ht="19.5" thickBot="1" x14ac:dyDescent="0.35">
      <c r="AI17843" s="1746" t="s">
        <v>150</v>
      </c>
      <c r="AJ17843" s="1747"/>
      <c r="AK17843" s="1748"/>
      <c r="AL17843" s="198"/>
      <c r="AM17843" s="198"/>
      <c r="AN17843" s="198"/>
      <c r="AO17843" s="198"/>
    </row>
    <row r="17844" spans="35:41" ht="19.5" thickBot="1" x14ac:dyDescent="0.35">
      <c r="AI17844" s="1746" t="s">
        <v>150</v>
      </c>
      <c r="AJ17844" s="1747"/>
      <c r="AK17844" s="1748"/>
      <c r="AL17844" s="198"/>
      <c r="AM17844" s="198"/>
      <c r="AN17844" s="198"/>
      <c r="AO17844" s="198"/>
    </row>
    <row r="17845" spans="35:41" ht="19.5" thickBot="1" x14ac:dyDescent="0.35">
      <c r="AI17845" s="1746" t="s">
        <v>150</v>
      </c>
      <c r="AJ17845" s="1747"/>
      <c r="AK17845" s="1748"/>
      <c r="AL17845" s="198"/>
      <c r="AM17845" s="198"/>
      <c r="AN17845" s="198"/>
      <c r="AO17845" s="198"/>
    </row>
    <row r="17846" spans="35:41" ht="19.5" thickBot="1" x14ac:dyDescent="0.35">
      <c r="AI17846" s="1746" t="s">
        <v>150</v>
      </c>
      <c r="AJ17846" s="1747"/>
      <c r="AK17846" s="1748"/>
      <c r="AL17846" s="198"/>
      <c r="AM17846" s="198"/>
      <c r="AN17846" s="198"/>
      <c r="AO17846" s="198"/>
    </row>
    <row r="17847" spans="35:41" ht="19.5" thickBot="1" x14ac:dyDescent="0.35">
      <c r="AI17847" s="1746" t="s">
        <v>150</v>
      </c>
      <c r="AJ17847" s="1747"/>
      <c r="AK17847" s="1748"/>
      <c r="AL17847" s="198"/>
      <c r="AM17847" s="198"/>
      <c r="AN17847" s="198"/>
      <c r="AO17847" s="198"/>
    </row>
    <row r="17848" spans="35:41" ht="19.5" thickBot="1" x14ac:dyDescent="0.35">
      <c r="AI17848" s="1746" t="s">
        <v>150</v>
      </c>
      <c r="AJ17848" s="1747"/>
      <c r="AK17848" s="1748"/>
      <c r="AL17848" s="198"/>
      <c r="AM17848" s="198"/>
      <c r="AN17848" s="198"/>
      <c r="AO17848" s="198"/>
    </row>
    <row r="17849" spans="35:41" ht="19.5" thickBot="1" x14ac:dyDescent="0.35">
      <c r="AI17849" s="1746" t="s">
        <v>150</v>
      </c>
      <c r="AJ17849" s="1747"/>
      <c r="AK17849" s="1748"/>
      <c r="AL17849" s="198"/>
      <c r="AM17849" s="198"/>
      <c r="AN17849" s="198"/>
      <c r="AO17849" s="198"/>
    </row>
    <row r="17850" spans="35:41" ht="19.5" thickBot="1" x14ac:dyDescent="0.35">
      <c r="AI17850" s="1746" t="s">
        <v>150</v>
      </c>
      <c r="AJ17850" s="1747"/>
      <c r="AK17850" s="1748"/>
      <c r="AL17850" s="198"/>
      <c r="AM17850" s="198"/>
      <c r="AN17850" s="198"/>
      <c r="AO17850" s="198"/>
    </row>
    <row r="17851" spans="35:41" ht="19.5" thickBot="1" x14ac:dyDescent="0.35">
      <c r="AI17851" s="1746" t="s">
        <v>150</v>
      </c>
      <c r="AJ17851" s="1747"/>
      <c r="AK17851" s="1748"/>
      <c r="AL17851" s="198"/>
      <c r="AM17851" s="198"/>
      <c r="AN17851" s="198"/>
      <c r="AO17851" s="198"/>
    </row>
    <row r="17852" spans="35:41" ht="19.5" thickBot="1" x14ac:dyDescent="0.35">
      <c r="AI17852" s="1746" t="s">
        <v>150</v>
      </c>
      <c r="AJ17852" s="1747"/>
      <c r="AK17852" s="1748"/>
      <c r="AL17852" s="198"/>
      <c r="AM17852" s="198"/>
      <c r="AN17852" s="198"/>
      <c r="AO17852" s="198"/>
    </row>
    <row r="17853" spans="35:41" ht="19.5" thickBot="1" x14ac:dyDescent="0.35">
      <c r="AI17853" s="1746" t="s">
        <v>150</v>
      </c>
      <c r="AJ17853" s="1747"/>
      <c r="AK17853" s="1748"/>
      <c r="AL17853" s="198"/>
      <c r="AM17853" s="198"/>
      <c r="AN17853" s="198"/>
      <c r="AO17853" s="198"/>
    </row>
    <row r="17854" spans="35:41" ht="19.5" thickBot="1" x14ac:dyDescent="0.35">
      <c r="AI17854" s="1746" t="s">
        <v>150</v>
      </c>
      <c r="AJ17854" s="1747"/>
      <c r="AK17854" s="1748"/>
      <c r="AL17854" s="198"/>
      <c r="AM17854" s="198"/>
      <c r="AN17854" s="198"/>
      <c r="AO17854" s="198"/>
    </row>
    <row r="17855" spans="35:41" ht="19.5" thickBot="1" x14ac:dyDescent="0.35">
      <c r="AI17855" s="1746" t="s">
        <v>150</v>
      </c>
      <c r="AJ17855" s="1747"/>
      <c r="AK17855" s="1748"/>
      <c r="AL17855" s="198"/>
      <c r="AM17855" s="198"/>
      <c r="AN17855" s="198"/>
      <c r="AO17855" s="198"/>
    </row>
    <row r="17856" spans="35:41" ht="19.5" thickBot="1" x14ac:dyDescent="0.35">
      <c r="AI17856" s="1746" t="s">
        <v>150</v>
      </c>
      <c r="AJ17856" s="1747"/>
      <c r="AK17856" s="1748"/>
      <c r="AL17856" s="198"/>
      <c r="AM17856" s="198"/>
      <c r="AN17856" s="198"/>
      <c r="AO17856" s="198"/>
    </row>
    <row r="17857" spans="35:41" ht="19.5" thickBot="1" x14ac:dyDescent="0.35">
      <c r="AI17857" s="1746" t="s">
        <v>150</v>
      </c>
      <c r="AJ17857" s="1747"/>
      <c r="AK17857" s="1748"/>
      <c r="AL17857" s="198"/>
      <c r="AM17857" s="198"/>
      <c r="AN17857" s="198"/>
      <c r="AO17857" s="198"/>
    </row>
    <row r="17858" spans="35:41" ht="19.5" thickBot="1" x14ac:dyDescent="0.35">
      <c r="AI17858" s="1746" t="s">
        <v>150</v>
      </c>
      <c r="AJ17858" s="1747"/>
      <c r="AK17858" s="1748"/>
      <c r="AL17858" s="198"/>
      <c r="AM17858" s="198"/>
      <c r="AN17858" s="198"/>
      <c r="AO17858" s="198"/>
    </row>
    <row r="17859" spans="35:41" ht="19.5" thickBot="1" x14ac:dyDescent="0.35">
      <c r="AI17859" s="1746" t="s">
        <v>150</v>
      </c>
      <c r="AJ17859" s="1747"/>
      <c r="AK17859" s="1748"/>
      <c r="AL17859" s="198"/>
      <c r="AM17859" s="198"/>
      <c r="AN17859" s="198"/>
      <c r="AO17859" s="198"/>
    </row>
    <row r="17860" spans="35:41" ht="19.5" thickBot="1" x14ac:dyDescent="0.35">
      <c r="AI17860" s="1746" t="s">
        <v>150</v>
      </c>
      <c r="AJ17860" s="1747"/>
      <c r="AK17860" s="1748"/>
      <c r="AL17860" s="198"/>
      <c r="AM17860" s="198"/>
      <c r="AN17860" s="198"/>
      <c r="AO17860" s="198"/>
    </row>
    <row r="17861" spans="35:41" ht="19.5" thickBot="1" x14ac:dyDescent="0.35">
      <c r="AI17861" s="1746" t="s">
        <v>150</v>
      </c>
      <c r="AJ17861" s="1747"/>
      <c r="AK17861" s="1748"/>
      <c r="AL17861" s="198"/>
      <c r="AM17861" s="198"/>
      <c r="AN17861" s="198"/>
      <c r="AO17861" s="198"/>
    </row>
    <row r="17862" spans="35:41" ht="19.5" thickBot="1" x14ac:dyDescent="0.35">
      <c r="AI17862" s="1746" t="s">
        <v>150</v>
      </c>
      <c r="AJ17862" s="1747"/>
      <c r="AK17862" s="1748"/>
      <c r="AL17862" s="198"/>
      <c r="AM17862" s="198"/>
      <c r="AN17862" s="198"/>
      <c r="AO17862" s="198"/>
    </row>
    <row r="17863" spans="35:41" ht="19.5" thickBot="1" x14ac:dyDescent="0.35">
      <c r="AI17863" s="1746" t="s">
        <v>150</v>
      </c>
      <c r="AJ17863" s="1747"/>
      <c r="AK17863" s="1748"/>
      <c r="AL17863" s="198"/>
      <c r="AM17863" s="198"/>
      <c r="AN17863" s="198"/>
      <c r="AO17863" s="198"/>
    </row>
    <row r="17864" spans="35:41" ht="19.5" thickBot="1" x14ac:dyDescent="0.35">
      <c r="AI17864" s="1746" t="s">
        <v>150</v>
      </c>
      <c r="AJ17864" s="1747"/>
      <c r="AK17864" s="1748"/>
      <c r="AL17864" s="198"/>
      <c r="AM17864" s="198"/>
      <c r="AN17864" s="198"/>
      <c r="AO17864" s="198"/>
    </row>
    <row r="17865" spans="35:41" ht="19.5" thickBot="1" x14ac:dyDescent="0.35">
      <c r="AI17865" s="1746" t="s">
        <v>150</v>
      </c>
      <c r="AJ17865" s="1747"/>
      <c r="AK17865" s="1748"/>
      <c r="AL17865" s="198"/>
      <c r="AM17865" s="198"/>
      <c r="AN17865" s="198"/>
      <c r="AO17865" s="198"/>
    </row>
    <row r="17866" spans="35:41" ht="19.5" thickBot="1" x14ac:dyDescent="0.35">
      <c r="AI17866" s="1746" t="s">
        <v>150</v>
      </c>
      <c r="AJ17866" s="1747"/>
      <c r="AK17866" s="1748"/>
      <c r="AL17866" s="198"/>
      <c r="AM17866" s="198"/>
      <c r="AN17866" s="198"/>
      <c r="AO17866" s="198"/>
    </row>
    <row r="17867" spans="35:41" ht="19.5" thickBot="1" x14ac:dyDescent="0.35">
      <c r="AI17867" s="1746" t="s">
        <v>150</v>
      </c>
      <c r="AJ17867" s="1747"/>
      <c r="AK17867" s="1748"/>
      <c r="AL17867" s="198"/>
      <c r="AM17867" s="198"/>
      <c r="AN17867" s="198"/>
      <c r="AO17867" s="198"/>
    </row>
    <row r="17868" spans="35:41" ht="19.5" thickBot="1" x14ac:dyDescent="0.35">
      <c r="AI17868" s="1746" t="s">
        <v>150</v>
      </c>
      <c r="AJ17868" s="1747"/>
      <c r="AK17868" s="1748"/>
      <c r="AL17868" s="198"/>
      <c r="AM17868" s="198"/>
      <c r="AN17868" s="198"/>
      <c r="AO17868" s="198"/>
    </row>
    <row r="17869" spans="35:41" ht="19.5" thickBot="1" x14ac:dyDescent="0.35">
      <c r="AI17869" s="1746" t="s">
        <v>150</v>
      </c>
      <c r="AJ17869" s="1747"/>
      <c r="AK17869" s="1748"/>
      <c r="AL17869" s="198"/>
      <c r="AM17869" s="198"/>
      <c r="AN17869" s="198"/>
      <c r="AO17869" s="198"/>
    </row>
    <row r="17870" spans="35:41" ht="19.5" thickBot="1" x14ac:dyDescent="0.35">
      <c r="AI17870" s="1746" t="s">
        <v>150</v>
      </c>
      <c r="AJ17870" s="1747"/>
      <c r="AK17870" s="1748"/>
      <c r="AL17870" s="198"/>
      <c r="AM17870" s="198"/>
      <c r="AN17870" s="198"/>
      <c r="AO17870" s="198"/>
    </row>
    <row r="17871" spans="35:41" ht="19.5" thickBot="1" x14ac:dyDescent="0.35">
      <c r="AI17871" s="1746" t="s">
        <v>150</v>
      </c>
      <c r="AJ17871" s="1747"/>
      <c r="AK17871" s="1748"/>
      <c r="AL17871" s="198"/>
      <c r="AM17871" s="198"/>
      <c r="AN17871" s="198"/>
      <c r="AO17871" s="198"/>
    </row>
    <row r="17872" spans="35:41" ht="19.5" thickBot="1" x14ac:dyDescent="0.35">
      <c r="AI17872" s="1746" t="s">
        <v>150</v>
      </c>
      <c r="AJ17872" s="1747"/>
      <c r="AK17872" s="1748"/>
      <c r="AL17872" s="198"/>
      <c r="AM17872" s="198"/>
      <c r="AN17872" s="198"/>
      <c r="AO17872" s="198"/>
    </row>
    <row r="17873" spans="35:41" ht="19.5" thickBot="1" x14ac:dyDescent="0.35">
      <c r="AI17873" s="1746" t="s">
        <v>150</v>
      </c>
      <c r="AJ17873" s="1747"/>
      <c r="AK17873" s="1748"/>
      <c r="AL17873" s="198"/>
      <c r="AM17873" s="198"/>
      <c r="AN17873" s="198"/>
      <c r="AO17873" s="198"/>
    </row>
    <row r="17874" spans="35:41" ht="19.5" thickBot="1" x14ac:dyDescent="0.35">
      <c r="AI17874" s="1746" t="s">
        <v>150</v>
      </c>
      <c r="AJ17874" s="1747"/>
      <c r="AK17874" s="1748"/>
      <c r="AL17874" s="198"/>
      <c r="AM17874" s="198"/>
      <c r="AN17874" s="198"/>
      <c r="AO17874" s="198"/>
    </row>
    <row r="17875" spans="35:41" ht="19.5" thickBot="1" x14ac:dyDescent="0.35">
      <c r="AI17875" s="1746" t="s">
        <v>150</v>
      </c>
      <c r="AJ17875" s="1747"/>
      <c r="AK17875" s="1748"/>
      <c r="AL17875" s="198"/>
      <c r="AM17875" s="198"/>
      <c r="AN17875" s="198"/>
      <c r="AO17875" s="198"/>
    </row>
    <row r="17876" spans="35:41" ht="19.5" thickBot="1" x14ac:dyDescent="0.35">
      <c r="AI17876" s="1746" t="s">
        <v>150</v>
      </c>
      <c r="AJ17876" s="1747"/>
      <c r="AK17876" s="1748"/>
      <c r="AL17876" s="198"/>
      <c r="AM17876" s="198"/>
      <c r="AN17876" s="198"/>
      <c r="AO17876" s="198"/>
    </row>
    <row r="17877" spans="35:41" ht="19.5" thickBot="1" x14ac:dyDescent="0.35">
      <c r="AI17877" s="1746" t="s">
        <v>150</v>
      </c>
      <c r="AJ17877" s="1747"/>
      <c r="AK17877" s="1748"/>
      <c r="AL17877" s="198"/>
      <c r="AM17877" s="198"/>
      <c r="AN17877" s="198"/>
      <c r="AO17877" s="198"/>
    </row>
    <row r="17878" spans="35:41" ht="19.5" thickBot="1" x14ac:dyDescent="0.35">
      <c r="AI17878" s="1746" t="s">
        <v>150</v>
      </c>
      <c r="AJ17878" s="1747"/>
      <c r="AK17878" s="1748"/>
      <c r="AL17878" s="198"/>
      <c r="AM17878" s="198"/>
      <c r="AN17878" s="198"/>
      <c r="AO17878" s="198"/>
    </row>
    <row r="17879" spans="35:41" ht="19.5" thickBot="1" x14ac:dyDescent="0.35">
      <c r="AI17879" s="1746" t="s">
        <v>150</v>
      </c>
      <c r="AJ17879" s="1747"/>
      <c r="AK17879" s="1748"/>
      <c r="AL17879" s="198"/>
      <c r="AM17879" s="198"/>
      <c r="AN17879" s="198"/>
      <c r="AO17879" s="198"/>
    </row>
    <row r="17880" spans="35:41" ht="19.5" thickBot="1" x14ac:dyDescent="0.35">
      <c r="AI17880" s="1746" t="s">
        <v>150</v>
      </c>
      <c r="AJ17880" s="1747"/>
      <c r="AK17880" s="1748"/>
      <c r="AL17880" s="198"/>
      <c r="AM17880" s="198"/>
      <c r="AN17880" s="198"/>
      <c r="AO17880" s="198"/>
    </row>
    <row r="17881" spans="35:41" ht="19.5" thickBot="1" x14ac:dyDescent="0.35">
      <c r="AI17881" s="1746" t="s">
        <v>150</v>
      </c>
      <c r="AJ17881" s="1747"/>
      <c r="AK17881" s="1748"/>
      <c r="AL17881" s="198"/>
      <c r="AM17881" s="198"/>
      <c r="AN17881" s="198"/>
      <c r="AO17881" s="198"/>
    </row>
    <row r="17882" spans="35:41" ht="19.5" thickBot="1" x14ac:dyDescent="0.35">
      <c r="AI17882" s="1746" t="s">
        <v>150</v>
      </c>
      <c r="AJ17882" s="1747"/>
      <c r="AK17882" s="1748"/>
      <c r="AL17882" s="198"/>
      <c r="AM17882" s="198"/>
      <c r="AN17882" s="198"/>
      <c r="AO17882" s="198"/>
    </row>
    <row r="17883" spans="35:41" ht="19.5" thickBot="1" x14ac:dyDescent="0.35">
      <c r="AI17883" s="1746" t="s">
        <v>150</v>
      </c>
      <c r="AJ17883" s="1747"/>
      <c r="AK17883" s="1748"/>
      <c r="AL17883" s="198"/>
      <c r="AM17883" s="198"/>
      <c r="AN17883" s="198"/>
      <c r="AO17883" s="198"/>
    </row>
    <row r="17884" spans="35:41" ht="19.5" thickBot="1" x14ac:dyDescent="0.35">
      <c r="AI17884" s="1746" t="s">
        <v>150</v>
      </c>
      <c r="AJ17884" s="1747"/>
      <c r="AK17884" s="1748"/>
      <c r="AL17884" s="198"/>
      <c r="AM17884" s="198"/>
      <c r="AN17884" s="198"/>
      <c r="AO17884" s="198"/>
    </row>
    <row r="17885" spans="35:41" ht="19.5" thickBot="1" x14ac:dyDescent="0.35">
      <c r="AI17885" s="1746" t="s">
        <v>150</v>
      </c>
      <c r="AJ17885" s="1747"/>
      <c r="AK17885" s="1748"/>
      <c r="AL17885" s="198"/>
      <c r="AM17885" s="198"/>
      <c r="AN17885" s="198"/>
      <c r="AO17885" s="198"/>
    </row>
    <row r="17886" spans="35:41" ht="19.5" thickBot="1" x14ac:dyDescent="0.35">
      <c r="AI17886" s="1746" t="s">
        <v>150</v>
      </c>
      <c r="AJ17886" s="1747"/>
      <c r="AK17886" s="1748"/>
      <c r="AL17886" s="198"/>
      <c r="AM17886" s="198"/>
      <c r="AN17886" s="198"/>
      <c r="AO17886" s="198"/>
    </row>
    <row r="17887" spans="35:41" ht="19.5" thickBot="1" x14ac:dyDescent="0.35">
      <c r="AI17887" s="1746" t="s">
        <v>150</v>
      </c>
      <c r="AJ17887" s="1747"/>
      <c r="AK17887" s="1748"/>
      <c r="AL17887" s="198"/>
      <c r="AM17887" s="198"/>
      <c r="AN17887" s="198"/>
      <c r="AO17887" s="198"/>
    </row>
    <row r="17888" spans="35:41" ht="19.5" thickBot="1" x14ac:dyDescent="0.35">
      <c r="AI17888" s="1746" t="s">
        <v>150</v>
      </c>
      <c r="AJ17888" s="1747"/>
      <c r="AK17888" s="1748"/>
      <c r="AL17888" s="198"/>
      <c r="AM17888" s="198"/>
      <c r="AN17888" s="198"/>
      <c r="AO17888" s="198"/>
    </row>
    <row r="17889" spans="35:41" ht="19.5" thickBot="1" x14ac:dyDescent="0.35">
      <c r="AI17889" s="1746" t="s">
        <v>150</v>
      </c>
      <c r="AJ17889" s="1747"/>
      <c r="AK17889" s="1748"/>
      <c r="AL17889" s="198"/>
      <c r="AM17889" s="198"/>
      <c r="AN17889" s="198"/>
      <c r="AO17889" s="198"/>
    </row>
    <row r="17890" spans="35:41" ht="19.5" thickBot="1" x14ac:dyDescent="0.35">
      <c r="AI17890" s="1746" t="s">
        <v>150</v>
      </c>
      <c r="AJ17890" s="1747"/>
      <c r="AK17890" s="1748"/>
      <c r="AL17890" s="198"/>
      <c r="AM17890" s="198"/>
      <c r="AN17890" s="198"/>
      <c r="AO17890" s="198"/>
    </row>
    <row r="17891" spans="35:41" ht="19.5" thickBot="1" x14ac:dyDescent="0.35">
      <c r="AI17891" s="1746" t="s">
        <v>150</v>
      </c>
      <c r="AJ17891" s="1747"/>
      <c r="AK17891" s="1748"/>
      <c r="AL17891" s="198"/>
      <c r="AM17891" s="198"/>
      <c r="AN17891" s="198"/>
      <c r="AO17891" s="198"/>
    </row>
    <row r="17892" spans="35:41" ht="19.5" thickBot="1" x14ac:dyDescent="0.35">
      <c r="AI17892" s="1746" t="s">
        <v>150</v>
      </c>
      <c r="AJ17892" s="1747"/>
      <c r="AK17892" s="1748"/>
      <c r="AL17892" s="198"/>
      <c r="AM17892" s="198"/>
      <c r="AN17892" s="198"/>
      <c r="AO17892" s="198"/>
    </row>
    <row r="17893" spans="35:41" ht="19.5" thickBot="1" x14ac:dyDescent="0.35">
      <c r="AI17893" s="1746" t="s">
        <v>150</v>
      </c>
      <c r="AJ17893" s="1747"/>
      <c r="AK17893" s="1748"/>
      <c r="AL17893" s="198"/>
      <c r="AM17893" s="198"/>
      <c r="AN17893" s="198"/>
      <c r="AO17893" s="198"/>
    </row>
    <row r="17894" spans="35:41" ht="19.5" thickBot="1" x14ac:dyDescent="0.35">
      <c r="AI17894" s="1746" t="s">
        <v>150</v>
      </c>
      <c r="AJ17894" s="1747"/>
      <c r="AK17894" s="1748"/>
      <c r="AL17894" s="198"/>
      <c r="AM17894" s="198"/>
      <c r="AN17894" s="198"/>
      <c r="AO17894" s="198"/>
    </row>
    <row r="17895" spans="35:41" ht="19.5" thickBot="1" x14ac:dyDescent="0.35">
      <c r="AI17895" s="1746" t="s">
        <v>150</v>
      </c>
      <c r="AJ17895" s="1747"/>
      <c r="AK17895" s="1748"/>
      <c r="AL17895" s="198"/>
      <c r="AM17895" s="198"/>
      <c r="AN17895" s="198"/>
      <c r="AO17895" s="198"/>
    </row>
    <row r="17896" spans="35:41" ht="19.5" thickBot="1" x14ac:dyDescent="0.35">
      <c r="AI17896" s="1746" t="s">
        <v>150</v>
      </c>
      <c r="AJ17896" s="1747"/>
      <c r="AK17896" s="1748"/>
      <c r="AL17896" s="198"/>
      <c r="AM17896" s="198"/>
      <c r="AN17896" s="198"/>
      <c r="AO17896" s="198"/>
    </row>
    <row r="17897" spans="35:41" ht="19.5" thickBot="1" x14ac:dyDescent="0.35">
      <c r="AI17897" s="1746" t="s">
        <v>150</v>
      </c>
      <c r="AJ17897" s="1747"/>
      <c r="AK17897" s="1748"/>
      <c r="AL17897" s="198"/>
      <c r="AM17897" s="198"/>
      <c r="AN17897" s="198"/>
      <c r="AO17897" s="198"/>
    </row>
    <row r="17898" spans="35:41" ht="19.5" thickBot="1" x14ac:dyDescent="0.35">
      <c r="AI17898" s="1746" t="s">
        <v>150</v>
      </c>
      <c r="AJ17898" s="1747"/>
      <c r="AK17898" s="1748"/>
      <c r="AL17898" s="198"/>
      <c r="AM17898" s="198"/>
      <c r="AN17898" s="198"/>
      <c r="AO17898" s="198"/>
    </row>
    <row r="17899" spans="35:41" ht="19.5" thickBot="1" x14ac:dyDescent="0.35">
      <c r="AI17899" s="1746" t="s">
        <v>150</v>
      </c>
      <c r="AJ17899" s="1747"/>
      <c r="AK17899" s="1748"/>
      <c r="AL17899" s="198"/>
      <c r="AM17899" s="198"/>
      <c r="AN17899" s="198"/>
      <c r="AO17899" s="198"/>
    </row>
    <row r="17900" spans="35:41" ht="19.5" thickBot="1" x14ac:dyDescent="0.35">
      <c r="AI17900" s="1746" t="s">
        <v>150</v>
      </c>
      <c r="AJ17900" s="1747"/>
      <c r="AK17900" s="1748"/>
      <c r="AL17900" s="198"/>
      <c r="AM17900" s="198"/>
      <c r="AN17900" s="198"/>
      <c r="AO17900" s="198"/>
    </row>
    <row r="17901" spans="35:41" ht="19.5" thickBot="1" x14ac:dyDescent="0.35">
      <c r="AI17901" s="1746" t="s">
        <v>150</v>
      </c>
      <c r="AJ17901" s="1747"/>
      <c r="AK17901" s="1748"/>
      <c r="AL17901" s="198"/>
      <c r="AM17901" s="198"/>
      <c r="AN17901" s="198"/>
      <c r="AO17901" s="198"/>
    </row>
    <row r="17902" spans="35:41" ht="19.5" thickBot="1" x14ac:dyDescent="0.35">
      <c r="AI17902" s="1746" t="s">
        <v>150</v>
      </c>
      <c r="AJ17902" s="1747"/>
      <c r="AK17902" s="1748"/>
      <c r="AL17902" s="198"/>
      <c r="AM17902" s="198"/>
      <c r="AN17902" s="198"/>
      <c r="AO17902" s="198"/>
    </row>
    <row r="17903" spans="35:41" ht="19.5" thickBot="1" x14ac:dyDescent="0.35">
      <c r="AI17903" s="1746" t="s">
        <v>150</v>
      </c>
      <c r="AJ17903" s="1747"/>
      <c r="AK17903" s="1748"/>
      <c r="AL17903" s="198"/>
      <c r="AM17903" s="198"/>
      <c r="AN17903" s="198"/>
      <c r="AO17903" s="198"/>
    </row>
    <row r="17904" spans="35:41" ht="19.5" thickBot="1" x14ac:dyDescent="0.35">
      <c r="AI17904" s="1746" t="s">
        <v>150</v>
      </c>
      <c r="AJ17904" s="1747"/>
      <c r="AK17904" s="1748"/>
      <c r="AL17904" s="198"/>
      <c r="AM17904" s="198"/>
      <c r="AN17904" s="198"/>
      <c r="AO17904" s="198"/>
    </row>
    <row r="17905" spans="35:41" ht="19.5" thickBot="1" x14ac:dyDescent="0.35">
      <c r="AI17905" s="1746" t="s">
        <v>150</v>
      </c>
      <c r="AJ17905" s="1747"/>
      <c r="AK17905" s="1748"/>
      <c r="AL17905" s="198"/>
      <c r="AM17905" s="198"/>
      <c r="AN17905" s="198"/>
      <c r="AO17905" s="198"/>
    </row>
    <row r="17906" spans="35:41" ht="19.5" thickBot="1" x14ac:dyDescent="0.35">
      <c r="AI17906" s="1746" t="s">
        <v>150</v>
      </c>
      <c r="AJ17906" s="1747"/>
      <c r="AK17906" s="1748"/>
      <c r="AL17906" s="198"/>
      <c r="AM17906" s="198"/>
      <c r="AN17906" s="198"/>
      <c r="AO17906" s="198"/>
    </row>
    <row r="17907" spans="35:41" ht="19.5" thickBot="1" x14ac:dyDescent="0.35">
      <c r="AI17907" s="1746" t="s">
        <v>150</v>
      </c>
      <c r="AJ17907" s="1747"/>
      <c r="AK17907" s="1748"/>
      <c r="AL17907" s="198"/>
      <c r="AM17907" s="198"/>
      <c r="AN17907" s="198"/>
      <c r="AO17907" s="198"/>
    </row>
    <row r="17908" spans="35:41" ht="19.5" thickBot="1" x14ac:dyDescent="0.35">
      <c r="AI17908" s="1746" t="s">
        <v>150</v>
      </c>
      <c r="AJ17908" s="1747"/>
      <c r="AK17908" s="1748"/>
      <c r="AL17908" s="198"/>
      <c r="AM17908" s="198"/>
      <c r="AN17908" s="198"/>
      <c r="AO17908" s="198"/>
    </row>
    <row r="17909" spans="35:41" ht="19.5" thickBot="1" x14ac:dyDescent="0.35">
      <c r="AI17909" s="1746" t="s">
        <v>150</v>
      </c>
      <c r="AJ17909" s="1747"/>
      <c r="AK17909" s="1748"/>
      <c r="AL17909" s="198"/>
      <c r="AM17909" s="198"/>
      <c r="AN17909" s="198"/>
      <c r="AO17909" s="198"/>
    </row>
    <row r="17910" spans="35:41" ht="19.5" thickBot="1" x14ac:dyDescent="0.35">
      <c r="AI17910" s="1746" t="s">
        <v>150</v>
      </c>
      <c r="AJ17910" s="1747"/>
      <c r="AK17910" s="1748"/>
      <c r="AL17910" s="198"/>
      <c r="AM17910" s="198"/>
      <c r="AN17910" s="198"/>
      <c r="AO17910" s="198"/>
    </row>
    <row r="17911" spans="35:41" ht="19.5" thickBot="1" x14ac:dyDescent="0.35">
      <c r="AI17911" s="1746" t="s">
        <v>150</v>
      </c>
      <c r="AJ17911" s="1747"/>
      <c r="AK17911" s="1748"/>
      <c r="AL17911" s="198"/>
      <c r="AM17911" s="198"/>
      <c r="AN17911" s="198"/>
      <c r="AO17911" s="198"/>
    </row>
    <row r="17912" spans="35:41" ht="19.5" thickBot="1" x14ac:dyDescent="0.35">
      <c r="AI17912" s="1746" t="s">
        <v>150</v>
      </c>
      <c r="AJ17912" s="1747"/>
      <c r="AK17912" s="1748"/>
      <c r="AL17912" s="198"/>
      <c r="AM17912" s="198"/>
      <c r="AN17912" s="198"/>
      <c r="AO17912" s="198"/>
    </row>
    <row r="17913" spans="35:41" ht="19.5" thickBot="1" x14ac:dyDescent="0.35">
      <c r="AI17913" s="1746" t="s">
        <v>150</v>
      </c>
      <c r="AJ17913" s="1747"/>
      <c r="AK17913" s="1748"/>
      <c r="AL17913" s="198"/>
      <c r="AM17913" s="198"/>
      <c r="AN17913" s="198"/>
      <c r="AO17913" s="198"/>
    </row>
    <row r="17914" spans="35:41" ht="19.5" thickBot="1" x14ac:dyDescent="0.35">
      <c r="AI17914" s="1746" t="s">
        <v>150</v>
      </c>
      <c r="AJ17914" s="1747"/>
      <c r="AK17914" s="1748"/>
      <c r="AL17914" s="198"/>
      <c r="AM17914" s="198"/>
      <c r="AN17914" s="198"/>
      <c r="AO17914" s="198"/>
    </row>
    <row r="17915" spans="35:41" ht="19.5" thickBot="1" x14ac:dyDescent="0.35">
      <c r="AI17915" s="1746" t="s">
        <v>150</v>
      </c>
      <c r="AJ17915" s="1747"/>
      <c r="AK17915" s="1748"/>
      <c r="AL17915" s="198"/>
      <c r="AM17915" s="198"/>
      <c r="AN17915" s="198"/>
      <c r="AO17915" s="198"/>
    </row>
    <row r="17916" spans="35:41" ht="19.5" thickBot="1" x14ac:dyDescent="0.35">
      <c r="AI17916" s="1746" t="s">
        <v>150</v>
      </c>
      <c r="AJ17916" s="1747"/>
      <c r="AK17916" s="1748"/>
      <c r="AL17916" s="198"/>
      <c r="AM17916" s="198"/>
      <c r="AN17916" s="198"/>
      <c r="AO17916" s="198"/>
    </row>
    <row r="17917" spans="35:41" ht="19.5" thickBot="1" x14ac:dyDescent="0.35">
      <c r="AI17917" s="1746" t="s">
        <v>150</v>
      </c>
      <c r="AJ17917" s="1747"/>
      <c r="AK17917" s="1748"/>
      <c r="AL17917" s="198"/>
      <c r="AM17917" s="198"/>
      <c r="AN17917" s="198"/>
      <c r="AO17917" s="198"/>
    </row>
    <row r="17918" spans="35:41" ht="19.5" thickBot="1" x14ac:dyDescent="0.35">
      <c r="AI17918" s="1746" t="s">
        <v>150</v>
      </c>
      <c r="AJ17918" s="1747"/>
      <c r="AK17918" s="1748"/>
      <c r="AL17918" s="198"/>
      <c r="AM17918" s="198"/>
      <c r="AN17918" s="198"/>
      <c r="AO17918" s="198"/>
    </row>
    <row r="17919" spans="35:41" ht="19.5" thickBot="1" x14ac:dyDescent="0.35">
      <c r="AI17919" s="1746" t="s">
        <v>150</v>
      </c>
      <c r="AJ17919" s="1747"/>
      <c r="AK17919" s="1748"/>
      <c r="AL17919" s="198"/>
      <c r="AM17919" s="198"/>
      <c r="AN17919" s="198"/>
      <c r="AO17919" s="198"/>
    </row>
    <row r="17920" spans="35:41" ht="19.5" thickBot="1" x14ac:dyDescent="0.35">
      <c r="AI17920" s="1746" t="s">
        <v>150</v>
      </c>
      <c r="AJ17920" s="1747"/>
      <c r="AK17920" s="1748"/>
      <c r="AL17920" s="198"/>
      <c r="AM17920" s="198"/>
      <c r="AN17920" s="198"/>
      <c r="AO17920" s="198"/>
    </row>
    <row r="17921" spans="35:41" ht="19.5" thickBot="1" x14ac:dyDescent="0.35">
      <c r="AI17921" s="1746" t="s">
        <v>150</v>
      </c>
      <c r="AJ17921" s="1747"/>
      <c r="AK17921" s="1748"/>
      <c r="AL17921" s="198"/>
      <c r="AM17921" s="198"/>
      <c r="AN17921" s="198"/>
      <c r="AO17921" s="198"/>
    </row>
    <row r="17922" spans="35:41" ht="19.5" thickBot="1" x14ac:dyDescent="0.35">
      <c r="AI17922" s="1746" t="s">
        <v>150</v>
      </c>
      <c r="AJ17922" s="1747"/>
      <c r="AK17922" s="1748"/>
      <c r="AL17922" s="198"/>
      <c r="AM17922" s="198"/>
      <c r="AN17922" s="198"/>
      <c r="AO17922" s="198"/>
    </row>
    <row r="17923" spans="35:41" ht="19.5" thickBot="1" x14ac:dyDescent="0.35">
      <c r="AI17923" s="1746" t="s">
        <v>150</v>
      </c>
      <c r="AJ17923" s="1747"/>
      <c r="AK17923" s="1748"/>
      <c r="AL17923" s="198"/>
      <c r="AM17923" s="198"/>
      <c r="AN17923" s="198"/>
      <c r="AO17923" s="198"/>
    </row>
    <row r="17924" spans="35:41" ht="19.5" thickBot="1" x14ac:dyDescent="0.35">
      <c r="AI17924" s="1746" t="s">
        <v>150</v>
      </c>
      <c r="AJ17924" s="1747"/>
      <c r="AK17924" s="1748"/>
      <c r="AL17924" s="198"/>
      <c r="AM17924" s="198"/>
      <c r="AN17924" s="198"/>
      <c r="AO17924" s="198"/>
    </row>
    <row r="17925" spans="35:41" ht="19.5" thickBot="1" x14ac:dyDescent="0.35">
      <c r="AI17925" s="1746" t="s">
        <v>150</v>
      </c>
      <c r="AJ17925" s="1747"/>
      <c r="AK17925" s="1748"/>
      <c r="AL17925" s="198"/>
      <c r="AM17925" s="198"/>
      <c r="AN17925" s="198"/>
      <c r="AO17925" s="198"/>
    </row>
    <row r="17926" spans="35:41" ht="19.5" thickBot="1" x14ac:dyDescent="0.35">
      <c r="AI17926" s="1746" t="s">
        <v>150</v>
      </c>
      <c r="AJ17926" s="1747"/>
      <c r="AK17926" s="1748"/>
      <c r="AL17926" s="198"/>
      <c r="AM17926" s="198"/>
      <c r="AN17926" s="198"/>
      <c r="AO17926" s="198"/>
    </row>
    <row r="17927" spans="35:41" ht="19.5" thickBot="1" x14ac:dyDescent="0.35">
      <c r="AI17927" s="1746" t="s">
        <v>150</v>
      </c>
      <c r="AJ17927" s="1747"/>
      <c r="AK17927" s="1748"/>
      <c r="AL17927" s="198"/>
      <c r="AM17927" s="198"/>
      <c r="AN17927" s="198"/>
      <c r="AO17927" s="198"/>
    </row>
    <row r="17928" spans="35:41" ht="19.5" thickBot="1" x14ac:dyDescent="0.35">
      <c r="AI17928" s="1746" t="s">
        <v>150</v>
      </c>
      <c r="AJ17928" s="1747"/>
      <c r="AK17928" s="1748"/>
      <c r="AL17928" s="198"/>
      <c r="AM17928" s="198"/>
      <c r="AN17928" s="198"/>
      <c r="AO17928" s="198"/>
    </row>
    <row r="17929" spans="35:41" ht="19.5" thickBot="1" x14ac:dyDescent="0.35">
      <c r="AI17929" s="1746" t="s">
        <v>150</v>
      </c>
      <c r="AJ17929" s="1747"/>
      <c r="AK17929" s="1748"/>
      <c r="AL17929" s="198"/>
      <c r="AM17929" s="198"/>
      <c r="AN17929" s="198"/>
      <c r="AO17929" s="198"/>
    </row>
    <row r="17930" spans="35:41" ht="19.5" thickBot="1" x14ac:dyDescent="0.35">
      <c r="AI17930" s="1746" t="s">
        <v>150</v>
      </c>
      <c r="AJ17930" s="1747"/>
      <c r="AK17930" s="1748"/>
      <c r="AL17930" s="198"/>
      <c r="AM17930" s="198"/>
      <c r="AN17930" s="198"/>
      <c r="AO17930" s="198"/>
    </row>
    <row r="17931" spans="35:41" ht="19.5" thickBot="1" x14ac:dyDescent="0.35">
      <c r="AI17931" s="1746" t="s">
        <v>150</v>
      </c>
      <c r="AJ17931" s="1747"/>
      <c r="AK17931" s="1748"/>
      <c r="AL17931" s="198"/>
      <c r="AM17931" s="198"/>
      <c r="AN17931" s="198"/>
      <c r="AO17931" s="198"/>
    </row>
    <row r="17932" spans="35:41" ht="19.5" thickBot="1" x14ac:dyDescent="0.35">
      <c r="AI17932" s="1746" t="s">
        <v>150</v>
      </c>
      <c r="AJ17932" s="1747"/>
      <c r="AK17932" s="1748"/>
      <c r="AL17932" s="198"/>
      <c r="AM17932" s="198"/>
      <c r="AN17932" s="198"/>
      <c r="AO17932" s="198"/>
    </row>
    <row r="17933" spans="35:41" ht="19.5" thickBot="1" x14ac:dyDescent="0.35">
      <c r="AI17933" s="1746" t="s">
        <v>150</v>
      </c>
      <c r="AJ17933" s="1747"/>
      <c r="AK17933" s="1748"/>
      <c r="AL17933" s="198"/>
      <c r="AM17933" s="198"/>
      <c r="AN17933" s="198"/>
      <c r="AO17933" s="198"/>
    </row>
    <row r="17934" spans="35:41" ht="19.5" thickBot="1" x14ac:dyDescent="0.35">
      <c r="AI17934" s="1746" t="s">
        <v>150</v>
      </c>
      <c r="AJ17934" s="1747"/>
      <c r="AK17934" s="1748"/>
      <c r="AL17934" s="198"/>
      <c r="AM17934" s="198"/>
      <c r="AN17934" s="198"/>
      <c r="AO17934" s="198"/>
    </row>
    <row r="17935" spans="35:41" ht="19.5" thickBot="1" x14ac:dyDescent="0.35">
      <c r="AI17935" s="1746" t="s">
        <v>150</v>
      </c>
      <c r="AJ17935" s="1747"/>
      <c r="AK17935" s="1748"/>
      <c r="AL17935" s="198"/>
      <c r="AM17935" s="198"/>
      <c r="AN17935" s="198"/>
      <c r="AO17935" s="198"/>
    </row>
    <row r="17936" spans="35:41" ht="19.5" thickBot="1" x14ac:dyDescent="0.35">
      <c r="AI17936" s="1746" t="s">
        <v>150</v>
      </c>
      <c r="AJ17936" s="1747"/>
      <c r="AK17936" s="1748"/>
      <c r="AL17936" s="198"/>
      <c r="AM17936" s="198"/>
      <c r="AN17936" s="198"/>
      <c r="AO17936" s="198"/>
    </row>
    <row r="17937" spans="35:41" ht="19.5" thickBot="1" x14ac:dyDescent="0.35">
      <c r="AI17937" s="1746" t="s">
        <v>150</v>
      </c>
      <c r="AJ17937" s="1747"/>
      <c r="AK17937" s="1748"/>
      <c r="AL17937" s="198"/>
      <c r="AM17937" s="198"/>
      <c r="AN17937" s="198"/>
      <c r="AO17937" s="198"/>
    </row>
    <row r="17938" spans="35:41" ht="19.5" thickBot="1" x14ac:dyDescent="0.35">
      <c r="AI17938" s="1746" t="s">
        <v>150</v>
      </c>
      <c r="AJ17938" s="1747"/>
      <c r="AK17938" s="1748"/>
      <c r="AL17938" s="198"/>
      <c r="AM17938" s="198"/>
      <c r="AN17938" s="198"/>
      <c r="AO17938" s="198"/>
    </row>
    <row r="17939" spans="35:41" ht="19.5" thickBot="1" x14ac:dyDescent="0.35">
      <c r="AI17939" s="1746" t="s">
        <v>150</v>
      </c>
      <c r="AJ17939" s="1747"/>
      <c r="AK17939" s="1748"/>
      <c r="AL17939" s="198"/>
      <c r="AM17939" s="198"/>
      <c r="AN17939" s="198"/>
      <c r="AO17939" s="198"/>
    </row>
    <row r="17940" spans="35:41" ht="19.5" thickBot="1" x14ac:dyDescent="0.35">
      <c r="AI17940" s="1746" t="s">
        <v>150</v>
      </c>
      <c r="AJ17940" s="1747"/>
      <c r="AK17940" s="1748"/>
      <c r="AL17940" s="198"/>
      <c r="AM17940" s="198"/>
      <c r="AN17940" s="198"/>
      <c r="AO17940" s="198"/>
    </row>
    <row r="17941" spans="35:41" ht="19.5" thickBot="1" x14ac:dyDescent="0.35">
      <c r="AI17941" s="1746" t="s">
        <v>150</v>
      </c>
      <c r="AJ17941" s="1747"/>
      <c r="AK17941" s="1748"/>
      <c r="AL17941" s="198"/>
      <c r="AM17941" s="198"/>
      <c r="AN17941" s="198"/>
      <c r="AO17941" s="198"/>
    </row>
    <row r="17942" spans="35:41" ht="19.5" thickBot="1" x14ac:dyDescent="0.35">
      <c r="AI17942" s="1746" t="s">
        <v>150</v>
      </c>
      <c r="AJ17942" s="1747"/>
      <c r="AK17942" s="1748"/>
      <c r="AL17942" s="198"/>
      <c r="AM17942" s="198"/>
      <c r="AN17942" s="198"/>
      <c r="AO17942" s="198"/>
    </row>
    <row r="17943" spans="35:41" ht="19.5" thickBot="1" x14ac:dyDescent="0.35">
      <c r="AI17943" s="1746" t="s">
        <v>150</v>
      </c>
      <c r="AJ17943" s="1747"/>
      <c r="AK17943" s="1748"/>
      <c r="AL17943" s="198"/>
      <c r="AM17943" s="198"/>
      <c r="AN17943" s="198"/>
      <c r="AO17943" s="198"/>
    </row>
    <row r="17944" spans="35:41" ht="19.5" thickBot="1" x14ac:dyDescent="0.35">
      <c r="AI17944" s="1746" t="s">
        <v>150</v>
      </c>
      <c r="AJ17944" s="1747"/>
      <c r="AK17944" s="1748"/>
      <c r="AL17944" s="198"/>
      <c r="AM17944" s="198"/>
      <c r="AN17944" s="198"/>
      <c r="AO17944" s="198"/>
    </row>
    <row r="17945" spans="35:41" ht="19.5" thickBot="1" x14ac:dyDescent="0.35">
      <c r="AI17945" s="1746" t="s">
        <v>150</v>
      </c>
      <c r="AJ17945" s="1747"/>
      <c r="AK17945" s="1748"/>
      <c r="AL17945" s="198"/>
      <c r="AM17945" s="198"/>
      <c r="AN17945" s="198"/>
      <c r="AO17945" s="198"/>
    </row>
    <row r="17946" spans="35:41" ht="19.5" thickBot="1" x14ac:dyDescent="0.35">
      <c r="AI17946" s="1746" t="s">
        <v>150</v>
      </c>
      <c r="AJ17946" s="1747"/>
      <c r="AK17946" s="1748"/>
      <c r="AL17946" s="198"/>
      <c r="AM17946" s="198"/>
      <c r="AN17946" s="198"/>
      <c r="AO17946" s="198"/>
    </row>
    <row r="17947" spans="35:41" ht="19.5" thickBot="1" x14ac:dyDescent="0.35">
      <c r="AI17947" s="1746" t="s">
        <v>150</v>
      </c>
      <c r="AJ17947" s="1747"/>
      <c r="AK17947" s="1748"/>
      <c r="AL17947" s="198"/>
      <c r="AM17947" s="198"/>
      <c r="AN17947" s="198"/>
      <c r="AO17947" s="198"/>
    </row>
    <row r="17948" spans="35:41" ht="19.5" thickBot="1" x14ac:dyDescent="0.35">
      <c r="AI17948" s="1746" t="s">
        <v>150</v>
      </c>
      <c r="AJ17948" s="1747"/>
      <c r="AK17948" s="1748"/>
      <c r="AL17948" s="198"/>
      <c r="AM17948" s="198"/>
      <c r="AN17948" s="198"/>
      <c r="AO17948" s="198"/>
    </row>
    <row r="17949" spans="35:41" ht="19.5" thickBot="1" x14ac:dyDescent="0.35">
      <c r="AI17949" s="1746" t="s">
        <v>150</v>
      </c>
      <c r="AJ17949" s="1747"/>
      <c r="AK17949" s="1748"/>
      <c r="AL17949" s="198"/>
      <c r="AM17949" s="198"/>
      <c r="AN17949" s="198"/>
      <c r="AO17949" s="198"/>
    </row>
    <row r="17950" spans="35:41" ht="19.5" thickBot="1" x14ac:dyDescent="0.35">
      <c r="AI17950" s="1746" t="s">
        <v>150</v>
      </c>
      <c r="AJ17950" s="1747"/>
      <c r="AK17950" s="1748"/>
      <c r="AL17950" s="198"/>
      <c r="AM17950" s="198"/>
      <c r="AN17950" s="198"/>
      <c r="AO17950" s="198"/>
    </row>
    <row r="17951" spans="35:41" ht="19.5" thickBot="1" x14ac:dyDescent="0.35">
      <c r="AI17951" s="1746" t="s">
        <v>150</v>
      </c>
      <c r="AJ17951" s="1747"/>
      <c r="AK17951" s="1748"/>
      <c r="AL17951" s="198"/>
      <c r="AM17951" s="198"/>
      <c r="AN17951" s="198"/>
      <c r="AO17951" s="198"/>
    </row>
    <row r="17952" spans="35:41" ht="19.5" thickBot="1" x14ac:dyDescent="0.35">
      <c r="AI17952" s="1746" t="s">
        <v>150</v>
      </c>
      <c r="AJ17952" s="1747"/>
      <c r="AK17952" s="1748"/>
      <c r="AL17952" s="198"/>
      <c r="AM17952" s="198"/>
      <c r="AN17952" s="198"/>
      <c r="AO17952" s="198"/>
    </row>
    <row r="17953" spans="35:41" ht="19.5" thickBot="1" x14ac:dyDescent="0.35">
      <c r="AI17953" s="1746" t="s">
        <v>150</v>
      </c>
      <c r="AJ17953" s="1747"/>
      <c r="AK17953" s="1748"/>
      <c r="AL17953" s="198"/>
      <c r="AM17953" s="198"/>
      <c r="AN17953" s="198"/>
      <c r="AO17953" s="198"/>
    </row>
    <row r="17954" spans="35:41" ht="19.5" thickBot="1" x14ac:dyDescent="0.35">
      <c r="AI17954" s="1746" t="s">
        <v>150</v>
      </c>
      <c r="AJ17954" s="1747"/>
      <c r="AK17954" s="1748"/>
      <c r="AL17954" s="198"/>
      <c r="AM17954" s="198"/>
      <c r="AN17954" s="198"/>
      <c r="AO17954" s="198"/>
    </row>
    <row r="17955" spans="35:41" ht="19.5" thickBot="1" x14ac:dyDescent="0.35">
      <c r="AI17955" s="1746" t="s">
        <v>150</v>
      </c>
      <c r="AJ17955" s="1747"/>
      <c r="AK17955" s="1748"/>
      <c r="AL17955" s="198"/>
      <c r="AM17955" s="198"/>
      <c r="AN17955" s="198"/>
      <c r="AO17955" s="198"/>
    </row>
    <row r="17956" spans="35:41" ht="19.5" thickBot="1" x14ac:dyDescent="0.35">
      <c r="AI17956" s="1746" t="s">
        <v>150</v>
      </c>
      <c r="AJ17956" s="1747"/>
      <c r="AK17956" s="1748"/>
      <c r="AL17956" s="198"/>
      <c r="AM17956" s="198"/>
      <c r="AN17956" s="198"/>
      <c r="AO17956" s="198"/>
    </row>
    <row r="17957" spans="35:41" ht="19.5" thickBot="1" x14ac:dyDescent="0.35">
      <c r="AI17957" s="1746" t="s">
        <v>150</v>
      </c>
      <c r="AJ17957" s="1747"/>
      <c r="AK17957" s="1748"/>
      <c r="AL17957" s="198"/>
      <c r="AM17957" s="198"/>
      <c r="AN17957" s="198"/>
      <c r="AO17957" s="198"/>
    </row>
    <row r="17958" spans="35:41" ht="19.5" thickBot="1" x14ac:dyDescent="0.35">
      <c r="AI17958" s="1746" t="s">
        <v>150</v>
      </c>
      <c r="AJ17958" s="1747"/>
      <c r="AK17958" s="1748"/>
      <c r="AL17958" s="198"/>
      <c r="AM17958" s="198"/>
      <c r="AN17958" s="198"/>
      <c r="AO17958" s="198"/>
    </row>
    <row r="17959" spans="35:41" ht="19.5" thickBot="1" x14ac:dyDescent="0.35">
      <c r="AI17959" s="1746" t="s">
        <v>150</v>
      </c>
      <c r="AJ17959" s="1747"/>
      <c r="AK17959" s="1748"/>
      <c r="AL17959" s="198"/>
      <c r="AM17959" s="198"/>
      <c r="AN17959" s="198"/>
      <c r="AO17959" s="198"/>
    </row>
    <row r="17960" spans="35:41" ht="19.5" thickBot="1" x14ac:dyDescent="0.35">
      <c r="AI17960" s="1746" t="s">
        <v>150</v>
      </c>
      <c r="AJ17960" s="1747"/>
      <c r="AK17960" s="1748"/>
      <c r="AL17960" s="198"/>
      <c r="AM17960" s="198"/>
      <c r="AN17960" s="198"/>
      <c r="AO17960" s="198"/>
    </row>
    <row r="17961" spans="35:41" ht="19.5" thickBot="1" x14ac:dyDescent="0.35">
      <c r="AI17961" s="1746" t="s">
        <v>150</v>
      </c>
      <c r="AJ17961" s="1747"/>
      <c r="AK17961" s="1748"/>
      <c r="AL17961" s="198"/>
      <c r="AM17961" s="198"/>
      <c r="AN17961" s="198"/>
      <c r="AO17961" s="198"/>
    </row>
    <row r="17962" spans="35:41" ht="19.5" thickBot="1" x14ac:dyDescent="0.35">
      <c r="AI17962" s="1746" t="s">
        <v>150</v>
      </c>
      <c r="AJ17962" s="1747"/>
      <c r="AK17962" s="1748"/>
      <c r="AL17962" s="198"/>
      <c r="AM17962" s="198"/>
      <c r="AN17962" s="198"/>
      <c r="AO17962" s="198"/>
    </row>
    <row r="17963" spans="35:41" ht="19.5" thickBot="1" x14ac:dyDescent="0.35">
      <c r="AI17963" s="1746" t="s">
        <v>150</v>
      </c>
      <c r="AJ17963" s="1747"/>
      <c r="AK17963" s="1748"/>
      <c r="AL17963" s="198"/>
      <c r="AM17963" s="198"/>
      <c r="AN17963" s="198"/>
      <c r="AO17963" s="198"/>
    </row>
    <row r="17964" spans="35:41" ht="19.5" thickBot="1" x14ac:dyDescent="0.35">
      <c r="AI17964" s="1746" t="s">
        <v>150</v>
      </c>
      <c r="AJ17964" s="1747"/>
      <c r="AK17964" s="1748"/>
      <c r="AL17964" s="198"/>
      <c r="AM17964" s="198"/>
      <c r="AN17964" s="198"/>
      <c r="AO17964" s="198"/>
    </row>
    <row r="17965" spans="35:41" ht="19.5" thickBot="1" x14ac:dyDescent="0.35">
      <c r="AI17965" s="1746" t="s">
        <v>150</v>
      </c>
      <c r="AJ17965" s="1747"/>
      <c r="AK17965" s="1748"/>
      <c r="AL17965" s="198"/>
      <c r="AM17965" s="198"/>
      <c r="AN17965" s="198"/>
      <c r="AO17965" s="198"/>
    </row>
    <row r="17966" spans="35:41" ht="19.5" thickBot="1" x14ac:dyDescent="0.35">
      <c r="AI17966" s="1746" t="s">
        <v>150</v>
      </c>
      <c r="AJ17966" s="1747"/>
      <c r="AK17966" s="1748"/>
      <c r="AL17966" s="198"/>
      <c r="AM17966" s="198"/>
      <c r="AN17966" s="198"/>
      <c r="AO17966" s="198"/>
    </row>
    <row r="17967" spans="35:41" ht="19.5" thickBot="1" x14ac:dyDescent="0.35">
      <c r="AI17967" s="1746" t="s">
        <v>150</v>
      </c>
      <c r="AJ17967" s="1747"/>
      <c r="AK17967" s="1748"/>
      <c r="AL17967" s="198"/>
      <c r="AM17967" s="198"/>
      <c r="AN17967" s="198"/>
      <c r="AO17967" s="198"/>
    </row>
    <row r="17968" spans="35:41" ht="19.5" thickBot="1" x14ac:dyDescent="0.35">
      <c r="AI17968" s="1746" t="s">
        <v>150</v>
      </c>
      <c r="AJ17968" s="1747"/>
      <c r="AK17968" s="1748"/>
      <c r="AL17968" s="198"/>
      <c r="AM17968" s="198"/>
      <c r="AN17968" s="198"/>
      <c r="AO17968" s="198"/>
    </row>
    <row r="17969" spans="35:41" ht="19.5" thickBot="1" x14ac:dyDescent="0.35">
      <c r="AI17969" s="1746" t="s">
        <v>150</v>
      </c>
      <c r="AJ17969" s="1747"/>
      <c r="AK17969" s="1748"/>
      <c r="AL17969" s="198"/>
      <c r="AM17969" s="198"/>
      <c r="AN17969" s="198"/>
      <c r="AO17969" s="198"/>
    </row>
    <row r="17970" spans="35:41" ht="19.5" thickBot="1" x14ac:dyDescent="0.35">
      <c r="AI17970" s="1746" t="s">
        <v>150</v>
      </c>
      <c r="AJ17970" s="1747"/>
      <c r="AK17970" s="1748"/>
      <c r="AL17970" s="198"/>
      <c r="AM17970" s="198"/>
      <c r="AN17970" s="198"/>
      <c r="AO17970" s="198"/>
    </row>
    <row r="17971" spans="35:41" ht="19.5" thickBot="1" x14ac:dyDescent="0.35">
      <c r="AI17971" s="1746" t="s">
        <v>150</v>
      </c>
      <c r="AJ17971" s="1747"/>
      <c r="AK17971" s="1748"/>
      <c r="AL17971" s="198"/>
      <c r="AM17971" s="198"/>
      <c r="AN17971" s="198"/>
      <c r="AO17971" s="198"/>
    </row>
    <row r="17972" spans="35:41" ht="19.5" thickBot="1" x14ac:dyDescent="0.35">
      <c r="AI17972" s="1746" t="s">
        <v>150</v>
      </c>
      <c r="AJ17972" s="1747"/>
      <c r="AK17972" s="1748"/>
      <c r="AL17972" s="198"/>
      <c r="AM17972" s="198"/>
      <c r="AN17972" s="198"/>
      <c r="AO17972" s="198"/>
    </row>
    <row r="17973" spans="35:41" ht="19.5" thickBot="1" x14ac:dyDescent="0.35">
      <c r="AI17973" s="1746" t="s">
        <v>150</v>
      </c>
      <c r="AJ17973" s="1747"/>
      <c r="AK17973" s="1748"/>
      <c r="AL17973" s="198"/>
      <c r="AM17973" s="198"/>
      <c r="AN17973" s="198"/>
      <c r="AO17973" s="198"/>
    </row>
    <row r="17974" spans="35:41" ht="19.5" thickBot="1" x14ac:dyDescent="0.35">
      <c r="AI17974" s="1746" t="s">
        <v>150</v>
      </c>
      <c r="AJ17974" s="1747"/>
      <c r="AK17974" s="1748"/>
      <c r="AL17974" s="198"/>
      <c r="AM17974" s="198"/>
      <c r="AN17974" s="198"/>
      <c r="AO17974" s="198"/>
    </row>
    <row r="17975" spans="35:41" ht="19.5" thickBot="1" x14ac:dyDescent="0.35">
      <c r="AI17975" s="1746" t="s">
        <v>150</v>
      </c>
      <c r="AJ17975" s="1747"/>
      <c r="AK17975" s="1748"/>
      <c r="AL17975" s="198"/>
      <c r="AM17975" s="198"/>
      <c r="AN17975" s="198"/>
      <c r="AO17975" s="198"/>
    </row>
    <row r="17976" spans="35:41" ht="19.5" thickBot="1" x14ac:dyDescent="0.35">
      <c r="AI17976" s="1746" t="s">
        <v>150</v>
      </c>
      <c r="AJ17976" s="1747"/>
      <c r="AK17976" s="1748"/>
      <c r="AL17976" s="198"/>
      <c r="AM17976" s="198"/>
      <c r="AN17976" s="198"/>
      <c r="AO17976" s="198"/>
    </row>
    <row r="17977" spans="35:41" ht="19.5" thickBot="1" x14ac:dyDescent="0.35">
      <c r="AI17977" s="1746" t="s">
        <v>150</v>
      </c>
      <c r="AJ17977" s="1747"/>
      <c r="AK17977" s="1748"/>
      <c r="AL17977" s="198"/>
      <c r="AM17977" s="198"/>
      <c r="AN17977" s="198"/>
      <c r="AO17977" s="198"/>
    </row>
    <row r="17978" spans="35:41" ht="19.5" thickBot="1" x14ac:dyDescent="0.35">
      <c r="AI17978" s="1746" t="s">
        <v>150</v>
      </c>
      <c r="AJ17978" s="1747"/>
      <c r="AK17978" s="1748"/>
      <c r="AL17978" s="198"/>
      <c r="AM17978" s="198"/>
      <c r="AN17978" s="198"/>
      <c r="AO17978" s="198"/>
    </row>
    <row r="17979" spans="35:41" ht="19.5" thickBot="1" x14ac:dyDescent="0.35">
      <c r="AI17979" s="1746" t="s">
        <v>150</v>
      </c>
      <c r="AJ17979" s="1747"/>
      <c r="AK17979" s="1748"/>
      <c r="AL17979" s="198"/>
      <c r="AM17979" s="198"/>
      <c r="AN17979" s="198"/>
      <c r="AO17979" s="198"/>
    </row>
    <row r="17980" spans="35:41" ht="19.5" thickBot="1" x14ac:dyDescent="0.35">
      <c r="AI17980" s="1746" t="s">
        <v>150</v>
      </c>
      <c r="AJ17980" s="1747"/>
      <c r="AK17980" s="1748"/>
      <c r="AL17980" s="198"/>
      <c r="AM17980" s="198"/>
      <c r="AN17980" s="198"/>
      <c r="AO17980" s="198"/>
    </row>
    <row r="17981" spans="35:41" ht="19.5" thickBot="1" x14ac:dyDescent="0.35">
      <c r="AI17981" s="1746" t="s">
        <v>150</v>
      </c>
      <c r="AJ17981" s="1747"/>
      <c r="AK17981" s="1748"/>
      <c r="AL17981" s="198"/>
      <c r="AM17981" s="198"/>
      <c r="AN17981" s="198"/>
      <c r="AO17981" s="198"/>
    </row>
    <row r="17982" spans="35:41" ht="19.5" thickBot="1" x14ac:dyDescent="0.35">
      <c r="AI17982" s="1746" t="s">
        <v>150</v>
      </c>
      <c r="AJ17982" s="1747"/>
      <c r="AK17982" s="1748"/>
      <c r="AL17982" s="198"/>
      <c r="AM17982" s="198"/>
      <c r="AN17982" s="198"/>
      <c r="AO17982" s="198"/>
    </row>
    <row r="17983" spans="35:41" ht="19.5" thickBot="1" x14ac:dyDescent="0.35">
      <c r="AI17983" s="1746" t="s">
        <v>150</v>
      </c>
      <c r="AJ17983" s="1747"/>
      <c r="AK17983" s="1748"/>
      <c r="AL17983" s="198"/>
      <c r="AM17983" s="198"/>
      <c r="AN17983" s="198"/>
      <c r="AO17983" s="198"/>
    </row>
    <row r="17984" spans="35:41" ht="19.5" thickBot="1" x14ac:dyDescent="0.35">
      <c r="AI17984" s="1746" t="s">
        <v>150</v>
      </c>
      <c r="AJ17984" s="1747"/>
      <c r="AK17984" s="1748"/>
      <c r="AL17984" s="198"/>
      <c r="AM17984" s="198"/>
      <c r="AN17984" s="198"/>
      <c r="AO17984" s="198"/>
    </row>
    <row r="17985" spans="35:41" ht="19.5" thickBot="1" x14ac:dyDescent="0.35">
      <c r="AI17985" s="1746" t="s">
        <v>150</v>
      </c>
      <c r="AJ17985" s="1747"/>
      <c r="AK17985" s="1748"/>
      <c r="AL17985" s="198"/>
      <c r="AM17985" s="198"/>
      <c r="AN17985" s="198"/>
      <c r="AO17985" s="198"/>
    </row>
    <row r="17986" spans="35:41" ht="19.5" thickBot="1" x14ac:dyDescent="0.35">
      <c r="AI17986" s="1746" t="s">
        <v>150</v>
      </c>
      <c r="AJ17986" s="1747"/>
      <c r="AK17986" s="1748"/>
      <c r="AL17986" s="198"/>
      <c r="AM17986" s="198"/>
      <c r="AN17986" s="198"/>
      <c r="AO17986" s="198"/>
    </row>
    <row r="17987" spans="35:41" ht="19.5" thickBot="1" x14ac:dyDescent="0.35">
      <c r="AI17987" s="1746" t="s">
        <v>150</v>
      </c>
      <c r="AJ17987" s="1747"/>
      <c r="AK17987" s="1748"/>
      <c r="AL17987" s="198"/>
      <c r="AM17987" s="198"/>
      <c r="AN17987" s="198"/>
      <c r="AO17987" s="198"/>
    </row>
    <row r="17988" spans="35:41" ht="19.5" thickBot="1" x14ac:dyDescent="0.35">
      <c r="AI17988" s="1746" t="s">
        <v>150</v>
      </c>
      <c r="AJ17988" s="1747"/>
      <c r="AK17988" s="1748"/>
      <c r="AL17988" s="198"/>
      <c r="AM17988" s="198"/>
      <c r="AN17988" s="198"/>
      <c r="AO17988" s="198"/>
    </row>
    <row r="17989" spans="35:41" ht="19.5" thickBot="1" x14ac:dyDescent="0.35">
      <c r="AI17989" s="1746" t="s">
        <v>150</v>
      </c>
      <c r="AJ17989" s="1747"/>
      <c r="AK17989" s="1748"/>
      <c r="AL17989" s="198"/>
      <c r="AM17989" s="198"/>
      <c r="AN17989" s="198"/>
      <c r="AO17989" s="198"/>
    </row>
    <row r="17990" spans="35:41" ht="19.5" thickBot="1" x14ac:dyDescent="0.35">
      <c r="AI17990" s="1746" t="s">
        <v>150</v>
      </c>
      <c r="AJ17990" s="1747"/>
      <c r="AK17990" s="1748"/>
      <c r="AL17990" s="198"/>
      <c r="AM17990" s="198"/>
      <c r="AN17990" s="198"/>
      <c r="AO17990" s="198"/>
    </row>
    <row r="17991" spans="35:41" ht="19.5" thickBot="1" x14ac:dyDescent="0.35">
      <c r="AI17991" s="1746" t="s">
        <v>150</v>
      </c>
      <c r="AJ17991" s="1747"/>
      <c r="AK17991" s="1748"/>
      <c r="AL17991" s="198"/>
      <c r="AM17991" s="198"/>
      <c r="AN17991" s="198"/>
      <c r="AO17991" s="198"/>
    </row>
    <row r="17992" spans="35:41" ht="19.5" thickBot="1" x14ac:dyDescent="0.35">
      <c r="AI17992" s="1746" t="s">
        <v>150</v>
      </c>
      <c r="AJ17992" s="1747"/>
      <c r="AK17992" s="1748"/>
      <c r="AL17992" s="198"/>
      <c r="AM17992" s="198"/>
      <c r="AN17992" s="198"/>
      <c r="AO17992" s="198"/>
    </row>
    <row r="17993" spans="35:41" ht="19.5" thickBot="1" x14ac:dyDescent="0.35">
      <c r="AI17993" s="1746" t="s">
        <v>150</v>
      </c>
      <c r="AJ17993" s="1747"/>
      <c r="AK17993" s="1748"/>
      <c r="AL17993" s="198"/>
      <c r="AM17993" s="198"/>
      <c r="AN17993" s="198"/>
      <c r="AO17993" s="198"/>
    </row>
    <row r="17994" spans="35:41" ht="19.5" thickBot="1" x14ac:dyDescent="0.35">
      <c r="AI17994" s="1746" t="s">
        <v>150</v>
      </c>
      <c r="AJ17994" s="1747"/>
      <c r="AK17994" s="1748"/>
      <c r="AL17994" s="198"/>
      <c r="AM17994" s="198"/>
      <c r="AN17994" s="198"/>
      <c r="AO17994" s="198"/>
    </row>
    <row r="17995" spans="35:41" ht="19.5" thickBot="1" x14ac:dyDescent="0.35">
      <c r="AI17995" s="1746" t="s">
        <v>150</v>
      </c>
      <c r="AJ17995" s="1747"/>
      <c r="AK17995" s="1748"/>
      <c r="AL17995" s="198"/>
      <c r="AM17995" s="198"/>
      <c r="AN17995" s="198"/>
      <c r="AO17995" s="198"/>
    </row>
    <row r="17996" spans="35:41" ht="19.5" thickBot="1" x14ac:dyDescent="0.35">
      <c r="AI17996" s="1746" t="s">
        <v>150</v>
      </c>
      <c r="AJ17996" s="1747"/>
      <c r="AK17996" s="1748"/>
      <c r="AL17996" s="198"/>
      <c r="AM17996" s="198"/>
      <c r="AN17996" s="198"/>
      <c r="AO17996" s="198"/>
    </row>
    <row r="17997" spans="35:41" ht="19.5" thickBot="1" x14ac:dyDescent="0.35">
      <c r="AI17997" s="1746" t="s">
        <v>150</v>
      </c>
      <c r="AJ17997" s="1747"/>
      <c r="AK17997" s="1748"/>
      <c r="AL17997" s="198"/>
      <c r="AM17997" s="198"/>
      <c r="AN17997" s="198"/>
      <c r="AO17997" s="198"/>
    </row>
    <row r="17998" spans="35:41" ht="19.5" thickBot="1" x14ac:dyDescent="0.35">
      <c r="AI17998" s="1746" t="s">
        <v>150</v>
      </c>
      <c r="AJ17998" s="1747"/>
      <c r="AK17998" s="1748"/>
      <c r="AL17998" s="198"/>
      <c r="AM17998" s="198"/>
      <c r="AN17998" s="198"/>
      <c r="AO17998" s="198"/>
    </row>
    <row r="17999" spans="35:41" ht="19.5" thickBot="1" x14ac:dyDescent="0.35">
      <c r="AI17999" s="1746" t="s">
        <v>150</v>
      </c>
      <c r="AJ17999" s="1747"/>
      <c r="AK17999" s="1748"/>
      <c r="AL17999" s="198"/>
      <c r="AM17999" s="198"/>
      <c r="AN17999" s="198"/>
      <c r="AO17999" s="198"/>
    </row>
    <row r="18000" spans="35:41" ht="19.5" thickBot="1" x14ac:dyDescent="0.35">
      <c r="AI18000" s="1746" t="s">
        <v>150</v>
      </c>
      <c r="AJ18000" s="1747"/>
      <c r="AK18000" s="1748"/>
      <c r="AL18000" s="198"/>
      <c r="AM18000" s="198"/>
      <c r="AN18000" s="198"/>
      <c r="AO18000" s="198"/>
    </row>
    <row r="18001" spans="35:41" ht="19.5" thickBot="1" x14ac:dyDescent="0.35">
      <c r="AI18001" s="1746" t="s">
        <v>150</v>
      </c>
      <c r="AJ18001" s="1747"/>
      <c r="AK18001" s="1748"/>
      <c r="AL18001" s="198"/>
      <c r="AM18001" s="198"/>
      <c r="AN18001" s="198"/>
      <c r="AO18001" s="198"/>
    </row>
    <row r="18002" spans="35:41" ht="19.5" thickBot="1" x14ac:dyDescent="0.35">
      <c r="AI18002" s="1746" t="s">
        <v>150</v>
      </c>
      <c r="AJ18002" s="1747"/>
      <c r="AK18002" s="1748"/>
      <c r="AL18002" s="198"/>
      <c r="AM18002" s="198"/>
      <c r="AN18002" s="198"/>
      <c r="AO18002" s="198"/>
    </row>
    <row r="18003" spans="35:41" ht="19.5" thickBot="1" x14ac:dyDescent="0.35">
      <c r="AI18003" s="1746" t="s">
        <v>150</v>
      </c>
      <c r="AJ18003" s="1747"/>
      <c r="AK18003" s="1748"/>
      <c r="AL18003" s="198"/>
      <c r="AM18003" s="198"/>
      <c r="AN18003" s="198"/>
      <c r="AO18003" s="198"/>
    </row>
    <row r="18004" spans="35:41" ht="19.5" thickBot="1" x14ac:dyDescent="0.35">
      <c r="AI18004" s="1746" t="s">
        <v>150</v>
      </c>
      <c r="AJ18004" s="1747"/>
      <c r="AK18004" s="1748"/>
      <c r="AL18004" s="198"/>
      <c r="AM18004" s="198"/>
      <c r="AN18004" s="198"/>
      <c r="AO18004" s="198"/>
    </row>
    <row r="18005" spans="35:41" ht="19.5" thickBot="1" x14ac:dyDescent="0.35">
      <c r="AI18005" s="1746" t="s">
        <v>150</v>
      </c>
      <c r="AJ18005" s="1747"/>
      <c r="AK18005" s="1748"/>
      <c r="AL18005" s="198"/>
      <c r="AM18005" s="198"/>
      <c r="AN18005" s="198"/>
      <c r="AO18005" s="198"/>
    </row>
    <row r="18006" spans="35:41" ht="19.5" thickBot="1" x14ac:dyDescent="0.35">
      <c r="AI18006" s="1746" t="s">
        <v>150</v>
      </c>
      <c r="AJ18006" s="1747"/>
      <c r="AK18006" s="1748"/>
      <c r="AL18006" s="198"/>
      <c r="AM18006" s="198"/>
      <c r="AN18006" s="198"/>
      <c r="AO18006" s="198"/>
    </row>
    <row r="18007" spans="35:41" ht="19.5" thickBot="1" x14ac:dyDescent="0.35">
      <c r="AI18007" s="1746" t="s">
        <v>150</v>
      </c>
      <c r="AJ18007" s="1747"/>
      <c r="AK18007" s="1748"/>
      <c r="AL18007" s="198"/>
      <c r="AM18007" s="198"/>
      <c r="AN18007" s="198"/>
      <c r="AO18007" s="198"/>
    </row>
    <row r="18008" spans="35:41" ht="19.5" thickBot="1" x14ac:dyDescent="0.35">
      <c r="AI18008" s="1746" t="s">
        <v>150</v>
      </c>
      <c r="AJ18008" s="1747"/>
      <c r="AK18008" s="1748"/>
      <c r="AL18008" s="198"/>
      <c r="AM18008" s="198"/>
      <c r="AN18008" s="198"/>
      <c r="AO18008" s="198"/>
    </row>
    <row r="18009" spans="35:41" ht="19.5" thickBot="1" x14ac:dyDescent="0.35">
      <c r="AI18009" s="1746" t="s">
        <v>150</v>
      </c>
      <c r="AJ18009" s="1747"/>
      <c r="AK18009" s="1748"/>
      <c r="AL18009" s="198"/>
      <c r="AM18009" s="198"/>
      <c r="AN18009" s="198"/>
      <c r="AO18009" s="198"/>
    </row>
    <row r="18010" spans="35:41" ht="19.5" thickBot="1" x14ac:dyDescent="0.35">
      <c r="AI18010" s="1746" t="s">
        <v>150</v>
      </c>
      <c r="AJ18010" s="1747"/>
      <c r="AK18010" s="1748"/>
      <c r="AL18010" s="198"/>
      <c r="AM18010" s="198"/>
      <c r="AN18010" s="198"/>
      <c r="AO18010" s="198"/>
    </row>
    <row r="18011" spans="35:41" ht="19.5" thickBot="1" x14ac:dyDescent="0.35">
      <c r="AI18011" s="1746" t="s">
        <v>150</v>
      </c>
      <c r="AJ18011" s="1747"/>
      <c r="AK18011" s="1748"/>
      <c r="AL18011" s="198"/>
      <c r="AM18011" s="198"/>
      <c r="AN18011" s="198"/>
      <c r="AO18011" s="198"/>
    </row>
    <row r="18012" spans="35:41" ht="19.5" thickBot="1" x14ac:dyDescent="0.35">
      <c r="AI18012" s="1746" t="s">
        <v>150</v>
      </c>
      <c r="AJ18012" s="1747"/>
      <c r="AK18012" s="1748"/>
      <c r="AL18012" s="198"/>
      <c r="AM18012" s="198"/>
      <c r="AN18012" s="198"/>
      <c r="AO18012" s="198"/>
    </row>
    <row r="18013" spans="35:41" ht="19.5" thickBot="1" x14ac:dyDescent="0.35">
      <c r="AI18013" s="1746" t="s">
        <v>150</v>
      </c>
      <c r="AJ18013" s="1747"/>
      <c r="AK18013" s="1748"/>
      <c r="AL18013" s="198"/>
      <c r="AM18013" s="198"/>
      <c r="AN18013" s="198"/>
      <c r="AO18013" s="198"/>
    </row>
    <row r="18014" spans="35:41" ht="19.5" thickBot="1" x14ac:dyDescent="0.35">
      <c r="AI18014" s="1746" t="s">
        <v>150</v>
      </c>
      <c r="AJ18014" s="1747"/>
      <c r="AK18014" s="1748"/>
      <c r="AL18014" s="198"/>
      <c r="AM18014" s="198"/>
      <c r="AN18014" s="198"/>
      <c r="AO18014" s="198"/>
    </row>
    <row r="18015" spans="35:41" ht="19.5" thickBot="1" x14ac:dyDescent="0.35">
      <c r="AI18015" s="1746" t="s">
        <v>150</v>
      </c>
      <c r="AJ18015" s="1747"/>
      <c r="AK18015" s="1748"/>
      <c r="AL18015" s="198"/>
      <c r="AM18015" s="198"/>
      <c r="AN18015" s="198"/>
      <c r="AO18015" s="198"/>
    </row>
    <row r="18016" spans="35:41" ht="19.5" thickBot="1" x14ac:dyDescent="0.35">
      <c r="AI18016" s="1746" t="s">
        <v>150</v>
      </c>
      <c r="AJ18016" s="1747"/>
      <c r="AK18016" s="1748"/>
      <c r="AL18016" s="198"/>
      <c r="AM18016" s="198"/>
      <c r="AN18016" s="198"/>
      <c r="AO18016" s="198"/>
    </row>
    <row r="18017" spans="35:41" ht="19.5" thickBot="1" x14ac:dyDescent="0.35">
      <c r="AI18017" s="1746" t="s">
        <v>150</v>
      </c>
      <c r="AJ18017" s="1747"/>
      <c r="AK18017" s="1748"/>
      <c r="AL18017" s="198"/>
      <c r="AM18017" s="198"/>
      <c r="AN18017" s="198"/>
      <c r="AO18017" s="198"/>
    </row>
    <row r="18018" spans="35:41" ht="19.5" thickBot="1" x14ac:dyDescent="0.35">
      <c r="AI18018" s="1746" t="s">
        <v>150</v>
      </c>
      <c r="AJ18018" s="1747"/>
      <c r="AK18018" s="1748"/>
      <c r="AL18018" s="198"/>
      <c r="AM18018" s="198"/>
      <c r="AN18018" s="198"/>
      <c r="AO18018" s="198"/>
    </row>
    <row r="18019" spans="35:41" ht="19.5" thickBot="1" x14ac:dyDescent="0.35">
      <c r="AI18019" s="1746" t="s">
        <v>150</v>
      </c>
      <c r="AJ18019" s="1747"/>
      <c r="AK18019" s="1748"/>
      <c r="AL18019" s="198"/>
      <c r="AM18019" s="198"/>
      <c r="AN18019" s="198"/>
      <c r="AO18019" s="198"/>
    </row>
    <row r="18020" spans="35:41" ht="19.5" thickBot="1" x14ac:dyDescent="0.35">
      <c r="AI18020" s="1746" t="s">
        <v>150</v>
      </c>
      <c r="AJ18020" s="1747"/>
      <c r="AK18020" s="1748"/>
      <c r="AL18020" s="198"/>
      <c r="AM18020" s="198"/>
      <c r="AN18020" s="198"/>
      <c r="AO18020" s="198"/>
    </row>
    <row r="18021" spans="35:41" ht="19.5" thickBot="1" x14ac:dyDescent="0.35">
      <c r="AI18021" s="1746" t="s">
        <v>150</v>
      </c>
      <c r="AJ18021" s="1747"/>
      <c r="AK18021" s="1748"/>
      <c r="AL18021" s="198"/>
      <c r="AM18021" s="198"/>
      <c r="AN18021" s="198"/>
      <c r="AO18021" s="198"/>
    </row>
    <row r="18022" spans="35:41" ht="19.5" thickBot="1" x14ac:dyDescent="0.35">
      <c r="AI18022" s="1746" t="s">
        <v>150</v>
      </c>
      <c r="AJ18022" s="1747"/>
      <c r="AK18022" s="1748"/>
      <c r="AL18022" s="198"/>
      <c r="AM18022" s="198"/>
      <c r="AN18022" s="198"/>
      <c r="AO18022" s="198"/>
    </row>
    <row r="18023" spans="35:41" ht="19.5" thickBot="1" x14ac:dyDescent="0.35">
      <c r="AI18023" s="1746" t="s">
        <v>150</v>
      </c>
      <c r="AJ18023" s="1747"/>
      <c r="AK18023" s="1748"/>
      <c r="AL18023" s="198"/>
      <c r="AM18023" s="198"/>
      <c r="AN18023" s="198"/>
      <c r="AO18023" s="198"/>
    </row>
    <row r="18024" spans="35:41" ht="19.5" thickBot="1" x14ac:dyDescent="0.35">
      <c r="AI18024" s="1746" t="s">
        <v>150</v>
      </c>
      <c r="AJ18024" s="1747"/>
      <c r="AK18024" s="1748"/>
      <c r="AL18024" s="198"/>
      <c r="AM18024" s="198"/>
      <c r="AN18024" s="198"/>
      <c r="AO18024" s="198"/>
    </row>
    <row r="18025" spans="35:41" ht="19.5" thickBot="1" x14ac:dyDescent="0.35">
      <c r="AI18025" s="1746" t="s">
        <v>150</v>
      </c>
      <c r="AJ18025" s="1747"/>
      <c r="AK18025" s="1748"/>
      <c r="AL18025" s="198"/>
      <c r="AM18025" s="198"/>
      <c r="AN18025" s="198"/>
      <c r="AO18025" s="198"/>
    </row>
    <row r="18026" spans="35:41" ht="19.5" thickBot="1" x14ac:dyDescent="0.35">
      <c r="AI18026" s="1746" t="s">
        <v>150</v>
      </c>
      <c r="AJ18026" s="1747"/>
      <c r="AK18026" s="1748"/>
      <c r="AL18026" s="198"/>
      <c r="AM18026" s="198"/>
      <c r="AN18026" s="198"/>
      <c r="AO18026" s="198"/>
    </row>
    <row r="18027" spans="35:41" ht="19.5" thickBot="1" x14ac:dyDescent="0.35">
      <c r="AI18027" s="1746" t="s">
        <v>150</v>
      </c>
      <c r="AJ18027" s="1747"/>
      <c r="AK18027" s="1748"/>
      <c r="AL18027" s="198"/>
      <c r="AM18027" s="198"/>
      <c r="AN18027" s="198"/>
      <c r="AO18027" s="198"/>
    </row>
    <row r="18028" spans="35:41" ht="19.5" thickBot="1" x14ac:dyDescent="0.35">
      <c r="AI18028" s="1746" t="s">
        <v>150</v>
      </c>
      <c r="AJ18028" s="1747"/>
      <c r="AK18028" s="1748"/>
      <c r="AL18028" s="198"/>
      <c r="AM18028" s="198"/>
      <c r="AN18028" s="198"/>
      <c r="AO18028" s="198"/>
    </row>
    <row r="18029" spans="35:41" ht="19.5" thickBot="1" x14ac:dyDescent="0.35">
      <c r="AI18029" s="1746" t="s">
        <v>150</v>
      </c>
      <c r="AJ18029" s="1747"/>
      <c r="AK18029" s="1748"/>
      <c r="AL18029" s="198"/>
      <c r="AM18029" s="198"/>
      <c r="AN18029" s="198"/>
      <c r="AO18029" s="198"/>
    </row>
    <row r="18030" spans="35:41" ht="19.5" thickBot="1" x14ac:dyDescent="0.35">
      <c r="AI18030" s="1746" t="s">
        <v>150</v>
      </c>
      <c r="AJ18030" s="1747"/>
      <c r="AK18030" s="1748"/>
      <c r="AL18030" s="198"/>
      <c r="AM18030" s="198"/>
      <c r="AN18030" s="198"/>
      <c r="AO18030" s="198"/>
    </row>
    <row r="18031" spans="35:41" ht="19.5" thickBot="1" x14ac:dyDescent="0.35">
      <c r="AI18031" s="1746" t="s">
        <v>150</v>
      </c>
      <c r="AJ18031" s="1747"/>
      <c r="AK18031" s="1748"/>
      <c r="AL18031" s="198"/>
      <c r="AM18031" s="198"/>
      <c r="AN18031" s="198"/>
      <c r="AO18031" s="198"/>
    </row>
    <row r="18032" spans="35:41" ht="19.5" thickBot="1" x14ac:dyDescent="0.35">
      <c r="AI18032" s="1746" t="s">
        <v>150</v>
      </c>
      <c r="AJ18032" s="1747"/>
      <c r="AK18032" s="1748"/>
      <c r="AL18032" s="198"/>
      <c r="AM18032" s="198"/>
      <c r="AN18032" s="198"/>
      <c r="AO18032" s="198"/>
    </row>
    <row r="18033" spans="35:41" ht="19.5" thickBot="1" x14ac:dyDescent="0.35">
      <c r="AI18033" s="1746" t="s">
        <v>150</v>
      </c>
      <c r="AJ18033" s="1747"/>
      <c r="AK18033" s="1748"/>
      <c r="AL18033" s="198"/>
      <c r="AM18033" s="198"/>
      <c r="AN18033" s="198"/>
      <c r="AO18033" s="198"/>
    </row>
    <row r="18034" spans="35:41" ht="19.5" thickBot="1" x14ac:dyDescent="0.35">
      <c r="AI18034" s="1746" t="s">
        <v>150</v>
      </c>
      <c r="AJ18034" s="1747"/>
      <c r="AK18034" s="1748"/>
      <c r="AL18034" s="198"/>
      <c r="AM18034" s="198"/>
      <c r="AN18034" s="198"/>
      <c r="AO18034" s="198"/>
    </row>
    <row r="18035" spans="35:41" ht="19.5" thickBot="1" x14ac:dyDescent="0.35">
      <c r="AI18035" s="1746" t="s">
        <v>150</v>
      </c>
      <c r="AJ18035" s="1747"/>
      <c r="AK18035" s="1748"/>
      <c r="AL18035" s="198"/>
      <c r="AM18035" s="198"/>
      <c r="AN18035" s="198"/>
      <c r="AO18035" s="198"/>
    </row>
    <row r="18036" spans="35:41" ht="19.5" thickBot="1" x14ac:dyDescent="0.35">
      <c r="AI18036" s="1746" t="s">
        <v>150</v>
      </c>
      <c r="AJ18036" s="1747"/>
      <c r="AK18036" s="1748"/>
      <c r="AL18036" s="198"/>
      <c r="AM18036" s="198"/>
      <c r="AN18036" s="198"/>
      <c r="AO18036" s="198"/>
    </row>
    <row r="18037" spans="35:41" ht="19.5" thickBot="1" x14ac:dyDescent="0.35">
      <c r="AI18037" s="1746" t="s">
        <v>150</v>
      </c>
      <c r="AJ18037" s="1747"/>
      <c r="AK18037" s="1748"/>
      <c r="AL18037" s="198"/>
      <c r="AM18037" s="198"/>
      <c r="AN18037" s="198"/>
      <c r="AO18037" s="198"/>
    </row>
    <row r="18038" spans="35:41" ht="19.5" thickBot="1" x14ac:dyDescent="0.35">
      <c r="AI18038" s="1746" t="s">
        <v>150</v>
      </c>
      <c r="AJ18038" s="1747"/>
      <c r="AK18038" s="1748"/>
      <c r="AL18038" s="198"/>
      <c r="AM18038" s="198"/>
      <c r="AN18038" s="198"/>
      <c r="AO18038" s="198"/>
    </row>
    <row r="18039" spans="35:41" ht="19.5" thickBot="1" x14ac:dyDescent="0.35">
      <c r="AI18039" s="1746" t="s">
        <v>150</v>
      </c>
      <c r="AJ18039" s="1747"/>
      <c r="AK18039" s="1748"/>
      <c r="AL18039" s="198"/>
      <c r="AM18039" s="198"/>
      <c r="AN18039" s="198"/>
      <c r="AO18039" s="198"/>
    </row>
    <row r="18040" spans="35:41" ht="19.5" thickBot="1" x14ac:dyDescent="0.35">
      <c r="AI18040" s="1746" t="s">
        <v>150</v>
      </c>
      <c r="AJ18040" s="1747"/>
      <c r="AK18040" s="1748"/>
      <c r="AL18040" s="198"/>
      <c r="AM18040" s="198"/>
      <c r="AN18040" s="198"/>
      <c r="AO18040" s="198"/>
    </row>
    <row r="18041" spans="35:41" ht="19.5" thickBot="1" x14ac:dyDescent="0.35">
      <c r="AI18041" s="1746" t="s">
        <v>150</v>
      </c>
      <c r="AJ18041" s="1747"/>
      <c r="AK18041" s="1748"/>
      <c r="AL18041" s="198"/>
      <c r="AM18041" s="198"/>
      <c r="AN18041" s="198"/>
      <c r="AO18041" s="198"/>
    </row>
    <row r="18042" spans="35:41" ht="19.5" thickBot="1" x14ac:dyDescent="0.35">
      <c r="AI18042" s="1746" t="s">
        <v>150</v>
      </c>
      <c r="AJ18042" s="1747"/>
      <c r="AK18042" s="1748"/>
      <c r="AL18042" s="198"/>
      <c r="AM18042" s="198"/>
      <c r="AN18042" s="198"/>
      <c r="AO18042" s="198"/>
    </row>
    <row r="18043" spans="35:41" ht="19.5" thickBot="1" x14ac:dyDescent="0.35">
      <c r="AI18043" s="1746" t="s">
        <v>150</v>
      </c>
      <c r="AJ18043" s="1747"/>
      <c r="AK18043" s="1748"/>
      <c r="AL18043" s="198"/>
      <c r="AM18043" s="198"/>
      <c r="AN18043" s="198"/>
      <c r="AO18043" s="198"/>
    </row>
    <row r="18044" spans="35:41" ht="19.5" thickBot="1" x14ac:dyDescent="0.35">
      <c r="AI18044" s="1746" t="s">
        <v>150</v>
      </c>
      <c r="AJ18044" s="1747"/>
      <c r="AK18044" s="1748"/>
      <c r="AL18044" s="198"/>
      <c r="AM18044" s="198"/>
      <c r="AN18044" s="198"/>
      <c r="AO18044" s="198"/>
    </row>
    <row r="18045" spans="35:41" ht="19.5" thickBot="1" x14ac:dyDescent="0.35">
      <c r="AI18045" s="1746" t="s">
        <v>150</v>
      </c>
      <c r="AJ18045" s="1747"/>
      <c r="AK18045" s="1748"/>
      <c r="AL18045" s="198"/>
      <c r="AM18045" s="198"/>
      <c r="AN18045" s="198"/>
      <c r="AO18045" s="198"/>
    </row>
    <row r="18046" spans="35:41" ht="19.5" thickBot="1" x14ac:dyDescent="0.35">
      <c r="AI18046" s="1746" t="s">
        <v>150</v>
      </c>
      <c r="AJ18046" s="1747"/>
      <c r="AK18046" s="1748"/>
      <c r="AL18046" s="198"/>
      <c r="AM18046" s="198"/>
      <c r="AN18046" s="198"/>
      <c r="AO18046" s="198"/>
    </row>
    <row r="18047" spans="35:41" ht="19.5" thickBot="1" x14ac:dyDescent="0.35">
      <c r="AI18047" s="1746" t="s">
        <v>150</v>
      </c>
      <c r="AJ18047" s="1747"/>
      <c r="AK18047" s="1748"/>
      <c r="AL18047" s="198"/>
      <c r="AM18047" s="198"/>
      <c r="AN18047" s="198"/>
      <c r="AO18047" s="198"/>
    </row>
    <row r="18048" spans="35:41" ht="19.5" thickBot="1" x14ac:dyDescent="0.35">
      <c r="AI18048" s="1746" t="s">
        <v>150</v>
      </c>
      <c r="AJ18048" s="1747"/>
      <c r="AK18048" s="1748"/>
      <c r="AL18048" s="198"/>
      <c r="AM18048" s="198"/>
      <c r="AN18048" s="198"/>
      <c r="AO18048" s="198"/>
    </row>
    <row r="18049" spans="35:41" ht="19.5" thickBot="1" x14ac:dyDescent="0.35">
      <c r="AI18049" s="1746" t="s">
        <v>150</v>
      </c>
      <c r="AJ18049" s="1747"/>
      <c r="AK18049" s="1748"/>
      <c r="AL18049" s="198"/>
      <c r="AM18049" s="198"/>
      <c r="AN18049" s="198"/>
      <c r="AO18049" s="198"/>
    </row>
    <row r="18050" spans="35:41" ht="19.5" thickBot="1" x14ac:dyDescent="0.35">
      <c r="AI18050" s="1746" t="s">
        <v>150</v>
      </c>
      <c r="AJ18050" s="1747"/>
      <c r="AK18050" s="1748"/>
      <c r="AL18050" s="198"/>
      <c r="AM18050" s="198"/>
      <c r="AN18050" s="198"/>
      <c r="AO18050" s="198"/>
    </row>
    <row r="18051" spans="35:41" ht="19.5" thickBot="1" x14ac:dyDescent="0.35">
      <c r="AI18051" s="1746" t="s">
        <v>150</v>
      </c>
      <c r="AJ18051" s="1747"/>
      <c r="AK18051" s="1748"/>
      <c r="AL18051" s="198"/>
      <c r="AM18051" s="198"/>
      <c r="AN18051" s="198"/>
      <c r="AO18051" s="198"/>
    </row>
    <row r="18052" spans="35:41" ht="19.5" thickBot="1" x14ac:dyDescent="0.35">
      <c r="AI18052" s="1746" t="s">
        <v>150</v>
      </c>
      <c r="AJ18052" s="1747"/>
      <c r="AK18052" s="1748"/>
      <c r="AL18052" s="198"/>
      <c r="AM18052" s="198"/>
      <c r="AN18052" s="198"/>
      <c r="AO18052" s="198"/>
    </row>
    <row r="18053" spans="35:41" ht="19.5" thickBot="1" x14ac:dyDescent="0.35">
      <c r="AI18053" s="1746" t="s">
        <v>150</v>
      </c>
      <c r="AJ18053" s="1747"/>
      <c r="AK18053" s="1748"/>
      <c r="AL18053" s="198"/>
      <c r="AM18053" s="198"/>
      <c r="AN18053" s="198"/>
      <c r="AO18053" s="198"/>
    </row>
    <row r="18054" spans="35:41" ht="19.5" thickBot="1" x14ac:dyDescent="0.35">
      <c r="AI18054" s="1746" t="s">
        <v>150</v>
      </c>
      <c r="AJ18054" s="1747"/>
      <c r="AK18054" s="1748"/>
      <c r="AL18054" s="198"/>
      <c r="AM18054" s="198"/>
      <c r="AN18054" s="198"/>
      <c r="AO18054" s="198"/>
    </row>
    <row r="18055" spans="35:41" ht="19.5" thickBot="1" x14ac:dyDescent="0.35">
      <c r="AI18055" s="1746" t="s">
        <v>150</v>
      </c>
      <c r="AJ18055" s="1747"/>
      <c r="AK18055" s="1748"/>
      <c r="AL18055" s="198"/>
      <c r="AM18055" s="198"/>
      <c r="AN18055" s="198"/>
      <c r="AO18055" s="198"/>
    </row>
    <row r="18056" spans="35:41" ht="19.5" thickBot="1" x14ac:dyDescent="0.35">
      <c r="AI18056" s="1746" t="s">
        <v>150</v>
      </c>
      <c r="AJ18056" s="1747"/>
      <c r="AK18056" s="1748"/>
      <c r="AL18056" s="198"/>
      <c r="AM18056" s="198"/>
      <c r="AN18056" s="198"/>
      <c r="AO18056" s="198"/>
    </row>
    <row r="18057" spans="35:41" ht="19.5" thickBot="1" x14ac:dyDescent="0.35">
      <c r="AI18057" s="1746" t="s">
        <v>150</v>
      </c>
      <c r="AJ18057" s="1747"/>
      <c r="AK18057" s="1748"/>
      <c r="AL18057" s="198"/>
      <c r="AM18057" s="198"/>
      <c r="AN18057" s="198"/>
      <c r="AO18057" s="198"/>
    </row>
    <row r="18058" spans="35:41" ht="19.5" thickBot="1" x14ac:dyDescent="0.35">
      <c r="AI18058" s="1746" t="s">
        <v>150</v>
      </c>
      <c r="AJ18058" s="1747"/>
      <c r="AK18058" s="1748"/>
      <c r="AL18058" s="198"/>
      <c r="AM18058" s="198"/>
      <c r="AN18058" s="198"/>
      <c r="AO18058" s="198"/>
    </row>
    <row r="18059" spans="35:41" ht="19.5" thickBot="1" x14ac:dyDescent="0.35">
      <c r="AI18059" s="1746" t="s">
        <v>150</v>
      </c>
      <c r="AJ18059" s="1747"/>
      <c r="AK18059" s="1748"/>
      <c r="AL18059" s="198"/>
      <c r="AM18059" s="198"/>
      <c r="AN18059" s="198"/>
      <c r="AO18059" s="198"/>
    </row>
    <row r="18060" spans="35:41" ht="19.5" thickBot="1" x14ac:dyDescent="0.35">
      <c r="AI18060" s="1746" t="s">
        <v>150</v>
      </c>
      <c r="AJ18060" s="1747"/>
      <c r="AK18060" s="1748"/>
      <c r="AL18060" s="198"/>
      <c r="AM18060" s="198"/>
      <c r="AN18060" s="198"/>
      <c r="AO18060" s="198"/>
    </row>
    <row r="18061" spans="35:41" ht="19.5" thickBot="1" x14ac:dyDescent="0.35">
      <c r="AI18061" s="1746" t="s">
        <v>150</v>
      </c>
      <c r="AJ18061" s="1747"/>
      <c r="AK18061" s="1748"/>
      <c r="AL18061" s="198"/>
      <c r="AM18061" s="198"/>
      <c r="AN18061" s="198"/>
      <c r="AO18061" s="198"/>
    </row>
    <row r="18062" spans="35:41" ht="19.5" thickBot="1" x14ac:dyDescent="0.35">
      <c r="AI18062" s="1746" t="s">
        <v>150</v>
      </c>
      <c r="AJ18062" s="1747"/>
      <c r="AK18062" s="1748"/>
      <c r="AL18062" s="198"/>
      <c r="AM18062" s="198"/>
      <c r="AN18062" s="198"/>
      <c r="AO18062" s="198"/>
    </row>
    <row r="18063" spans="35:41" ht="19.5" thickBot="1" x14ac:dyDescent="0.35">
      <c r="AI18063" s="1746" t="s">
        <v>150</v>
      </c>
      <c r="AJ18063" s="1747"/>
      <c r="AK18063" s="1748"/>
      <c r="AL18063" s="198"/>
      <c r="AM18063" s="198"/>
      <c r="AN18063" s="198"/>
      <c r="AO18063" s="198"/>
    </row>
    <row r="18064" spans="35:41" ht="19.5" thickBot="1" x14ac:dyDescent="0.35">
      <c r="AI18064" s="1746" t="s">
        <v>150</v>
      </c>
      <c r="AJ18064" s="1747"/>
      <c r="AK18064" s="1748"/>
      <c r="AL18064" s="198"/>
      <c r="AM18064" s="198"/>
      <c r="AN18064" s="198"/>
      <c r="AO18064" s="198"/>
    </row>
    <row r="18065" spans="35:41" ht="19.5" thickBot="1" x14ac:dyDescent="0.35">
      <c r="AI18065" s="1746" t="s">
        <v>150</v>
      </c>
      <c r="AJ18065" s="1747"/>
      <c r="AK18065" s="1748"/>
      <c r="AL18065" s="198"/>
      <c r="AM18065" s="198"/>
      <c r="AN18065" s="198"/>
      <c r="AO18065" s="198"/>
    </row>
    <row r="18066" spans="35:41" ht="19.5" thickBot="1" x14ac:dyDescent="0.35">
      <c r="AI18066" s="1746" t="s">
        <v>150</v>
      </c>
      <c r="AJ18066" s="1747"/>
      <c r="AK18066" s="1748"/>
      <c r="AL18066" s="198"/>
      <c r="AM18066" s="198"/>
      <c r="AN18066" s="198"/>
      <c r="AO18066" s="198"/>
    </row>
    <row r="18067" spans="35:41" ht="19.5" thickBot="1" x14ac:dyDescent="0.35">
      <c r="AI18067" s="1746" t="s">
        <v>150</v>
      </c>
      <c r="AJ18067" s="1747"/>
      <c r="AK18067" s="1748"/>
      <c r="AL18067" s="198"/>
      <c r="AM18067" s="198"/>
      <c r="AN18067" s="198"/>
      <c r="AO18067" s="198"/>
    </row>
    <row r="18068" spans="35:41" ht="19.5" thickBot="1" x14ac:dyDescent="0.35">
      <c r="AI18068" s="1746" t="s">
        <v>150</v>
      </c>
      <c r="AJ18068" s="1747"/>
      <c r="AK18068" s="1748"/>
      <c r="AL18068" s="198"/>
      <c r="AM18068" s="198"/>
      <c r="AN18068" s="198"/>
      <c r="AO18068" s="198"/>
    </row>
    <row r="18069" spans="35:41" ht="19.5" thickBot="1" x14ac:dyDescent="0.35">
      <c r="AI18069" s="1746" t="s">
        <v>150</v>
      </c>
      <c r="AJ18069" s="1747"/>
      <c r="AK18069" s="1748"/>
      <c r="AL18069" s="198"/>
      <c r="AM18069" s="198"/>
      <c r="AN18069" s="198"/>
      <c r="AO18069" s="198"/>
    </row>
    <row r="18070" spans="35:41" ht="19.5" thickBot="1" x14ac:dyDescent="0.35">
      <c r="AI18070" s="1746" t="s">
        <v>150</v>
      </c>
      <c r="AJ18070" s="1747"/>
      <c r="AK18070" s="1748"/>
      <c r="AL18070" s="198"/>
      <c r="AM18070" s="198"/>
      <c r="AN18070" s="198"/>
      <c r="AO18070" s="198"/>
    </row>
    <row r="18071" spans="35:41" ht="19.5" thickBot="1" x14ac:dyDescent="0.35">
      <c r="AI18071" s="1746" t="s">
        <v>150</v>
      </c>
      <c r="AJ18071" s="1747"/>
      <c r="AK18071" s="1748"/>
      <c r="AL18071" s="198"/>
      <c r="AM18071" s="198"/>
      <c r="AN18071" s="198"/>
      <c r="AO18071" s="198"/>
    </row>
    <row r="18072" spans="35:41" ht="19.5" thickBot="1" x14ac:dyDescent="0.35">
      <c r="AI18072" s="1746" t="s">
        <v>150</v>
      </c>
      <c r="AJ18072" s="1747"/>
      <c r="AK18072" s="1748"/>
      <c r="AL18072" s="198"/>
      <c r="AM18072" s="198"/>
      <c r="AN18072" s="198"/>
      <c r="AO18072" s="198"/>
    </row>
    <row r="18073" spans="35:41" ht="19.5" thickBot="1" x14ac:dyDescent="0.35">
      <c r="AI18073" s="1746" t="s">
        <v>150</v>
      </c>
      <c r="AJ18073" s="1747"/>
      <c r="AK18073" s="1748"/>
      <c r="AL18073" s="198"/>
      <c r="AM18073" s="198"/>
      <c r="AN18073" s="198"/>
      <c r="AO18073" s="198"/>
    </row>
    <row r="18074" spans="35:41" ht="19.5" thickBot="1" x14ac:dyDescent="0.35">
      <c r="AI18074" s="1746" t="s">
        <v>150</v>
      </c>
      <c r="AJ18074" s="1747"/>
      <c r="AK18074" s="1748"/>
      <c r="AL18074" s="198"/>
      <c r="AM18074" s="198"/>
      <c r="AN18074" s="198"/>
      <c r="AO18074" s="198"/>
    </row>
    <row r="18075" spans="35:41" ht="19.5" thickBot="1" x14ac:dyDescent="0.35">
      <c r="AI18075" s="1746" t="s">
        <v>150</v>
      </c>
      <c r="AJ18075" s="1747"/>
      <c r="AK18075" s="1748"/>
      <c r="AL18075" s="198"/>
      <c r="AM18075" s="198"/>
      <c r="AN18075" s="198"/>
      <c r="AO18075" s="198"/>
    </row>
    <row r="18076" spans="35:41" ht="19.5" thickBot="1" x14ac:dyDescent="0.35">
      <c r="AI18076" s="1746" t="s">
        <v>150</v>
      </c>
      <c r="AJ18076" s="1747"/>
      <c r="AK18076" s="1748"/>
      <c r="AL18076" s="198"/>
      <c r="AM18076" s="198"/>
      <c r="AN18076" s="198"/>
      <c r="AO18076" s="198"/>
    </row>
    <row r="18077" spans="35:41" ht="19.5" thickBot="1" x14ac:dyDescent="0.35">
      <c r="AI18077" s="1746" t="s">
        <v>150</v>
      </c>
      <c r="AJ18077" s="1747"/>
      <c r="AK18077" s="1748"/>
      <c r="AL18077" s="198"/>
      <c r="AM18077" s="198"/>
      <c r="AN18077" s="198"/>
      <c r="AO18077" s="198"/>
    </row>
    <row r="18078" spans="35:41" ht="19.5" thickBot="1" x14ac:dyDescent="0.35">
      <c r="AI18078" s="1746" t="s">
        <v>150</v>
      </c>
      <c r="AJ18078" s="1747"/>
      <c r="AK18078" s="1748"/>
      <c r="AL18078" s="198"/>
      <c r="AM18078" s="198"/>
      <c r="AN18078" s="198"/>
      <c r="AO18078" s="198"/>
    </row>
    <row r="18079" spans="35:41" ht="19.5" thickBot="1" x14ac:dyDescent="0.35">
      <c r="AI18079" s="1746" t="s">
        <v>150</v>
      </c>
      <c r="AJ18079" s="1747"/>
      <c r="AK18079" s="1748"/>
      <c r="AL18079" s="198"/>
      <c r="AM18079" s="198"/>
      <c r="AN18079" s="198"/>
      <c r="AO18079" s="198"/>
    </row>
    <row r="18080" spans="35:41" ht="19.5" thickBot="1" x14ac:dyDescent="0.35">
      <c r="AI18080" s="1746" t="s">
        <v>150</v>
      </c>
      <c r="AJ18080" s="1747"/>
      <c r="AK18080" s="1748"/>
      <c r="AL18080" s="198"/>
      <c r="AM18080" s="198"/>
      <c r="AN18080" s="198"/>
      <c r="AO18080" s="198"/>
    </row>
    <row r="18081" spans="35:41" ht="19.5" thickBot="1" x14ac:dyDescent="0.35">
      <c r="AI18081" s="1746" t="s">
        <v>150</v>
      </c>
      <c r="AJ18081" s="1747"/>
      <c r="AK18081" s="1748"/>
      <c r="AL18081" s="198"/>
      <c r="AM18081" s="198"/>
      <c r="AN18081" s="198"/>
      <c r="AO18081" s="198"/>
    </row>
    <row r="18082" spans="35:41" ht="19.5" thickBot="1" x14ac:dyDescent="0.35">
      <c r="AI18082" s="1746" t="s">
        <v>150</v>
      </c>
      <c r="AJ18082" s="1747"/>
      <c r="AK18082" s="1748"/>
      <c r="AL18082" s="198"/>
      <c r="AM18082" s="198"/>
      <c r="AN18082" s="198"/>
      <c r="AO18082" s="198"/>
    </row>
    <row r="18083" spans="35:41" ht="19.5" thickBot="1" x14ac:dyDescent="0.35">
      <c r="AI18083" s="1746" t="s">
        <v>150</v>
      </c>
      <c r="AJ18083" s="1747"/>
      <c r="AK18083" s="1748"/>
      <c r="AL18083" s="198"/>
      <c r="AM18083" s="198"/>
      <c r="AN18083" s="198"/>
      <c r="AO18083" s="198"/>
    </row>
    <row r="18084" spans="35:41" ht="19.5" thickBot="1" x14ac:dyDescent="0.35">
      <c r="AI18084" s="1746" t="s">
        <v>150</v>
      </c>
      <c r="AJ18084" s="1747"/>
      <c r="AK18084" s="1748"/>
      <c r="AL18084" s="198"/>
      <c r="AM18084" s="198"/>
      <c r="AN18084" s="198"/>
      <c r="AO18084" s="198"/>
    </row>
    <row r="18085" spans="35:41" ht="19.5" thickBot="1" x14ac:dyDescent="0.35">
      <c r="AI18085" s="1746" t="s">
        <v>150</v>
      </c>
      <c r="AJ18085" s="1747"/>
      <c r="AK18085" s="1748"/>
      <c r="AL18085" s="198"/>
      <c r="AM18085" s="198"/>
      <c r="AN18085" s="198"/>
      <c r="AO18085" s="198"/>
    </row>
    <row r="18086" spans="35:41" ht="19.5" thickBot="1" x14ac:dyDescent="0.35">
      <c r="AI18086" s="1746" t="s">
        <v>150</v>
      </c>
      <c r="AJ18086" s="1747"/>
      <c r="AK18086" s="1748"/>
      <c r="AL18086" s="198"/>
      <c r="AM18086" s="198"/>
      <c r="AN18086" s="198"/>
      <c r="AO18086" s="198"/>
    </row>
    <row r="18087" spans="35:41" ht="19.5" thickBot="1" x14ac:dyDescent="0.35">
      <c r="AI18087" s="1746" t="s">
        <v>150</v>
      </c>
      <c r="AJ18087" s="1747"/>
      <c r="AK18087" s="1748"/>
      <c r="AL18087" s="198"/>
      <c r="AM18087" s="198"/>
      <c r="AN18087" s="198"/>
      <c r="AO18087" s="198"/>
    </row>
    <row r="18088" spans="35:41" ht="19.5" thickBot="1" x14ac:dyDescent="0.35">
      <c r="AI18088" s="1746" t="s">
        <v>150</v>
      </c>
      <c r="AJ18088" s="1747"/>
      <c r="AK18088" s="1748"/>
      <c r="AL18088" s="198"/>
      <c r="AM18088" s="198"/>
      <c r="AN18088" s="198"/>
      <c r="AO18088" s="198"/>
    </row>
    <row r="18089" spans="35:41" ht="19.5" thickBot="1" x14ac:dyDescent="0.35">
      <c r="AI18089" s="1746" t="s">
        <v>150</v>
      </c>
      <c r="AJ18089" s="1747"/>
      <c r="AK18089" s="1748"/>
      <c r="AL18089" s="198"/>
      <c r="AM18089" s="198"/>
      <c r="AN18089" s="198"/>
      <c r="AO18089" s="198"/>
    </row>
    <row r="18090" spans="35:41" ht="19.5" thickBot="1" x14ac:dyDescent="0.35">
      <c r="AI18090" s="1746" t="s">
        <v>150</v>
      </c>
      <c r="AJ18090" s="1747"/>
      <c r="AK18090" s="1748"/>
      <c r="AL18090" s="198"/>
      <c r="AM18090" s="198"/>
      <c r="AN18090" s="198"/>
      <c r="AO18090" s="198"/>
    </row>
    <row r="18091" spans="35:41" ht="19.5" thickBot="1" x14ac:dyDescent="0.35">
      <c r="AI18091" s="1746" t="s">
        <v>150</v>
      </c>
      <c r="AJ18091" s="1747"/>
      <c r="AK18091" s="1748"/>
      <c r="AL18091" s="198"/>
      <c r="AM18091" s="198"/>
      <c r="AN18091" s="198"/>
      <c r="AO18091" s="198"/>
    </row>
    <row r="18092" spans="35:41" ht="19.5" thickBot="1" x14ac:dyDescent="0.35">
      <c r="AI18092" s="1746" t="s">
        <v>150</v>
      </c>
      <c r="AJ18092" s="1747"/>
      <c r="AK18092" s="1748"/>
      <c r="AL18092" s="198"/>
      <c r="AM18092" s="198"/>
      <c r="AN18092" s="198"/>
      <c r="AO18092" s="198"/>
    </row>
    <row r="18093" spans="35:41" ht="19.5" thickBot="1" x14ac:dyDescent="0.35">
      <c r="AI18093" s="1746" t="s">
        <v>150</v>
      </c>
      <c r="AJ18093" s="1747"/>
      <c r="AK18093" s="1748"/>
      <c r="AL18093" s="198"/>
      <c r="AM18093" s="198"/>
      <c r="AN18093" s="198"/>
      <c r="AO18093" s="198"/>
    </row>
    <row r="18094" spans="35:41" ht="19.5" thickBot="1" x14ac:dyDescent="0.35">
      <c r="AI18094" s="1746" t="s">
        <v>150</v>
      </c>
      <c r="AJ18094" s="1747"/>
      <c r="AK18094" s="1748"/>
      <c r="AL18094" s="198"/>
      <c r="AM18094" s="198"/>
      <c r="AN18094" s="198"/>
      <c r="AO18094" s="198"/>
    </row>
    <row r="18095" spans="35:41" ht="19.5" thickBot="1" x14ac:dyDescent="0.35">
      <c r="AI18095" s="1746" t="s">
        <v>150</v>
      </c>
      <c r="AJ18095" s="1747"/>
      <c r="AK18095" s="1748"/>
      <c r="AL18095" s="198"/>
      <c r="AM18095" s="198"/>
      <c r="AN18095" s="198"/>
      <c r="AO18095" s="198"/>
    </row>
    <row r="18096" spans="35:41" ht="19.5" thickBot="1" x14ac:dyDescent="0.35">
      <c r="AI18096" s="1746" t="s">
        <v>150</v>
      </c>
      <c r="AJ18096" s="1747"/>
      <c r="AK18096" s="1748"/>
      <c r="AL18096" s="198"/>
      <c r="AM18096" s="198"/>
      <c r="AN18096" s="198"/>
      <c r="AO18096" s="198"/>
    </row>
    <row r="18097" spans="35:41" ht="19.5" thickBot="1" x14ac:dyDescent="0.35">
      <c r="AI18097" s="1746" t="s">
        <v>150</v>
      </c>
      <c r="AJ18097" s="1747"/>
      <c r="AK18097" s="1748"/>
      <c r="AL18097" s="198"/>
      <c r="AM18097" s="198"/>
      <c r="AN18097" s="198"/>
      <c r="AO18097" s="198"/>
    </row>
    <row r="18098" spans="35:41" ht="19.5" thickBot="1" x14ac:dyDescent="0.35">
      <c r="AI18098" s="1746" t="s">
        <v>150</v>
      </c>
      <c r="AJ18098" s="1747"/>
      <c r="AK18098" s="1748"/>
      <c r="AL18098" s="198"/>
      <c r="AM18098" s="198"/>
      <c r="AN18098" s="198"/>
      <c r="AO18098" s="198"/>
    </row>
    <row r="18099" spans="35:41" ht="19.5" thickBot="1" x14ac:dyDescent="0.35">
      <c r="AI18099" s="1746" t="s">
        <v>150</v>
      </c>
      <c r="AJ18099" s="1747"/>
      <c r="AK18099" s="1748"/>
      <c r="AL18099" s="198"/>
      <c r="AM18099" s="198"/>
      <c r="AN18099" s="198"/>
      <c r="AO18099" s="198"/>
    </row>
    <row r="18100" spans="35:41" ht="19.5" thickBot="1" x14ac:dyDescent="0.35">
      <c r="AI18100" s="1746" t="s">
        <v>150</v>
      </c>
      <c r="AJ18100" s="1747"/>
      <c r="AK18100" s="1748"/>
      <c r="AL18100" s="198"/>
      <c r="AM18100" s="198"/>
      <c r="AN18100" s="198"/>
      <c r="AO18100" s="198"/>
    </row>
    <row r="18101" spans="35:41" ht="19.5" thickBot="1" x14ac:dyDescent="0.35">
      <c r="AI18101" s="1746" t="s">
        <v>150</v>
      </c>
      <c r="AJ18101" s="1747"/>
      <c r="AK18101" s="1748"/>
      <c r="AL18101" s="198"/>
      <c r="AM18101" s="198"/>
      <c r="AN18101" s="198"/>
      <c r="AO18101" s="198"/>
    </row>
    <row r="18102" spans="35:41" ht="19.5" thickBot="1" x14ac:dyDescent="0.35">
      <c r="AI18102" s="1746" t="s">
        <v>150</v>
      </c>
      <c r="AJ18102" s="1747"/>
      <c r="AK18102" s="1748"/>
      <c r="AL18102" s="198"/>
      <c r="AM18102" s="198"/>
      <c r="AN18102" s="198"/>
      <c r="AO18102" s="198"/>
    </row>
    <row r="18103" spans="35:41" ht="19.5" thickBot="1" x14ac:dyDescent="0.35">
      <c r="AI18103" s="1746" t="s">
        <v>150</v>
      </c>
      <c r="AJ18103" s="1747"/>
      <c r="AK18103" s="1748"/>
      <c r="AL18103" s="198"/>
      <c r="AM18103" s="198"/>
      <c r="AN18103" s="198"/>
      <c r="AO18103" s="198"/>
    </row>
    <row r="18104" spans="35:41" ht="19.5" thickBot="1" x14ac:dyDescent="0.35">
      <c r="AI18104" s="1746" t="s">
        <v>150</v>
      </c>
      <c r="AJ18104" s="1747"/>
      <c r="AK18104" s="1748"/>
      <c r="AL18104" s="198"/>
      <c r="AM18104" s="198"/>
      <c r="AN18104" s="198"/>
      <c r="AO18104" s="198"/>
    </row>
    <row r="18105" spans="35:41" ht="19.5" thickBot="1" x14ac:dyDescent="0.35">
      <c r="AI18105" s="1746" t="s">
        <v>150</v>
      </c>
      <c r="AJ18105" s="1747"/>
      <c r="AK18105" s="1748"/>
      <c r="AL18105" s="198"/>
      <c r="AM18105" s="198"/>
      <c r="AN18105" s="198"/>
      <c r="AO18105" s="198"/>
    </row>
    <row r="18106" spans="35:41" ht="19.5" thickBot="1" x14ac:dyDescent="0.35">
      <c r="AI18106" s="1746" t="s">
        <v>150</v>
      </c>
      <c r="AJ18106" s="1747"/>
      <c r="AK18106" s="1748"/>
      <c r="AL18106" s="198"/>
      <c r="AM18106" s="198"/>
      <c r="AN18106" s="198"/>
      <c r="AO18106" s="198"/>
    </row>
    <row r="18107" spans="35:41" ht="19.5" thickBot="1" x14ac:dyDescent="0.35">
      <c r="AI18107" s="1746" t="s">
        <v>150</v>
      </c>
      <c r="AJ18107" s="1747"/>
      <c r="AK18107" s="1748"/>
      <c r="AL18107" s="198"/>
      <c r="AM18107" s="198"/>
      <c r="AN18107" s="198"/>
      <c r="AO18107" s="198"/>
    </row>
    <row r="18108" spans="35:41" ht="19.5" thickBot="1" x14ac:dyDescent="0.35">
      <c r="AI18108" s="1746" t="s">
        <v>150</v>
      </c>
      <c r="AJ18108" s="1747"/>
      <c r="AK18108" s="1748"/>
      <c r="AL18108" s="198"/>
      <c r="AM18108" s="198"/>
      <c r="AN18108" s="198"/>
      <c r="AO18108" s="198"/>
    </row>
    <row r="18109" spans="35:41" ht="19.5" thickBot="1" x14ac:dyDescent="0.35">
      <c r="AI18109" s="1746" t="s">
        <v>150</v>
      </c>
      <c r="AJ18109" s="1747"/>
      <c r="AK18109" s="1748"/>
      <c r="AL18109" s="198"/>
      <c r="AM18109" s="198"/>
      <c r="AN18109" s="198"/>
      <c r="AO18109" s="198"/>
    </row>
    <row r="18110" spans="35:41" ht="19.5" thickBot="1" x14ac:dyDescent="0.35">
      <c r="AI18110" s="1746" t="s">
        <v>150</v>
      </c>
      <c r="AJ18110" s="1747"/>
      <c r="AK18110" s="1748"/>
      <c r="AL18110" s="198"/>
      <c r="AM18110" s="198"/>
      <c r="AN18110" s="198"/>
      <c r="AO18110" s="198"/>
    </row>
    <row r="18111" spans="35:41" ht="19.5" thickBot="1" x14ac:dyDescent="0.35">
      <c r="AI18111" s="1746" t="s">
        <v>150</v>
      </c>
      <c r="AJ18111" s="1747"/>
      <c r="AK18111" s="1748"/>
      <c r="AL18111" s="198"/>
      <c r="AM18111" s="198"/>
      <c r="AN18111" s="198"/>
      <c r="AO18111" s="198"/>
    </row>
    <row r="18112" spans="35:41" ht="19.5" thickBot="1" x14ac:dyDescent="0.35">
      <c r="AI18112" s="1746" t="s">
        <v>150</v>
      </c>
      <c r="AJ18112" s="1747"/>
      <c r="AK18112" s="1748"/>
      <c r="AL18112" s="198"/>
      <c r="AM18112" s="198"/>
      <c r="AN18112" s="198"/>
      <c r="AO18112" s="198"/>
    </row>
    <row r="18113" spans="35:41" ht="19.5" thickBot="1" x14ac:dyDescent="0.35">
      <c r="AI18113" s="1746" t="s">
        <v>150</v>
      </c>
      <c r="AJ18113" s="1747"/>
      <c r="AK18113" s="1748"/>
      <c r="AL18113" s="198"/>
      <c r="AM18113" s="198"/>
      <c r="AN18113" s="198"/>
      <c r="AO18113" s="198"/>
    </row>
    <row r="18114" spans="35:41" ht="19.5" thickBot="1" x14ac:dyDescent="0.35">
      <c r="AI18114" s="1746" t="s">
        <v>150</v>
      </c>
      <c r="AJ18114" s="1747"/>
      <c r="AK18114" s="1748"/>
      <c r="AL18114" s="198"/>
      <c r="AM18114" s="198"/>
      <c r="AN18114" s="198"/>
      <c r="AO18114" s="198"/>
    </row>
    <row r="18115" spans="35:41" ht="19.5" thickBot="1" x14ac:dyDescent="0.35">
      <c r="AI18115" s="1746" t="s">
        <v>150</v>
      </c>
      <c r="AJ18115" s="1747"/>
      <c r="AK18115" s="1748"/>
      <c r="AL18115" s="198"/>
      <c r="AM18115" s="198"/>
      <c r="AN18115" s="198"/>
      <c r="AO18115" s="198"/>
    </row>
    <row r="18116" spans="35:41" ht="19.5" thickBot="1" x14ac:dyDescent="0.35">
      <c r="AI18116" s="1746" t="s">
        <v>150</v>
      </c>
      <c r="AJ18116" s="1747"/>
      <c r="AK18116" s="1748"/>
      <c r="AL18116" s="198"/>
      <c r="AM18116" s="198"/>
      <c r="AN18116" s="198"/>
      <c r="AO18116" s="198"/>
    </row>
    <row r="18117" spans="35:41" ht="19.5" thickBot="1" x14ac:dyDescent="0.35">
      <c r="AI18117" s="1746" t="s">
        <v>150</v>
      </c>
      <c r="AJ18117" s="1747"/>
      <c r="AK18117" s="1748"/>
      <c r="AL18117" s="198"/>
      <c r="AM18117" s="198"/>
      <c r="AN18117" s="198"/>
      <c r="AO18117" s="198"/>
    </row>
    <row r="18118" spans="35:41" ht="19.5" thickBot="1" x14ac:dyDescent="0.35">
      <c r="AI18118" s="1746" t="s">
        <v>150</v>
      </c>
      <c r="AJ18118" s="1747"/>
      <c r="AK18118" s="1748"/>
      <c r="AL18118" s="198"/>
      <c r="AM18118" s="198"/>
      <c r="AN18118" s="198"/>
      <c r="AO18118" s="198"/>
    </row>
    <row r="18119" spans="35:41" ht="19.5" thickBot="1" x14ac:dyDescent="0.35">
      <c r="AI18119" s="1746" t="s">
        <v>150</v>
      </c>
      <c r="AJ18119" s="1747"/>
      <c r="AK18119" s="1748"/>
      <c r="AL18119" s="198"/>
      <c r="AM18119" s="198"/>
      <c r="AN18119" s="198"/>
      <c r="AO18119" s="198"/>
    </row>
    <row r="18120" spans="35:41" ht="19.5" thickBot="1" x14ac:dyDescent="0.35">
      <c r="AI18120" s="1746" t="s">
        <v>150</v>
      </c>
      <c r="AJ18120" s="1747"/>
      <c r="AK18120" s="1748"/>
      <c r="AL18120" s="198"/>
      <c r="AM18120" s="198"/>
      <c r="AN18120" s="198"/>
      <c r="AO18120" s="198"/>
    </row>
    <row r="18121" spans="35:41" ht="19.5" thickBot="1" x14ac:dyDescent="0.35">
      <c r="AI18121" s="1746" t="s">
        <v>150</v>
      </c>
      <c r="AJ18121" s="1747"/>
      <c r="AK18121" s="1748"/>
      <c r="AL18121" s="198"/>
      <c r="AM18121" s="198"/>
      <c r="AN18121" s="198"/>
      <c r="AO18121" s="198"/>
    </row>
    <row r="18122" spans="35:41" ht="19.5" thickBot="1" x14ac:dyDescent="0.35">
      <c r="AI18122" s="1746" t="s">
        <v>150</v>
      </c>
      <c r="AJ18122" s="1747"/>
      <c r="AK18122" s="1748"/>
      <c r="AL18122" s="198"/>
      <c r="AM18122" s="198"/>
      <c r="AN18122" s="198"/>
      <c r="AO18122" s="198"/>
    </row>
    <row r="18123" spans="35:41" ht="19.5" thickBot="1" x14ac:dyDescent="0.35">
      <c r="AI18123" s="1746" t="s">
        <v>150</v>
      </c>
      <c r="AJ18123" s="1747"/>
      <c r="AK18123" s="1748"/>
      <c r="AL18123" s="198"/>
      <c r="AM18123" s="198"/>
      <c r="AN18123" s="198"/>
      <c r="AO18123" s="198"/>
    </row>
    <row r="18124" spans="35:41" ht="19.5" thickBot="1" x14ac:dyDescent="0.35">
      <c r="AI18124" s="1746" t="s">
        <v>150</v>
      </c>
      <c r="AJ18124" s="1747"/>
      <c r="AK18124" s="1748"/>
      <c r="AL18124" s="198"/>
      <c r="AM18124" s="198"/>
      <c r="AN18124" s="198"/>
      <c r="AO18124" s="198"/>
    </row>
    <row r="18125" spans="35:41" ht="19.5" thickBot="1" x14ac:dyDescent="0.35">
      <c r="AI18125" s="1746" t="s">
        <v>150</v>
      </c>
      <c r="AJ18125" s="1747"/>
      <c r="AK18125" s="1748"/>
      <c r="AL18125" s="198"/>
      <c r="AM18125" s="198"/>
      <c r="AN18125" s="198"/>
      <c r="AO18125" s="198"/>
    </row>
    <row r="18126" spans="35:41" ht="19.5" thickBot="1" x14ac:dyDescent="0.35">
      <c r="AI18126" s="1746" t="s">
        <v>150</v>
      </c>
      <c r="AJ18126" s="1747"/>
      <c r="AK18126" s="1748"/>
      <c r="AL18126" s="198"/>
      <c r="AM18126" s="198"/>
      <c r="AN18126" s="198"/>
      <c r="AO18126" s="198"/>
    </row>
    <row r="18127" spans="35:41" ht="19.5" thickBot="1" x14ac:dyDescent="0.35">
      <c r="AI18127" s="1746" t="s">
        <v>150</v>
      </c>
      <c r="AJ18127" s="1747"/>
      <c r="AK18127" s="1748"/>
      <c r="AL18127" s="198"/>
      <c r="AM18127" s="198"/>
      <c r="AN18127" s="198"/>
      <c r="AO18127" s="198"/>
    </row>
    <row r="18128" spans="35:41" ht="19.5" thickBot="1" x14ac:dyDescent="0.35">
      <c r="AI18128" s="1746" t="s">
        <v>150</v>
      </c>
      <c r="AJ18128" s="1747"/>
      <c r="AK18128" s="1748"/>
      <c r="AL18128" s="198"/>
      <c r="AM18128" s="198"/>
      <c r="AN18128" s="198"/>
      <c r="AO18128" s="198"/>
    </row>
    <row r="18129" spans="35:41" ht="19.5" thickBot="1" x14ac:dyDescent="0.35">
      <c r="AI18129" s="1746" t="s">
        <v>150</v>
      </c>
      <c r="AJ18129" s="1747"/>
      <c r="AK18129" s="1748"/>
      <c r="AL18129" s="198"/>
      <c r="AM18129" s="198"/>
      <c r="AN18129" s="198"/>
      <c r="AO18129" s="198"/>
    </row>
    <row r="18130" spans="35:41" ht="19.5" thickBot="1" x14ac:dyDescent="0.35">
      <c r="AI18130" s="1746" t="s">
        <v>150</v>
      </c>
      <c r="AJ18130" s="1747"/>
      <c r="AK18130" s="1748"/>
      <c r="AL18130" s="198"/>
      <c r="AM18130" s="198"/>
      <c r="AN18130" s="198"/>
      <c r="AO18130" s="198"/>
    </row>
    <row r="18131" spans="35:41" ht="19.5" thickBot="1" x14ac:dyDescent="0.35">
      <c r="AI18131" s="1746" t="s">
        <v>150</v>
      </c>
      <c r="AJ18131" s="1747"/>
      <c r="AK18131" s="1748"/>
      <c r="AL18131" s="198"/>
      <c r="AM18131" s="198"/>
      <c r="AN18131" s="198"/>
      <c r="AO18131" s="198"/>
    </row>
    <row r="18132" spans="35:41" ht="19.5" thickBot="1" x14ac:dyDescent="0.35">
      <c r="AI18132" s="1746" t="s">
        <v>150</v>
      </c>
      <c r="AJ18132" s="1747"/>
      <c r="AK18132" s="1748"/>
      <c r="AL18132" s="198"/>
      <c r="AM18132" s="198"/>
      <c r="AN18132" s="198"/>
      <c r="AO18132" s="198"/>
    </row>
    <row r="18133" spans="35:41" ht="19.5" thickBot="1" x14ac:dyDescent="0.35">
      <c r="AI18133" s="1746" t="s">
        <v>150</v>
      </c>
      <c r="AJ18133" s="1747"/>
      <c r="AK18133" s="1748"/>
      <c r="AL18133" s="198"/>
      <c r="AM18133" s="198"/>
      <c r="AN18133" s="198"/>
      <c r="AO18133" s="198"/>
    </row>
    <row r="18134" spans="35:41" ht="19.5" thickBot="1" x14ac:dyDescent="0.35">
      <c r="AI18134" s="1746" t="s">
        <v>150</v>
      </c>
      <c r="AJ18134" s="1747"/>
      <c r="AK18134" s="1748"/>
      <c r="AL18134" s="198"/>
      <c r="AM18134" s="198"/>
      <c r="AN18134" s="198"/>
      <c r="AO18134" s="198"/>
    </row>
    <row r="18135" spans="35:41" ht="19.5" thickBot="1" x14ac:dyDescent="0.35">
      <c r="AI18135" s="1746" t="s">
        <v>150</v>
      </c>
      <c r="AJ18135" s="1747"/>
      <c r="AK18135" s="1748"/>
      <c r="AL18135" s="198"/>
      <c r="AM18135" s="198"/>
      <c r="AN18135" s="198"/>
      <c r="AO18135" s="198"/>
    </row>
    <row r="18136" spans="35:41" ht="19.5" thickBot="1" x14ac:dyDescent="0.35">
      <c r="AI18136" s="1746" t="s">
        <v>150</v>
      </c>
      <c r="AJ18136" s="1747"/>
      <c r="AK18136" s="1748"/>
      <c r="AL18136" s="198"/>
      <c r="AM18136" s="198"/>
      <c r="AN18136" s="198"/>
      <c r="AO18136" s="198"/>
    </row>
    <row r="18137" spans="35:41" ht="19.5" thickBot="1" x14ac:dyDescent="0.35">
      <c r="AI18137" s="1746" t="s">
        <v>150</v>
      </c>
      <c r="AJ18137" s="1747"/>
      <c r="AK18137" s="1748"/>
      <c r="AL18137" s="198"/>
      <c r="AM18137" s="198"/>
      <c r="AN18137" s="198"/>
      <c r="AO18137" s="198"/>
    </row>
    <row r="18138" spans="35:41" ht="19.5" thickBot="1" x14ac:dyDescent="0.35">
      <c r="AI18138" s="1746" t="s">
        <v>150</v>
      </c>
      <c r="AJ18138" s="1747"/>
      <c r="AK18138" s="1748"/>
      <c r="AL18138" s="198"/>
      <c r="AM18138" s="198"/>
      <c r="AN18138" s="198"/>
      <c r="AO18138" s="198"/>
    </row>
    <row r="18139" spans="35:41" ht="19.5" thickBot="1" x14ac:dyDescent="0.35">
      <c r="AI18139" s="1746" t="s">
        <v>150</v>
      </c>
      <c r="AJ18139" s="1747"/>
      <c r="AK18139" s="1748"/>
      <c r="AL18139" s="198"/>
      <c r="AM18139" s="198"/>
      <c r="AN18139" s="198"/>
      <c r="AO18139" s="198"/>
    </row>
    <row r="18140" spans="35:41" ht="19.5" thickBot="1" x14ac:dyDescent="0.35">
      <c r="AI18140" s="1746" t="s">
        <v>150</v>
      </c>
      <c r="AJ18140" s="1747"/>
      <c r="AK18140" s="1748"/>
      <c r="AL18140" s="198"/>
      <c r="AM18140" s="198"/>
      <c r="AN18140" s="198"/>
      <c r="AO18140" s="198"/>
    </row>
    <row r="18141" spans="35:41" ht="19.5" thickBot="1" x14ac:dyDescent="0.35">
      <c r="AI18141" s="1746" t="s">
        <v>150</v>
      </c>
      <c r="AJ18141" s="1747"/>
      <c r="AK18141" s="1748"/>
      <c r="AL18141" s="198"/>
      <c r="AM18141" s="198"/>
      <c r="AN18141" s="198"/>
      <c r="AO18141" s="198"/>
    </row>
    <row r="18142" spans="35:41" ht="19.5" thickBot="1" x14ac:dyDescent="0.35">
      <c r="AI18142" s="1746" t="s">
        <v>150</v>
      </c>
      <c r="AJ18142" s="1747"/>
      <c r="AK18142" s="1748"/>
      <c r="AL18142" s="198"/>
      <c r="AM18142" s="198"/>
      <c r="AN18142" s="198"/>
      <c r="AO18142" s="198"/>
    </row>
    <row r="18143" spans="35:41" ht="19.5" thickBot="1" x14ac:dyDescent="0.35">
      <c r="AI18143" s="1746" t="s">
        <v>150</v>
      </c>
      <c r="AJ18143" s="1747"/>
      <c r="AK18143" s="1748"/>
      <c r="AL18143" s="198"/>
      <c r="AM18143" s="198"/>
      <c r="AN18143" s="198"/>
      <c r="AO18143" s="198"/>
    </row>
    <row r="18144" spans="35:41" ht="19.5" thickBot="1" x14ac:dyDescent="0.35">
      <c r="AI18144" s="1746" t="s">
        <v>150</v>
      </c>
      <c r="AJ18144" s="1747"/>
      <c r="AK18144" s="1748"/>
      <c r="AL18144" s="198"/>
      <c r="AM18144" s="198"/>
      <c r="AN18144" s="198"/>
      <c r="AO18144" s="198"/>
    </row>
    <row r="18145" spans="35:41" ht="19.5" thickBot="1" x14ac:dyDescent="0.35">
      <c r="AI18145" s="1746" t="s">
        <v>150</v>
      </c>
      <c r="AJ18145" s="1747"/>
      <c r="AK18145" s="1748"/>
      <c r="AL18145" s="198"/>
      <c r="AM18145" s="198"/>
      <c r="AN18145" s="198"/>
      <c r="AO18145" s="198"/>
    </row>
    <row r="18146" spans="35:41" ht="19.5" thickBot="1" x14ac:dyDescent="0.35">
      <c r="AI18146" s="1746" t="s">
        <v>150</v>
      </c>
      <c r="AJ18146" s="1747"/>
      <c r="AK18146" s="1748"/>
      <c r="AL18146" s="198"/>
      <c r="AM18146" s="198"/>
      <c r="AN18146" s="198"/>
      <c r="AO18146" s="198"/>
    </row>
    <row r="18147" spans="35:41" ht="19.5" thickBot="1" x14ac:dyDescent="0.35">
      <c r="AI18147" s="1746" t="s">
        <v>150</v>
      </c>
      <c r="AJ18147" s="1747"/>
      <c r="AK18147" s="1748"/>
      <c r="AL18147" s="198"/>
      <c r="AM18147" s="198"/>
      <c r="AN18147" s="198"/>
      <c r="AO18147" s="198"/>
    </row>
    <row r="18148" spans="35:41" ht="19.5" thickBot="1" x14ac:dyDescent="0.35">
      <c r="AI18148" s="1746" t="s">
        <v>150</v>
      </c>
      <c r="AJ18148" s="1747"/>
      <c r="AK18148" s="1748"/>
      <c r="AL18148" s="198"/>
      <c r="AM18148" s="198"/>
      <c r="AN18148" s="198"/>
      <c r="AO18148" s="198"/>
    </row>
    <row r="18149" spans="35:41" ht="19.5" thickBot="1" x14ac:dyDescent="0.35">
      <c r="AI18149" s="1746" t="s">
        <v>150</v>
      </c>
      <c r="AJ18149" s="1747"/>
      <c r="AK18149" s="1748"/>
      <c r="AL18149" s="198"/>
      <c r="AM18149" s="198"/>
      <c r="AN18149" s="198"/>
      <c r="AO18149" s="198"/>
    </row>
    <row r="18150" spans="35:41" ht="19.5" thickBot="1" x14ac:dyDescent="0.35">
      <c r="AI18150" s="1746" t="s">
        <v>150</v>
      </c>
      <c r="AJ18150" s="1747"/>
      <c r="AK18150" s="1748"/>
      <c r="AL18150" s="198"/>
      <c r="AM18150" s="198"/>
      <c r="AN18150" s="198"/>
      <c r="AO18150" s="198"/>
    </row>
    <row r="18151" spans="35:41" ht="19.5" thickBot="1" x14ac:dyDescent="0.35">
      <c r="AI18151" s="1746" t="s">
        <v>150</v>
      </c>
      <c r="AJ18151" s="1747"/>
      <c r="AK18151" s="1748"/>
      <c r="AL18151" s="198"/>
      <c r="AM18151" s="198"/>
      <c r="AN18151" s="198"/>
      <c r="AO18151" s="198"/>
    </row>
    <row r="18152" spans="35:41" ht="19.5" thickBot="1" x14ac:dyDescent="0.35">
      <c r="AI18152" s="1746" t="s">
        <v>150</v>
      </c>
      <c r="AJ18152" s="1747"/>
      <c r="AK18152" s="1748"/>
      <c r="AL18152" s="198"/>
      <c r="AM18152" s="198"/>
      <c r="AN18152" s="198"/>
      <c r="AO18152" s="198"/>
    </row>
    <row r="18153" spans="35:41" ht="19.5" thickBot="1" x14ac:dyDescent="0.35">
      <c r="AI18153" s="1746" t="s">
        <v>150</v>
      </c>
      <c r="AJ18153" s="1747"/>
      <c r="AK18153" s="1748"/>
      <c r="AL18153" s="198"/>
      <c r="AM18153" s="198"/>
      <c r="AN18153" s="198"/>
      <c r="AO18153" s="198"/>
    </row>
    <row r="18154" spans="35:41" ht="19.5" thickBot="1" x14ac:dyDescent="0.35">
      <c r="AI18154" s="1746" t="s">
        <v>150</v>
      </c>
      <c r="AJ18154" s="1747"/>
      <c r="AK18154" s="1748"/>
      <c r="AL18154" s="198"/>
      <c r="AM18154" s="198"/>
      <c r="AN18154" s="198"/>
      <c r="AO18154" s="198"/>
    </row>
    <row r="18155" spans="35:41" ht="19.5" thickBot="1" x14ac:dyDescent="0.35">
      <c r="AI18155" s="1746" t="s">
        <v>150</v>
      </c>
      <c r="AJ18155" s="1747"/>
      <c r="AK18155" s="1748"/>
      <c r="AL18155" s="198"/>
      <c r="AM18155" s="198"/>
      <c r="AN18155" s="198"/>
      <c r="AO18155" s="198"/>
    </row>
    <row r="18156" spans="35:41" ht="19.5" thickBot="1" x14ac:dyDescent="0.35">
      <c r="AI18156" s="1746" t="s">
        <v>150</v>
      </c>
      <c r="AJ18156" s="1747"/>
      <c r="AK18156" s="1748"/>
      <c r="AL18156" s="198"/>
      <c r="AM18156" s="198"/>
      <c r="AN18156" s="198"/>
      <c r="AO18156" s="198"/>
    </row>
    <row r="18157" spans="35:41" ht="19.5" thickBot="1" x14ac:dyDescent="0.35">
      <c r="AI18157" s="1746" t="s">
        <v>150</v>
      </c>
      <c r="AJ18157" s="1747"/>
      <c r="AK18157" s="1748"/>
      <c r="AL18157" s="198"/>
      <c r="AM18157" s="198"/>
      <c r="AN18157" s="198"/>
      <c r="AO18157" s="198"/>
    </row>
    <row r="18158" spans="35:41" ht="19.5" thickBot="1" x14ac:dyDescent="0.35">
      <c r="AI18158" s="1746" t="s">
        <v>150</v>
      </c>
      <c r="AJ18158" s="1747"/>
      <c r="AK18158" s="1748"/>
      <c r="AL18158" s="198"/>
      <c r="AM18158" s="198"/>
      <c r="AN18158" s="198"/>
      <c r="AO18158" s="198"/>
    </row>
    <row r="18159" spans="35:41" ht="19.5" thickBot="1" x14ac:dyDescent="0.35">
      <c r="AI18159" s="1746" t="s">
        <v>150</v>
      </c>
      <c r="AJ18159" s="1747"/>
      <c r="AK18159" s="1748"/>
      <c r="AL18159" s="198"/>
      <c r="AM18159" s="198"/>
      <c r="AN18159" s="198"/>
      <c r="AO18159" s="198"/>
    </row>
    <row r="18160" spans="35:41" ht="19.5" thickBot="1" x14ac:dyDescent="0.35">
      <c r="AI18160" s="1746" t="s">
        <v>150</v>
      </c>
      <c r="AJ18160" s="1747"/>
      <c r="AK18160" s="1748"/>
      <c r="AL18160" s="198"/>
      <c r="AM18160" s="198"/>
      <c r="AN18160" s="198"/>
      <c r="AO18160" s="198"/>
    </row>
    <row r="18161" spans="35:41" ht="19.5" thickBot="1" x14ac:dyDescent="0.35">
      <c r="AI18161" s="1746" t="s">
        <v>150</v>
      </c>
      <c r="AJ18161" s="1747"/>
      <c r="AK18161" s="1748"/>
      <c r="AL18161" s="198"/>
      <c r="AM18161" s="198"/>
      <c r="AN18161" s="198"/>
      <c r="AO18161" s="198"/>
    </row>
    <row r="18162" spans="35:41" ht="19.5" thickBot="1" x14ac:dyDescent="0.35">
      <c r="AI18162" s="1746" t="s">
        <v>150</v>
      </c>
      <c r="AJ18162" s="1747"/>
      <c r="AK18162" s="1748"/>
      <c r="AL18162" s="198"/>
      <c r="AM18162" s="198"/>
      <c r="AN18162" s="198"/>
      <c r="AO18162" s="198"/>
    </row>
    <row r="18163" spans="35:41" ht="19.5" thickBot="1" x14ac:dyDescent="0.35">
      <c r="AI18163" s="1746" t="s">
        <v>150</v>
      </c>
      <c r="AJ18163" s="1747"/>
      <c r="AK18163" s="1748"/>
      <c r="AL18163" s="198"/>
      <c r="AM18163" s="198"/>
      <c r="AN18163" s="198"/>
      <c r="AO18163" s="198"/>
    </row>
    <row r="18164" spans="35:41" ht="19.5" thickBot="1" x14ac:dyDescent="0.35">
      <c r="AI18164" s="1746" t="s">
        <v>150</v>
      </c>
      <c r="AJ18164" s="1747"/>
      <c r="AK18164" s="1748"/>
      <c r="AL18164" s="198"/>
      <c r="AM18164" s="198"/>
      <c r="AN18164" s="198"/>
      <c r="AO18164" s="198"/>
    </row>
    <row r="18165" spans="35:41" ht="19.5" thickBot="1" x14ac:dyDescent="0.35">
      <c r="AI18165" s="1746" t="s">
        <v>150</v>
      </c>
      <c r="AJ18165" s="1747"/>
      <c r="AK18165" s="1748"/>
      <c r="AL18165" s="198"/>
      <c r="AM18165" s="198"/>
      <c r="AN18165" s="198"/>
      <c r="AO18165" s="198"/>
    </row>
    <row r="18166" spans="35:41" ht="19.5" thickBot="1" x14ac:dyDescent="0.35">
      <c r="AI18166" s="1746" t="s">
        <v>150</v>
      </c>
      <c r="AJ18166" s="1747"/>
      <c r="AK18166" s="1748"/>
      <c r="AL18166" s="198"/>
      <c r="AM18166" s="198"/>
      <c r="AN18166" s="198"/>
      <c r="AO18166" s="198"/>
    </row>
    <row r="18167" spans="35:41" ht="19.5" thickBot="1" x14ac:dyDescent="0.35">
      <c r="AI18167" s="1746" t="s">
        <v>150</v>
      </c>
      <c r="AJ18167" s="1747"/>
      <c r="AK18167" s="1748"/>
      <c r="AL18167" s="198"/>
      <c r="AM18167" s="198"/>
      <c r="AN18167" s="198"/>
      <c r="AO18167" s="198"/>
    </row>
    <row r="18168" spans="35:41" ht="19.5" thickBot="1" x14ac:dyDescent="0.35">
      <c r="AI18168" s="1746" t="s">
        <v>150</v>
      </c>
      <c r="AJ18168" s="1747"/>
      <c r="AK18168" s="1748"/>
      <c r="AL18168" s="198"/>
      <c r="AM18168" s="198"/>
      <c r="AN18168" s="198"/>
      <c r="AO18168" s="198"/>
    </row>
    <row r="18169" spans="35:41" ht="19.5" thickBot="1" x14ac:dyDescent="0.35">
      <c r="AI18169" s="1746" t="s">
        <v>150</v>
      </c>
      <c r="AJ18169" s="1747"/>
      <c r="AK18169" s="1748"/>
      <c r="AL18169" s="198"/>
      <c r="AM18169" s="198"/>
      <c r="AN18169" s="198"/>
      <c r="AO18169" s="198"/>
    </row>
    <row r="18170" spans="35:41" ht="19.5" thickBot="1" x14ac:dyDescent="0.35">
      <c r="AI18170" s="1746" t="s">
        <v>150</v>
      </c>
      <c r="AJ18170" s="1747"/>
      <c r="AK18170" s="1748"/>
      <c r="AL18170" s="198"/>
      <c r="AM18170" s="198"/>
      <c r="AN18170" s="198"/>
      <c r="AO18170" s="198"/>
    </row>
    <row r="18171" spans="35:41" ht="19.5" thickBot="1" x14ac:dyDescent="0.35">
      <c r="AI18171" s="1746" t="s">
        <v>150</v>
      </c>
      <c r="AJ18171" s="1747"/>
      <c r="AK18171" s="1748"/>
      <c r="AL18171" s="198"/>
      <c r="AM18171" s="198"/>
      <c r="AN18171" s="198"/>
      <c r="AO18171" s="198"/>
    </row>
    <row r="18172" spans="35:41" ht="19.5" thickBot="1" x14ac:dyDescent="0.35">
      <c r="AI18172" s="1746" t="s">
        <v>150</v>
      </c>
      <c r="AJ18172" s="1747"/>
      <c r="AK18172" s="1748"/>
      <c r="AL18172" s="198"/>
      <c r="AM18172" s="198"/>
      <c r="AN18172" s="198"/>
      <c r="AO18172" s="198"/>
    </row>
    <row r="18173" spans="35:41" ht="19.5" thickBot="1" x14ac:dyDescent="0.35">
      <c r="AI18173" s="1746" t="s">
        <v>150</v>
      </c>
      <c r="AJ18173" s="1747"/>
      <c r="AK18173" s="1748"/>
      <c r="AL18173" s="198"/>
      <c r="AM18173" s="198"/>
      <c r="AN18173" s="198"/>
      <c r="AO18173" s="198"/>
    </row>
    <row r="18174" spans="35:41" ht="19.5" thickBot="1" x14ac:dyDescent="0.35">
      <c r="AI18174" s="1746" t="s">
        <v>150</v>
      </c>
      <c r="AJ18174" s="1747"/>
      <c r="AK18174" s="1748"/>
      <c r="AL18174" s="198"/>
      <c r="AM18174" s="198"/>
      <c r="AN18174" s="198"/>
      <c r="AO18174" s="198"/>
    </row>
    <row r="18175" spans="35:41" ht="19.5" thickBot="1" x14ac:dyDescent="0.35">
      <c r="AI18175" s="1746" t="s">
        <v>150</v>
      </c>
      <c r="AJ18175" s="1747"/>
      <c r="AK18175" s="1748"/>
      <c r="AL18175" s="198"/>
      <c r="AM18175" s="198"/>
      <c r="AN18175" s="198"/>
      <c r="AO18175" s="198"/>
    </row>
    <row r="18176" spans="35:41" ht="19.5" thickBot="1" x14ac:dyDescent="0.35">
      <c r="AI18176" s="1746" t="s">
        <v>150</v>
      </c>
      <c r="AJ18176" s="1747"/>
      <c r="AK18176" s="1748"/>
      <c r="AL18176" s="198"/>
      <c r="AM18176" s="198"/>
      <c r="AN18176" s="198"/>
      <c r="AO18176" s="198"/>
    </row>
    <row r="18177" spans="35:41" ht="19.5" thickBot="1" x14ac:dyDescent="0.35">
      <c r="AI18177" s="1746" t="s">
        <v>150</v>
      </c>
      <c r="AJ18177" s="1747"/>
      <c r="AK18177" s="1748"/>
      <c r="AL18177" s="198"/>
      <c r="AM18177" s="198"/>
      <c r="AN18177" s="198"/>
      <c r="AO18177" s="198"/>
    </row>
    <row r="18178" spans="35:41" ht="19.5" thickBot="1" x14ac:dyDescent="0.35">
      <c r="AI18178" s="1746" t="s">
        <v>150</v>
      </c>
      <c r="AJ18178" s="1747"/>
      <c r="AK18178" s="1748"/>
      <c r="AL18178" s="198"/>
      <c r="AM18178" s="198"/>
      <c r="AN18178" s="198"/>
      <c r="AO18178" s="198"/>
    </row>
    <row r="18179" spans="35:41" ht="19.5" thickBot="1" x14ac:dyDescent="0.35">
      <c r="AI18179" s="1746" t="s">
        <v>150</v>
      </c>
      <c r="AJ18179" s="1747"/>
      <c r="AK18179" s="1748"/>
      <c r="AL18179" s="198"/>
      <c r="AM18179" s="198"/>
      <c r="AN18179" s="198"/>
      <c r="AO18179" s="198"/>
    </row>
    <row r="18180" spans="35:41" ht="19.5" thickBot="1" x14ac:dyDescent="0.35">
      <c r="AI18180" s="1746" t="s">
        <v>150</v>
      </c>
      <c r="AJ18180" s="1747"/>
      <c r="AK18180" s="1748"/>
      <c r="AL18180" s="198"/>
      <c r="AM18180" s="198"/>
      <c r="AN18180" s="198"/>
      <c r="AO18180" s="198"/>
    </row>
    <row r="18181" spans="35:41" ht="19.5" thickBot="1" x14ac:dyDescent="0.35">
      <c r="AI18181" s="1746" t="s">
        <v>150</v>
      </c>
      <c r="AJ18181" s="1747"/>
      <c r="AK18181" s="1748"/>
      <c r="AL18181" s="198"/>
      <c r="AM18181" s="198"/>
      <c r="AN18181" s="198"/>
      <c r="AO18181" s="198"/>
    </row>
    <row r="18182" spans="35:41" ht="19.5" thickBot="1" x14ac:dyDescent="0.35">
      <c r="AI18182" s="1746" t="s">
        <v>150</v>
      </c>
      <c r="AJ18182" s="1747"/>
      <c r="AK18182" s="1748"/>
      <c r="AL18182" s="198"/>
      <c r="AM18182" s="198"/>
      <c r="AN18182" s="198"/>
      <c r="AO18182" s="198"/>
    </row>
    <row r="18183" spans="35:41" ht="19.5" thickBot="1" x14ac:dyDescent="0.35">
      <c r="AI18183" s="1746" t="s">
        <v>150</v>
      </c>
      <c r="AJ18183" s="1747"/>
      <c r="AK18183" s="1748"/>
      <c r="AL18183" s="198"/>
      <c r="AM18183" s="198"/>
      <c r="AN18183" s="198"/>
      <c r="AO18183" s="198"/>
    </row>
    <row r="18184" spans="35:41" ht="19.5" thickBot="1" x14ac:dyDescent="0.35">
      <c r="AI18184" s="1746" t="s">
        <v>150</v>
      </c>
      <c r="AJ18184" s="1747"/>
      <c r="AK18184" s="1748"/>
      <c r="AL18184" s="198"/>
      <c r="AM18184" s="198"/>
      <c r="AN18184" s="198"/>
      <c r="AO18184" s="198"/>
    </row>
    <row r="18185" spans="35:41" ht="19.5" thickBot="1" x14ac:dyDescent="0.35">
      <c r="AI18185" s="1746" t="s">
        <v>150</v>
      </c>
      <c r="AJ18185" s="1747"/>
      <c r="AK18185" s="1748"/>
      <c r="AL18185" s="198"/>
      <c r="AM18185" s="198"/>
      <c r="AN18185" s="198"/>
      <c r="AO18185" s="198"/>
    </row>
    <row r="18186" spans="35:41" ht="19.5" thickBot="1" x14ac:dyDescent="0.35">
      <c r="AI18186" s="1746" t="s">
        <v>150</v>
      </c>
      <c r="AJ18186" s="1747"/>
      <c r="AK18186" s="1748"/>
      <c r="AL18186" s="198"/>
      <c r="AM18186" s="198"/>
      <c r="AN18186" s="198"/>
      <c r="AO18186" s="198"/>
    </row>
    <row r="18187" spans="35:41" ht="19.5" thickBot="1" x14ac:dyDescent="0.35">
      <c r="AI18187" s="1746" t="s">
        <v>150</v>
      </c>
      <c r="AJ18187" s="1747"/>
      <c r="AK18187" s="1748"/>
      <c r="AL18187" s="198"/>
      <c r="AM18187" s="198"/>
      <c r="AN18187" s="198"/>
      <c r="AO18187" s="198"/>
    </row>
    <row r="18188" spans="35:41" ht="19.5" thickBot="1" x14ac:dyDescent="0.35">
      <c r="AI18188" s="1746" t="s">
        <v>150</v>
      </c>
      <c r="AJ18188" s="1747"/>
      <c r="AK18188" s="1748"/>
      <c r="AL18188" s="198"/>
      <c r="AM18188" s="198"/>
      <c r="AN18188" s="198"/>
      <c r="AO18188" s="198"/>
    </row>
    <row r="18189" spans="35:41" ht="19.5" thickBot="1" x14ac:dyDescent="0.35">
      <c r="AI18189" s="1746" t="s">
        <v>150</v>
      </c>
      <c r="AJ18189" s="1747"/>
      <c r="AK18189" s="1748"/>
      <c r="AL18189" s="198"/>
      <c r="AM18189" s="198"/>
      <c r="AN18189" s="198"/>
      <c r="AO18189" s="198"/>
    </row>
    <row r="18190" spans="35:41" ht="19.5" thickBot="1" x14ac:dyDescent="0.35">
      <c r="AI18190" s="1746" t="s">
        <v>150</v>
      </c>
      <c r="AJ18190" s="1747"/>
      <c r="AK18190" s="1748"/>
      <c r="AL18190" s="198"/>
      <c r="AM18190" s="198"/>
      <c r="AN18190" s="198"/>
      <c r="AO18190" s="198"/>
    </row>
    <row r="18191" spans="35:41" ht="19.5" thickBot="1" x14ac:dyDescent="0.35">
      <c r="AI18191" s="1746" t="s">
        <v>150</v>
      </c>
      <c r="AJ18191" s="1747"/>
      <c r="AK18191" s="1748"/>
      <c r="AL18191" s="198"/>
      <c r="AM18191" s="198"/>
      <c r="AN18191" s="198"/>
      <c r="AO18191" s="198"/>
    </row>
    <row r="18192" spans="35:41" ht="19.5" thickBot="1" x14ac:dyDescent="0.35">
      <c r="AI18192" s="1746" t="s">
        <v>150</v>
      </c>
      <c r="AJ18192" s="1747"/>
      <c r="AK18192" s="1748"/>
      <c r="AL18192" s="198"/>
      <c r="AM18192" s="198"/>
      <c r="AN18192" s="198"/>
      <c r="AO18192" s="198"/>
    </row>
    <row r="18193" spans="35:41" ht="19.5" thickBot="1" x14ac:dyDescent="0.35">
      <c r="AI18193" s="1746" t="s">
        <v>150</v>
      </c>
      <c r="AJ18193" s="1747"/>
      <c r="AK18193" s="1748"/>
      <c r="AL18193" s="198"/>
      <c r="AM18193" s="198"/>
      <c r="AN18193" s="198"/>
      <c r="AO18193" s="198"/>
    </row>
    <row r="18194" spans="35:41" ht="19.5" thickBot="1" x14ac:dyDescent="0.35">
      <c r="AI18194" s="1746" t="s">
        <v>150</v>
      </c>
      <c r="AJ18194" s="1747"/>
      <c r="AK18194" s="1748"/>
      <c r="AL18194" s="198"/>
      <c r="AM18194" s="198"/>
      <c r="AN18194" s="198"/>
      <c r="AO18194" s="198"/>
    </row>
    <row r="18195" spans="35:41" ht="19.5" thickBot="1" x14ac:dyDescent="0.35">
      <c r="AI18195" s="1746" t="s">
        <v>150</v>
      </c>
      <c r="AJ18195" s="1747"/>
      <c r="AK18195" s="1748"/>
      <c r="AL18195" s="198"/>
      <c r="AM18195" s="198"/>
      <c r="AN18195" s="198"/>
      <c r="AO18195" s="198"/>
    </row>
    <row r="18196" spans="35:41" ht="19.5" thickBot="1" x14ac:dyDescent="0.35">
      <c r="AI18196" s="1746" t="s">
        <v>150</v>
      </c>
      <c r="AJ18196" s="1747"/>
      <c r="AK18196" s="1748"/>
      <c r="AL18196" s="198"/>
      <c r="AM18196" s="198"/>
      <c r="AN18196" s="198"/>
      <c r="AO18196" s="198"/>
    </row>
    <row r="18197" spans="35:41" ht="19.5" thickBot="1" x14ac:dyDescent="0.35">
      <c r="AI18197" s="1746" t="s">
        <v>150</v>
      </c>
      <c r="AJ18197" s="1747"/>
      <c r="AK18197" s="1748"/>
      <c r="AL18197" s="198"/>
      <c r="AM18197" s="198"/>
      <c r="AN18197" s="198"/>
      <c r="AO18197" s="198"/>
    </row>
    <row r="18198" spans="35:41" ht="19.5" thickBot="1" x14ac:dyDescent="0.35">
      <c r="AI18198" s="1746" t="s">
        <v>150</v>
      </c>
      <c r="AJ18198" s="1747"/>
      <c r="AK18198" s="1748"/>
      <c r="AL18198" s="198"/>
      <c r="AM18198" s="198"/>
      <c r="AN18198" s="198"/>
      <c r="AO18198" s="198"/>
    </row>
    <row r="18199" spans="35:41" ht="19.5" thickBot="1" x14ac:dyDescent="0.35">
      <c r="AI18199" s="1746" t="s">
        <v>150</v>
      </c>
      <c r="AJ18199" s="1747"/>
      <c r="AK18199" s="1748"/>
      <c r="AL18199" s="198"/>
      <c r="AM18199" s="198"/>
      <c r="AN18199" s="198"/>
      <c r="AO18199" s="198"/>
    </row>
    <row r="18200" spans="35:41" ht="19.5" thickBot="1" x14ac:dyDescent="0.35">
      <c r="AI18200" s="1746" t="s">
        <v>150</v>
      </c>
      <c r="AJ18200" s="1747"/>
      <c r="AK18200" s="1748"/>
      <c r="AL18200" s="198"/>
      <c r="AM18200" s="198"/>
      <c r="AN18200" s="198"/>
      <c r="AO18200" s="198"/>
    </row>
    <row r="18201" spans="35:41" ht="19.5" thickBot="1" x14ac:dyDescent="0.35">
      <c r="AI18201" s="1746" t="s">
        <v>150</v>
      </c>
      <c r="AJ18201" s="1747"/>
      <c r="AK18201" s="1748"/>
      <c r="AL18201" s="198"/>
      <c r="AM18201" s="198"/>
      <c r="AN18201" s="198"/>
      <c r="AO18201" s="198"/>
    </row>
    <row r="18202" spans="35:41" ht="19.5" thickBot="1" x14ac:dyDescent="0.35">
      <c r="AI18202" s="1746" t="s">
        <v>150</v>
      </c>
      <c r="AJ18202" s="1747"/>
      <c r="AK18202" s="1748"/>
      <c r="AL18202" s="198"/>
      <c r="AM18202" s="198"/>
      <c r="AN18202" s="198"/>
      <c r="AO18202" s="198"/>
    </row>
    <row r="18203" spans="35:41" ht="19.5" thickBot="1" x14ac:dyDescent="0.35">
      <c r="AI18203" s="1746" t="s">
        <v>150</v>
      </c>
      <c r="AJ18203" s="1747"/>
      <c r="AK18203" s="1748"/>
      <c r="AL18203" s="198"/>
      <c r="AM18203" s="198"/>
      <c r="AN18203" s="198"/>
      <c r="AO18203" s="198"/>
    </row>
    <row r="18204" spans="35:41" ht="19.5" thickBot="1" x14ac:dyDescent="0.35">
      <c r="AI18204" s="1746" t="s">
        <v>150</v>
      </c>
      <c r="AJ18204" s="1747"/>
      <c r="AK18204" s="1748"/>
      <c r="AL18204" s="198"/>
      <c r="AM18204" s="198"/>
      <c r="AN18204" s="198"/>
      <c r="AO18204" s="198"/>
    </row>
    <row r="18205" spans="35:41" ht="19.5" thickBot="1" x14ac:dyDescent="0.35">
      <c r="AI18205" s="1746" t="s">
        <v>150</v>
      </c>
      <c r="AJ18205" s="1747"/>
      <c r="AK18205" s="1748"/>
      <c r="AL18205" s="198"/>
      <c r="AM18205" s="198"/>
      <c r="AN18205" s="198"/>
      <c r="AO18205" s="198"/>
    </row>
    <row r="18206" spans="35:41" ht="19.5" thickBot="1" x14ac:dyDescent="0.35">
      <c r="AI18206" s="1746" t="s">
        <v>150</v>
      </c>
      <c r="AJ18206" s="1747"/>
      <c r="AK18206" s="1748"/>
      <c r="AL18206" s="198"/>
      <c r="AM18206" s="198"/>
      <c r="AN18206" s="198"/>
      <c r="AO18206" s="198"/>
    </row>
    <row r="18207" spans="35:41" ht="19.5" thickBot="1" x14ac:dyDescent="0.35">
      <c r="AI18207" s="1746" t="s">
        <v>150</v>
      </c>
      <c r="AJ18207" s="1747"/>
      <c r="AK18207" s="1748"/>
      <c r="AL18207" s="198"/>
      <c r="AM18207" s="198"/>
      <c r="AN18207" s="198"/>
      <c r="AO18207" s="198"/>
    </row>
    <row r="18208" spans="35:41" ht="19.5" thickBot="1" x14ac:dyDescent="0.35">
      <c r="AI18208" s="1746" t="s">
        <v>150</v>
      </c>
      <c r="AJ18208" s="1747"/>
      <c r="AK18208" s="1748"/>
      <c r="AL18208" s="198"/>
      <c r="AM18208" s="198"/>
      <c r="AN18208" s="198"/>
      <c r="AO18208" s="198"/>
    </row>
    <row r="18209" spans="35:41" ht="19.5" thickBot="1" x14ac:dyDescent="0.35">
      <c r="AI18209" s="1746" t="s">
        <v>150</v>
      </c>
      <c r="AJ18209" s="1747"/>
      <c r="AK18209" s="1748"/>
      <c r="AL18209" s="198"/>
      <c r="AM18209" s="198"/>
      <c r="AN18209" s="198"/>
      <c r="AO18209" s="198"/>
    </row>
    <row r="18210" spans="35:41" ht="19.5" thickBot="1" x14ac:dyDescent="0.35">
      <c r="AI18210" s="1746" t="s">
        <v>150</v>
      </c>
      <c r="AJ18210" s="1747"/>
      <c r="AK18210" s="1748"/>
      <c r="AL18210" s="198"/>
      <c r="AM18210" s="198"/>
      <c r="AN18210" s="198"/>
      <c r="AO18210" s="198"/>
    </row>
    <row r="18211" spans="35:41" ht="19.5" thickBot="1" x14ac:dyDescent="0.35">
      <c r="AI18211" s="1746" t="s">
        <v>150</v>
      </c>
      <c r="AJ18211" s="1747"/>
      <c r="AK18211" s="1748"/>
      <c r="AL18211" s="198"/>
      <c r="AM18211" s="198"/>
      <c r="AN18211" s="198"/>
      <c r="AO18211" s="198"/>
    </row>
    <row r="18212" spans="35:41" ht="19.5" thickBot="1" x14ac:dyDescent="0.35">
      <c r="AI18212" s="1746" t="s">
        <v>150</v>
      </c>
      <c r="AJ18212" s="1747"/>
      <c r="AK18212" s="1748"/>
      <c r="AL18212" s="198"/>
      <c r="AM18212" s="198"/>
      <c r="AN18212" s="198"/>
      <c r="AO18212" s="198"/>
    </row>
    <row r="18213" spans="35:41" ht="19.5" thickBot="1" x14ac:dyDescent="0.35">
      <c r="AI18213" s="1746" t="s">
        <v>150</v>
      </c>
      <c r="AJ18213" s="1747"/>
      <c r="AK18213" s="1748"/>
      <c r="AL18213" s="198"/>
      <c r="AM18213" s="198"/>
      <c r="AN18213" s="198"/>
      <c r="AO18213" s="198"/>
    </row>
    <row r="18214" spans="35:41" ht="19.5" thickBot="1" x14ac:dyDescent="0.35">
      <c r="AI18214" s="1746" t="s">
        <v>150</v>
      </c>
      <c r="AJ18214" s="1747"/>
      <c r="AK18214" s="1748"/>
      <c r="AL18214" s="198"/>
      <c r="AM18214" s="198"/>
      <c r="AN18214" s="198"/>
      <c r="AO18214" s="198"/>
    </row>
    <row r="18215" spans="35:41" ht="19.5" thickBot="1" x14ac:dyDescent="0.35">
      <c r="AI18215" s="1746" t="s">
        <v>150</v>
      </c>
      <c r="AJ18215" s="1747"/>
      <c r="AK18215" s="1748"/>
      <c r="AL18215" s="198"/>
      <c r="AM18215" s="198"/>
      <c r="AN18215" s="198"/>
      <c r="AO18215" s="198"/>
    </row>
    <row r="18216" spans="35:41" ht="19.5" thickBot="1" x14ac:dyDescent="0.35">
      <c r="AI18216" s="1746" t="s">
        <v>150</v>
      </c>
      <c r="AJ18216" s="1747"/>
      <c r="AK18216" s="1748"/>
      <c r="AL18216" s="198"/>
      <c r="AM18216" s="198"/>
      <c r="AN18216" s="198"/>
      <c r="AO18216" s="198"/>
    </row>
    <row r="18217" spans="35:41" ht="19.5" thickBot="1" x14ac:dyDescent="0.35">
      <c r="AI18217" s="1746" t="s">
        <v>150</v>
      </c>
      <c r="AJ18217" s="1747"/>
      <c r="AK18217" s="1748"/>
      <c r="AL18217" s="198"/>
      <c r="AM18217" s="198"/>
      <c r="AN18217" s="198"/>
      <c r="AO18217" s="198"/>
    </row>
    <row r="18218" spans="35:41" ht="19.5" thickBot="1" x14ac:dyDescent="0.35">
      <c r="AI18218" s="1746" t="s">
        <v>150</v>
      </c>
      <c r="AJ18218" s="1747"/>
      <c r="AK18218" s="1748"/>
      <c r="AL18218" s="198"/>
      <c r="AM18218" s="198"/>
      <c r="AN18218" s="198"/>
      <c r="AO18218" s="198"/>
    </row>
    <row r="18219" spans="35:41" ht="19.5" thickBot="1" x14ac:dyDescent="0.35">
      <c r="AI18219" s="1746" t="s">
        <v>150</v>
      </c>
      <c r="AJ18219" s="1747"/>
      <c r="AK18219" s="1748"/>
      <c r="AL18219" s="198"/>
      <c r="AM18219" s="198"/>
      <c r="AN18219" s="198"/>
      <c r="AO18219" s="198"/>
    </row>
    <row r="18220" spans="35:41" ht="19.5" thickBot="1" x14ac:dyDescent="0.35">
      <c r="AI18220" s="1746" t="s">
        <v>150</v>
      </c>
      <c r="AJ18220" s="1747"/>
      <c r="AK18220" s="1748"/>
      <c r="AL18220" s="198"/>
      <c r="AM18220" s="198"/>
      <c r="AN18220" s="198"/>
      <c r="AO18220" s="198"/>
    </row>
    <row r="18221" spans="35:41" ht="19.5" thickBot="1" x14ac:dyDescent="0.35">
      <c r="AI18221" s="1746" t="s">
        <v>150</v>
      </c>
      <c r="AJ18221" s="1747"/>
      <c r="AK18221" s="1748"/>
      <c r="AL18221" s="198"/>
      <c r="AM18221" s="198"/>
      <c r="AN18221" s="198"/>
      <c r="AO18221" s="198"/>
    </row>
    <row r="18222" spans="35:41" ht="19.5" thickBot="1" x14ac:dyDescent="0.35">
      <c r="AI18222" s="1746" t="s">
        <v>150</v>
      </c>
      <c r="AJ18222" s="1747"/>
      <c r="AK18222" s="1748"/>
      <c r="AL18222" s="198"/>
      <c r="AM18222" s="198"/>
      <c r="AN18222" s="198"/>
      <c r="AO18222" s="198"/>
    </row>
    <row r="18223" spans="35:41" ht="19.5" thickBot="1" x14ac:dyDescent="0.35">
      <c r="AI18223" s="1746" t="s">
        <v>150</v>
      </c>
      <c r="AJ18223" s="1747"/>
      <c r="AK18223" s="1748"/>
      <c r="AL18223" s="198"/>
      <c r="AM18223" s="198"/>
      <c r="AN18223" s="198"/>
      <c r="AO18223" s="198"/>
    </row>
    <row r="18224" spans="35:41" ht="19.5" thickBot="1" x14ac:dyDescent="0.35">
      <c r="AI18224" s="1746" t="s">
        <v>150</v>
      </c>
      <c r="AJ18224" s="1747"/>
      <c r="AK18224" s="1748"/>
      <c r="AL18224" s="198"/>
      <c r="AM18224" s="198"/>
      <c r="AN18224" s="198"/>
      <c r="AO18224" s="198"/>
    </row>
    <row r="18225" spans="35:41" ht="19.5" thickBot="1" x14ac:dyDescent="0.35">
      <c r="AI18225" s="1746" t="s">
        <v>150</v>
      </c>
      <c r="AJ18225" s="1747"/>
      <c r="AK18225" s="1748"/>
      <c r="AL18225" s="198"/>
      <c r="AM18225" s="198"/>
      <c r="AN18225" s="198"/>
      <c r="AO18225" s="198"/>
    </row>
    <row r="18226" spans="35:41" ht="19.5" thickBot="1" x14ac:dyDescent="0.35">
      <c r="AI18226" s="1746" t="s">
        <v>150</v>
      </c>
      <c r="AJ18226" s="1747"/>
      <c r="AK18226" s="1748"/>
      <c r="AL18226" s="198"/>
      <c r="AM18226" s="198"/>
      <c r="AN18226" s="198"/>
      <c r="AO18226" s="198"/>
    </row>
    <row r="18227" spans="35:41" ht="19.5" thickBot="1" x14ac:dyDescent="0.35">
      <c r="AI18227" s="1746" t="s">
        <v>150</v>
      </c>
      <c r="AJ18227" s="1747"/>
      <c r="AK18227" s="1748"/>
      <c r="AL18227" s="198"/>
      <c r="AM18227" s="198"/>
      <c r="AN18227" s="198"/>
      <c r="AO18227" s="198"/>
    </row>
    <row r="18228" spans="35:41" ht="19.5" thickBot="1" x14ac:dyDescent="0.35">
      <c r="AI18228" s="1746" t="s">
        <v>150</v>
      </c>
      <c r="AJ18228" s="1747"/>
      <c r="AK18228" s="1748"/>
      <c r="AL18228" s="198"/>
      <c r="AM18228" s="198"/>
      <c r="AN18228" s="198"/>
      <c r="AO18228" s="198"/>
    </row>
    <row r="18229" spans="35:41" ht="19.5" thickBot="1" x14ac:dyDescent="0.35">
      <c r="AI18229" s="1746" t="s">
        <v>150</v>
      </c>
      <c r="AJ18229" s="1747"/>
      <c r="AK18229" s="1748"/>
      <c r="AL18229" s="198"/>
      <c r="AM18229" s="198"/>
      <c r="AN18229" s="198"/>
      <c r="AO18229" s="198"/>
    </row>
    <row r="18230" spans="35:41" ht="19.5" thickBot="1" x14ac:dyDescent="0.35">
      <c r="AI18230" s="1746" t="s">
        <v>150</v>
      </c>
      <c r="AJ18230" s="1747"/>
      <c r="AK18230" s="1748"/>
      <c r="AL18230" s="198"/>
      <c r="AM18230" s="198"/>
      <c r="AN18230" s="198"/>
      <c r="AO18230" s="198"/>
    </row>
    <row r="18231" spans="35:41" ht="19.5" thickBot="1" x14ac:dyDescent="0.35">
      <c r="AI18231" s="1746" t="s">
        <v>150</v>
      </c>
      <c r="AJ18231" s="1747"/>
      <c r="AK18231" s="1748"/>
      <c r="AL18231" s="198"/>
      <c r="AM18231" s="198"/>
      <c r="AN18231" s="198"/>
      <c r="AO18231" s="198"/>
    </row>
    <row r="18232" spans="35:41" ht="19.5" thickBot="1" x14ac:dyDescent="0.35">
      <c r="AI18232" s="1746" t="s">
        <v>150</v>
      </c>
      <c r="AJ18232" s="1747"/>
      <c r="AK18232" s="1748"/>
      <c r="AL18232" s="198"/>
      <c r="AM18232" s="198"/>
      <c r="AN18232" s="198"/>
      <c r="AO18232" s="198"/>
    </row>
    <row r="18233" spans="35:41" ht="19.5" thickBot="1" x14ac:dyDescent="0.35">
      <c r="AI18233" s="1746" t="s">
        <v>150</v>
      </c>
      <c r="AJ18233" s="1747"/>
      <c r="AK18233" s="1748"/>
      <c r="AL18233" s="198"/>
      <c r="AM18233" s="198"/>
      <c r="AN18233" s="198"/>
      <c r="AO18233" s="198"/>
    </row>
    <row r="18234" spans="35:41" ht="19.5" thickBot="1" x14ac:dyDescent="0.35">
      <c r="AI18234" s="1746" t="s">
        <v>150</v>
      </c>
      <c r="AJ18234" s="1747"/>
      <c r="AK18234" s="1748"/>
      <c r="AL18234" s="198"/>
      <c r="AM18234" s="198"/>
      <c r="AN18234" s="198"/>
      <c r="AO18234" s="198"/>
    </row>
    <row r="18235" spans="35:41" ht="19.5" thickBot="1" x14ac:dyDescent="0.35">
      <c r="AI18235" s="1746" t="s">
        <v>150</v>
      </c>
      <c r="AJ18235" s="1747"/>
      <c r="AK18235" s="1748"/>
      <c r="AL18235" s="198"/>
      <c r="AM18235" s="198"/>
      <c r="AN18235" s="198"/>
      <c r="AO18235" s="198"/>
    </row>
    <row r="18236" spans="35:41" ht="19.5" thickBot="1" x14ac:dyDescent="0.35">
      <c r="AI18236" s="1746" t="s">
        <v>150</v>
      </c>
      <c r="AJ18236" s="1747"/>
      <c r="AK18236" s="1748"/>
      <c r="AL18236" s="198"/>
      <c r="AM18236" s="198"/>
      <c r="AN18236" s="198"/>
      <c r="AO18236" s="198"/>
    </row>
    <row r="18237" spans="35:41" ht="19.5" thickBot="1" x14ac:dyDescent="0.35">
      <c r="AI18237" s="1746" t="s">
        <v>150</v>
      </c>
      <c r="AJ18237" s="1747"/>
      <c r="AK18237" s="1748"/>
      <c r="AL18237" s="198"/>
      <c r="AM18237" s="198"/>
      <c r="AN18237" s="198"/>
      <c r="AO18237" s="198"/>
    </row>
    <row r="18238" spans="35:41" ht="19.5" thickBot="1" x14ac:dyDescent="0.35">
      <c r="AI18238" s="1746" t="s">
        <v>150</v>
      </c>
      <c r="AJ18238" s="1747"/>
      <c r="AK18238" s="1748"/>
      <c r="AL18238" s="198"/>
      <c r="AM18238" s="198"/>
      <c r="AN18238" s="198"/>
      <c r="AO18238" s="198"/>
    </row>
    <row r="18239" spans="35:41" ht="19.5" thickBot="1" x14ac:dyDescent="0.35">
      <c r="AI18239" s="1746" t="s">
        <v>150</v>
      </c>
      <c r="AJ18239" s="1747"/>
      <c r="AK18239" s="1748"/>
      <c r="AL18239" s="198"/>
      <c r="AM18239" s="198"/>
      <c r="AN18239" s="198"/>
      <c r="AO18239" s="198"/>
    </row>
    <row r="18240" spans="35:41" ht="19.5" thickBot="1" x14ac:dyDescent="0.35">
      <c r="AI18240" s="1746" t="s">
        <v>150</v>
      </c>
      <c r="AJ18240" s="1747"/>
      <c r="AK18240" s="1748"/>
      <c r="AL18240" s="198"/>
      <c r="AM18240" s="198"/>
      <c r="AN18240" s="198"/>
      <c r="AO18240" s="198"/>
    </row>
    <row r="18241" spans="35:41" ht="19.5" thickBot="1" x14ac:dyDescent="0.35">
      <c r="AI18241" s="1746" t="s">
        <v>150</v>
      </c>
      <c r="AJ18241" s="1747"/>
      <c r="AK18241" s="1748"/>
      <c r="AL18241" s="198"/>
      <c r="AM18241" s="198"/>
      <c r="AN18241" s="198"/>
      <c r="AO18241" s="198"/>
    </row>
    <row r="18242" spans="35:41" ht="19.5" thickBot="1" x14ac:dyDescent="0.35">
      <c r="AI18242" s="1746" t="s">
        <v>150</v>
      </c>
      <c r="AJ18242" s="1747"/>
      <c r="AK18242" s="1748"/>
      <c r="AL18242" s="198"/>
      <c r="AM18242" s="198"/>
      <c r="AN18242" s="198"/>
      <c r="AO18242" s="198"/>
    </row>
    <row r="18243" spans="35:41" ht="19.5" thickBot="1" x14ac:dyDescent="0.35">
      <c r="AI18243" s="1746" t="s">
        <v>150</v>
      </c>
      <c r="AJ18243" s="1747"/>
      <c r="AK18243" s="1748"/>
      <c r="AL18243" s="198"/>
      <c r="AM18243" s="198"/>
      <c r="AN18243" s="198"/>
      <c r="AO18243" s="198"/>
    </row>
    <row r="18244" spans="35:41" ht="19.5" thickBot="1" x14ac:dyDescent="0.35">
      <c r="AI18244" s="1746" t="s">
        <v>150</v>
      </c>
      <c r="AJ18244" s="1747"/>
      <c r="AK18244" s="1748"/>
      <c r="AL18244" s="198"/>
      <c r="AM18244" s="198"/>
      <c r="AN18244" s="198"/>
      <c r="AO18244" s="198"/>
    </row>
    <row r="18245" spans="35:41" ht="19.5" thickBot="1" x14ac:dyDescent="0.35">
      <c r="AI18245" s="1746" t="s">
        <v>150</v>
      </c>
      <c r="AJ18245" s="1747"/>
      <c r="AK18245" s="1748"/>
      <c r="AL18245" s="198"/>
      <c r="AM18245" s="198"/>
      <c r="AN18245" s="198"/>
      <c r="AO18245" s="198"/>
    </row>
    <row r="18246" spans="35:41" ht="19.5" thickBot="1" x14ac:dyDescent="0.35">
      <c r="AI18246" s="1746" t="s">
        <v>150</v>
      </c>
      <c r="AJ18246" s="1747"/>
      <c r="AK18246" s="1748"/>
      <c r="AL18246" s="198"/>
      <c r="AM18246" s="198"/>
      <c r="AN18246" s="198"/>
      <c r="AO18246" s="198"/>
    </row>
    <row r="18247" spans="35:41" ht="19.5" thickBot="1" x14ac:dyDescent="0.35">
      <c r="AI18247" s="1746" t="s">
        <v>150</v>
      </c>
      <c r="AJ18247" s="1747"/>
      <c r="AK18247" s="1748"/>
      <c r="AL18247" s="198"/>
      <c r="AM18247" s="198"/>
      <c r="AN18247" s="198"/>
      <c r="AO18247" s="198"/>
    </row>
    <row r="18248" spans="35:41" ht="19.5" thickBot="1" x14ac:dyDescent="0.35">
      <c r="AI18248" s="1746" t="s">
        <v>150</v>
      </c>
      <c r="AJ18248" s="1747"/>
      <c r="AK18248" s="1748"/>
      <c r="AL18248" s="198"/>
      <c r="AM18248" s="198"/>
      <c r="AN18248" s="198"/>
      <c r="AO18248" s="198"/>
    </row>
    <row r="18249" spans="35:41" ht="19.5" thickBot="1" x14ac:dyDescent="0.35">
      <c r="AI18249" s="1746" t="s">
        <v>150</v>
      </c>
      <c r="AJ18249" s="1747"/>
      <c r="AK18249" s="1748"/>
      <c r="AL18249" s="198"/>
      <c r="AM18249" s="198"/>
      <c r="AN18249" s="198"/>
      <c r="AO18249" s="198"/>
    </row>
    <row r="18250" spans="35:41" ht="19.5" thickBot="1" x14ac:dyDescent="0.35">
      <c r="AI18250" s="1746" t="s">
        <v>150</v>
      </c>
      <c r="AJ18250" s="1747"/>
      <c r="AK18250" s="1748"/>
      <c r="AL18250" s="198"/>
      <c r="AM18250" s="198"/>
      <c r="AN18250" s="198"/>
      <c r="AO18250" s="198"/>
    </row>
    <row r="18251" spans="35:41" ht="19.5" thickBot="1" x14ac:dyDescent="0.35">
      <c r="AI18251" s="1746" t="s">
        <v>150</v>
      </c>
      <c r="AJ18251" s="1747"/>
      <c r="AK18251" s="1748"/>
      <c r="AL18251" s="198"/>
      <c r="AM18251" s="198"/>
      <c r="AN18251" s="198"/>
      <c r="AO18251" s="198"/>
    </row>
    <row r="18252" spans="35:41" ht="19.5" thickBot="1" x14ac:dyDescent="0.35">
      <c r="AI18252" s="1746" t="s">
        <v>150</v>
      </c>
      <c r="AJ18252" s="1747"/>
      <c r="AK18252" s="1748"/>
      <c r="AL18252" s="198"/>
      <c r="AM18252" s="198"/>
      <c r="AN18252" s="198"/>
      <c r="AO18252" s="198"/>
    </row>
    <row r="18253" spans="35:41" ht="19.5" thickBot="1" x14ac:dyDescent="0.35">
      <c r="AI18253" s="1746" t="s">
        <v>150</v>
      </c>
      <c r="AJ18253" s="1747"/>
      <c r="AK18253" s="1748"/>
      <c r="AL18253" s="198"/>
      <c r="AM18253" s="198"/>
      <c r="AN18253" s="198"/>
      <c r="AO18253" s="198"/>
    </row>
    <row r="18254" spans="35:41" ht="19.5" thickBot="1" x14ac:dyDescent="0.35">
      <c r="AI18254" s="1746" t="s">
        <v>150</v>
      </c>
      <c r="AJ18254" s="1747"/>
      <c r="AK18254" s="1748"/>
      <c r="AL18254" s="198"/>
      <c r="AM18254" s="198"/>
      <c r="AN18254" s="198"/>
      <c r="AO18254" s="198"/>
    </row>
    <row r="18255" spans="35:41" ht="19.5" thickBot="1" x14ac:dyDescent="0.35">
      <c r="AI18255" s="1746" t="s">
        <v>150</v>
      </c>
      <c r="AJ18255" s="1747"/>
      <c r="AK18255" s="1748"/>
      <c r="AL18255" s="198"/>
      <c r="AM18255" s="198"/>
      <c r="AN18255" s="198"/>
      <c r="AO18255" s="198"/>
    </row>
    <row r="18256" spans="35:41" ht="19.5" thickBot="1" x14ac:dyDescent="0.35">
      <c r="AI18256" s="1746" t="s">
        <v>150</v>
      </c>
      <c r="AJ18256" s="1747"/>
      <c r="AK18256" s="1748"/>
      <c r="AL18256" s="198"/>
      <c r="AM18256" s="198"/>
      <c r="AN18256" s="198"/>
      <c r="AO18256" s="198"/>
    </row>
    <row r="18257" spans="35:41" ht="19.5" thickBot="1" x14ac:dyDescent="0.35">
      <c r="AI18257" s="1746" t="s">
        <v>150</v>
      </c>
      <c r="AJ18257" s="1747"/>
      <c r="AK18257" s="1748"/>
      <c r="AL18257" s="198"/>
      <c r="AM18257" s="198"/>
      <c r="AN18257" s="198"/>
      <c r="AO18257" s="198"/>
    </row>
    <row r="18258" spans="35:41" ht="19.5" thickBot="1" x14ac:dyDescent="0.35">
      <c r="AI18258" s="1746" t="s">
        <v>150</v>
      </c>
      <c r="AJ18258" s="1747"/>
      <c r="AK18258" s="1748"/>
      <c r="AL18258" s="198"/>
      <c r="AM18258" s="198"/>
      <c r="AN18258" s="198"/>
      <c r="AO18258" s="198"/>
    </row>
    <row r="18259" spans="35:41" ht="19.5" thickBot="1" x14ac:dyDescent="0.35">
      <c r="AI18259" s="1746" t="s">
        <v>150</v>
      </c>
      <c r="AJ18259" s="1747"/>
      <c r="AK18259" s="1748"/>
      <c r="AL18259" s="198"/>
      <c r="AM18259" s="198"/>
      <c r="AN18259" s="198"/>
      <c r="AO18259" s="198"/>
    </row>
    <row r="18260" spans="35:41" ht="19.5" thickBot="1" x14ac:dyDescent="0.35">
      <c r="AI18260" s="1746" t="s">
        <v>150</v>
      </c>
      <c r="AJ18260" s="1747"/>
      <c r="AK18260" s="1748"/>
      <c r="AL18260" s="198"/>
      <c r="AM18260" s="198"/>
      <c r="AN18260" s="198"/>
      <c r="AO18260" s="198"/>
    </row>
    <row r="18261" spans="35:41" ht="19.5" thickBot="1" x14ac:dyDescent="0.35">
      <c r="AI18261" s="1746" t="s">
        <v>150</v>
      </c>
      <c r="AJ18261" s="1747"/>
      <c r="AK18261" s="1748"/>
      <c r="AL18261" s="198"/>
      <c r="AM18261" s="198"/>
      <c r="AN18261" s="198"/>
      <c r="AO18261" s="198"/>
    </row>
    <row r="18262" spans="35:41" ht="19.5" thickBot="1" x14ac:dyDescent="0.35">
      <c r="AI18262" s="1746" t="s">
        <v>150</v>
      </c>
      <c r="AJ18262" s="1747"/>
      <c r="AK18262" s="1748"/>
      <c r="AL18262" s="198"/>
      <c r="AM18262" s="198"/>
      <c r="AN18262" s="198"/>
      <c r="AO18262" s="198"/>
    </row>
    <row r="18263" spans="35:41" ht="19.5" thickBot="1" x14ac:dyDescent="0.35">
      <c r="AI18263" s="1746" t="s">
        <v>150</v>
      </c>
      <c r="AJ18263" s="1747"/>
      <c r="AK18263" s="1748"/>
      <c r="AL18263" s="198"/>
      <c r="AM18263" s="198"/>
      <c r="AN18263" s="198"/>
      <c r="AO18263" s="198"/>
    </row>
    <row r="18264" spans="35:41" ht="19.5" thickBot="1" x14ac:dyDescent="0.35">
      <c r="AI18264" s="1746" t="s">
        <v>150</v>
      </c>
      <c r="AJ18264" s="1747"/>
      <c r="AK18264" s="1748"/>
      <c r="AL18264" s="198"/>
      <c r="AM18264" s="198"/>
      <c r="AN18264" s="198"/>
      <c r="AO18264" s="198"/>
    </row>
    <row r="18265" spans="35:41" ht="19.5" thickBot="1" x14ac:dyDescent="0.35">
      <c r="AI18265" s="1746" t="s">
        <v>150</v>
      </c>
      <c r="AJ18265" s="1747"/>
      <c r="AK18265" s="1748"/>
      <c r="AL18265" s="198"/>
      <c r="AM18265" s="198"/>
      <c r="AN18265" s="198"/>
      <c r="AO18265" s="198"/>
    </row>
    <row r="18266" spans="35:41" ht="19.5" thickBot="1" x14ac:dyDescent="0.35">
      <c r="AI18266" s="1746" t="s">
        <v>150</v>
      </c>
      <c r="AJ18266" s="1747"/>
      <c r="AK18266" s="1748"/>
      <c r="AL18266" s="198"/>
      <c r="AM18266" s="198"/>
      <c r="AN18266" s="198"/>
      <c r="AO18266" s="198"/>
    </row>
    <row r="18267" spans="35:41" ht="19.5" thickBot="1" x14ac:dyDescent="0.35">
      <c r="AI18267" s="1746" t="s">
        <v>150</v>
      </c>
      <c r="AJ18267" s="1747"/>
      <c r="AK18267" s="1748"/>
      <c r="AL18267" s="198"/>
      <c r="AM18267" s="198"/>
      <c r="AN18267" s="198"/>
      <c r="AO18267" s="198"/>
    </row>
    <row r="18268" spans="35:41" ht="19.5" thickBot="1" x14ac:dyDescent="0.35">
      <c r="AI18268" s="1746" t="s">
        <v>150</v>
      </c>
      <c r="AJ18268" s="1747"/>
      <c r="AK18268" s="1748"/>
      <c r="AL18268" s="198"/>
      <c r="AM18268" s="198"/>
      <c r="AN18268" s="198"/>
      <c r="AO18268" s="198"/>
    </row>
    <row r="18269" spans="35:41" ht="19.5" thickBot="1" x14ac:dyDescent="0.35">
      <c r="AI18269" s="1746" t="s">
        <v>150</v>
      </c>
      <c r="AJ18269" s="1747"/>
      <c r="AK18269" s="1748"/>
      <c r="AL18269" s="198"/>
      <c r="AM18269" s="198"/>
      <c r="AN18269" s="198"/>
      <c r="AO18269" s="198"/>
    </row>
    <row r="18270" spans="35:41" ht="19.5" thickBot="1" x14ac:dyDescent="0.35">
      <c r="AI18270" s="1746" t="s">
        <v>150</v>
      </c>
      <c r="AJ18270" s="1747"/>
      <c r="AK18270" s="1748"/>
      <c r="AL18270" s="198"/>
      <c r="AM18270" s="198"/>
      <c r="AN18270" s="198"/>
      <c r="AO18270" s="198"/>
    </row>
    <row r="18271" spans="35:41" ht="19.5" thickBot="1" x14ac:dyDescent="0.35">
      <c r="AI18271" s="1746" t="s">
        <v>150</v>
      </c>
      <c r="AJ18271" s="1747"/>
      <c r="AK18271" s="1748"/>
      <c r="AL18271" s="198"/>
      <c r="AM18271" s="198"/>
      <c r="AN18271" s="198"/>
      <c r="AO18271" s="198"/>
    </row>
    <row r="18272" spans="35:41" ht="19.5" thickBot="1" x14ac:dyDescent="0.35">
      <c r="AI18272" s="1746" t="s">
        <v>150</v>
      </c>
      <c r="AJ18272" s="1747"/>
      <c r="AK18272" s="1748"/>
      <c r="AL18272" s="198"/>
      <c r="AM18272" s="198"/>
      <c r="AN18272" s="198"/>
      <c r="AO18272" s="198"/>
    </row>
    <row r="18273" spans="35:41" ht="19.5" thickBot="1" x14ac:dyDescent="0.35">
      <c r="AI18273" s="1746" t="s">
        <v>150</v>
      </c>
      <c r="AJ18273" s="1747"/>
      <c r="AK18273" s="1748"/>
      <c r="AL18273" s="198"/>
      <c r="AM18273" s="198"/>
      <c r="AN18273" s="198"/>
      <c r="AO18273" s="198"/>
    </row>
    <row r="18274" spans="35:41" ht="19.5" thickBot="1" x14ac:dyDescent="0.35">
      <c r="AI18274" s="1746" t="s">
        <v>150</v>
      </c>
      <c r="AJ18274" s="1747"/>
      <c r="AK18274" s="1748"/>
      <c r="AL18274" s="198"/>
      <c r="AM18274" s="198"/>
      <c r="AN18274" s="198"/>
      <c r="AO18274" s="198"/>
    </row>
    <row r="18275" spans="35:41" ht="19.5" thickBot="1" x14ac:dyDescent="0.35">
      <c r="AI18275" s="1746" t="s">
        <v>150</v>
      </c>
      <c r="AJ18275" s="1747"/>
      <c r="AK18275" s="1748"/>
      <c r="AL18275" s="198"/>
      <c r="AM18275" s="198"/>
      <c r="AN18275" s="198"/>
      <c r="AO18275" s="198"/>
    </row>
    <row r="18276" spans="35:41" ht="19.5" thickBot="1" x14ac:dyDescent="0.35">
      <c r="AI18276" s="1746" t="s">
        <v>150</v>
      </c>
      <c r="AJ18276" s="1747"/>
      <c r="AK18276" s="1748"/>
      <c r="AL18276" s="198"/>
      <c r="AM18276" s="198"/>
      <c r="AN18276" s="198"/>
      <c r="AO18276" s="198"/>
    </row>
    <row r="18277" spans="35:41" ht="19.5" thickBot="1" x14ac:dyDescent="0.35">
      <c r="AI18277" s="1746" t="s">
        <v>150</v>
      </c>
      <c r="AJ18277" s="1747"/>
      <c r="AK18277" s="1748"/>
      <c r="AL18277" s="198"/>
      <c r="AM18277" s="198"/>
      <c r="AN18277" s="198"/>
      <c r="AO18277" s="198"/>
    </row>
    <row r="18278" spans="35:41" ht="19.5" thickBot="1" x14ac:dyDescent="0.35">
      <c r="AI18278" s="1746" t="s">
        <v>150</v>
      </c>
      <c r="AJ18278" s="1747"/>
      <c r="AK18278" s="1748"/>
      <c r="AL18278" s="198"/>
      <c r="AM18278" s="198"/>
      <c r="AN18278" s="198"/>
      <c r="AO18278" s="198"/>
    </row>
    <row r="18279" spans="35:41" ht="19.5" thickBot="1" x14ac:dyDescent="0.35">
      <c r="AI18279" s="1746" t="s">
        <v>150</v>
      </c>
      <c r="AJ18279" s="1747"/>
      <c r="AK18279" s="1748"/>
      <c r="AL18279" s="198"/>
      <c r="AM18279" s="198"/>
      <c r="AN18279" s="198"/>
      <c r="AO18279" s="198"/>
    </row>
    <row r="18280" spans="35:41" ht="19.5" thickBot="1" x14ac:dyDescent="0.35">
      <c r="AI18280" s="1746" t="s">
        <v>150</v>
      </c>
      <c r="AJ18280" s="1747"/>
      <c r="AK18280" s="1748"/>
      <c r="AL18280" s="198"/>
      <c r="AM18280" s="198"/>
      <c r="AN18280" s="198"/>
      <c r="AO18280" s="198"/>
    </row>
    <row r="18281" spans="35:41" ht="19.5" thickBot="1" x14ac:dyDescent="0.35">
      <c r="AI18281" s="1746" t="s">
        <v>150</v>
      </c>
      <c r="AJ18281" s="1747"/>
      <c r="AK18281" s="1748"/>
      <c r="AL18281" s="198"/>
      <c r="AM18281" s="198"/>
      <c r="AN18281" s="198"/>
      <c r="AO18281" s="198"/>
    </row>
    <row r="18282" spans="35:41" ht="19.5" thickBot="1" x14ac:dyDescent="0.35">
      <c r="AI18282" s="1746" t="s">
        <v>150</v>
      </c>
      <c r="AJ18282" s="1747"/>
      <c r="AK18282" s="1748"/>
      <c r="AL18282" s="198"/>
      <c r="AM18282" s="198"/>
      <c r="AN18282" s="198"/>
      <c r="AO18282" s="198"/>
    </row>
    <row r="18283" spans="35:41" ht="19.5" thickBot="1" x14ac:dyDescent="0.35">
      <c r="AI18283" s="1746" t="s">
        <v>150</v>
      </c>
      <c r="AJ18283" s="1747"/>
      <c r="AK18283" s="1748"/>
      <c r="AL18283" s="198"/>
      <c r="AM18283" s="198"/>
      <c r="AN18283" s="198"/>
      <c r="AO18283" s="198"/>
    </row>
    <row r="18284" spans="35:41" ht="19.5" thickBot="1" x14ac:dyDescent="0.35">
      <c r="AI18284" s="1746" t="s">
        <v>150</v>
      </c>
      <c r="AJ18284" s="1747"/>
      <c r="AK18284" s="1748"/>
      <c r="AL18284" s="198"/>
      <c r="AM18284" s="198"/>
      <c r="AN18284" s="198"/>
      <c r="AO18284" s="198"/>
    </row>
    <row r="18285" spans="35:41" ht="19.5" thickBot="1" x14ac:dyDescent="0.35">
      <c r="AI18285" s="1746" t="s">
        <v>150</v>
      </c>
      <c r="AJ18285" s="1747"/>
      <c r="AK18285" s="1748"/>
      <c r="AL18285" s="198"/>
      <c r="AM18285" s="198"/>
      <c r="AN18285" s="198"/>
      <c r="AO18285" s="198"/>
    </row>
    <row r="18286" spans="35:41" ht="19.5" thickBot="1" x14ac:dyDescent="0.35">
      <c r="AI18286" s="1746" t="s">
        <v>150</v>
      </c>
      <c r="AJ18286" s="1747"/>
      <c r="AK18286" s="1748"/>
      <c r="AL18286" s="198"/>
      <c r="AM18286" s="198"/>
      <c r="AN18286" s="198"/>
      <c r="AO18286" s="198"/>
    </row>
    <row r="18287" spans="35:41" ht="19.5" thickBot="1" x14ac:dyDescent="0.35">
      <c r="AI18287" s="1746" t="s">
        <v>150</v>
      </c>
      <c r="AJ18287" s="1747"/>
      <c r="AK18287" s="1748"/>
      <c r="AL18287" s="198"/>
      <c r="AM18287" s="198"/>
      <c r="AN18287" s="198"/>
      <c r="AO18287" s="198"/>
    </row>
    <row r="18288" spans="35:41" ht="19.5" thickBot="1" x14ac:dyDescent="0.35">
      <c r="AI18288" s="1746" t="s">
        <v>150</v>
      </c>
      <c r="AJ18288" s="1747"/>
      <c r="AK18288" s="1748"/>
      <c r="AL18288" s="198"/>
      <c r="AM18288" s="198"/>
      <c r="AN18288" s="198"/>
      <c r="AO18288" s="198"/>
    </row>
    <row r="18289" spans="35:41" ht="19.5" thickBot="1" x14ac:dyDescent="0.35">
      <c r="AI18289" s="1746" t="s">
        <v>150</v>
      </c>
      <c r="AJ18289" s="1747"/>
      <c r="AK18289" s="1748"/>
      <c r="AL18289" s="198"/>
      <c r="AM18289" s="198"/>
      <c r="AN18289" s="198"/>
      <c r="AO18289" s="198"/>
    </row>
    <row r="18290" spans="35:41" ht="19.5" thickBot="1" x14ac:dyDescent="0.35">
      <c r="AI18290" s="1746" t="s">
        <v>150</v>
      </c>
      <c r="AJ18290" s="1747"/>
      <c r="AK18290" s="1748"/>
      <c r="AL18290" s="198"/>
      <c r="AM18290" s="198"/>
      <c r="AN18290" s="198"/>
      <c r="AO18290" s="198"/>
    </row>
    <row r="18291" spans="35:41" ht="19.5" thickBot="1" x14ac:dyDescent="0.35">
      <c r="AI18291" s="1746" t="s">
        <v>150</v>
      </c>
      <c r="AJ18291" s="1747"/>
      <c r="AK18291" s="1748"/>
      <c r="AL18291" s="198"/>
      <c r="AM18291" s="198"/>
      <c r="AN18291" s="198"/>
      <c r="AO18291" s="198"/>
    </row>
    <row r="18292" spans="35:41" ht="19.5" thickBot="1" x14ac:dyDescent="0.35">
      <c r="AI18292" s="1746" t="s">
        <v>150</v>
      </c>
      <c r="AJ18292" s="1747"/>
      <c r="AK18292" s="1748"/>
      <c r="AL18292" s="198"/>
      <c r="AM18292" s="198"/>
      <c r="AN18292" s="198"/>
      <c r="AO18292" s="198"/>
    </row>
    <row r="18293" spans="35:41" ht="19.5" thickBot="1" x14ac:dyDescent="0.35">
      <c r="AI18293" s="1746" t="s">
        <v>150</v>
      </c>
      <c r="AJ18293" s="1747"/>
      <c r="AK18293" s="1748"/>
      <c r="AL18293" s="198"/>
      <c r="AM18293" s="198"/>
      <c r="AN18293" s="198"/>
      <c r="AO18293" s="198"/>
    </row>
    <row r="18294" spans="35:41" ht="19.5" thickBot="1" x14ac:dyDescent="0.35">
      <c r="AI18294" s="1746" t="s">
        <v>150</v>
      </c>
      <c r="AJ18294" s="1747"/>
      <c r="AK18294" s="1748"/>
      <c r="AL18294" s="198"/>
      <c r="AM18294" s="198"/>
      <c r="AN18294" s="198"/>
      <c r="AO18294" s="198"/>
    </row>
    <row r="18295" spans="35:41" ht="19.5" thickBot="1" x14ac:dyDescent="0.35">
      <c r="AI18295" s="1746" t="s">
        <v>150</v>
      </c>
      <c r="AJ18295" s="1747"/>
      <c r="AK18295" s="1748"/>
      <c r="AL18295" s="198"/>
      <c r="AM18295" s="198"/>
      <c r="AN18295" s="198"/>
      <c r="AO18295" s="198"/>
    </row>
    <row r="18296" spans="35:41" ht="19.5" thickBot="1" x14ac:dyDescent="0.35">
      <c r="AI18296" s="1746" t="s">
        <v>150</v>
      </c>
      <c r="AJ18296" s="1747"/>
      <c r="AK18296" s="1748"/>
      <c r="AL18296" s="198"/>
      <c r="AM18296" s="198"/>
      <c r="AN18296" s="198"/>
      <c r="AO18296" s="198"/>
    </row>
    <row r="18297" spans="35:41" ht="19.5" thickBot="1" x14ac:dyDescent="0.35">
      <c r="AI18297" s="1746" t="s">
        <v>150</v>
      </c>
      <c r="AJ18297" s="1747"/>
      <c r="AK18297" s="1748"/>
      <c r="AL18297" s="198"/>
      <c r="AM18297" s="198"/>
      <c r="AN18297" s="198"/>
      <c r="AO18297" s="198"/>
    </row>
    <row r="18298" spans="35:41" ht="19.5" thickBot="1" x14ac:dyDescent="0.35">
      <c r="AI18298" s="1746" t="s">
        <v>150</v>
      </c>
      <c r="AJ18298" s="1747"/>
      <c r="AK18298" s="1748"/>
      <c r="AL18298" s="198"/>
      <c r="AM18298" s="198"/>
      <c r="AN18298" s="198"/>
      <c r="AO18298" s="198"/>
    </row>
    <row r="18299" spans="35:41" ht="19.5" thickBot="1" x14ac:dyDescent="0.35">
      <c r="AI18299" s="1746" t="s">
        <v>150</v>
      </c>
      <c r="AJ18299" s="1747"/>
      <c r="AK18299" s="1748"/>
      <c r="AL18299" s="198"/>
      <c r="AM18299" s="198"/>
      <c r="AN18299" s="198"/>
      <c r="AO18299" s="198"/>
    </row>
    <row r="18300" spans="35:41" ht="19.5" thickBot="1" x14ac:dyDescent="0.35">
      <c r="AI18300" s="1746" t="s">
        <v>150</v>
      </c>
      <c r="AJ18300" s="1747"/>
      <c r="AK18300" s="1748"/>
      <c r="AL18300" s="198"/>
      <c r="AM18300" s="198"/>
      <c r="AN18300" s="198"/>
      <c r="AO18300" s="198"/>
    </row>
    <row r="18301" spans="35:41" ht="19.5" thickBot="1" x14ac:dyDescent="0.35">
      <c r="AI18301" s="1746" t="s">
        <v>150</v>
      </c>
      <c r="AJ18301" s="1747"/>
      <c r="AK18301" s="1748"/>
      <c r="AL18301" s="198"/>
      <c r="AM18301" s="198"/>
      <c r="AN18301" s="198"/>
      <c r="AO18301" s="198"/>
    </row>
    <row r="18302" spans="35:41" ht="19.5" thickBot="1" x14ac:dyDescent="0.35">
      <c r="AI18302" s="1746" t="s">
        <v>150</v>
      </c>
      <c r="AJ18302" s="1747"/>
      <c r="AK18302" s="1748"/>
      <c r="AL18302" s="198"/>
      <c r="AM18302" s="198"/>
      <c r="AN18302" s="198"/>
      <c r="AO18302" s="198"/>
    </row>
    <row r="18303" spans="35:41" ht="19.5" thickBot="1" x14ac:dyDescent="0.35">
      <c r="AI18303" s="1746" t="s">
        <v>150</v>
      </c>
      <c r="AJ18303" s="1747"/>
      <c r="AK18303" s="1748"/>
      <c r="AL18303" s="198"/>
      <c r="AM18303" s="198"/>
      <c r="AN18303" s="198"/>
      <c r="AO18303" s="198"/>
    </row>
    <row r="18304" spans="35:41" ht="19.5" thickBot="1" x14ac:dyDescent="0.35">
      <c r="AI18304" s="1746" t="s">
        <v>150</v>
      </c>
      <c r="AJ18304" s="1747"/>
      <c r="AK18304" s="1748"/>
      <c r="AL18304" s="198"/>
      <c r="AM18304" s="198"/>
      <c r="AN18304" s="198"/>
      <c r="AO18304" s="198"/>
    </row>
    <row r="18305" spans="35:41" ht="19.5" thickBot="1" x14ac:dyDescent="0.35">
      <c r="AI18305" s="1746" t="s">
        <v>150</v>
      </c>
      <c r="AJ18305" s="1747"/>
      <c r="AK18305" s="1748"/>
      <c r="AL18305" s="198"/>
      <c r="AM18305" s="198"/>
      <c r="AN18305" s="198"/>
      <c r="AO18305" s="198"/>
    </row>
    <row r="18306" spans="35:41" ht="19.5" thickBot="1" x14ac:dyDescent="0.35">
      <c r="AI18306" s="1746" t="s">
        <v>150</v>
      </c>
      <c r="AJ18306" s="1747"/>
      <c r="AK18306" s="1748"/>
      <c r="AL18306" s="198"/>
      <c r="AM18306" s="198"/>
      <c r="AN18306" s="198"/>
      <c r="AO18306" s="198"/>
    </row>
    <row r="18307" spans="35:41" ht="19.5" thickBot="1" x14ac:dyDescent="0.35">
      <c r="AI18307" s="1746" t="s">
        <v>150</v>
      </c>
      <c r="AJ18307" s="1747"/>
      <c r="AK18307" s="1748"/>
      <c r="AL18307" s="198"/>
      <c r="AM18307" s="198"/>
      <c r="AN18307" s="198"/>
      <c r="AO18307" s="198"/>
    </row>
    <row r="18308" spans="35:41" ht="19.5" thickBot="1" x14ac:dyDescent="0.35">
      <c r="AI18308" s="1746" t="s">
        <v>150</v>
      </c>
      <c r="AJ18308" s="1747"/>
      <c r="AK18308" s="1748"/>
      <c r="AL18308" s="198"/>
      <c r="AM18308" s="198"/>
      <c r="AN18308" s="198"/>
      <c r="AO18308" s="198"/>
    </row>
    <row r="18309" spans="35:41" ht="19.5" thickBot="1" x14ac:dyDescent="0.35">
      <c r="AI18309" s="1746" t="s">
        <v>150</v>
      </c>
      <c r="AJ18309" s="1747"/>
      <c r="AK18309" s="1748"/>
      <c r="AL18309" s="198"/>
      <c r="AM18309" s="198"/>
      <c r="AN18309" s="198"/>
      <c r="AO18309" s="198"/>
    </row>
    <row r="18310" spans="35:41" ht="19.5" thickBot="1" x14ac:dyDescent="0.35">
      <c r="AI18310" s="1746" t="s">
        <v>150</v>
      </c>
      <c r="AJ18310" s="1747"/>
      <c r="AK18310" s="1748"/>
      <c r="AL18310" s="198"/>
      <c r="AM18310" s="198"/>
      <c r="AN18310" s="198"/>
      <c r="AO18310" s="198"/>
    </row>
    <row r="18311" spans="35:41" ht="19.5" thickBot="1" x14ac:dyDescent="0.35">
      <c r="AI18311" s="1746" t="s">
        <v>150</v>
      </c>
      <c r="AJ18311" s="1747"/>
      <c r="AK18311" s="1748"/>
      <c r="AL18311" s="198"/>
      <c r="AM18311" s="198"/>
      <c r="AN18311" s="198"/>
      <c r="AO18311" s="198"/>
    </row>
    <row r="18312" spans="35:41" ht="19.5" thickBot="1" x14ac:dyDescent="0.35">
      <c r="AI18312" s="1746" t="s">
        <v>150</v>
      </c>
      <c r="AJ18312" s="1747"/>
      <c r="AK18312" s="1748"/>
      <c r="AL18312" s="198"/>
      <c r="AM18312" s="198"/>
      <c r="AN18312" s="198"/>
      <c r="AO18312" s="198"/>
    </row>
    <row r="18313" spans="35:41" ht="19.5" thickBot="1" x14ac:dyDescent="0.35">
      <c r="AI18313" s="1746" t="s">
        <v>150</v>
      </c>
      <c r="AJ18313" s="1747"/>
      <c r="AK18313" s="1748"/>
      <c r="AL18313" s="198"/>
      <c r="AM18313" s="198"/>
      <c r="AN18313" s="198"/>
      <c r="AO18313" s="198"/>
    </row>
    <row r="18314" spans="35:41" ht="19.5" thickBot="1" x14ac:dyDescent="0.35">
      <c r="AI18314" s="1746" t="s">
        <v>150</v>
      </c>
      <c r="AJ18314" s="1747"/>
      <c r="AK18314" s="1748"/>
      <c r="AL18314" s="198"/>
      <c r="AM18314" s="198"/>
      <c r="AN18314" s="198"/>
      <c r="AO18314" s="198"/>
    </row>
    <row r="18315" spans="35:41" ht="19.5" thickBot="1" x14ac:dyDescent="0.35">
      <c r="AI18315" s="1746" t="s">
        <v>150</v>
      </c>
      <c r="AJ18315" s="1747"/>
      <c r="AK18315" s="1748"/>
      <c r="AL18315" s="198"/>
      <c r="AM18315" s="198"/>
      <c r="AN18315" s="198"/>
      <c r="AO18315" s="198"/>
    </row>
    <row r="18316" spans="35:41" ht="19.5" thickBot="1" x14ac:dyDescent="0.35">
      <c r="AI18316" s="1746" t="s">
        <v>150</v>
      </c>
      <c r="AJ18316" s="1747"/>
      <c r="AK18316" s="1748"/>
      <c r="AL18316" s="198"/>
      <c r="AM18316" s="198"/>
      <c r="AN18316" s="198"/>
      <c r="AO18316" s="198"/>
    </row>
    <row r="18317" spans="35:41" ht="19.5" thickBot="1" x14ac:dyDescent="0.35">
      <c r="AI18317" s="1746" t="s">
        <v>150</v>
      </c>
      <c r="AJ18317" s="1747"/>
      <c r="AK18317" s="1748"/>
      <c r="AL18317" s="198"/>
      <c r="AM18317" s="198"/>
      <c r="AN18317" s="198"/>
      <c r="AO18317" s="198"/>
    </row>
    <row r="18318" spans="35:41" ht="19.5" thickBot="1" x14ac:dyDescent="0.35">
      <c r="AI18318" s="1746" t="s">
        <v>150</v>
      </c>
      <c r="AJ18318" s="1747"/>
      <c r="AK18318" s="1748"/>
      <c r="AL18318" s="198"/>
      <c r="AM18318" s="198"/>
      <c r="AN18318" s="198"/>
      <c r="AO18318" s="198"/>
    </row>
    <row r="18319" spans="35:41" ht="19.5" thickBot="1" x14ac:dyDescent="0.35">
      <c r="AI18319" s="1746" t="s">
        <v>150</v>
      </c>
      <c r="AJ18319" s="1747"/>
      <c r="AK18319" s="1748"/>
      <c r="AL18319" s="198"/>
      <c r="AM18319" s="198"/>
      <c r="AN18319" s="198"/>
      <c r="AO18319" s="198"/>
    </row>
    <row r="18320" spans="35:41" ht="19.5" thickBot="1" x14ac:dyDescent="0.35">
      <c r="AI18320" s="1746" t="s">
        <v>150</v>
      </c>
      <c r="AJ18320" s="1747"/>
      <c r="AK18320" s="1748"/>
      <c r="AL18320" s="198"/>
      <c r="AM18320" s="198"/>
      <c r="AN18320" s="198"/>
      <c r="AO18320" s="198"/>
    </row>
    <row r="18321" spans="35:41" ht="19.5" thickBot="1" x14ac:dyDescent="0.35">
      <c r="AI18321" s="1746" t="s">
        <v>150</v>
      </c>
      <c r="AJ18321" s="1747"/>
      <c r="AK18321" s="1748"/>
      <c r="AL18321" s="198"/>
      <c r="AM18321" s="198"/>
      <c r="AN18321" s="198"/>
      <c r="AO18321" s="198"/>
    </row>
    <row r="18322" spans="35:41" ht="19.5" thickBot="1" x14ac:dyDescent="0.35">
      <c r="AI18322" s="1746" t="s">
        <v>150</v>
      </c>
      <c r="AJ18322" s="1747"/>
      <c r="AK18322" s="1748"/>
      <c r="AL18322" s="198"/>
      <c r="AM18322" s="198"/>
      <c r="AN18322" s="198"/>
      <c r="AO18322" s="198"/>
    </row>
    <row r="18323" spans="35:41" ht="19.5" thickBot="1" x14ac:dyDescent="0.35">
      <c r="AI18323" s="1746" t="s">
        <v>150</v>
      </c>
      <c r="AJ18323" s="1747"/>
      <c r="AK18323" s="1748"/>
      <c r="AL18323" s="198"/>
      <c r="AM18323" s="198"/>
      <c r="AN18323" s="198"/>
      <c r="AO18323" s="198"/>
    </row>
    <row r="18324" spans="35:41" ht="19.5" thickBot="1" x14ac:dyDescent="0.35">
      <c r="AI18324" s="1746" t="s">
        <v>150</v>
      </c>
      <c r="AJ18324" s="1747"/>
      <c r="AK18324" s="1748"/>
      <c r="AL18324" s="198"/>
      <c r="AM18324" s="198"/>
      <c r="AN18324" s="198"/>
      <c r="AO18324" s="198"/>
    </row>
    <row r="18325" spans="35:41" ht="19.5" thickBot="1" x14ac:dyDescent="0.35">
      <c r="AI18325" s="1746" t="s">
        <v>150</v>
      </c>
      <c r="AJ18325" s="1747"/>
      <c r="AK18325" s="1748"/>
      <c r="AL18325" s="198"/>
      <c r="AM18325" s="198"/>
      <c r="AN18325" s="198"/>
      <c r="AO18325" s="198"/>
    </row>
    <row r="18326" spans="35:41" ht="19.5" thickBot="1" x14ac:dyDescent="0.35">
      <c r="AI18326" s="1746" t="s">
        <v>150</v>
      </c>
      <c r="AJ18326" s="1747"/>
      <c r="AK18326" s="1748"/>
      <c r="AL18326" s="198"/>
      <c r="AM18326" s="198"/>
      <c r="AN18326" s="198"/>
      <c r="AO18326" s="198"/>
    </row>
    <row r="18327" spans="35:41" ht="19.5" thickBot="1" x14ac:dyDescent="0.35">
      <c r="AI18327" s="1746" t="s">
        <v>150</v>
      </c>
      <c r="AJ18327" s="1747"/>
      <c r="AK18327" s="1748"/>
      <c r="AL18327" s="198"/>
      <c r="AM18327" s="198"/>
      <c r="AN18327" s="198"/>
      <c r="AO18327" s="198"/>
    </row>
    <row r="18328" spans="35:41" ht="19.5" thickBot="1" x14ac:dyDescent="0.35">
      <c r="AI18328" s="1746" t="s">
        <v>150</v>
      </c>
      <c r="AJ18328" s="1747"/>
      <c r="AK18328" s="1748"/>
      <c r="AL18328" s="198"/>
      <c r="AM18328" s="198"/>
      <c r="AN18328" s="198"/>
      <c r="AO18328" s="198"/>
    </row>
    <row r="18329" spans="35:41" ht="19.5" thickBot="1" x14ac:dyDescent="0.35">
      <c r="AI18329" s="1746" t="s">
        <v>150</v>
      </c>
      <c r="AJ18329" s="1747"/>
      <c r="AK18329" s="1748"/>
      <c r="AL18329" s="198"/>
      <c r="AM18329" s="198"/>
      <c r="AN18329" s="198"/>
      <c r="AO18329" s="198"/>
    </row>
    <row r="18330" spans="35:41" ht="19.5" thickBot="1" x14ac:dyDescent="0.35">
      <c r="AI18330" s="1746" t="s">
        <v>150</v>
      </c>
      <c r="AJ18330" s="1747"/>
      <c r="AK18330" s="1748"/>
      <c r="AL18330" s="198"/>
      <c r="AM18330" s="198"/>
      <c r="AN18330" s="198"/>
      <c r="AO18330" s="198"/>
    </row>
    <row r="18331" spans="35:41" ht="19.5" thickBot="1" x14ac:dyDescent="0.35">
      <c r="AI18331" s="1746" t="s">
        <v>150</v>
      </c>
      <c r="AJ18331" s="1747"/>
      <c r="AK18331" s="1748"/>
      <c r="AL18331" s="198"/>
      <c r="AM18331" s="198"/>
      <c r="AN18331" s="198"/>
      <c r="AO18331" s="198"/>
    </row>
    <row r="18332" spans="35:41" ht="19.5" thickBot="1" x14ac:dyDescent="0.35">
      <c r="AI18332" s="1746" t="s">
        <v>150</v>
      </c>
      <c r="AJ18332" s="1747"/>
      <c r="AK18332" s="1748"/>
      <c r="AL18332" s="198"/>
      <c r="AM18332" s="198"/>
      <c r="AN18332" s="198"/>
      <c r="AO18332" s="198"/>
    </row>
    <row r="18333" spans="35:41" ht="19.5" thickBot="1" x14ac:dyDescent="0.35">
      <c r="AI18333" s="1746" t="s">
        <v>150</v>
      </c>
      <c r="AJ18333" s="1747"/>
      <c r="AK18333" s="1748"/>
      <c r="AL18333" s="198"/>
      <c r="AM18333" s="198"/>
      <c r="AN18333" s="198"/>
      <c r="AO18333" s="198"/>
    </row>
    <row r="18334" spans="35:41" ht="19.5" thickBot="1" x14ac:dyDescent="0.35">
      <c r="AI18334" s="1746" t="s">
        <v>150</v>
      </c>
      <c r="AJ18334" s="1747"/>
      <c r="AK18334" s="1748"/>
      <c r="AL18334" s="198"/>
      <c r="AM18334" s="198"/>
      <c r="AN18334" s="198"/>
      <c r="AO18334" s="198"/>
    </row>
    <row r="18335" spans="35:41" ht="19.5" thickBot="1" x14ac:dyDescent="0.35">
      <c r="AI18335" s="1746" t="s">
        <v>150</v>
      </c>
      <c r="AJ18335" s="1747"/>
      <c r="AK18335" s="1748"/>
      <c r="AL18335" s="198"/>
      <c r="AM18335" s="198"/>
      <c r="AN18335" s="198"/>
      <c r="AO18335" s="198"/>
    </row>
    <row r="18336" spans="35:41" ht="19.5" thickBot="1" x14ac:dyDescent="0.35">
      <c r="AI18336" s="1746" t="s">
        <v>150</v>
      </c>
      <c r="AJ18336" s="1747"/>
      <c r="AK18336" s="1748"/>
      <c r="AL18336" s="198"/>
      <c r="AM18336" s="198"/>
      <c r="AN18336" s="198"/>
      <c r="AO18336" s="198"/>
    </row>
    <row r="18337" spans="35:41" ht="19.5" thickBot="1" x14ac:dyDescent="0.35">
      <c r="AI18337" s="1746" t="s">
        <v>150</v>
      </c>
      <c r="AJ18337" s="1747"/>
      <c r="AK18337" s="1748"/>
      <c r="AL18337" s="198"/>
      <c r="AM18337" s="198"/>
      <c r="AN18337" s="198"/>
      <c r="AO18337" s="198"/>
    </row>
    <row r="18338" spans="35:41" ht="19.5" thickBot="1" x14ac:dyDescent="0.35">
      <c r="AI18338" s="1746" t="s">
        <v>150</v>
      </c>
      <c r="AJ18338" s="1747"/>
      <c r="AK18338" s="1748"/>
      <c r="AL18338" s="198"/>
      <c r="AM18338" s="198"/>
      <c r="AN18338" s="198"/>
      <c r="AO18338" s="198"/>
    </row>
    <row r="18339" spans="35:41" ht="19.5" thickBot="1" x14ac:dyDescent="0.35">
      <c r="AI18339" s="1746" t="s">
        <v>150</v>
      </c>
      <c r="AJ18339" s="1747"/>
      <c r="AK18339" s="1748"/>
      <c r="AL18339" s="198"/>
      <c r="AM18339" s="198"/>
      <c r="AN18339" s="198"/>
      <c r="AO18339" s="198"/>
    </row>
    <row r="18340" spans="35:41" ht="19.5" thickBot="1" x14ac:dyDescent="0.35">
      <c r="AI18340" s="1746" t="s">
        <v>150</v>
      </c>
      <c r="AJ18340" s="1747"/>
      <c r="AK18340" s="1748"/>
      <c r="AL18340" s="198"/>
      <c r="AM18340" s="198"/>
      <c r="AN18340" s="198"/>
      <c r="AO18340" s="198"/>
    </row>
    <row r="18341" spans="35:41" ht="19.5" thickBot="1" x14ac:dyDescent="0.35">
      <c r="AI18341" s="1746" t="s">
        <v>150</v>
      </c>
      <c r="AJ18341" s="1747"/>
      <c r="AK18341" s="1748"/>
      <c r="AL18341" s="198"/>
      <c r="AM18341" s="198"/>
      <c r="AN18341" s="198"/>
      <c r="AO18341" s="198"/>
    </row>
    <row r="18342" spans="35:41" ht="19.5" thickBot="1" x14ac:dyDescent="0.35">
      <c r="AI18342" s="1746" t="s">
        <v>150</v>
      </c>
      <c r="AJ18342" s="1747"/>
      <c r="AK18342" s="1748"/>
      <c r="AL18342" s="198"/>
      <c r="AM18342" s="198"/>
      <c r="AN18342" s="198"/>
      <c r="AO18342" s="198"/>
    </row>
    <row r="18343" spans="35:41" ht="19.5" thickBot="1" x14ac:dyDescent="0.35">
      <c r="AI18343" s="1746" t="s">
        <v>150</v>
      </c>
      <c r="AJ18343" s="1747"/>
      <c r="AK18343" s="1748"/>
      <c r="AL18343" s="198"/>
      <c r="AM18343" s="198"/>
      <c r="AN18343" s="198"/>
      <c r="AO18343" s="198"/>
    </row>
    <row r="18344" spans="35:41" ht="19.5" thickBot="1" x14ac:dyDescent="0.35">
      <c r="AI18344" s="1746" t="s">
        <v>150</v>
      </c>
      <c r="AJ18344" s="1747"/>
      <c r="AK18344" s="1748"/>
      <c r="AL18344" s="198"/>
      <c r="AM18344" s="198"/>
      <c r="AN18344" s="198"/>
      <c r="AO18344" s="198"/>
    </row>
    <row r="18345" spans="35:41" ht="19.5" thickBot="1" x14ac:dyDescent="0.35">
      <c r="AI18345" s="1746" t="s">
        <v>150</v>
      </c>
      <c r="AJ18345" s="1747"/>
      <c r="AK18345" s="1748"/>
      <c r="AL18345" s="198"/>
      <c r="AM18345" s="198"/>
      <c r="AN18345" s="198"/>
      <c r="AO18345" s="198"/>
    </row>
    <row r="18346" spans="35:41" ht="19.5" thickBot="1" x14ac:dyDescent="0.35">
      <c r="AI18346" s="1746" t="s">
        <v>150</v>
      </c>
      <c r="AJ18346" s="1747"/>
      <c r="AK18346" s="1748"/>
      <c r="AL18346" s="198"/>
      <c r="AM18346" s="198"/>
      <c r="AN18346" s="198"/>
      <c r="AO18346" s="198"/>
    </row>
    <row r="18347" spans="35:41" ht="19.5" thickBot="1" x14ac:dyDescent="0.35">
      <c r="AI18347" s="1746" t="s">
        <v>150</v>
      </c>
      <c r="AJ18347" s="1747"/>
      <c r="AK18347" s="1748"/>
      <c r="AL18347" s="198"/>
      <c r="AM18347" s="198"/>
      <c r="AN18347" s="198"/>
      <c r="AO18347" s="198"/>
    </row>
    <row r="18348" spans="35:41" ht="19.5" thickBot="1" x14ac:dyDescent="0.35">
      <c r="AI18348" s="1746" t="s">
        <v>150</v>
      </c>
      <c r="AJ18348" s="1747"/>
      <c r="AK18348" s="1748"/>
      <c r="AL18348" s="198"/>
      <c r="AM18348" s="198"/>
      <c r="AN18348" s="198"/>
      <c r="AO18348" s="198"/>
    </row>
    <row r="18349" spans="35:41" ht="19.5" thickBot="1" x14ac:dyDescent="0.35">
      <c r="AI18349" s="1746" t="s">
        <v>150</v>
      </c>
      <c r="AJ18349" s="1747"/>
      <c r="AK18349" s="1748"/>
      <c r="AL18349" s="198"/>
      <c r="AM18349" s="198"/>
      <c r="AN18349" s="198"/>
      <c r="AO18349" s="198"/>
    </row>
    <row r="18350" spans="35:41" ht="19.5" thickBot="1" x14ac:dyDescent="0.35">
      <c r="AI18350" s="1746" t="s">
        <v>150</v>
      </c>
      <c r="AJ18350" s="1747"/>
      <c r="AK18350" s="1748"/>
      <c r="AL18350" s="198"/>
      <c r="AM18350" s="198"/>
      <c r="AN18350" s="198"/>
      <c r="AO18350" s="198"/>
    </row>
    <row r="18351" spans="35:41" ht="19.5" thickBot="1" x14ac:dyDescent="0.35">
      <c r="AI18351" s="1746" t="s">
        <v>150</v>
      </c>
      <c r="AJ18351" s="1747"/>
      <c r="AK18351" s="1748"/>
      <c r="AL18351" s="198"/>
      <c r="AM18351" s="198"/>
      <c r="AN18351" s="198"/>
      <c r="AO18351" s="198"/>
    </row>
    <row r="18352" spans="35:41" ht="19.5" thickBot="1" x14ac:dyDescent="0.35">
      <c r="AI18352" s="1746" t="s">
        <v>150</v>
      </c>
      <c r="AJ18352" s="1747"/>
      <c r="AK18352" s="1748"/>
      <c r="AL18352" s="198"/>
      <c r="AM18352" s="198"/>
      <c r="AN18352" s="198"/>
      <c r="AO18352" s="198"/>
    </row>
    <row r="18353" spans="35:41" ht="19.5" thickBot="1" x14ac:dyDescent="0.35">
      <c r="AI18353" s="1746" t="s">
        <v>150</v>
      </c>
      <c r="AJ18353" s="1747"/>
      <c r="AK18353" s="1748"/>
      <c r="AL18353" s="198"/>
      <c r="AM18353" s="198"/>
      <c r="AN18353" s="198"/>
      <c r="AO18353" s="198"/>
    </row>
    <row r="18354" spans="35:41" ht="19.5" thickBot="1" x14ac:dyDescent="0.35">
      <c r="AI18354" s="1746" t="s">
        <v>150</v>
      </c>
      <c r="AJ18354" s="1747"/>
      <c r="AK18354" s="1748"/>
      <c r="AL18354" s="198"/>
      <c r="AM18354" s="198"/>
      <c r="AN18354" s="198"/>
      <c r="AO18354" s="198"/>
    </row>
    <row r="18355" spans="35:41" ht="19.5" thickBot="1" x14ac:dyDescent="0.35">
      <c r="AI18355" s="1746" t="s">
        <v>150</v>
      </c>
      <c r="AJ18355" s="1747"/>
      <c r="AK18355" s="1748"/>
      <c r="AL18355" s="198"/>
      <c r="AM18355" s="198"/>
      <c r="AN18355" s="198"/>
      <c r="AO18355" s="198"/>
    </row>
    <row r="18356" spans="35:41" ht="19.5" thickBot="1" x14ac:dyDescent="0.35">
      <c r="AI18356" s="1746" t="s">
        <v>150</v>
      </c>
      <c r="AJ18356" s="1747"/>
      <c r="AK18356" s="1748"/>
      <c r="AL18356" s="198"/>
      <c r="AM18356" s="198"/>
      <c r="AN18356" s="198"/>
      <c r="AO18356" s="198"/>
    </row>
    <row r="18357" spans="35:41" ht="19.5" thickBot="1" x14ac:dyDescent="0.35">
      <c r="AI18357" s="1746" t="s">
        <v>150</v>
      </c>
      <c r="AJ18357" s="1747"/>
      <c r="AK18357" s="1748"/>
      <c r="AL18357" s="198"/>
      <c r="AM18357" s="198"/>
      <c r="AN18357" s="198"/>
      <c r="AO18357" s="198"/>
    </row>
    <row r="18358" spans="35:41" ht="19.5" thickBot="1" x14ac:dyDescent="0.35">
      <c r="AI18358" s="1746" t="s">
        <v>150</v>
      </c>
      <c r="AJ18358" s="1747"/>
      <c r="AK18358" s="1748"/>
      <c r="AL18358" s="198"/>
      <c r="AM18358" s="198"/>
      <c r="AN18358" s="198"/>
      <c r="AO18358" s="198"/>
    </row>
    <row r="18359" spans="35:41" ht="19.5" thickBot="1" x14ac:dyDescent="0.35">
      <c r="AI18359" s="1746" t="s">
        <v>150</v>
      </c>
      <c r="AJ18359" s="1747"/>
      <c r="AK18359" s="1748"/>
      <c r="AL18359" s="198"/>
      <c r="AM18359" s="198"/>
      <c r="AN18359" s="198"/>
      <c r="AO18359" s="198"/>
    </row>
    <row r="18360" spans="35:41" ht="19.5" thickBot="1" x14ac:dyDescent="0.35">
      <c r="AI18360" s="1746" t="s">
        <v>150</v>
      </c>
      <c r="AJ18360" s="1747"/>
      <c r="AK18360" s="1748"/>
      <c r="AL18360" s="198"/>
      <c r="AM18360" s="198"/>
      <c r="AN18360" s="198"/>
      <c r="AO18360" s="198"/>
    </row>
    <row r="18361" spans="35:41" ht="19.5" thickBot="1" x14ac:dyDescent="0.35">
      <c r="AI18361" s="1746" t="s">
        <v>150</v>
      </c>
      <c r="AJ18361" s="1747"/>
      <c r="AK18361" s="1748"/>
      <c r="AL18361" s="198"/>
      <c r="AM18361" s="198"/>
      <c r="AN18361" s="198"/>
      <c r="AO18361" s="198"/>
    </row>
    <row r="18362" spans="35:41" ht="19.5" thickBot="1" x14ac:dyDescent="0.35">
      <c r="AI18362" s="1746" t="s">
        <v>150</v>
      </c>
      <c r="AJ18362" s="1747"/>
      <c r="AK18362" s="1748"/>
      <c r="AL18362" s="198"/>
      <c r="AM18362" s="198"/>
      <c r="AN18362" s="198"/>
      <c r="AO18362" s="198"/>
    </row>
    <row r="18363" spans="35:41" ht="19.5" thickBot="1" x14ac:dyDescent="0.35">
      <c r="AI18363" s="1746" t="s">
        <v>150</v>
      </c>
      <c r="AJ18363" s="1747"/>
      <c r="AK18363" s="1748"/>
      <c r="AL18363" s="198"/>
      <c r="AM18363" s="198"/>
      <c r="AN18363" s="198"/>
      <c r="AO18363" s="198"/>
    </row>
    <row r="18364" spans="35:41" ht="19.5" thickBot="1" x14ac:dyDescent="0.35">
      <c r="AI18364" s="1746" t="s">
        <v>150</v>
      </c>
      <c r="AJ18364" s="1747"/>
      <c r="AK18364" s="1748"/>
      <c r="AL18364" s="198"/>
      <c r="AM18364" s="198"/>
      <c r="AN18364" s="198"/>
      <c r="AO18364" s="198"/>
    </row>
    <row r="18365" spans="35:41" ht="19.5" thickBot="1" x14ac:dyDescent="0.35">
      <c r="AI18365" s="1746" t="s">
        <v>150</v>
      </c>
      <c r="AJ18365" s="1747"/>
      <c r="AK18365" s="1748"/>
      <c r="AL18365" s="198"/>
      <c r="AM18365" s="198"/>
      <c r="AN18365" s="198"/>
      <c r="AO18365" s="198"/>
    </row>
    <row r="18366" spans="35:41" ht="19.5" thickBot="1" x14ac:dyDescent="0.35">
      <c r="AI18366" s="1746" t="s">
        <v>150</v>
      </c>
      <c r="AJ18366" s="1747"/>
      <c r="AK18366" s="1748"/>
      <c r="AL18366" s="198"/>
      <c r="AM18366" s="198"/>
      <c r="AN18366" s="198"/>
      <c r="AO18366" s="198"/>
    </row>
    <row r="18367" spans="35:41" ht="19.5" thickBot="1" x14ac:dyDescent="0.35">
      <c r="AI18367" s="1746" t="s">
        <v>150</v>
      </c>
      <c r="AJ18367" s="1747"/>
      <c r="AK18367" s="1748"/>
      <c r="AL18367" s="198"/>
      <c r="AM18367" s="198"/>
      <c r="AN18367" s="198"/>
      <c r="AO18367" s="198"/>
    </row>
    <row r="18368" spans="35:41" ht="19.5" thickBot="1" x14ac:dyDescent="0.35">
      <c r="AI18368" s="1746" t="s">
        <v>150</v>
      </c>
      <c r="AJ18368" s="1747"/>
      <c r="AK18368" s="1748"/>
      <c r="AL18368" s="198"/>
      <c r="AM18368" s="198"/>
      <c r="AN18368" s="198"/>
      <c r="AO18368" s="198"/>
    </row>
    <row r="18369" spans="35:41" ht="19.5" thickBot="1" x14ac:dyDescent="0.35">
      <c r="AI18369" s="1746" t="s">
        <v>150</v>
      </c>
      <c r="AJ18369" s="1747"/>
      <c r="AK18369" s="1748"/>
      <c r="AL18369" s="198"/>
      <c r="AM18369" s="198"/>
      <c r="AN18369" s="198"/>
      <c r="AO18369" s="198"/>
    </row>
    <row r="18370" spans="35:41" ht="19.5" thickBot="1" x14ac:dyDescent="0.35">
      <c r="AI18370" s="1746" t="s">
        <v>150</v>
      </c>
      <c r="AJ18370" s="1747"/>
      <c r="AK18370" s="1748"/>
      <c r="AL18370" s="198"/>
      <c r="AM18370" s="198"/>
      <c r="AN18370" s="198"/>
      <c r="AO18370" s="198"/>
    </row>
    <row r="18371" spans="35:41" ht="19.5" thickBot="1" x14ac:dyDescent="0.35">
      <c r="AI18371" s="1746" t="s">
        <v>150</v>
      </c>
      <c r="AJ18371" s="1747"/>
      <c r="AK18371" s="1748"/>
      <c r="AL18371" s="198"/>
      <c r="AM18371" s="198"/>
      <c r="AN18371" s="198"/>
      <c r="AO18371" s="198"/>
    </row>
    <row r="18372" spans="35:41" ht="19.5" thickBot="1" x14ac:dyDescent="0.35">
      <c r="AI18372" s="1746" t="s">
        <v>150</v>
      </c>
      <c r="AJ18372" s="1747"/>
      <c r="AK18372" s="1748"/>
      <c r="AL18372" s="198"/>
      <c r="AM18372" s="198"/>
      <c r="AN18372" s="198"/>
      <c r="AO18372" s="198"/>
    </row>
    <row r="18373" spans="35:41" ht="19.5" thickBot="1" x14ac:dyDescent="0.35">
      <c r="AI18373" s="1746" t="s">
        <v>150</v>
      </c>
      <c r="AJ18373" s="1747"/>
      <c r="AK18373" s="1748"/>
      <c r="AL18373" s="198"/>
      <c r="AM18373" s="198"/>
      <c r="AN18373" s="198"/>
      <c r="AO18373" s="198"/>
    </row>
    <row r="18374" spans="35:41" ht="19.5" thickBot="1" x14ac:dyDescent="0.35">
      <c r="AI18374" s="1746" t="s">
        <v>150</v>
      </c>
      <c r="AJ18374" s="1747"/>
      <c r="AK18374" s="1748"/>
      <c r="AL18374" s="198"/>
      <c r="AM18374" s="198"/>
      <c r="AN18374" s="198"/>
      <c r="AO18374" s="198"/>
    </row>
    <row r="18375" spans="35:41" ht="19.5" thickBot="1" x14ac:dyDescent="0.35">
      <c r="AI18375" s="1746" t="s">
        <v>150</v>
      </c>
      <c r="AJ18375" s="1747"/>
      <c r="AK18375" s="1748"/>
      <c r="AL18375" s="198"/>
      <c r="AM18375" s="198"/>
      <c r="AN18375" s="198"/>
      <c r="AO18375" s="198"/>
    </row>
    <row r="18376" spans="35:41" ht="19.5" thickBot="1" x14ac:dyDescent="0.35">
      <c r="AI18376" s="1746" t="s">
        <v>150</v>
      </c>
      <c r="AJ18376" s="1747"/>
      <c r="AK18376" s="1748"/>
      <c r="AL18376" s="198"/>
      <c r="AM18376" s="198"/>
      <c r="AN18376" s="198"/>
      <c r="AO18376" s="198"/>
    </row>
    <row r="18377" spans="35:41" ht="19.5" thickBot="1" x14ac:dyDescent="0.35">
      <c r="AI18377" s="1746" t="s">
        <v>150</v>
      </c>
      <c r="AJ18377" s="1747"/>
      <c r="AK18377" s="1748"/>
      <c r="AL18377" s="198"/>
      <c r="AM18377" s="198"/>
      <c r="AN18377" s="198"/>
      <c r="AO18377" s="198"/>
    </row>
    <row r="18378" spans="35:41" ht="19.5" thickBot="1" x14ac:dyDescent="0.35">
      <c r="AI18378" s="1746" t="s">
        <v>150</v>
      </c>
      <c r="AJ18378" s="1747"/>
      <c r="AK18378" s="1748"/>
      <c r="AL18378" s="198"/>
      <c r="AM18378" s="198"/>
      <c r="AN18378" s="198"/>
      <c r="AO18378" s="198"/>
    </row>
    <row r="18379" spans="35:41" ht="19.5" thickBot="1" x14ac:dyDescent="0.35">
      <c r="AI18379" s="1746" t="s">
        <v>150</v>
      </c>
      <c r="AJ18379" s="1747"/>
      <c r="AK18379" s="1748"/>
      <c r="AL18379" s="198"/>
      <c r="AM18379" s="198"/>
      <c r="AN18379" s="198"/>
      <c r="AO18379" s="198"/>
    </row>
    <row r="18380" spans="35:41" ht="19.5" thickBot="1" x14ac:dyDescent="0.35">
      <c r="AI18380" s="1746" t="s">
        <v>150</v>
      </c>
      <c r="AJ18380" s="1747"/>
      <c r="AK18380" s="1748"/>
      <c r="AL18380" s="198"/>
      <c r="AM18380" s="198"/>
      <c r="AN18380" s="198"/>
      <c r="AO18380" s="198"/>
    </row>
    <row r="18381" spans="35:41" ht="19.5" thickBot="1" x14ac:dyDescent="0.35">
      <c r="AI18381" s="1746" t="s">
        <v>150</v>
      </c>
      <c r="AJ18381" s="1747"/>
      <c r="AK18381" s="1748"/>
      <c r="AL18381" s="198"/>
      <c r="AM18381" s="198"/>
      <c r="AN18381" s="198"/>
      <c r="AO18381" s="198"/>
    </row>
    <row r="18382" spans="35:41" ht="19.5" thickBot="1" x14ac:dyDescent="0.35">
      <c r="AI18382" s="1746" t="s">
        <v>150</v>
      </c>
      <c r="AJ18382" s="1747"/>
      <c r="AK18382" s="1748"/>
      <c r="AL18382" s="198"/>
      <c r="AM18382" s="198"/>
      <c r="AN18382" s="198"/>
      <c r="AO18382" s="198"/>
    </row>
    <row r="18383" spans="35:41" ht="19.5" thickBot="1" x14ac:dyDescent="0.35">
      <c r="AI18383" s="1746" t="s">
        <v>150</v>
      </c>
      <c r="AJ18383" s="1747"/>
      <c r="AK18383" s="1748"/>
      <c r="AL18383" s="198"/>
      <c r="AM18383" s="198"/>
      <c r="AN18383" s="198"/>
      <c r="AO18383" s="198"/>
    </row>
    <row r="18384" spans="35:41" ht="19.5" thickBot="1" x14ac:dyDescent="0.35">
      <c r="AI18384" s="1746" t="s">
        <v>150</v>
      </c>
      <c r="AJ18384" s="1747"/>
      <c r="AK18384" s="1748"/>
      <c r="AL18384" s="198"/>
      <c r="AM18384" s="198"/>
      <c r="AN18384" s="198"/>
      <c r="AO18384" s="198"/>
    </row>
    <row r="18385" spans="35:41" ht="19.5" thickBot="1" x14ac:dyDescent="0.35">
      <c r="AI18385" s="1746" t="s">
        <v>150</v>
      </c>
      <c r="AJ18385" s="1747"/>
      <c r="AK18385" s="1748"/>
      <c r="AL18385" s="198"/>
      <c r="AM18385" s="198"/>
      <c r="AN18385" s="198"/>
      <c r="AO18385" s="198"/>
    </row>
    <row r="18386" spans="35:41" ht="19.5" thickBot="1" x14ac:dyDescent="0.35">
      <c r="AI18386" s="1746" t="s">
        <v>150</v>
      </c>
      <c r="AJ18386" s="1747"/>
      <c r="AK18386" s="1748"/>
      <c r="AL18386" s="198"/>
      <c r="AM18386" s="198"/>
      <c r="AN18386" s="198"/>
      <c r="AO18386" s="198"/>
    </row>
    <row r="18387" spans="35:41" ht="19.5" thickBot="1" x14ac:dyDescent="0.35">
      <c r="AI18387" s="1746" t="s">
        <v>150</v>
      </c>
      <c r="AJ18387" s="1747"/>
      <c r="AK18387" s="1748"/>
      <c r="AL18387" s="198"/>
      <c r="AM18387" s="198"/>
      <c r="AN18387" s="198"/>
      <c r="AO18387" s="198"/>
    </row>
    <row r="18388" spans="35:41" ht="19.5" thickBot="1" x14ac:dyDescent="0.35">
      <c r="AI18388" s="1746" t="s">
        <v>150</v>
      </c>
      <c r="AJ18388" s="1747"/>
      <c r="AK18388" s="1748"/>
      <c r="AL18388" s="198"/>
      <c r="AM18388" s="198"/>
      <c r="AN18388" s="198"/>
      <c r="AO18388" s="198"/>
    </row>
    <row r="18389" spans="35:41" ht="19.5" thickBot="1" x14ac:dyDescent="0.35">
      <c r="AI18389" s="1746" t="s">
        <v>150</v>
      </c>
      <c r="AJ18389" s="1747"/>
      <c r="AK18389" s="1748"/>
      <c r="AL18389" s="198"/>
      <c r="AM18389" s="198"/>
      <c r="AN18389" s="198"/>
      <c r="AO18389" s="198"/>
    </row>
    <row r="18390" spans="35:41" ht="19.5" thickBot="1" x14ac:dyDescent="0.35">
      <c r="AI18390" s="1746" t="s">
        <v>150</v>
      </c>
      <c r="AJ18390" s="1747"/>
      <c r="AK18390" s="1748"/>
      <c r="AL18390" s="198"/>
      <c r="AM18390" s="198"/>
      <c r="AN18390" s="198"/>
      <c r="AO18390" s="198"/>
    </row>
    <row r="18391" spans="35:41" ht="19.5" thickBot="1" x14ac:dyDescent="0.35">
      <c r="AI18391" s="1746" t="s">
        <v>150</v>
      </c>
      <c r="AJ18391" s="1747"/>
      <c r="AK18391" s="1748"/>
      <c r="AL18391" s="198"/>
      <c r="AM18391" s="198"/>
      <c r="AN18391" s="198"/>
      <c r="AO18391" s="198"/>
    </row>
    <row r="18392" spans="35:41" ht="19.5" thickBot="1" x14ac:dyDescent="0.35">
      <c r="AI18392" s="1746" t="s">
        <v>150</v>
      </c>
      <c r="AJ18392" s="1747"/>
      <c r="AK18392" s="1748"/>
      <c r="AL18392" s="198"/>
      <c r="AM18392" s="198"/>
      <c r="AN18392" s="198"/>
      <c r="AO18392" s="198"/>
    </row>
    <row r="18393" spans="35:41" ht="19.5" thickBot="1" x14ac:dyDescent="0.35">
      <c r="AI18393" s="1746" t="s">
        <v>150</v>
      </c>
      <c r="AJ18393" s="1747"/>
      <c r="AK18393" s="1748"/>
      <c r="AL18393" s="198"/>
      <c r="AM18393" s="198"/>
      <c r="AN18393" s="198"/>
      <c r="AO18393" s="198"/>
    </row>
    <row r="18394" spans="35:41" ht="19.5" thickBot="1" x14ac:dyDescent="0.35">
      <c r="AI18394" s="1746" t="s">
        <v>150</v>
      </c>
      <c r="AJ18394" s="1747"/>
      <c r="AK18394" s="1748"/>
      <c r="AL18394" s="198"/>
      <c r="AM18394" s="198"/>
      <c r="AN18394" s="198"/>
      <c r="AO18394" s="198"/>
    </row>
    <row r="18395" spans="35:41" ht="19.5" thickBot="1" x14ac:dyDescent="0.35">
      <c r="AI18395" s="1746" t="s">
        <v>150</v>
      </c>
      <c r="AJ18395" s="1747"/>
      <c r="AK18395" s="1748"/>
      <c r="AL18395" s="198"/>
      <c r="AM18395" s="198"/>
      <c r="AN18395" s="198"/>
      <c r="AO18395" s="198"/>
    </row>
    <row r="18396" spans="35:41" ht="19.5" thickBot="1" x14ac:dyDescent="0.35">
      <c r="AI18396" s="1746" t="s">
        <v>150</v>
      </c>
      <c r="AJ18396" s="1747"/>
      <c r="AK18396" s="1748"/>
      <c r="AL18396" s="198"/>
      <c r="AM18396" s="198"/>
      <c r="AN18396" s="198"/>
      <c r="AO18396" s="198"/>
    </row>
    <row r="18397" spans="35:41" ht="19.5" thickBot="1" x14ac:dyDescent="0.35">
      <c r="AI18397" s="1746" t="s">
        <v>150</v>
      </c>
      <c r="AJ18397" s="1747"/>
      <c r="AK18397" s="1748"/>
      <c r="AL18397" s="198"/>
      <c r="AM18397" s="198"/>
      <c r="AN18397" s="198"/>
      <c r="AO18397" s="198"/>
    </row>
    <row r="18398" spans="35:41" ht="19.5" thickBot="1" x14ac:dyDescent="0.35">
      <c r="AI18398" s="1746" t="s">
        <v>150</v>
      </c>
      <c r="AJ18398" s="1747"/>
      <c r="AK18398" s="1748"/>
      <c r="AL18398" s="198"/>
      <c r="AM18398" s="198"/>
      <c r="AN18398" s="198"/>
      <c r="AO18398" s="198"/>
    </row>
    <row r="18399" spans="35:41" ht="19.5" thickBot="1" x14ac:dyDescent="0.35">
      <c r="AI18399" s="1746" t="s">
        <v>150</v>
      </c>
      <c r="AJ18399" s="1747"/>
      <c r="AK18399" s="1748"/>
      <c r="AL18399" s="198"/>
      <c r="AM18399" s="198"/>
      <c r="AN18399" s="198"/>
      <c r="AO18399" s="198"/>
    </row>
    <row r="18400" spans="35:41" ht="19.5" thickBot="1" x14ac:dyDescent="0.35">
      <c r="AI18400" s="1746" t="s">
        <v>150</v>
      </c>
      <c r="AJ18400" s="1747"/>
      <c r="AK18400" s="1748"/>
      <c r="AL18400" s="198"/>
      <c r="AM18400" s="198"/>
      <c r="AN18400" s="198"/>
      <c r="AO18400" s="198"/>
    </row>
    <row r="18401" spans="35:41" ht="19.5" thickBot="1" x14ac:dyDescent="0.35">
      <c r="AI18401" s="1746" t="s">
        <v>150</v>
      </c>
      <c r="AJ18401" s="1747"/>
      <c r="AK18401" s="1748"/>
      <c r="AL18401" s="198"/>
      <c r="AM18401" s="198"/>
      <c r="AN18401" s="198"/>
      <c r="AO18401" s="198"/>
    </row>
    <row r="18402" spans="35:41" ht="19.5" thickBot="1" x14ac:dyDescent="0.35">
      <c r="AI18402" s="1746" t="s">
        <v>150</v>
      </c>
      <c r="AJ18402" s="1747"/>
      <c r="AK18402" s="1748"/>
      <c r="AL18402" s="198"/>
      <c r="AM18402" s="198"/>
      <c r="AN18402" s="198"/>
      <c r="AO18402" s="198"/>
    </row>
    <row r="18403" spans="35:41" ht="19.5" thickBot="1" x14ac:dyDescent="0.35">
      <c r="AI18403" s="1746" t="s">
        <v>150</v>
      </c>
      <c r="AJ18403" s="1747"/>
      <c r="AK18403" s="1748"/>
      <c r="AL18403" s="198"/>
      <c r="AM18403" s="198"/>
      <c r="AN18403" s="198"/>
      <c r="AO18403" s="198"/>
    </row>
    <row r="18404" spans="35:41" ht="19.5" thickBot="1" x14ac:dyDescent="0.35">
      <c r="AI18404" s="1746" t="s">
        <v>150</v>
      </c>
      <c r="AJ18404" s="1747"/>
      <c r="AK18404" s="1748"/>
      <c r="AL18404" s="198"/>
      <c r="AM18404" s="198"/>
      <c r="AN18404" s="198"/>
      <c r="AO18404" s="198"/>
    </row>
    <row r="18405" spans="35:41" ht="19.5" thickBot="1" x14ac:dyDescent="0.35">
      <c r="AI18405" s="1746" t="s">
        <v>150</v>
      </c>
      <c r="AJ18405" s="1747"/>
      <c r="AK18405" s="1748"/>
      <c r="AL18405" s="198"/>
      <c r="AM18405" s="198"/>
      <c r="AN18405" s="198"/>
      <c r="AO18405" s="198"/>
    </row>
    <row r="18406" spans="35:41" ht="19.5" thickBot="1" x14ac:dyDescent="0.35">
      <c r="AI18406" s="1746" t="s">
        <v>150</v>
      </c>
      <c r="AJ18406" s="1747"/>
      <c r="AK18406" s="1748"/>
      <c r="AL18406" s="198"/>
      <c r="AM18406" s="198"/>
      <c r="AN18406" s="198"/>
      <c r="AO18406" s="198"/>
    </row>
    <row r="18407" spans="35:41" ht="19.5" thickBot="1" x14ac:dyDescent="0.35">
      <c r="AI18407" s="1746" t="s">
        <v>150</v>
      </c>
      <c r="AJ18407" s="1747"/>
      <c r="AK18407" s="1748"/>
      <c r="AL18407" s="198"/>
      <c r="AM18407" s="198"/>
      <c r="AN18407" s="198"/>
      <c r="AO18407" s="198"/>
    </row>
    <row r="18408" spans="35:41" ht="19.5" thickBot="1" x14ac:dyDescent="0.35">
      <c r="AI18408" s="1746" t="s">
        <v>150</v>
      </c>
      <c r="AJ18408" s="1747"/>
      <c r="AK18408" s="1748"/>
      <c r="AL18408" s="198"/>
      <c r="AM18408" s="198"/>
      <c r="AN18408" s="198"/>
      <c r="AO18408" s="198"/>
    </row>
    <row r="18409" spans="35:41" ht="19.5" thickBot="1" x14ac:dyDescent="0.35">
      <c r="AI18409" s="1746" t="s">
        <v>150</v>
      </c>
      <c r="AJ18409" s="1747"/>
      <c r="AK18409" s="1748"/>
      <c r="AL18409" s="198"/>
      <c r="AM18409" s="198"/>
      <c r="AN18409" s="198"/>
      <c r="AO18409" s="198"/>
    </row>
    <row r="18410" spans="35:41" ht="19.5" thickBot="1" x14ac:dyDescent="0.35">
      <c r="AI18410" s="1746" t="s">
        <v>150</v>
      </c>
      <c r="AJ18410" s="1747"/>
      <c r="AK18410" s="1748"/>
      <c r="AL18410" s="198"/>
      <c r="AM18410" s="198"/>
      <c r="AN18410" s="198"/>
      <c r="AO18410" s="198"/>
    </row>
    <row r="18411" spans="35:41" ht="19.5" thickBot="1" x14ac:dyDescent="0.35">
      <c r="AI18411" s="1746" t="s">
        <v>150</v>
      </c>
      <c r="AJ18411" s="1747"/>
      <c r="AK18411" s="1748"/>
      <c r="AL18411" s="198"/>
      <c r="AM18411" s="198"/>
      <c r="AN18411" s="198"/>
      <c r="AO18411" s="198"/>
    </row>
    <row r="18412" spans="35:41" ht="19.5" thickBot="1" x14ac:dyDescent="0.35">
      <c r="AI18412" s="1746" t="s">
        <v>150</v>
      </c>
      <c r="AJ18412" s="1747"/>
      <c r="AK18412" s="1748"/>
      <c r="AL18412" s="198"/>
      <c r="AM18412" s="198"/>
      <c r="AN18412" s="198"/>
      <c r="AO18412" s="198"/>
    </row>
    <row r="18413" spans="35:41" ht="19.5" thickBot="1" x14ac:dyDescent="0.35">
      <c r="AI18413" s="1746" t="s">
        <v>150</v>
      </c>
      <c r="AJ18413" s="1747"/>
      <c r="AK18413" s="1748"/>
      <c r="AL18413" s="198"/>
      <c r="AM18413" s="198"/>
      <c r="AN18413" s="198"/>
      <c r="AO18413" s="198"/>
    </row>
    <row r="18414" spans="35:41" ht="19.5" thickBot="1" x14ac:dyDescent="0.35">
      <c r="AI18414" s="1746" t="s">
        <v>150</v>
      </c>
      <c r="AJ18414" s="1747"/>
      <c r="AK18414" s="1748"/>
      <c r="AL18414" s="198"/>
      <c r="AM18414" s="198"/>
      <c r="AN18414" s="198"/>
      <c r="AO18414" s="198"/>
    </row>
    <row r="18415" spans="35:41" ht="19.5" thickBot="1" x14ac:dyDescent="0.35">
      <c r="AI18415" s="1746" t="s">
        <v>150</v>
      </c>
      <c r="AJ18415" s="1747"/>
      <c r="AK18415" s="1748"/>
      <c r="AL18415" s="198"/>
      <c r="AM18415" s="198"/>
      <c r="AN18415" s="198"/>
      <c r="AO18415" s="198"/>
    </row>
    <row r="18416" spans="35:41" ht="19.5" thickBot="1" x14ac:dyDescent="0.35">
      <c r="AI18416" s="1746" t="s">
        <v>150</v>
      </c>
      <c r="AJ18416" s="1747"/>
      <c r="AK18416" s="1748"/>
      <c r="AL18416" s="198"/>
      <c r="AM18416" s="198"/>
      <c r="AN18416" s="198"/>
      <c r="AO18416" s="198"/>
    </row>
    <row r="18417" spans="35:41" ht="19.5" thickBot="1" x14ac:dyDescent="0.35">
      <c r="AI18417" s="1746" t="s">
        <v>150</v>
      </c>
      <c r="AJ18417" s="1747"/>
      <c r="AK18417" s="1748"/>
      <c r="AL18417" s="198"/>
      <c r="AM18417" s="198"/>
      <c r="AN18417" s="198"/>
      <c r="AO18417" s="198"/>
    </row>
    <row r="18418" spans="35:41" ht="19.5" thickBot="1" x14ac:dyDescent="0.35">
      <c r="AI18418" s="1746" t="s">
        <v>150</v>
      </c>
      <c r="AJ18418" s="1747"/>
      <c r="AK18418" s="1748"/>
      <c r="AL18418" s="198"/>
      <c r="AM18418" s="198"/>
      <c r="AN18418" s="198"/>
      <c r="AO18418" s="198"/>
    </row>
    <row r="18419" spans="35:41" ht="19.5" thickBot="1" x14ac:dyDescent="0.35">
      <c r="AI18419" s="1746" t="s">
        <v>150</v>
      </c>
      <c r="AJ18419" s="1747"/>
      <c r="AK18419" s="1748"/>
      <c r="AL18419" s="198"/>
      <c r="AM18419" s="198"/>
      <c r="AN18419" s="198"/>
      <c r="AO18419" s="198"/>
    </row>
    <row r="18420" spans="35:41" ht="19.5" thickBot="1" x14ac:dyDescent="0.35">
      <c r="AI18420" s="1746" t="s">
        <v>150</v>
      </c>
      <c r="AJ18420" s="1747"/>
      <c r="AK18420" s="1748"/>
      <c r="AL18420" s="198"/>
      <c r="AM18420" s="198"/>
      <c r="AN18420" s="198"/>
      <c r="AO18420" s="198"/>
    </row>
    <row r="18421" spans="35:41" ht="19.5" thickBot="1" x14ac:dyDescent="0.35">
      <c r="AI18421" s="1746" t="s">
        <v>150</v>
      </c>
      <c r="AJ18421" s="1747"/>
      <c r="AK18421" s="1748"/>
      <c r="AL18421" s="198"/>
      <c r="AM18421" s="198"/>
      <c r="AN18421" s="198"/>
      <c r="AO18421" s="198"/>
    </row>
    <row r="18422" spans="35:41" ht="19.5" thickBot="1" x14ac:dyDescent="0.35">
      <c r="AI18422" s="1746" t="s">
        <v>150</v>
      </c>
      <c r="AJ18422" s="1747"/>
      <c r="AK18422" s="1748"/>
      <c r="AL18422" s="198"/>
      <c r="AM18422" s="198"/>
      <c r="AN18422" s="198"/>
      <c r="AO18422" s="198"/>
    </row>
    <row r="18423" spans="35:41" ht="19.5" thickBot="1" x14ac:dyDescent="0.35">
      <c r="AI18423" s="1746" t="s">
        <v>150</v>
      </c>
      <c r="AJ18423" s="1747"/>
      <c r="AK18423" s="1748"/>
      <c r="AL18423" s="198"/>
      <c r="AM18423" s="198"/>
      <c r="AN18423" s="198"/>
      <c r="AO18423" s="198"/>
    </row>
    <row r="18424" spans="35:41" ht="19.5" thickBot="1" x14ac:dyDescent="0.35">
      <c r="AI18424" s="1746" t="s">
        <v>150</v>
      </c>
      <c r="AJ18424" s="1747"/>
      <c r="AK18424" s="1748"/>
      <c r="AL18424" s="198"/>
      <c r="AM18424" s="198"/>
      <c r="AN18424" s="198"/>
      <c r="AO18424" s="198"/>
    </row>
    <row r="18425" spans="35:41" ht="19.5" thickBot="1" x14ac:dyDescent="0.35">
      <c r="AI18425" s="1746" t="s">
        <v>150</v>
      </c>
      <c r="AJ18425" s="1747"/>
      <c r="AK18425" s="1748"/>
      <c r="AL18425" s="198"/>
      <c r="AM18425" s="198"/>
      <c r="AN18425" s="198"/>
      <c r="AO18425" s="198"/>
    </row>
    <row r="18426" spans="35:41" ht="19.5" thickBot="1" x14ac:dyDescent="0.35">
      <c r="AI18426" s="1746" t="s">
        <v>150</v>
      </c>
      <c r="AJ18426" s="1747"/>
      <c r="AK18426" s="1748"/>
      <c r="AL18426" s="198"/>
      <c r="AM18426" s="198"/>
      <c r="AN18426" s="198"/>
      <c r="AO18426" s="198"/>
    </row>
    <row r="18427" spans="35:41" ht="19.5" thickBot="1" x14ac:dyDescent="0.35">
      <c r="AI18427" s="1746" t="s">
        <v>150</v>
      </c>
      <c r="AJ18427" s="1747"/>
      <c r="AK18427" s="1748"/>
      <c r="AL18427" s="198"/>
      <c r="AM18427" s="198"/>
      <c r="AN18427" s="198"/>
      <c r="AO18427" s="198"/>
    </row>
    <row r="18428" spans="35:41" ht="19.5" thickBot="1" x14ac:dyDescent="0.35">
      <c r="AI18428" s="1746" t="s">
        <v>150</v>
      </c>
      <c r="AJ18428" s="1747"/>
      <c r="AK18428" s="1748"/>
      <c r="AL18428" s="198"/>
      <c r="AM18428" s="198"/>
      <c r="AN18428" s="198"/>
      <c r="AO18428" s="198"/>
    </row>
    <row r="18429" spans="35:41" ht="19.5" thickBot="1" x14ac:dyDescent="0.35">
      <c r="AI18429" s="1746" t="s">
        <v>150</v>
      </c>
      <c r="AJ18429" s="1747"/>
      <c r="AK18429" s="1748"/>
      <c r="AL18429" s="198"/>
      <c r="AM18429" s="198"/>
      <c r="AN18429" s="198"/>
      <c r="AO18429" s="198"/>
    </row>
    <row r="18430" spans="35:41" ht="19.5" thickBot="1" x14ac:dyDescent="0.35">
      <c r="AI18430" s="1746" t="s">
        <v>150</v>
      </c>
      <c r="AJ18430" s="1747"/>
      <c r="AK18430" s="1748"/>
      <c r="AL18430" s="198"/>
      <c r="AM18430" s="198"/>
      <c r="AN18430" s="198"/>
      <c r="AO18430" s="198"/>
    </row>
    <row r="18431" spans="35:41" ht="19.5" thickBot="1" x14ac:dyDescent="0.35">
      <c r="AI18431" s="1746" t="s">
        <v>150</v>
      </c>
      <c r="AJ18431" s="1747"/>
      <c r="AK18431" s="1748"/>
      <c r="AL18431" s="198"/>
      <c r="AM18431" s="198"/>
      <c r="AN18431" s="198"/>
      <c r="AO18431" s="198"/>
    </row>
    <row r="18432" spans="35:41" ht="19.5" thickBot="1" x14ac:dyDescent="0.35">
      <c r="AI18432" s="1746" t="s">
        <v>150</v>
      </c>
      <c r="AJ18432" s="1747"/>
      <c r="AK18432" s="1748"/>
      <c r="AL18432" s="198"/>
      <c r="AM18432" s="198"/>
      <c r="AN18432" s="198"/>
      <c r="AO18432" s="198"/>
    </row>
    <row r="18433" spans="35:41" ht="19.5" thickBot="1" x14ac:dyDescent="0.35">
      <c r="AI18433" s="1746" t="s">
        <v>150</v>
      </c>
      <c r="AJ18433" s="1747"/>
      <c r="AK18433" s="1748"/>
      <c r="AL18433" s="198"/>
      <c r="AM18433" s="198"/>
      <c r="AN18433" s="198"/>
      <c r="AO18433" s="198"/>
    </row>
    <row r="18434" spans="35:41" ht="19.5" thickBot="1" x14ac:dyDescent="0.35">
      <c r="AI18434" s="1746" t="s">
        <v>150</v>
      </c>
      <c r="AJ18434" s="1747"/>
      <c r="AK18434" s="1748"/>
      <c r="AL18434" s="198"/>
      <c r="AM18434" s="198"/>
      <c r="AN18434" s="198"/>
      <c r="AO18434" s="198"/>
    </row>
    <row r="18435" spans="35:41" ht="19.5" thickBot="1" x14ac:dyDescent="0.35">
      <c r="AI18435" s="1746" t="s">
        <v>150</v>
      </c>
      <c r="AJ18435" s="1747"/>
      <c r="AK18435" s="1748"/>
      <c r="AL18435" s="198"/>
      <c r="AM18435" s="198"/>
      <c r="AN18435" s="198"/>
      <c r="AO18435" s="198"/>
    </row>
    <row r="18436" spans="35:41" ht="19.5" thickBot="1" x14ac:dyDescent="0.35">
      <c r="AI18436" s="1746" t="s">
        <v>150</v>
      </c>
      <c r="AJ18436" s="1747"/>
      <c r="AK18436" s="1748"/>
      <c r="AL18436" s="198"/>
      <c r="AM18436" s="198"/>
      <c r="AN18436" s="198"/>
      <c r="AO18436" s="198"/>
    </row>
    <row r="18437" spans="35:41" ht="19.5" thickBot="1" x14ac:dyDescent="0.35">
      <c r="AI18437" s="1746" t="s">
        <v>150</v>
      </c>
      <c r="AJ18437" s="1747"/>
      <c r="AK18437" s="1748"/>
      <c r="AL18437" s="198"/>
      <c r="AM18437" s="198"/>
      <c r="AN18437" s="198"/>
      <c r="AO18437" s="198"/>
    </row>
    <row r="18438" spans="35:41" ht="19.5" thickBot="1" x14ac:dyDescent="0.35">
      <c r="AI18438" s="1746" t="s">
        <v>150</v>
      </c>
      <c r="AJ18438" s="1747"/>
      <c r="AK18438" s="1748"/>
      <c r="AL18438" s="198"/>
      <c r="AM18438" s="198"/>
      <c r="AN18438" s="198"/>
      <c r="AO18438" s="198"/>
    </row>
    <row r="18439" spans="35:41" ht="19.5" thickBot="1" x14ac:dyDescent="0.35">
      <c r="AI18439" s="1746" t="s">
        <v>150</v>
      </c>
      <c r="AJ18439" s="1747"/>
      <c r="AK18439" s="1748"/>
      <c r="AL18439" s="198"/>
      <c r="AM18439" s="198"/>
      <c r="AN18439" s="198"/>
      <c r="AO18439" s="198"/>
    </row>
    <row r="18440" spans="35:41" ht="19.5" thickBot="1" x14ac:dyDescent="0.35">
      <c r="AI18440" s="1746" t="s">
        <v>150</v>
      </c>
      <c r="AJ18440" s="1747"/>
      <c r="AK18440" s="1748"/>
      <c r="AL18440" s="198"/>
      <c r="AM18440" s="198"/>
      <c r="AN18440" s="198"/>
      <c r="AO18440" s="198"/>
    </row>
    <row r="18441" spans="35:41" ht="19.5" thickBot="1" x14ac:dyDescent="0.35">
      <c r="AI18441" s="1746" t="s">
        <v>150</v>
      </c>
      <c r="AJ18441" s="1747"/>
      <c r="AK18441" s="1748"/>
      <c r="AL18441" s="198"/>
      <c r="AM18441" s="198"/>
      <c r="AN18441" s="198"/>
      <c r="AO18441" s="198"/>
    </row>
    <row r="18442" spans="35:41" ht="19.5" thickBot="1" x14ac:dyDescent="0.35">
      <c r="AI18442" s="1746" t="s">
        <v>150</v>
      </c>
      <c r="AJ18442" s="1747"/>
      <c r="AK18442" s="1748"/>
      <c r="AL18442" s="198"/>
      <c r="AM18442" s="198"/>
      <c r="AN18442" s="198"/>
      <c r="AO18442" s="198"/>
    </row>
    <row r="18443" spans="35:41" ht="19.5" thickBot="1" x14ac:dyDescent="0.35">
      <c r="AI18443" s="1746" t="s">
        <v>150</v>
      </c>
      <c r="AJ18443" s="1747"/>
      <c r="AK18443" s="1748"/>
      <c r="AL18443" s="198"/>
      <c r="AM18443" s="198"/>
      <c r="AN18443" s="198"/>
      <c r="AO18443" s="198"/>
    </row>
    <row r="18444" spans="35:41" ht="19.5" thickBot="1" x14ac:dyDescent="0.35">
      <c r="AI18444" s="1746" t="s">
        <v>150</v>
      </c>
      <c r="AJ18444" s="1747"/>
      <c r="AK18444" s="1748"/>
      <c r="AL18444" s="198"/>
      <c r="AM18444" s="198"/>
      <c r="AN18444" s="198"/>
      <c r="AO18444" s="198"/>
    </row>
    <row r="18445" spans="35:41" ht="19.5" thickBot="1" x14ac:dyDescent="0.35">
      <c r="AI18445" s="1746" t="s">
        <v>150</v>
      </c>
      <c r="AJ18445" s="1747"/>
      <c r="AK18445" s="1748"/>
      <c r="AL18445" s="198"/>
      <c r="AM18445" s="198"/>
      <c r="AN18445" s="198"/>
      <c r="AO18445" s="198"/>
    </row>
    <row r="18446" spans="35:41" ht="19.5" thickBot="1" x14ac:dyDescent="0.35">
      <c r="AI18446" s="1746" t="s">
        <v>150</v>
      </c>
      <c r="AJ18446" s="1747"/>
      <c r="AK18446" s="1748"/>
      <c r="AL18446" s="198"/>
      <c r="AM18446" s="198"/>
      <c r="AN18446" s="198"/>
      <c r="AO18446" s="198"/>
    </row>
    <row r="18447" spans="35:41" ht="19.5" thickBot="1" x14ac:dyDescent="0.35">
      <c r="AI18447" s="1746" t="s">
        <v>150</v>
      </c>
      <c r="AJ18447" s="1747"/>
      <c r="AK18447" s="1748"/>
      <c r="AL18447" s="198"/>
      <c r="AM18447" s="198"/>
      <c r="AN18447" s="198"/>
      <c r="AO18447" s="198"/>
    </row>
    <row r="18448" spans="35:41" ht="19.5" thickBot="1" x14ac:dyDescent="0.35">
      <c r="AI18448" s="1746" t="s">
        <v>150</v>
      </c>
      <c r="AJ18448" s="1747"/>
      <c r="AK18448" s="1748"/>
      <c r="AL18448" s="198"/>
      <c r="AM18448" s="198"/>
      <c r="AN18448" s="198"/>
      <c r="AO18448" s="198"/>
    </row>
    <row r="18449" spans="35:41" ht="19.5" thickBot="1" x14ac:dyDescent="0.35">
      <c r="AI18449" s="1746" t="s">
        <v>150</v>
      </c>
      <c r="AJ18449" s="1747"/>
      <c r="AK18449" s="1748"/>
      <c r="AL18449" s="198"/>
      <c r="AM18449" s="198"/>
      <c r="AN18449" s="198"/>
      <c r="AO18449" s="198"/>
    </row>
    <row r="18450" spans="35:41" ht="19.5" thickBot="1" x14ac:dyDescent="0.35">
      <c r="AI18450" s="1746" t="s">
        <v>150</v>
      </c>
      <c r="AJ18450" s="1747"/>
      <c r="AK18450" s="1748"/>
      <c r="AL18450" s="198"/>
      <c r="AM18450" s="198"/>
      <c r="AN18450" s="198"/>
      <c r="AO18450" s="198"/>
    </row>
    <row r="18451" spans="35:41" ht="19.5" thickBot="1" x14ac:dyDescent="0.35">
      <c r="AI18451" s="1746" t="s">
        <v>150</v>
      </c>
      <c r="AJ18451" s="1747"/>
      <c r="AK18451" s="1748"/>
      <c r="AL18451" s="198"/>
      <c r="AM18451" s="198"/>
      <c r="AN18451" s="198"/>
      <c r="AO18451" s="198"/>
    </row>
    <row r="18452" spans="35:41" ht="19.5" thickBot="1" x14ac:dyDescent="0.35">
      <c r="AI18452" s="1746" t="s">
        <v>150</v>
      </c>
      <c r="AJ18452" s="1747"/>
      <c r="AK18452" s="1748"/>
      <c r="AL18452" s="198"/>
      <c r="AM18452" s="198"/>
      <c r="AN18452" s="198"/>
      <c r="AO18452" s="198"/>
    </row>
    <row r="18453" spans="35:41" ht="19.5" thickBot="1" x14ac:dyDescent="0.35">
      <c r="AI18453" s="1746" t="s">
        <v>150</v>
      </c>
      <c r="AJ18453" s="1747"/>
      <c r="AK18453" s="1748"/>
      <c r="AL18453" s="198"/>
      <c r="AM18453" s="198"/>
      <c r="AN18453" s="198"/>
      <c r="AO18453" s="198"/>
    </row>
    <row r="18454" spans="35:41" ht="19.5" thickBot="1" x14ac:dyDescent="0.35">
      <c r="AI18454" s="1746" t="s">
        <v>150</v>
      </c>
      <c r="AJ18454" s="1747"/>
      <c r="AK18454" s="1748"/>
      <c r="AL18454" s="198"/>
      <c r="AM18454" s="198"/>
      <c r="AN18454" s="198"/>
      <c r="AO18454" s="198"/>
    </row>
    <row r="18455" spans="35:41" ht="19.5" thickBot="1" x14ac:dyDescent="0.35">
      <c r="AI18455" s="1746" t="s">
        <v>150</v>
      </c>
      <c r="AJ18455" s="1747"/>
      <c r="AK18455" s="1748"/>
      <c r="AL18455" s="198"/>
      <c r="AM18455" s="198"/>
      <c r="AN18455" s="198"/>
      <c r="AO18455" s="198"/>
    </row>
    <row r="18456" spans="35:41" ht="19.5" thickBot="1" x14ac:dyDescent="0.35">
      <c r="AI18456" s="1746" t="s">
        <v>150</v>
      </c>
      <c r="AJ18456" s="1747"/>
      <c r="AK18456" s="1748"/>
      <c r="AL18456" s="198"/>
      <c r="AM18456" s="198"/>
      <c r="AN18456" s="198"/>
      <c r="AO18456" s="198"/>
    </row>
    <row r="18457" spans="35:41" ht="19.5" thickBot="1" x14ac:dyDescent="0.35">
      <c r="AI18457" s="1746" t="s">
        <v>150</v>
      </c>
      <c r="AJ18457" s="1747"/>
      <c r="AK18457" s="1748"/>
      <c r="AL18457" s="198"/>
      <c r="AM18457" s="198"/>
      <c r="AN18457" s="198"/>
      <c r="AO18457" s="198"/>
    </row>
    <row r="18458" spans="35:41" ht="19.5" thickBot="1" x14ac:dyDescent="0.35">
      <c r="AI18458" s="1746" t="s">
        <v>150</v>
      </c>
      <c r="AJ18458" s="1747"/>
      <c r="AK18458" s="1748"/>
      <c r="AL18458" s="198"/>
      <c r="AM18458" s="198"/>
      <c r="AN18458" s="198"/>
      <c r="AO18458" s="198"/>
    </row>
    <row r="18459" spans="35:41" ht="19.5" thickBot="1" x14ac:dyDescent="0.35">
      <c r="AI18459" s="1746" t="s">
        <v>150</v>
      </c>
      <c r="AJ18459" s="1747"/>
      <c r="AK18459" s="1748"/>
      <c r="AL18459" s="198"/>
      <c r="AM18459" s="198"/>
      <c r="AN18459" s="198"/>
      <c r="AO18459" s="198"/>
    </row>
    <row r="18460" spans="35:41" ht="19.5" thickBot="1" x14ac:dyDescent="0.35">
      <c r="AI18460" s="1746" t="s">
        <v>150</v>
      </c>
      <c r="AJ18460" s="1747"/>
      <c r="AK18460" s="1748"/>
      <c r="AL18460" s="198"/>
      <c r="AM18460" s="198"/>
      <c r="AN18460" s="198"/>
      <c r="AO18460" s="198"/>
    </row>
    <row r="18461" spans="35:41" ht="19.5" thickBot="1" x14ac:dyDescent="0.35">
      <c r="AI18461" s="1746" t="s">
        <v>150</v>
      </c>
      <c r="AJ18461" s="1747"/>
      <c r="AK18461" s="1748"/>
      <c r="AL18461" s="198"/>
      <c r="AM18461" s="198"/>
      <c r="AN18461" s="198"/>
      <c r="AO18461" s="198"/>
    </row>
    <row r="18462" spans="35:41" ht="19.5" thickBot="1" x14ac:dyDescent="0.35">
      <c r="AI18462" s="1746" t="s">
        <v>150</v>
      </c>
      <c r="AJ18462" s="1747"/>
      <c r="AK18462" s="1748"/>
      <c r="AL18462" s="198"/>
      <c r="AM18462" s="198"/>
      <c r="AN18462" s="198"/>
      <c r="AO18462" s="198"/>
    </row>
    <row r="18463" spans="35:41" ht="19.5" thickBot="1" x14ac:dyDescent="0.35">
      <c r="AI18463" s="1746" t="s">
        <v>150</v>
      </c>
      <c r="AJ18463" s="1747"/>
      <c r="AK18463" s="1748"/>
      <c r="AL18463" s="198"/>
      <c r="AM18463" s="198"/>
      <c r="AN18463" s="198"/>
      <c r="AO18463" s="198"/>
    </row>
    <row r="18464" spans="35:41" ht="19.5" thickBot="1" x14ac:dyDescent="0.35">
      <c r="AI18464" s="1746" t="s">
        <v>150</v>
      </c>
      <c r="AJ18464" s="1747"/>
      <c r="AK18464" s="1748"/>
      <c r="AL18464" s="198"/>
      <c r="AM18464" s="198"/>
      <c r="AN18464" s="198"/>
      <c r="AO18464" s="198"/>
    </row>
    <row r="18465" spans="35:41" ht="19.5" thickBot="1" x14ac:dyDescent="0.35">
      <c r="AI18465" s="1746" t="s">
        <v>150</v>
      </c>
      <c r="AJ18465" s="1747"/>
      <c r="AK18465" s="1748"/>
      <c r="AL18465" s="198"/>
      <c r="AM18465" s="198"/>
      <c r="AN18465" s="198"/>
      <c r="AO18465" s="198"/>
    </row>
    <row r="18466" spans="35:41" ht="19.5" thickBot="1" x14ac:dyDescent="0.35">
      <c r="AI18466" s="1746" t="s">
        <v>150</v>
      </c>
      <c r="AJ18466" s="1747"/>
      <c r="AK18466" s="1748"/>
      <c r="AL18466" s="198"/>
      <c r="AM18466" s="198"/>
      <c r="AN18466" s="198"/>
      <c r="AO18466" s="198"/>
    </row>
    <row r="18467" spans="35:41" ht="19.5" thickBot="1" x14ac:dyDescent="0.35">
      <c r="AI18467" s="1746" t="s">
        <v>150</v>
      </c>
      <c r="AJ18467" s="1747"/>
      <c r="AK18467" s="1748"/>
      <c r="AL18467" s="198"/>
      <c r="AM18467" s="198"/>
      <c r="AN18467" s="198"/>
      <c r="AO18467" s="198"/>
    </row>
    <row r="18468" spans="35:41" ht="19.5" thickBot="1" x14ac:dyDescent="0.35">
      <c r="AI18468" s="1746" t="s">
        <v>150</v>
      </c>
      <c r="AJ18468" s="1747"/>
      <c r="AK18468" s="1748"/>
      <c r="AL18468" s="198"/>
      <c r="AM18468" s="198"/>
      <c r="AN18468" s="198"/>
      <c r="AO18468" s="198"/>
    </row>
    <row r="18469" spans="35:41" ht="19.5" thickBot="1" x14ac:dyDescent="0.35">
      <c r="AI18469" s="1746" t="s">
        <v>150</v>
      </c>
      <c r="AJ18469" s="1747"/>
      <c r="AK18469" s="1748"/>
      <c r="AL18469" s="198"/>
      <c r="AM18469" s="198"/>
      <c r="AN18469" s="198"/>
      <c r="AO18469" s="198"/>
    </row>
    <row r="18470" spans="35:41" ht="19.5" thickBot="1" x14ac:dyDescent="0.35">
      <c r="AI18470" s="1746" t="s">
        <v>150</v>
      </c>
      <c r="AJ18470" s="1747"/>
      <c r="AK18470" s="1748"/>
      <c r="AL18470" s="198"/>
      <c r="AM18470" s="198"/>
      <c r="AN18470" s="198"/>
      <c r="AO18470" s="198"/>
    </row>
    <row r="18471" spans="35:41" ht="19.5" thickBot="1" x14ac:dyDescent="0.35">
      <c r="AI18471" s="1746" t="s">
        <v>150</v>
      </c>
      <c r="AJ18471" s="1747"/>
      <c r="AK18471" s="1748"/>
      <c r="AL18471" s="198"/>
      <c r="AM18471" s="198"/>
      <c r="AN18471" s="198"/>
      <c r="AO18471" s="198"/>
    </row>
    <row r="18472" spans="35:41" ht="19.5" thickBot="1" x14ac:dyDescent="0.35">
      <c r="AI18472" s="1746" t="s">
        <v>150</v>
      </c>
      <c r="AJ18472" s="1747"/>
      <c r="AK18472" s="1748"/>
      <c r="AL18472" s="198"/>
      <c r="AM18472" s="198"/>
      <c r="AN18472" s="198"/>
      <c r="AO18472" s="198"/>
    </row>
    <row r="18473" spans="35:41" ht="19.5" thickBot="1" x14ac:dyDescent="0.35">
      <c r="AI18473" s="1746" t="s">
        <v>150</v>
      </c>
      <c r="AJ18473" s="1747"/>
      <c r="AK18473" s="1748"/>
      <c r="AL18473" s="198"/>
      <c r="AM18473" s="198"/>
      <c r="AN18473" s="198"/>
      <c r="AO18473" s="198"/>
    </row>
    <row r="18474" spans="35:41" ht="19.5" thickBot="1" x14ac:dyDescent="0.35">
      <c r="AI18474" s="1746" t="s">
        <v>150</v>
      </c>
      <c r="AJ18474" s="1747"/>
      <c r="AK18474" s="1748"/>
      <c r="AL18474" s="198"/>
      <c r="AM18474" s="198"/>
      <c r="AN18474" s="198"/>
      <c r="AO18474" s="198"/>
    </row>
    <row r="18475" spans="35:41" ht="19.5" thickBot="1" x14ac:dyDescent="0.35">
      <c r="AI18475" s="1746" t="s">
        <v>150</v>
      </c>
      <c r="AJ18475" s="1747"/>
      <c r="AK18475" s="1748"/>
      <c r="AL18475" s="198"/>
      <c r="AM18475" s="198"/>
      <c r="AN18475" s="198"/>
      <c r="AO18475" s="198"/>
    </row>
    <row r="18476" spans="35:41" ht="19.5" thickBot="1" x14ac:dyDescent="0.35">
      <c r="AI18476" s="1746" t="s">
        <v>150</v>
      </c>
      <c r="AJ18476" s="1747"/>
      <c r="AK18476" s="1748"/>
      <c r="AL18476" s="198"/>
      <c r="AM18476" s="198"/>
      <c r="AN18476" s="198"/>
      <c r="AO18476" s="198"/>
    </row>
    <row r="18477" spans="35:41" ht="19.5" thickBot="1" x14ac:dyDescent="0.35">
      <c r="AI18477" s="1746" t="s">
        <v>150</v>
      </c>
      <c r="AJ18477" s="1747"/>
      <c r="AK18477" s="1748"/>
      <c r="AL18477" s="198"/>
      <c r="AM18477" s="198"/>
      <c r="AN18477" s="198"/>
      <c r="AO18477" s="198"/>
    </row>
    <row r="18478" spans="35:41" ht="19.5" thickBot="1" x14ac:dyDescent="0.35">
      <c r="AI18478" s="1746" t="s">
        <v>150</v>
      </c>
      <c r="AJ18478" s="1747"/>
      <c r="AK18478" s="1748"/>
      <c r="AL18478" s="198"/>
      <c r="AM18478" s="198"/>
      <c r="AN18478" s="198"/>
      <c r="AO18478" s="198"/>
    </row>
    <row r="18479" spans="35:41" ht="19.5" thickBot="1" x14ac:dyDescent="0.35">
      <c r="AI18479" s="1746" t="s">
        <v>150</v>
      </c>
      <c r="AJ18479" s="1747"/>
      <c r="AK18479" s="1748"/>
      <c r="AL18479" s="198"/>
      <c r="AM18479" s="198"/>
      <c r="AN18479" s="198"/>
      <c r="AO18479" s="198"/>
    </row>
    <row r="18480" spans="35:41" ht="19.5" thickBot="1" x14ac:dyDescent="0.35">
      <c r="AI18480" s="1746" t="s">
        <v>150</v>
      </c>
      <c r="AJ18480" s="1747"/>
      <c r="AK18480" s="1748"/>
      <c r="AL18480" s="198"/>
      <c r="AM18480" s="198"/>
      <c r="AN18480" s="198"/>
      <c r="AO18480" s="198"/>
    </row>
    <row r="18481" spans="35:41" ht="19.5" thickBot="1" x14ac:dyDescent="0.35">
      <c r="AI18481" s="1746" t="s">
        <v>150</v>
      </c>
      <c r="AJ18481" s="1747"/>
      <c r="AK18481" s="1748"/>
      <c r="AL18481" s="198"/>
      <c r="AM18481" s="198"/>
      <c r="AN18481" s="198"/>
      <c r="AO18481" s="198"/>
    </row>
    <row r="18482" spans="35:41" ht="19.5" thickBot="1" x14ac:dyDescent="0.35">
      <c r="AI18482" s="1746" t="s">
        <v>150</v>
      </c>
      <c r="AJ18482" s="1747"/>
      <c r="AK18482" s="1748"/>
      <c r="AL18482" s="198"/>
      <c r="AM18482" s="198"/>
      <c r="AN18482" s="198"/>
      <c r="AO18482" s="198"/>
    </row>
    <row r="18483" spans="35:41" ht="19.5" thickBot="1" x14ac:dyDescent="0.35">
      <c r="AI18483" s="1746" t="s">
        <v>150</v>
      </c>
      <c r="AJ18483" s="1747"/>
      <c r="AK18483" s="1748"/>
      <c r="AL18483" s="198"/>
      <c r="AM18483" s="198"/>
      <c r="AN18483" s="198"/>
      <c r="AO18483" s="198"/>
    </row>
    <row r="18484" spans="35:41" ht="19.5" thickBot="1" x14ac:dyDescent="0.35">
      <c r="AI18484" s="1746" t="s">
        <v>150</v>
      </c>
      <c r="AJ18484" s="1747"/>
      <c r="AK18484" s="1748"/>
      <c r="AL18484" s="198"/>
      <c r="AM18484" s="198"/>
      <c r="AN18484" s="198"/>
      <c r="AO18484" s="198"/>
    </row>
    <row r="18485" spans="35:41" ht="19.5" thickBot="1" x14ac:dyDescent="0.35">
      <c r="AI18485" s="1746" t="s">
        <v>150</v>
      </c>
      <c r="AJ18485" s="1747"/>
      <c r="AK18485" s="1748"/>
      <c r="AL18485" s="198"/>
      <c r="AM18485" s="198"/>
      <c r="AN18485" s="198"/>
      <c r="AO18485" s="198"/>
    </row>
    <row r="18486" spans="35:41" ht="19.5" thickBot="1" x14ac:dyDescent="0.35">
      <c r="AI18486" s="1746" t="s">
        <v>150</v>
      </c>
      <c r="AJ18486" s="1747"/>
      <c r="AK18486" s="1748"/>
      <c r="AL18486" s="198"/>
      <c r="AM18486" s="198"/>
      <c r="AN18486" s="198"/>
      <c r="AO18486" s="198"/>
    </row>
    <row r="18487" spans="35:41" ht="19.5" thickBot="1" x14ac:dyDescent="0.35">
      <c r="AI18487" s="1746" t="s">
        <v>150</v>
      </c>
      <c r="AJ18487" s="1747"/>
      <c r="AK18487" s="1748"/>
      <c r="AL18487" s="198"/>
      <c r="AM18487" s="198"/>
      <c r="AN18487" s="198"/>
      <c r="AO18487" s="198"/>
    </row>
    <row r="18488" spans="35:41" ht="19.5" thickBot="1" x14ac:dyDescent="0.35">
      <c r="AI18488" s="1746" t="s">
        <v>150</v>
      </c>
      <c r="AJ18488" s="1747"/>
      <c r="AK18488" s="1748"/>
      <c r="AL18488" s="198"/>
      <c r="AM18488" s="198"/>
      <c r="AN18488" s="198"/>
      <c r="AO18488" s="198"/>
    </row>
    <row r="18489" spans="35:41" ht="19.5" thickBot="1" x14ac:dyDescent="0.35">
      <c r="AI18489" s="1746" t="s">
        <v>150</v>
      </c>
      <c r="AJ18489" s="1747"/>
      <c r="AK18489" s="1748"/>
      <c r="AL18489" s="198"/>
      <c r="AM18489" s="198"/>
      <c r="AN18489" s="198"/>
      <c r="AO18489" s="198"/>
    </row>
    <row r="18490" spans="35:41" ht="19.5" thickBot="1" x14ac:dyDescent="0.35">
      <c r="AI18490" s="1746" t="s">
        <v>150</v>
      </c>
      <c r="AJ18490" s="1747"/>
      <c r="AK18490" s="1748"/>
      <c r="AL18490" s="198"/>
      <c r="AM18490" s="198"/>
      <c r="AN18490" s="198"/>
      <c r="AO18490" s="198"/>
    </row>
    <row r="18491" spans="35:41" ht="19.5" thickBot="1" x14ac:dyDescent="0.35">
      <c r="AI18491" s="1746" t="s">
        <v>150</v>
      </c>
      <c r="AJ18491" s="1747"/>
      <c r="AK18491" s="1748"/>
      <c r="AL18491" s="198"/>
      <c r="AM18491" s="198"/>
      <c r="AN18491" s="198"/>
      <c r="AO18491" s="198"/>
    </row>
    <row r="18492" spans="35:41" ht="19.5" thickBot="1" x14ac:dyDescent="0.35">
      <c r="AI18492" s="1746" t="s">
        <v>150</v>
      </c>
      <c r="AJ18492" s="1747"/>
      <c r="AK18492" s="1748"/>
      <c r="AL18492" s="198"/>
      <c r="AM18492" s="198"/>
      <c r="AN18492" s="198"/>
      <c r="AO18492" s="198"/>
    </row>
    <row r="18493" spans="35:41" ht="19.5" thickBot="1" x14ac:dyDescent="0.35">
      <c r="AI18493" s="1746" t="s">
        <v>150</v>
      </c>
      <c r="AJ18493" s="1747"/>
      <c r="AK18493" s="1748"/>
      <c r="AL18493" s="198"/>
      <c r="AM18493" s="198"/>
      <c r="AN18493" s="198"/>
      <c r="AO18493" s="198"/>
    </row>
    <row r="18494" spans="35:41" ht="19.5" thickBot="1" x14ac:dyDescent="0.35">
      <c r="AI18494" s="1746" t="s">
        <v>150</v>
      </c>
      <c r="AJ18494" s="1747"/>
      <c r="AK18494" s="1748"/>
      <c r="AL18494" s="198"/>
      <c r="AM18494" s="198"/>
      <c r="AN18494" s="198"/>
      <c r="AO18494" s="198"/>
    </row>
    <row r="18495" spans="35:41" ht="19.5" thickBot="1" x14ac:dyDescent="0.35">
      <c r="AI18495" s="1746" t="s">
        <v>150</v>
      </c>
      <c r="AJ18495" s="1747"/>
      <c r="AK18495" s="1748"/>
      <c r="AL18495" s="198"/>
      <c r="AM18495" s="198"/>
      <c r="AN18495" s="198"/>
      <c r="AO18495" s="198"/>
    </row>
    <row r="18496" spans="35:41" ht="19.5" thickBot="1" x14ac:dyDescent="0.35">
      <c r="AI18496" s="1746" t="s">
        <v>150</v>
      </c>
      <c r="AJ18496" s="1747"/>
      <c r="AK18496" s="1748"/>
      <c r="AL18496" s="198"/>
      <c r="AM18496" s="198"/>
      <c r="AN18496" s="198"/>
      <c r="AO18496" s="198"/>
    </row>
    <row r="18497" spans="35:41" ht="19.5" thickBot="1" x14ac:dyDescent="0.35">
      <c r="AI18497" s="1746" t="s">
        <v>150</v>
      </c>
      <c r="AJ18497" s="1747"/>
      <c r="AK18497" s="1748"/>
      <c r="AL18497" s="198"/>
      <c r="AM18497" s="198"/>
      <c r="AN18497" s="198"/>
      <c r="AO18497" s="198"/>
    </row>
    <row r="18498" spans="35:41" ht="19.5" thickBot="1" x14ac:dyDescent="0.35">
      <c r="AI18498" s="1746" t="s">
        <v>150</v>
      </c>
      <c r="AJ18498" s="1747"/>
      <c r="AK18498" s="1748"/>
      <c r="AL18498" s="198"/>
      <c r="AM18498" s="198"/>
      <c r="AN18498" s="198"/>
      <c r="AO18498" s="198"/>
    </row>
    <row r="18499" spans="35:41" ht="19.5" thickBot="1" x14ac:dyDescent="0.35">
      <c r="AI18499" s="1746" t="s">
        <v>150</v>
      </c>
      <c r="AJ18499" s="1747"/>
      <c r="AK18499" s="1748"/>
      <c r="AL18499" s="198"/>
      <c r="AM18499" s="198"/>
      <c r="AN18499" s="198"/>
      <c r="AO18499" s="198"/>
    </row>
    <row r="18500" spans="35:41" ht="19.5" thickBot="1" x14ac:dyDescent="0.35">
      <c r="AI18500" s="1746" t="s">
        <v>150</v>
      </c>
      <c r="AJ18500" s="1747"/>
      <c r="AK18500" s="1748"/>
      <c r="AL18500" s="198"/>
      <c r="AM18500" s="198"/>
      <c r="AN18500" s="198"/>
      <c r="AO18500" s="198"/>
    </row>
    <row r="18501" spans="35:41" ht="19.5" thickBot="1" x14ac:dyDescent="0.35">
      <c r="AI18501" s="1746" t="s">
        <v>150</v>
      </c>
      <c r="AJ18501" s="1747"/>
      <c r="AK18501" s="1748"/>
      <c r="AL18501" s="198"/>
      <c r="AM18501" s="198"/>
      <c r="AN18501" s="198"/>
      <c r="AO18501" s="198"/>
    </row>
    <row r="18502" spans="35:41" ht="19.5" thickBot="1" x14ac:dyDescent="0.35">
      <c r="AI18502" s="1746" t="s">
        <v>150</v>
      </c>
      <c r="AJ18502" s="1747"/>
      <c r="AK18502" s="1748"/>
      <c r="AL18502" s="198"/>
      <c r="AM18502" s="198"/>
      <c r="AN18502" s="198"/>
      <c r="AO18502" s="198"/>
    </row>
    <row r="18503" spans="35:41" ht="19.5" thickBot="1" x14ac:dyDescent="0.35">
      <c r="AI18503" s="1746" t="s">
        <v>150</v>
      </c>
      <c r="AJ18503" s="1747"/>
      <c r="AK18503" s="1748"/>
      <c r="AL18503" s="198"/>
      <c r="AM18503" s="198"/>
      <c r="AN18503" s="198"/>
      <c r="AO18503" s="198"/>
    </row>
    <row r="18504" spans="35:41" ht="19.5" thickBot="1" x14ac:dyDescent="0.35">
      <c r="AI18504" s="1746" t="s">
        <v>150</v>
      </c>
      <c r="AJ18504" s="1747"/>
      <c r="AK18504" s="1748"/>
      <c r="AL18504" s="198"/>
      <c r="AM18504" s="198"/>
      <c r="AN18504" s="198"/>
      <c r="AO18504" s="198"/>
    </row>
    <row r="18505" spans="35:41" ht="19.5" thickBot="1" x14ac:dyDescent="0.35">
      <c r="AI18505" s="1746" t="s">
        <v>150</v>
      </c>
      <c r="AJ18505" s="1747"/>
      <c r="AK18505" s="1748"/>
      <c r="AL18505" s="198"/>
      <c r="AM18505" s="198"/>
      <c r="AN18505" s="198"/>
      <c r="AO18505" s="198"/>
    </row>
    <row r="18506" spans="35:41" ht="19.5" thickBot="1" x14ac:dyDescent="0.35">
      <c r="AI18506" s="1746" t="s">
        <v>150</v>
      </c>
      <c r="AJ18506" s="1747"/>
      <c r="AK18506" s="1748"/>
      <c r="AL18506" s="198"/>
      <c r="AM18506" s="198"/>
      <c r="AN18506" s="198"/>
      <c r="AO18506" s="198"/>
    </row>
    <row r="18507" spans="35:41" ht="19.5" thickBot="1" x14ac:dyDescent="0.35">
      <c r="AI18507" s="1746" t="s">
        <v>150</v>
      </c>
      <c r="AJ18507" s="1747"/>
      <c r="AK18507" s="1748"/>
      <c r="AL18507" s="198"/>
      <c r="AM18507" s="198"/>
      <c r="AN18507" s="198"/>
      <c r="AO18507" s="198"/>
    </row>
    <row r="18508" spans="35:41" ht="19.5" thickBot="1" x14ac:dyDescent="0.35">
      <c r="AI18508" s="1746" t="s">
        <v>150</v>
      </c>
      <c r="AJ18508" s="1747"/>
      <c r="AK18508" s="1748"/>
      <c r="AL18508" s="198"/>
      <c r="AM18508" s="198"/>
      <c r="AN18508" s="198"/>
      <c r="AO18508" s="198"/>
    </row>
    <row r="18509" spans="35:41" ht="19.5" thickBot="1" x14ac:dyDescent="0.35">
      <c r="AI18509" s="1746" t="s">
        <v>150</v>
      </c>
      <c r="AJ18509" s="1747"/>
      <c r="AK18509" s="1748"/>
      <c r="AL18509" s="198"/>
      <c r="AM18509" s="198"/>
      <c r="AN18509" s="198"/>
      <c r="AO18509" s="198"/>
    </row>
    <row r="18510" spans="35:41" ht="19.5" thickBot="1" x14ac:dyDescent="0.35">
      <c r="AI18510" s="1746" t="s">
        <v>150</v>
      </c>
      <c r="AJ18510" s="1747"/>
      <c r="AK18510" s="1748"/>
      <c r="AL18510" s="198"/>
      <c r="AM18510" s="198"/>
      <c r="AN18510" s="198"/>
      <c r="AO18510" s="198"/>
    </row>
    <row r="18511" spans="35:41" ht="19.5" thickBot="1" x14ac:dyDescent="0.35">
      <c r="AI18511" s="1746" t="s">
        <v>150</v>
      </c>
      <c r="AJ18511" s="1747"/>
      <c r="AK18511" s="1748"/>
      <c r="AL18511" s="198"/>
      <c r="AM18511" s="198"/>
      <c r="AN18511" s="198"/>
      <c r="AO18511" s="198"/>
    </row>
    <row r="18512" spans="35:41" ht="19.5" thickBot="1" x14ac:dyDescent="0.35">
      <c r="AI18512" s="1746" t="s">
        <v>150</v>
      </c>
      <c r="AJ18512" s="1747"/>
      <c r="AK18512" s="1748"/>
      <c r="AL18512" s="198"/>
      <c r="AM18512" s="198"/>
      <c r="AN18512" s="198"/>
      <c r="AO18512" s="198"/>
    </row>
    <row r="18513" spans="35:41" ht="19.5" thickBot="1" x14ac:dyDescent="0.35">
      <c r="AI18513" s="1746" t="s">
        <v>150</v>
      </c>
      <c r="AJ18513" s="1747"/>
      <c r="AK18513" s="1748"/>
      <c r="AL18513" s="198"/>
      <c r="AM18513" s="198"/>
      <c r="AN18513" s="198"/>
      <c r="AO18513" s="198"/>
    </row>
    <row r="18514" spans="35:41" ht="19.5" thickBot="1" x14ac:dyDescent="0.35">
      <c r="AI18514" s="1746" t="s">
        <v>150</v>
      </c>
      <c r="AJ18514" s="1747"/>
      <c r="AK18514" s="1748"/>
      <c r="AL18514" s="198"/>
      <c r="AM18514" s="198"/>
      <c r="AN18514" s="198"/>
      <c r="AO18514" s="198"/>
    </row>
    <row r="18515" spans="35:41" ht="19.5" thickBot="1" x14ac:dyDescent="0.35">
      <c r="AI18515" s="1746" t="s">
        <v>150</v>
      </c>
      <c r="AJ18515" s="1747"/>
      <c r="AK18515" s="1748"/>
      <c r="AL18515" s="198"/>
      <c r="AM18515" s="198"/>
      <c r="AN18515" s="198"/>
      <c r="AO18515" s="198"/>
    </row>
    <row r="18516" spans="35:41" ht="19.5" thickBot="1" x14ac:dyDescent="0.35">
      <c r="AI18516" s="1746" t="s">
        <v>150</v>
      </c>
      <c r="AJ18516" s="1747"/>
      <c r="AK18516" s="1748"/>
      <c r="AL18516" s="198"/>
      <c r="AM18516" s="198"/>
      <c r="AN18516" s="198"/>
      <c r="AO18516" s="198"/>
    </row>
    <row r="18517" spans="35:41" ht="19.5" thickBot="1" x14ac:dyDescent="0.35">
      <c r="AI18517" s="1746" t="s">
        <v>150</v>
      </c>
      <c r="AJ18517" s="1747"/>
      <c r="AK18517" s="1748"/>
      <c r="AL18517" s="198"/>
      <c r="AM18517" s="198"/>
      <c r="AN18517" s="198"/>
      <c r="AO18517" s="198"/>
    </row>
    <row r="18518" spans="35:41" ht="19.5" thickBot="1" x14ac:dyDescent="0.35">
      <c r="AI18518" s="1746" t="s">
        <v>150</v>
      </c>
      <c r="AJ18518" s="1747"/>
      <c r="AK18518" s="1748"/>
      <c r="AL18518" s="198"/>
      <c r="AM18518" s="198"/>
      <c r="AN18518" s="198"/>
      <c r="AO18518" s="198"/>
    </row>
    <row r="18519" spans="35:41" ht="19.5" thickBot="1" x14ac:dyDescent="0.35">
      <c r="AI18519" s="1746" t="s">
        <v>150</v>
      </c>
      <c r="AJ18519" s="1747"/>
      <c r="AK18519" s="1748"/>
      <c r="AL18519" s="198"/>
      <c r="AM18519" s="198"/>
      <c r="AN18519" s="198"/>
      <c r="AO18519" s="198"/>
    </row>
    <row r="18520" spans="35:41" ht="19.5" thickBot="1" x14ac:dyDescent="0.35">
      <c r="AI18520" s="1746" t="s">
        <v>150</v>
      </c>
      <c r="AJ18520" s="1747"/>
      <c r="AK18520" s="1748"/>
      <c r="AL18520" s="198"/>
      <c r="AM18520" s="198"/>
      <c r="AN18520" s="198"/>
      <c r="AO18520" s="198"/>
    </row>
    <row r="18521" spans="35:41" ht="19.5" thickBot="1" x14ac:dyDescent="0.35">
      <c r="AI18521" s="1746" t="s">
        <v>150</v>
      </c>
      <c r="AJ18521" s="1747"/>
      <c r="AK18521" s="1748"/>
      <c r="AL18521" s="198"/>
      <c r="AM18521" s="198"/>
      <c r="AN18521" s="198"/>
      <c r="AO18521" s="198"/>
    </row>
    <row r="18522" spans="35:41" ht="19.5" thickBot="1" x14ac:dyDescent="0.35">
      <c r="AI18522" s="1746" t="s">
        <v>150</v>
      </c>
      <c r="AJ18522" s="1747"/>
      <c r="AK18522" s="1748"/>
      <c r="AL18522" s="198"/>
      <c r="AM18522" s="198"/>
      <c r="AN18522" s="198"/>
      <c r="AO18522" s="198"/>
    </row>
    <row r="18523" spans="35:41" ht="19.5" thickBot="1" x14ac:dyDescent="0.35">
      <c r="AI18523" s="1746" t="s">
        <v>150</v>
      </c>
      <c r="AJ18523" s="1747"/>
      <c r="AK18523" s="1748"/>
      <c r="AL18523" s="198"/>
      <c r="AM18523" s="198"/>
      <c r="AN18523" s="198"/>
      <c r="AO18523" s="198"/>
    </row>
    <row r="18524" spans="35:41" ht="19.5" thickBot="1" x14ac:dyDescent="0.35">
      <c r="AI18524" s="1746" t="s">
        <v>150</v>
      </c>
      <c r="AJ18524" s="1747"/>
      <c r="AK18524" s="1748"/>
      <c r="AL18524" s="198"/>
      <c r="AM18524" s="198"/>
      <c r="AN18524" s="198"/>
      <c r="AO18524" s="198"/>
    </row>
    <row r="18525" spans="35:41" ht="19.5" thickBot="1" x14ac:dyDescent="0.35">
      <c r="AI18525" s="1746" t="s">
        <v>150</v>
      </c>
      <c r="AJ18525" s="1747"/>
      <c r="AK18525" s="1748"/>
      <c r="AL18525" s="198"/>
      <c r="AM18525" s="198"/>
      <c r="AN18525" s="198"/>
      <c r="AO18525" s="198"/>
    </row>
    <row r="18526" spans="35:41" ht="19.5" thickBot="1" x14ac:dyDescent="0.35">
      <c r="AI18526" s="1746" t="s">
        <v>150</v>
      </c>
      <c r="AJ18526" s="1747"/>
      <c r="AK18526" s="1748"/>
      <c r="AL18526" s="198"/>
      <c r="AM18526" s="198"/>
      <c r="AN18526" s="198"/>
      <c r="AO18526" s="198"/>
    </row>
    <row r="18527" spans="35:41" ht="19.5" thickBot="1" x14ac:dyDescent="0.35">
      <c r="AI18527" s="1746" t="s">
        <v>150</v>
      </c>
      <c r="AJ18527" s="1747"/>
      <c r="AK18527" s="1748"/>
      <c r="AL18527" s="198"/>
      <c r="AM18527" s="198"/>
      <c r="AN18527" s="198"/>
      <c r="AO18527" s="198"/>
    </row>
    <row r="18528" spans="35:41" ht="19.5" thickBot="1" x14ac:dyDescent="0.35">
      <c r="AI18528" s="1746" t="s">
        <v>150</v>
      </c>
      <c r="AJ18528" s="1747"/>
      <c r="AK18528" s="1748"/>
      <c r="AL18528" s="198"/>
      <c r="AM18528" s="198"/>
      <c r="AN18528" s="198"/>
      <c r="AO18528" s="198"/>
    </row>
    <row r="18529" spans="35:41" ht="19.5" thickBot="1" x14ac:dyDescent="0.35">
      <c r="AI18529" s="1746" t="s">
        <v>150</v>
      </c>
      <c r="AJ18529" s="1747"/>
      <c r="AK18529" s="1748"/>
      <c r="AL18529" s="198"/>
      <c r="AM18529" s="198"/>
      <c r="AN18529" s="198"/>
      <c r="AO18529" s="198"/>
    </row>
    <row r="18530" spans="35:41" ht="19.5" thickBot="1" x14ac:dyDescent="0.35">
      <c r="AI18530" s="1746" t="s">
        <v>150</v>
      </c>
      <c r="AJ18530" s="1747"/>
      <c r="AK18530" s="1748"/>
      <c r="AL18530" s="198"/>
      <c r="AM18530" s="198"/>
      <c r="AN18530" s="198"/>
      <c r="AO18530" s="198"/>
    </row>
    <row r="18531" spans="35:41" ht="19.5" thickBot="1" x14ac:dyDescent="0.35">
      <c r="AI18531" s="1746" t="s">
        <v>150</v>
      </c>
      <c r="AJ18531" s="1747"/>
      <c r="AK18531" s="1748"/>
      <c r="AL18531" s="198"/>
      <c r="AM18531" s="198"/>
      <c r="AN18531" s="198"/>
      <c r="AO18531" s="198"/>
    </row>
    <row r="18532" spans="35:41" ht="19.5" thickBot="1" x14ac:dyDescent="0.35">
      <c r="AI18532" s="1746" t="s">
        <v>150</v>
      </c>
      <c r="AJ18532" s="1747"/>
      <c r="AK18532" s="1748"/>
      <c r="AL18532" s="198"/>
      <c r="AM18532" s="198"/>
      <c r="AN18532" s="198"/>
      <c r="AO18532" s="198"/>
    </row>
    <row r="18533" spans="35:41" ht="19.5" thickBot="1" x14ac:dyDescent="0.35">
      <c r="AI18533" s="1746" t="s">
        <v>150</v>
      </c>
      <c r="AJ18533" s="1747"/>
      <c r="AK18533" s="1748"/>
      <c r="AL18533" s="198"/>
      <c r="AM18533" s="198"/>
      <c r="AN18533" s="198"/>
      <c r="AO18533" s="198"/>
    </row>
    <row r="18534" spans="35:41" ht="19.5" thickBot="1" x14ac:dyDescent="0.35">
      <c r="AI18534" s="1746" t="s">
        <v>150</v>
      </c>
      <c r="AJ18534" s="1747"/>
      <c r="AK18534" s="1748"/>
      <c r="AL18534" s="198"/>
      <c r="AM18534" s="198"/>
      <c r="AN18534" s="198"/>
      <c r="AO18534" s="198"/>
    </row>
    <row r="18535" spans="35:41" ht="19.5" thickBot="1" x14ac:dyDescent="0.35">
      <c r="AI18535" s="1746" t="s">
        <v>150</v>
      </c>
      <c r="AJ18535" s="1747"/>
      <c r="AK18535" s="1748"/>
      <c r="AL18535" s="198"/>
      <c r="AM18535" s="198"/>
      <c r="AN18535" s="198"/>
      <c r="AO18535" s="198"/>
    </row>
    <row r="18536" spans="35:41" ht="19.5" thickBot="1" x14ac:dyDescent="0.35">
      <c r="AI18536" s="1746" t="s">
        <v>150</v>
      </c>
      <c r="AJ18536" s="1747"/>
      <c r="AK18536" s="1748"/>
      <c r="AL18536" s="198"/>
      <c r="AM18536" s="198"/>
      <c r="AN18536" s="198"/>
      <c r="AO18536" s="198"/>
    </row>
    <row r="18537" spans="35:41" ht="19.5" thickBot="1" x14ac:dyDescent="0.35">
      <c r="AI18537" s="1746" t="s">
        <v>150</v>
      </c>
      <c r="AJ18537" s="1747"/>
      <c r="AK18537" s="1748"/>
      <c r="AL18537" s="198"/>
      <c r="AM18537" s="198"/>
      <c r="AN18537" s="198"/>
      <c r="AO18537" s="198"/>
    </row>
    <row r="18538" spans="35:41" ht="19.5" thickBot="1" x14ac:dyDescent="0.35">
      <c r="AI18538" s="1746" t="s">
        <v>150</v>
      </c>
      <c r="AJ18538" s="1747"/>
      <c r="AK18538" s="1748"/>
      <c r="AL18538" s="198"/>
      <c r="AM18538" s="198"/>
      <c r="AN18538" s="198"/>
      <c r="AO18538" s="198"/>
    </row>
    <row r="18539" spans="35:41" ht="19.5" thickBot="1" x14ac:dyDescent="0.35">
      <c r="AI18539" s="1746" t="s">
        <v>150</v>
      </c>
      <c r="AJ18539" s="1747"/>
      <c r="AK18539" s="1748"/>
      <c r="AL18539" s="198"/>
      <c r="AM18539" s="198"/>
      <c r="AN18539" s="198"/>
      <c r="AO18539" s="198"/>
    </row>
    <row r="18540" spans="35:41" ht="19.5" thickBot="1" x14ac:dyDescent="0.35">
      <c r="AI18540" s="1746" t="s">
        <v>150</v>
      </c>
      <c r="AJ18540" s="1747"/>
      <c r="AK18540" s="1748"/>
      <c r="AL18540" s="198"/>
      <c r="AM18540" s="198"/>
      <c r="AN18540" s="198"/>
      <c r="AO18540" s="198"/>
    </row>
    <row r="18541" spans="35:41" ht="19.5" thickBot="1" x14ac:dyDescent="0.35">
      <c r="AI18541" s="1746" t="s">
        <v>150</v>
      </c>
      <c r="AJ18541" s="1747"/>
      <c r="AK18541" s="1748"/>
      <c r="AL18541" s="198"/>
      <c r="AM18541" s="198"/>
      <c r="AN18541" s="198"/>
      <c r="AO18541" s="198"/>
    </row>
    <row r="18542" spans="35:41" ht="19.5" thickBot="1" x14ac:dyDescent="0.35">
      <c r="AI18542" s="1746" t="s">
        <v>150</v>
      </c>
      <c r="AJ18542" s="1747"/>
      <c r="AK18542" s="1748"/>
      <c r="AL18542" s="198"/>
      <c r="AM18542" s="198"/>
      <c r="AN18542" s="198"/>
      <c r="AO18542" s="198"/>
    </row>
    <row r="18543" spans="35:41" ht="19.5" thickBot="1" x14ac:dyDescent="0.35">
      <c r="AI18543" s="1746" t="s">
        <v>150</v>
      </c>
      <c r="AJ18543" s="1747"/>
      <c r="AK18543" s="1748"/>
      <c r="AL18543" s="198"/>
      <c r="AM18543" s="198"/>
      <c r="AN18543" s="198"/>
      <c r="AO18543" s="198"/>
    </row>
    <row r="18544" spans="35:41" ht="19.5" thickBot="1" x14ac:dyDescent="0.35">
      <c r="AI18544" s="1746" t="s">
        <v>150</v>
      </c>
      <c r="AJ18544" s="1747"/>
      <c r="AK18544" s="1748"/>
      <c r="AL18544" s="198"/>
      <c r="AM18544" s="198"/>
      <c r="AN18544" s="198"/>
      <c r="AO18544" s="198"/>
    </row>
    <row r="18545" spans="35:41" ht="19.5" thickBot="1" x14ac:dyDescent="0.35">
      <c r="AI18545" s="1746" t="s">
        <v>150</v>
      </c>
      <c r="AJ18545" s="1747"/>
      <c r="AK18545" s="1748"/>
      <c r="AL18545" s="198"/>
      <c r="AM18545" s="198"/>
      <c r="AN18545" s="198"/>
      <c r="AO18545" s="198"/>
    </row>
    <row r="18546" spans="35:41" ht="19.5" thickBot="1" x14ac:dyDescent="0.35">
      <c r="AI18546" s="1746" t="s">
        <v>150</v>
      </c>
      <c r="AJ18546" s="1747"/>
      <c r="AK18546" s="1748"/>
      <c r="AL18546" s="198"/>
      <c r="AM18546" s="198"/>
      <c r="AN18546" s="198"/>
      <c r="AO18546" s="198"/>
    </row>
    <row r="18547" spans="35:41" ht="19.5" thickBot="1" x14ac:dyDescent="0.35">
      <c r="AI18547" s="1746" t="s">
        <v>150</v>
      </c>
      <c r="AJ18547" s="1747"/>
      <c r="AK18547" s="1748"/>
      <c r="AL18547" s="198"/>
      <c r="AM18547" s="198"/>
      <c r="AN18547" s="198"/>
      <c r="AO18547" s="198"/>
    </row>
    <row r="18548" spans="35:41" ht="19.5" thickBot="1" x14ac:dyDescent="0.35">
      <c r="AI18548" s="1746" t="s">
        <v>150</v>
      </c>
      <c r="AJ18548" s="1747"/>
      <c r="AK18548" s="1748"/>
      <c r="AL18548" s="198"/>
      <c r="AM18548" s="198"/>
      <c r="AN18548" s="198"/>
      <c r="AO18548" s="198"/>
    </row>
    <row r="18549" spans="35:41" ht="19.5" thickBot="1" x14ac:dyDescent="0.35">
      <c r="AI18549" s="1746" t="s">
        <v>150</v>
      </c>
      <c r="AJ18549" s="1747"/>
      <c r="AK18549" s="1748"/>
      <c r="AL18549" s="198"/>
      <c r="AM18549" s="198"/>
      <c r="AN18549" s="198"/>
      <c r="AO18549" s="198"/>
    </row>
    <row r="18550" spans="35:41" ht="19.5" thickBot="1" x14ac:dyDescent="0.35">
      <c r="AI18550" s="1746" t="s">
        <v>150</v>
      </c>
      <c r="AJ18550" s="1747"/>
      <c r="AK18550" s="1748"/>
      <c r="AL18550" s="198"/>
      <c r="AM18550" s="198"/>
      <c r="AN18550" s="198"/>
      <c r="AO18550" s="198"/>
    </row>
    <row r="18551" spans="35:41" ht="19.5" thickBot="1" x14ac:dyDescent="0.35">
      <c r="AI18551" s="1746" t="s">
        <v>150</v>
      </c>
      <c r="AJ18551" s="1747"/>
      <c r="AK18551" s="1748"/>
      <c r="AL18551" s="198"/>
      <c r="AM18551" s="198"/>
      <c r="AN18551" s="198"/>
      <c r="AO18551" s="198"/>
    </row>
    <row r="18552" spans="35:41" ht="19.5" thickBot="1" x14ac:dyDescent="0.35">
      <c r="AI18552" s="1746" t="s">
        <v>150</v>
      </c>
      <c r="AJ18552" s="1747"/>
      <c r="AK18552" s="1748"/>
      <c r="AL18552" s="198"/>
      <c r="AM18552" s="198"/>
      <c r="AN18552" s="198"/>
      <c r="AO18552" s="198"/>
    </row>
    <row r="18553" spans="35:41" ht="19.5" thickBot="1" x14ac:dyDescent="0.35">
      <c r="AI18553" s="1746" t="s">
        <v>150</v>
      </c>
      <c r="AJ18553" s="1747"/>
      <c r="AK18553" s="1748"/>
      <c r="AL18553" s="198"/>
      <c r="AM18553" s="198"/>
      <c r="AN18553" s="198"/>
      <c r="AO18553" s="198"/>
    </row>
    <row r="18554" spans="35:41" ht="19.5" thickBot="1" x14ac:dyDescent="0.35">
      <c r="AI18554" s="1746" t="s">
        <v>150</v>
      </c>
      <c r="AJ18554" s="1747"/>
      <c r="AK18554" s="1748"/>
      <c r="AL18554" s="198"/>
      <c r="AM18554" s="198"/>
      <c r="AN18554" s="198"/>
      <c r="AO18554" s="198"/>
    </row>
    <row r="18555" spans="35:41" ht="19.5" thickBot="1" x14ac:dyDescent="0.35">
      <c r="AI18555" s="1746" t="s">
        <v>150</v>
      </c>
      <c r="AJ18555" s="1747"/>
      <c r="AK18555" s="1748"/>
      <c r="AL18555" s="198"/>
      <c r="AM18555" s="198"/>
      <c r="AN18555" s="198"/>
      <c r="AO18555" s="198"/>
    </row>
    <row r="18556" spans="35:41" ht="19.5" thickBot="1" x14ac:dyDescent="0.35">
      <c r="AI18556" s="1746" t="s">
        <v>150</v>
      </c>
      <c r="AJ18556" s="1747"/>
      <c r="AK18556" s="1748"/>
      <c r="AL18556" s="198"/>
      <c r="AM18556" s="198"/>
      <c r="AN18556" s="198"/>
      <c r="AO18556" s="198"/>
    </row>
    <row r="18557" spans="35:41" ht="19.5" thickBot="1" x14ac:dyDescent="0.35">
      <c r="AI18557" s="1746" t="s">
        <v>150</v>
      </c>
      <c r="AJ18557" s="1747"/>
      <c r="AK18557" s="1748"/>
      <c r="AL18557" s="198"/>
      <c r="AM18557" s="198"/>
      <c r="AN18557" s="198"/>
      <c r="AO18557" s="198"/>
    </row>
    <row r="18558" spans="35:41" ht="19.5" thickBot="1" x14ac:dyDescent="0.35">
      <c r="AI18558" s="1746" t="s">
        <v>150</v>
      </c>
      <c r="AJ18558" s="1747"/>
      <c r="AK18558" s="1748"/>
      <c r="AL18558" s="198"/>
      <c r="AM18558" s="198"/>
      <c r="AN18558" s="198"/>
      <c r="AO18558" s="198"/>
    </row>
    <row r="18559" spans="35:41" ht="19.5" thickBot="1" x14ac:dyDescent="0.35">
      <c r="AI18559" s="1746" t="s">
        <v>150</v>
      </c>
      <c r="AJ18559" s="1747"/>
      <c r="AK18559" s="1748"/>
      <c r="AL18559" s="198"/>
      <c r="AM18559" s="198"/>
      <c r="AN18559" s="198"/>
      <c r="AO18559" s="198"/>
    </row>
    <row r="18560" spans="35:41" ht="19.5" thickBot="1" x14ac:dyDescent="0.35">
      <c r="AI18560" s="1746" t="s">
        <v>150</v>
      </c>
      <c r="AJ18560" s="1747"/>
      <c r="AK18560" s="1748"/>
      <c r="AL18560" s="198"/>
      <c r="AM18560" s="198"/>
      <c r="AN18560" s="198"/>
      <c r="AO18560" s="198"/>
    </row>
    <row r="18561" spans="35:41" ht="19.5" thickBot="1" x14ac:dyDescent="0.35">
      <c r="AI18561" s="1746" t="s">
        <v>150</v>
      </c>
      <c r="AJ18561" s="1747"/>
      <c r="AK18561" s="1748"/>
      <c r="AL18561" s="198"/>
      <c r="AM18561" s="198"/>
      <c r="AN18561" s="198"/>
      <c r="AO18561" s="198"/>
    </row>
    <row r="18562" spans="35:41" ht="19.5" thickBot="1" x14ac:dyDescent="0.35">
      <c r="AI18562" s="1746" t="s">
        <v>150</v>
      </c>
      <c r="AJ18562" s="1747"/>
      <c r="AK18562" s="1748"/>
      <c r="AL18562" s="198"/>
      <c r="AM18562" s="198"/>
      <c r="AN18562" s="198"/>
      <c r="AO18562" s="198"/>
    </row>
    <row r="18563" spans="35:41" ht="19.5" thickBot="1" x14ac:dyDescent="0.35">
      <c r="AI18563" s="1746" t="s">
        <v>150</v>
      </c>
      <c r="AJ18563" s="1747"/>
      <c r="AK18563" s="1748"/>
      <c r="AL18563" s="198"/>
      <c r="AM18563" s="198"/>
      <c r="AN18563" s="198"/>
      <c r="AO18563" s="198"/>
    </row>
    <row r="18564" spans="35:41" ht="19.5" thickBot="1" x14ac:dyDescent="0.35">
      <c r="AI18564" s="1746" t="s">
        <v>150</v>
      </c>
      <c r="AJ18564" s="1747"/>
      <c r="AK18564" s="1748"/>
      <c r="AL18564" s="198"/>
      <c r="AM18564" s="198"/>
      <c r="AN18564" s="198"/>
      <c r="AO18564" s="198"/>
    </row>
    <row r="18565" spans="35:41" ht="19.5" thickBot="1" x14ac:dyDescent="0.35">
      <c r="AI18565" s="1746" t="s">
        <v>150</v>
      </c>
      <c r="AJ18565" s="1747"/>
      <c r="AK18565" s="1748"/>
      <c r="AL18565" s="198"/>
      <c r="AM18565" s="198"/>
      <c r="AN18565" s="198"/>
      <c r="AO18565" s="198"/>
    </row>
    <row r="18566" spans="35:41" ht="19.5" thickBot="1" x14ac:dyDescent="0.35">
      <c r="AI18566" s="1746" t="s">
        <v>150</v>
      </c>
      <c r="AJ18566" s="1747"/>
      <c r="AK18566" s="1748"/>
      <c r="AL18566" s="198"/>
      <c r="AM18566" s="198"/>
      <c r="AN18566" s="198"/>
      <c r="AO18566" s="198"/>
    </row>
    <row r="18567" spans="35:41" ht="19.5" thickBot="1" x14ac:dyDescent="0.35">
      <c r="AI18567" s="1746" t="s">
        <v>150</v>
      </c>
      <c r="AJ18567" s="1747"/>
      <c r="AK18567" s="1748"/>
      <c r="AL18567" s="198"/>
      <c r="AM18567" s="198"/>
      <c r="AN18567" s="198"/>
      <c r="AO18567" s="198"/>
    </row>
    <row r="18568" spans="35:41" ht="19.5" thickBot="1" x14ac:dyDescent="0.35">
      <c r="AI18568" s="1746" t="s">
        <v>150</v>
      </c>
      <c r="AJ18568" s="1747"/>
      <c r="AK18568" s="1748"/>
      <c r="AL18568" s="198"/>
      <c r="AM18568" s="198"/>
      <c r="AN18568" s="198"/>
      <c r="AO18568" s="198"/>
    </row>
    <row r="18569" spans="35:41" ht="19.5" thickBot="1" x14ac:dyDescent="0.35">
      <c r="AI18569" s="1746" t="s">
        <v>150</v>
      </c>
      <c r="AJ18569" s="1747"/>
      <c r="AK18569" s="1748"/>
      <c r="AL18569" s="198"/>
      <c r="AM18569" s="198"/>
      <c r="AN18569" s="198"/>
      <c r="AO18569" s="198"/>
    </row>
    <row r="18570" spans="35:41" ht="19.5" thickBot="1" x14ac:dyDescent="0.35">
      <c r="AI18570" s="1746" t="s">
        <v>150</v>
      </c>
      <c r="AJ18570" s="1747"/>
      <c r="AK18570" s="1748"/>
      <c r="AL18570" s="198"/>
      <c r="AM18570" s="198"/>
      <c r="AN18570" s="198"/>
      <c r="AO18570" s="198"/>
    </row>
    <row r="18571" spans="35:41" ht="19.5" thickBot="1" x14ac:dyDescent="0.35">
      <c r="AI18571" s="1746" t="s">
        <v>150</v>
      </c>
      <c r="AJ18571" s="1747"/>
      <c r="AK18571" s="1748"/>
      <c r="AL18571" s="198"/>
      <c r="AM18571" s="198"/>
      <c r="AN18571" s="198"/>
      <c r="AO18571" s="198"/>
    </row>
    <row r="18572" spans="35:41" ht="19.5" thickBot="1" x14ac:dyDescent="0.35">
      <c r="AI18572" s="1746" t="s">
        <v>150</v>
      </c>
      <c r="AJ18572" s="1747"/>
      <c r="AK18572" s="1748"/>
      <c r="AL18572" s="198"/>
      <c r="AM18572" s="198"/>
      <c r="AN18572" s="198"/>
      <c r="AO18572" s="198"/>
    </row>
    <row r="18573" spans="35:41" ht="19.5" thickBot="1" x14ac:dyDescent="0.35">
      <c r="AI18573" s="1746" t="s">
        <v>150</v>
      </c>
      <c r="AJ18573" s="1747"/>
      <c r="AK18573" s="1748"/>
      <c r="AL18573" s="198"/>
      <c r="AM18573" s="198"/>
      <c r="AN18573" s="198"/>
      <c r="AO18573" s="198"/>
    </row>
    <row r="18574" spans="35:41" ht="19.5" thickBot="1" x14ac:dyDescent="0.35">
      <c r="AI18574" s="1746" t="s">
        <v>150</v>
      </c>
      <c r="AJ18574" s="1747"/>
      <c r="AK18574" s="1748"/>
      <c r="AL18574" s="198"/>
      <c r="AM18574" s="198"/>
      <c r="AN18574" s="198"/>
      <c r="AO18574" s="198"/>
    </row>
    <row r="18575" spans="35:41" ht="19.5" thickBot="1" x14ac:dyDescent="0.35">
      <c r="AI18575" s="1746" t="s">
        <v>150</v>
      </c>
      <c r="AJ18575" s="1747"/>
      <c r="AK18575" s="1748"/>
      <c r="AL18575" s="198"/>
      <c r="AM18575" s="198"/>
      <c r="AN18575" s="198"/>
      <c r="AO18575" s="198"/>
    </row>
    <row r="18576" spans="35:41" ht="19.5" thickBot="1" x14ac:dyDescent="0.35">
      <c r="AI18576" s="1746" t="s">
        <v>150</v>
      </c>
      <c r="AJ18576" s="1747"/>
      <c r="AK18576" s="1748"/>
      <c r="AL18576" s="198"/>
      <c r="AM18576" s="198"/>
      <c r="AN18576" s="198"/>
      <c r="AO18576" s="198"/>
    </row>
    <row r="18577" spans="35:41" ht="19.5" thickBot="1" x14ac:dyDescent="0.35">
      <c r="AI18577" s="1746" t="s">
        <v>150</v>
      </c>
      <c r="AJ18577" s="1747"/>
      <c r="AK18577" s="1748"/>
      <c r="AL18577" s="198"/>
      <c r="AM18577" s="198"/>
      <c r="AN18577" s="198"/>
      <c r="AO18577" s="198"/>
    </row>
    <row r="18578" spans="35:41" ht="19.5" thickBot="1" x14ac:dyDescent="0.35">
      <c r="AI18578" s="1746" t="s">
        <v>150</v>
      </c>
      <c r="AJ18578" s="1747"/>
      <c r="AK18578" s="1748"/>
      <c r="AL18578" s="198"/>
      <c r="AM18578" s="198"/>
      <c r="AN18578" s="198"/>
      <c r="AO18578" s="198"/>
    </row>
    <row r="18579" spans="35:41" ht="19.5" thickBot="1" x14ac:dyDescent="0.35">
      <c r="AI18579" s="1746" t="s">
        <v>150</v>
      </c>
      <c r="AJ18579" s="1747"/>
      <c r="AK18579" s="1748"/>
      <c r="AL18579" s="198"/>
      <c r="AM18579" s="198"/>
      <c r="AN18579" s="198"/>
      <c r="AO18579" s="198"/>
    </row>
    <row r="18580" spans="35:41" ht="19.5" thickBot="1" x14ac:dyDescent="0.35">
      <c r="AI18580" s="1746" t="s">
        <v>150</v>
      </c>
      <c r="AJ18580" s="1747"/>
      <c r="AK18580" s="1748"/>
      <c r="AL18580" s="198"/>
      <c r="AM18580" s="198"/>
      <c r="AN18580" s="198"/>
      <c r="AO18580" s="198"/>
    </row>
    <row r="18581" spans="35:41" ht="19.5" thickBot="1" x14ac:dyDescent="0.35">
      <c r="AI18581" s="1746" t="s">
        <v>150</v>
      </c>
      <c r="AJ18581" s="1747"/>
      <c r="AK18581" s="1748"/>
      <c r="AL18581" s="198"/>
      <c r="AM18581" s="198"/>
      <c r="AN18581" s="198"/>
      <c r="AO18581" s="198"/>
    </row>
    <row r="18582" spans="35:41" ht="19.5" thickBot="1" x14ac:dyDescent="0.35">
      <c r="AI18582" s="1746" t="s">
        <v>150</v>
      </c>
      <c r="AJ18582" s="1747"/>
      <c r="AK18582" s="1748"/>
      <c r="AL18582" s="198"/>
      <c r="AM18582" s="198"/>
      <c r="AN18582" s="198"/>
      <c r="AO18582" s="198"/>
    </row>
    <row r="18583" spans="35:41" ht="19.5" thickBot="1" x14ac:dyDescent="0.35">
      <c r="AI18583" s="1746" t="s">
        <v>150</v>
      </c>
      <c r="AJ18583" s="1747"/>
      <c r="AK18583" s="1748"/>
      <c r="AL18583" s="198"/>
      <c r="AM18583" s="198"/>
      <c r="AN18583" s="198"/>
      <c r="AO18583" s="198"/>
    </row>
    <row r="18584" spans="35:41" ht="19.5" thickBot="1" x14ac:dyDescent="0.35">
      <c r="AI18584" s="1746" t="s">
        <v>150</v>
      </c>
      <c r="AJ18584" s="1747"/>
      <c r="AK18584" s="1748"/>
      <c r="AL18584" s="198"/>
      <c r="AM18584" s="198"/>
      <c r="AN18584" s="198"/>
      <c r="AO18584" s="198"/>
    </row>
    <row r="18585" spans="35:41" ht="19.5" thickBot="1" x14ac:dyDescent="0.35">
      <c r="AI18585" s="1746" t="s">
        <v>150</v>
      </c>
      <c r="AJ18585" s="1747"/>
      <c r="AK18585" s="1748"/>
      <c r="AL18585" s="198"/>
      <c r="AM18585" s="198"/>
      <c r="AN18585" s="198"/>
      <c r="AO18585" s="198"/>
    </row>
    <row r="18586" spans="35:41" ht="19.5" thickBot="1" x14ac:dyDescent="0.35">
      <c r="AI18586" s="1746" t="s">
        <v>150</v>
      </c>
      <c r="AJ18586" s="1747"/>
      <c r="AK18586" s="1748"/>
      <c r="AL18586" s="198"/>
      <c r="AM18586" s="198"/>
      <c r="AN18586" s="198"/>
      <c r="AO18586" s="198"/>
    </row>
    <row r="18587" spans="35:41" ht="19.5" thickBot="1" x14ac:dyDescent="0.35">
      <c r="AI18587" s="1746" t="s">
        <v>150</v>
      </c>
      <c r="AJ18587" s="1747"/>
      <c r="AK18587" s="1748"/>
      <c r="AL18587" s="198"/>
      <c r="AM18587" s="198"/>
      <c r="AN18587" s="198"/>
      <c r="AO18587" s="198"/>
    </row>
    <row r="18588" spans="35:41" ht="19.5" thickBot="1" x14ac:dyDescent="0.35">
      <c r="AI18588" s="1746" t="s">
        <v>150</v>
      </c>
      <c r="AJ18588" s="1747"/>
      <c r="AK18588" s="1748"/>
      <c r="AL18588" s="198"/>
      <c r="AM18588" s="198"/>
      <c r="AN18588" s="198"/>
      <c r="AO18588" s="198"/>
    </row>
    <row r="18589" spans="35:41" ht="19.5" thickBot="1" x14ac:dyDescent="0.35">
      <c r="AI18589" s="1746" t="s">
        <v>150</v>
      </c>
      <c r="AJ18589" s="1747"/>
      <c r="AK18589" s="1748"/>
      <c r="AL18589" s="198"/>
      <c r="AM18589" s="198"/>
      <c r="AN18589" s="198"/>
      <c r="AO18589" s="198"/>
    </row>
    <row r="18590" spans="35:41" ht="19.5" thickBot="1" x14ac:dyDescent="0.35">
      <c r="AI18590" s="1746" t="s">
        <v>150</v>
      </c>
      <c r="AJ18590" s="1747"/>
      <c r="AK18590" s="1748"/>
      <c r="AL18590" s="198"/>
      <c r="AM18590" s="198"/>
      <c r="AN18590" s="198"/>
      <c r="AO18590" s="198"/>
    </row>
    <row r="18591" spans="35:41" ht="19.5" thickBot="1" x14ac:dyDescent="0.35">
      <c r="AI18591" s="1746" t="s">
        <v>150</v>
      </c>
      <c r="AJ18591" s="1747"/>
      <c r="AK18591" s="1748"/>
      <c r="AL18591" s="198"/>
      <c r="AM18591" s="198"/>
      <c r="AN18591" s="198"/>
      <c r="AO18591" s="198"/>
    </row>
    <row r="18592" spans="35:41" ht="19.5" thickBot="1" x14ac:dyDescent="0.35">
      <c r="AI18592" s="1746" t="s">
        <v>150</v>
      </c>
      <c r="AJ18592" s="1747"/>
      <c r="AK18592" s="1748"/>
      <c r="AL18592" s="198"/>
      <c r="AM18592" s="198"/>
      <c r="AN18592" s="198"/>
      <c r="AO18592" s="198"/>
    </row>
    <row r="18593" spans="35:41" ht="19.5" thickBot="1" x14ac:dyDescent="0.35">
      <c r="AI18593" s="1746" t="s">
        <v>150</v>
      </c>
      <c r="AJ18593" s="1747"/>
      <c r="AK18593" s="1748"/>
      <c r="AL18593" s="198"/>
      <c r="AM18593" s="198"/>
      <c r="AN18593" s="198"/>
      <c r="AO18593" s="198"/>
    </row>
    <row r="18594" spans="35:41" ht="19.5" thickBot="1" x14ac:dyDescent="0.35">
      <c r="AI18594" s="1746" t="s">
        <v>150</v>
      </c>
      <c r="AJ18594" s="1747"/>
      <c r="AK18594" s="1748"/>
      <c r="AL18594" s="198"/>
      <c r="AM18594" s="198"/>
      <c r="AN18594" s="198"/>
      <c r="AO18594" s="198"/>
    </row>
    <row r="18595" spans="35:41" ht="19.5" thickBot="1" x14ac:dyDescent="0.35">
      <c r="AI18595" s="1746" t="s">
        <v>150</v>
      </c>
      <c r="AJ18595" s="1747"/>
      <c r="AK18595" s="1748"/>
      <c r="AL18595" s="198"/>
      <c r="AM18595" s="198"/>
      <c r="AN18595" s="198"/>
      <c r="AO18595" s="198"/>
    </row>
    <row r="18596" spans="35:41" ht="19.5" thickBot="1" x14ac:dyDescent="0.35">
      <c r="AI18596" s="1746" t="s">
        <v>150</v>
      </c>
      <c r="AJ18596" s="1747"/>
      <c r="AK18596" s="1748"/>
      <c r="AL18596" s="198"/>
      <c r="AM18596" s="198"/>
      <c r="AN18596" s="198"/>
      <c r="AO18596" s="198"/>
    </row>
    <row r="18597" spans="35:41" ht="19.5" thickBot="1" x14ac:dyDescent="0.35">
      <c r="AI18597" s="1746" t="s">
        <v>150</v>
      </c>
      <c r="AJ18597" s="1747"/>
      <c r="AK18597" s="1748"/>
      <c r="AL18597" s="198"/>
      <c r="AM18597" s="198"/>
      <c r="AN18597" s="198"/>
      <c r="AO18597" s="198"/>
    </row>
    <row r="18598" spans="35:41" ht="19.5" thickBot="1" x14ac:dyDescent="0.35">
      <c r="AI18598" s="1746" t="s">
        <v>150</v>
      </c>
      <c r="AJ18598" s="1747"/>
      <c r="AK18598" s="1748"/>
      <c r="AL18598" s="198"/>
      <c r="AM18598" s="198"/>
      <c r="AN18598" s="198"/>
      <c r="AO18598" s="198"/>
    </row>
    <row r="18599" spans="35:41" ht="19.5" thickBot="1" x14ac:dyDescent="0.35">
      <c r="AI18599" s="1746" t="s">
        <v>150</v>
      </c>
      <c r="AJ18599" s="1747"/>
      <c r="AK18599" s="1748"/>
      <c r="AL18599" s="198"/>
      <c r="AM18599" s="198"/>
      <c r="AN18599" s="198"/>
      <c r="AO18599" s="198"/>
    </row>
    <row r="18600" spans="35:41" ht="19.5" thickBot="1" x14ac:dyDescent="0.35">
      <c r="AI18600" s="1746" t="s">
        <v>150</v>
      </c>
      <c r="AJ18600" s="1747"/>
      <c r="AK18600" s="1748"/>
      <c r="AL18600" s="198"/>
      <c r="AM18600" s="198"/>
      <c r="AN18600" s="198"/>
      <c r="AO18600" s="198"/>
    </row>
    <row r="18601" spans="35:41" ht="19.5" thickBot="1" x14ac:dyDescent="0.35">
      <c r="AI18601" s="1746" t="s">
        <v>150</v>
      </c>
      <c r="AJ18601" s="1747"/>
      <c r="AK18601" s="1748"/>
      <c r="AL18601" s="198"/>
      <c r="AM18601" s="198"/>
      <c r="AN18601" s="198"/>
      <c r="AO18601" s="198"/>
    </row>
    <row r="18602" spans="35:41" ht="19.5" thickBot="1" x14ac:dyDescent="0.35">
      <c r="AI18602" s="1746" t="s">
        <v>150</v>
      </c>
      <c r="AJ18602" s="1747"/>
      <c r="AK18602" s="1748"/>
      <c r="AL18602" s="198"/>
      <c r="AM18602" s="198"/>
      <c r="AN18602" s="198"/>
      <c r="AO18602" s="198"/>
    </row>
    <row r="18603" spans="35:41" ht="19.5" thickBot="1" x14ac:dyDescent="0.35">
      <c r="AI18603" s="1746" t="s">
        <v>150</v>
      </c>
      <c r="AJ18603" s="1747"/>
      <c r="AK18603" s="1748"/>
      <c r="AL18603" s="198"/>
      <c r="AM18603" s="198"/>
      <c r="AN18603" s="198"/>
      <c r="AO18603" s="198"/>
    </row>
    <row r="18604" spans="35:41" ht="19.5" thickBot="1" x14ac:dyDescent="0.35">
      <c r="AI18604" s="1746" t="s">
        <v>150</v>
      </c>
      <c r="AJ18604" s="1747"/>
      <c r="AK18604" s="1748"/>
      <c r="AL18604" s="198"/>
      <c r="AM18604" s="198"/>
      <c r="AN18604" s="198"/>
      <c r="AO18604" s="198"/>
    </row>
    <row r="18605" spans="35:41" ht="19.5" thickBot="1" x14ac:dyDescent="0.35">
      <c r="AI18605" s="1746" t="s">
        <v>150</v>
      </c>
      <c r="AJ18605" s="1747"/>
      <c r="AK18605" s="1748"/>
      <c r="AL18605" s="198"/>
      <c r="AM18605" s="198"/>
      <c r="AN18605" s="198"/>
      <c r="AO18605" s="198"/>
    </row>
    <row r="18606" spans="35:41" ht="19.5" thickBot="1" x14ac:dyDescent="0.35">
      <c r="AI18606" s="1746" t="s">
        <v>150</v>
      </c>
      <c r="AJ18606" s="1747"/>
      <c r="AK18606" s="1748"/>
      <c r="AL18606" s="198"/>
      <c r="AM18606" s="198"/>
      <c r="AN18606" s="198"/>
      <c r="AO18606" s="198"/>
    </row>
    <row r="18607" spans="35:41" ht="19.5" thickBot="1" x14ac:dyDescent="0.35">
      <c r="AI18607" s="1746" t="s">
        <v>150</v>
      </c>
      <c r="AJ18607" s="1747"/>
      <c r="AK18607" s="1748"/>
      <c r="AL18607" s="198"/>
      <c r="AM18607" s="198"/>
      <c r="AN18607" s="198"/>
      <c r="AO18607" s="198"/>
    </row>
    <row r="18608" spans="35:41" ht="19.5" thickBot="1" x14ac:dyDescent="0.35">
      <c r="AI18608" s="1746" t="s">
        <v>150</v>
      </c>
      <c r="AJ18608" s="1747"/>
      <c r="AK18608" s="1748"/>
      <c r="AL18608" s="198"/>
      <c r="AM18608" s="198"/>
      <c r="AN18608" s="198"/>
      <c r="AO18608" s="198"/>
    </row>
    <row r="18609" spans="35:41" ht="19.5" thickBot="1" x14ac:dyDescent="0.35">
      <c r="AI18609" s="1746" t="s">
        <v>150</v>
      </c>
      <c r="AJ18609" s="1747"/>
      <c r="AK18609" s="1748"/>
      <c r="AL18609" s="198"/>
      <c r="AM18609" s="198"/>
      <c r="AN18609" s="198"/>
      <c r="AO18609" s="198"/>
    </row>
    <row r="18610" spans="35:41" ht="19.5" thickBot="1" x14ac:dyDescent="0.35">
      <c r="AI18610" s="1746" t="s">
        <v>150</v>
      </c>
      <c r="AJ18610" s="1747"/>
      <c r="AK18610" s="1748"/>
      <c r="AL18610" s="198"/>
      <c r="AM18610" s="198"/>
      <c r="AN18610" s="198"/>
      <c r="AO18610" s="198"/>
    </row>
    <row r="18611" spans="35:41" ht="19.5" thickBot="1" x14ac:dyDescent="0.35">
      <c r="AI18611" s="1746" t="s">
        <v>150</v>
      </c>
      <c r="AJ18611" s="1747"/>
      <c r="AK18611" s="1748"/>
      <c r="AL18611" s="198"/>
      <c r="AM18611" s="198"/>
      <c r="AN18611" s="198"/>
      <c r="AO18611" s="198"/>
    </row>
    <row r="18612" spans="35:41" ht="19.5" thickBot="1" x14ac:dyDescent="0.35">
      <c r="AI18612" s="1746" t="s">
        <v>150</v>
      </c>
      <c r="AJ18612" s="1747"/>
      <c r="AK18612" s="1748"/>
      <c r="AL18612" s="198"/>
      <c r="AM18612" s="198"/>
      <c r="AN18612" s="198"/>
      <c r="AO18612" s="198"/>
    </row>
    <row r="18613" spans="35:41" ht="19.5" thickBot="1" x14ac:dyDescent="0.35">
      <c r="AI18613" s="1746" t="s">
        <v>150</v>
      </c>
      <c r="AJ18613" s="1747"/>
      <c r="AK18613" s="1748"/>
      <c r="AL18613" s="198"/>
      <c r="AM18613" s="198"/>
      <c r="AN18613" s="198"/>
      <c r="AO18613" s="198"/>
    </row>
    <row r="18614" spans="35:41" ht="19.5" thickBot="1" x14ac:dyDescent="0.35">
      <c r="AI18614" s="1746" t="s">
        <v>150</v>
      </c>
      <c r="AJ18614" s="1747"/>
      <c r="AK18614" s="1748"/>
      <c r="AL18614" s="198"/>
      <c r="AM18614" s="198"/>
      <c r="AN18614" s="198"/>
      <c r="AO18614" s="198"/>
    </row>
    <row r="18615" spans="35:41" ht="19.5" thickBot="1" x14ac:dyDescent="0.35">
      <c r="AI18615" s="1746" t="s">
        <v>150</v>
      </c>
      <c r="AJ18615" s="1747"/>
      <c r="AK18615" s="1748"/>
      <c r="AL18615" s="198"/>
      <c r="AM18615" s="198"/>
      <c r="AN18615" s="198"/>
      <c r="AO18615" s="198"/>
    </row>
    <row r="18616" spans="35:41" ht="19.5" thickBot="1" x14ac:dyDescent="0.35">
      <c r="AI18616" s="1746" t="s">
        <v>150</v>
      </c>
      <c r="AJ18616" s="1747"/>
      <c r="AK18616" s="1748"/>
      <c r="AL18616" s="198"/>
      <c r="AM18616" s="198"/>
      <c r="AN18616" s="198"/>
      <c r="AO18616" s="198"/>
    </row>
    <row r="18617" spans="35:41" ht="19.5" thickBot="1" x14ac:dyDescent="0.35">
      <c r="AI18617" s="1746" t="s">
        <v>150</v>
      </c>
      <c r="AJ18617" s="1747"/>
      <c r="AK18617" s="1748"/>
      <c r="AL18617" s="198"/>
      <c r="AM18617" s="198"/>
      <c r="AN18617" s="198"/>
      <c r="AO18617" s="198"/>
    </row>
    <row r="18618" spans="35:41" ht="19.5" thickBot="1" x14ac:dyDescent="0.35">
      <c r="AI18618" s="1746" t="s">
        <v>150</v>
      </c>
      <c r="AJ18618" s="1747"/>
      <c r="AK18618" s="1748"/>
      <c r="AL18618" s="198"/>
      <c r="AM18618" s="198"/>
      <c r="AN18618" s="198"/>
      <c r="AO18618" s="198"/>
    </row>
    <row r="18619" spans="35:41" ht="19.5" thickBot="1" x14ac:dyDescent="0.35">
      <c r="AI18619" s="1746" t="s">
        <v>150</v>
      </c>
      <c r="AJ18619" s="1747"/>
      <c r="AK18619" s="1748"/>
      <c r="AL18619" s="198"/>
      <c r="AM18619" s="198"/>
      <c r="AN18619" s="198"/>
      <c r="AO18619" s="198"/>
    </row>
    <row r="18620" spans="35:41" ht="19.5" thickBot="1" x14ac:dyDescent="0.35">
      <c r="AI18620" s="1746" t="s">
        <v>150</v>
      </c>
      <c r="AJ18620" s="1747"/>
      <c r="AK18620" s="1748"/>
      <c r="AL18620" s="198"/>
      <c r="AM18620" s="198"/>
      <c r="AN18620" s="198"/>
      <c r="AO18620" s="198"/>
    </row>
    <row r="18621" spans="35:41" ht="19.5" thickBot="1" x14ac:dyDescent="0.35">
      <c r="AI18621" s="1746" t="s">
        <v>150</v>
      </c>
      <c r="AJ18621" s="1747"/>
      <c r="AK18621" s="1748"/>
      <c r="AL18621" s="198"/>
      <c r="AM18621" s="198"/>
      <c r="AN18621" s="198"/>
      <c r="AO18621" s="198"/>
    </row>
    <row r="18622" spans="35:41" ht="19.5" thickBot="1" x14ac:dyDescent="0.35">
      <c r="AI18622" s="1746" t="s">
        <v>150</v>
      </c>
      <c r="AJ18622" s="1747"/>
      <c r="AK18622" s="1748"/>
      <c r="AL18622" s="198"/>
      <c r="AM18622" s="198"/>
      <c r="AN18622" s="198"/>
      <c r="AO18622" s="198"/>
    </row>
    <row r="18623" spans="35:41" ht="19.5" thickBot="1" x14ac:dyDescent="0.35">
      <c r="AI18623" s="1746" t="s">
        <v>150</v>
      </c>
      <c r="AJ18623" s="1747"/>
      <c r="AK18623" s="1748"/>
      <c r="AL18623" s="198"/>
      <c r="AM18623" s="198"/>
      <c r="AN18623" s="198"/>
      <c r="AO18623" s="198"/>
    </row>
    <row r="18624" spans="35:41" ht="19.5" thickBot="1" x14ac:dyDescent="0.35">
      <c r="AI18624" s="1746" t="s">
        <v>150</v>
      </c>
      <c r="AJ18624" s="1747"/>
      <c r="AK18624" s="1748"/>
      <c r="AL18624" s="198"/>
      <c r="AM18624" s="198"/>
      <c r="AN18624" s="198"/>
      <c r="AO18624" s="198"/>
    </row>
    <row r="18625" spans="35:41" ht="19.5" thickBot="1" x14ac:dyDescent="0.35">
      <c r="AI18625" s="1746" t="s">
        <v>150</v>
      </c>
      <c r="AJ18625" s="1747"/>
      <c r="AK18625" s="1748"/>
      <c r="AL18625" s="198"/>
      <c r="AM18625" s="198"/>
      <c r="AN18625" s="198"/>
      <c r="AO18625" s="198"/>
    </row>
    <row r="18626" spans="35:41" ht="19.5" thickBot="1" x14ac:dyDescent="0.35">
      <c r="AI18626" s="1746" t="s">
        <v>150</v>
      </c>
      <c r="AJ18626" s="1747"/>
      <c r="AK18626" s="1748"/>
      <c r="AL18626" s="198"/>
      <c r="AM18626" s="198"/>
      <c r="AN18626" s="198"/>
      <c r="AO18626" s="198"/>
    </row>
    <row r="18627" spans="35:41" ht="19.5" thickBot="1" x14ac:dyDescent="0.35">
      <c r="AI18627" s="1746" t="s">
        <v>150</v>
      </c>
      <c r="AJ18627" s="1747"/>
      <c r="AK18627" s="1748"/>
      <c r="AL18627" s="198"/>
      <c r="AM18627" s="198"/>
      <c r="AN18627" s="198"/>
      <c r="AO18627" s="198"/>
    </row>
    <row r="18628" spans="35:41" ht="19.5" thickBot="1" x14ac:dyDescent="0.35">
      <c r="AI18628" s="1746" t="s">
        <v>150</v>
      </c>
      <c r="AJ18628" s="1747"/>
      <c r="AK18628" s="1748"/>
      <c r="AL18628" s="198"/>
      <c r="AM18628" s="198"/>
      <c r="AN18628" s="198"/>
      <c r="AO18628" s="198"/>
    </row>
    <row r="18629" spans="35:41" ht="19.5" thickBot="1" x14ac:dyDescent="0.35">
      <c r="AI18629" s="1746" t="s">
        <v>150</v>
      </c>
      <c r="AJ18629" s="1747"/>
      <c r="AK18629" s="1748"/>
      <c r="AL18629" s="198"/>
      <c r="AM18629" s="198"/>
      <c r="AN18629" s="198"/>
      <c r="AO18629" s="198"/>
    </row>
    <row r="18630" spans="35:41" ht="19.5" thickBot="1" x14ac:dyDescent="0.35">
      <c r="AI18630" s="1746" t="s">
        <v>150</v>
      </c>
      <c r="AJ18630" s="1747"/>
      <c r="AK18630" s="1748"/>
      <c r="AL18630" s="198"/>
      <c r="AM18630" s="198"/>
      <c r="AN18630" s="198"/>
      <c r="AO18630" s="198"/>
    </row>
    <row r="18631" spans="35:41" ht="19.5" thickBot="1" x14ac:dyDescent="0.35">
      <c r="AI18631" s="1746" t="s">
        <v>150</v>
      </c>
      <c r="AJ18631" s="1747"/>
      <c r="AK18631" s="1748"/>
      <c r="AL18631" s="198"/>
      <c r="AM18631" s="198"/>
      <c r="AN18631" s="198"/>
      <c r="AO18631" s="198"/>
    </row>
    <row r="18632" spans="35:41" ht="19.5" thickBot="1" x14ac:dyDescent="0.35">
      <c r="AI18632" s="1746" t="s">
        <v>150</v>
      </c>
      <c r="AJ18632" s="1747"/>
      <c r="AK18632" s="1748"/>
      <c r="AL18632" s="198"/>
      <c r="AM18632" s="198"/>
      <c r="AN18632" s="198"/>
      <c r="AO18632" s="198"/>
    </row>
    <row r="18633" spans="35:41" ht="19.5" thickBot="1" x14ac:dyDescent="0.35">
      <c r="AI18633" s="1746" t="s">
        <v>150</v>
      </c>
      <c r="AJ18633" s="1747"/>
      <c r="AK18633" s="1748"/>
      <c r="AL18633" s="198"/>
      <c r="AM18633" s="198"/>
      <c r="AN18633" s="198"/>
      <c r="AO18633" s="198"/>
    </row>
    <row r="18634" spans="35:41" ht="19.5" thickBot="1" x14ac:dyDescent="0.35">
      <c r="AI18634" s="1746" t="s">
        <v>150</v>
      </c>
      <c r="AJ18634" s="1747"/>
      <c r="AK18634" s="1748"/>
      <c r="AL18634" s="198"/>
      <c r="AM18634" s="198"/>
      <c r="AN18634" s="198"/>
      <c r="AO18634" s="198"/>
    </row>
    <row r="18635" spans="35:41" ht="19.5" thickBot="1" x14ac:dyDescent="0.35">
      <c r="AI18635" s="1746" t="s">
        <v>150</v>
      </c>
      <c r="AJ18635" s="1747"/>
      <c r="AK18635" s="1748"/>
      <c r="AL18635" s="198"/>
      <c r="AM18635" s="198"/>
      <c r="AN18635" s="198"/>
      <c r="AO18635" s="198"/>
    </row>
    <row r="18636" spans="35:41" ht="19.5" thickBot="1" x14ac:dyDescent="0.35">
      <c r="AI18636" s="1746" t="s">
        <v>150</v>
      </c>
      <c r="AJ18636" s="1747"/>
      <c r="AK18636" s="1748"/>
      <c r="AL18636" s="198"/>
      <c r="AM18636" s="198"/>
      <c r="AN18636" s="198"/>
      <c r="AO18636" s="198"/>
    </row>
    <row r="18637" spans="35:41" ht="19.5" thickBot="1" x14ac:dyDescent="0.35">
      <c r="AI18637" s="1746" t="s">
        <v>150</v>
      </c>
      <c r="AJ18637" s="1747"/>
      <c r="AK18637" s="1748"/>
      <c r="AL18637" s="198"/>
      <c r="AM18637" s="198"/>
      <c r="AN18637" s="198"/>
      <c r="AO18637" s="198"/>
    </row>
    <row r="18638" spans="35:41" ht="19.5" thickBot="1" x14ac:dyDescent="0.35">
      <c r="AI18638" s="1746" t="s">
        <v>150</v>
      </c>
      <c r="AJ18638" s="1747"/>
      <c r="AK18638" s="1748"/>
      <c r="AL18638" s="198"/>
      <c r="AM18638" s="198"/>
      <c r="AN18638" s="198"/>
      <c r="AO18638" s="198"/>
    </row>
    <row r="18639" spans="35:41" ht="19.5" thickBot="1" x14ac:dyDescent="0.35">
      <c r="AI18639" s="1746" t="s">
        <v>150</v>
      </c>
      <c r="AJ18639" s="1747"/>
      <c r="AK18639" s="1748"/>
      <c r="AL18639" s="198"/>
      <c r="AM18639" s="198"/>
      <c r="AN18639" s="198"/>
      <c r="AO18639" s="198"/>
    </row>
    <row r="18640" spans="35:41" ht="19.5" thickBot="1" x14ac:dyDescent="0.35">
      <c r="AI18640" s="1746" t="s">
        <v>150</v>
      </c>
      <c r="AJ18640" s="1747"/>
      <c r="AK18640" s="1748"/>
      <c r="AL18640" s="198"/>
      <c r="AM18640" s="198"/>
      <c r="AN18640" s="198"/>
      <c r="AO18640" s="198"/>
    </row>
    <row r="18641" spans="35:41" ht="19.5" thickBot="1" x14ac:dyDescent="0.35">
      <c r="AI18641" s="1746" t="s">
        <v>150</v>
      </c>
      <c r="AJ18641" s="1747"/>
      <c r="AK18641" s="1748"/>
      <c r="AL18641" s="198"/>
      <c r="AM18641" s="198"/>
      <c r="AN18641" s="198"/>
      <c r="AO18641" s="198"/>
    </row>
    <row r="18642" spans="35:41" ht="19.5" thickBot="1" x14ac:dyDescent="0.35">
      <c r="AI18642" s="1746" t="s">
        <v>150</v>
      </c>
      <c r="AJ18642" s="1747"/>
      <c r="AK18642" s="1748"/>
      <c r="AL18642" s="198"/>
      <c r="AM18642" s="198"/>
      <c r="AN18642" s="198"/>
      <c r="AO18642" s="198"/>
    </row>
    <row r="18643" spans="35:41" ht="19.5" thickBot="1" x14ac:dyDescent="0.35">
      <c r="AI18643" s="1746" t="s">
        <v>150</v>
      </c>
      <c r="AJ18643" s="1747"/>
      <c r="AK18643" s="1748"/>
      <c r="AL18643" s="198"/>
      <c r="AM18643" s="198"/>
      <c r="AN18643" s="198"/>
      <c r="AO18643" s="198"/>
    </row>
    <row r="18644" spans="35:41" ht="19.5" thickBot="1" x14ac:dyDescent="0.35">
      <c r="AI18644" s="1746" t="s">
        <v>150</v>
      </c>
      <c r="AJ18644" s="1747"/>
      <c r="AK18644" s="1748"/>
      <c r="AL18644" s="198"/>
      <c r="AM18644" s="198"/>
      <c r="AN18644" s="198"/>
      <c r="AO18644" s="198"/>
    </row>
    <row r="18645" spans="35:41" ht="19.5" thickBot="1" x14ac:dyDescent="0.35">
      <c r="AI18645" s="1746" t="s">
        <v>150</v>
      </c>
      <c r="AJ18645" s="1747"/>
      <c r="AK18645" s="1748"/>
      <c r="AL18645" s="198"/>
      <c r="AM18645" s="198"/>
      <c r="AN18645" s="198"/>
      <c r="AO18645" s="198"/>
    </row>
    <row r="18646" spans="35:41" ht="19.5" thickBot="1" x14ac:dyDescent="0.35">
      <c r="AI18646" s="1746" t="s">
        <v>150</v>
      </c>
      <c r="AJ18646" s="1747"/>
      <c r="AK18646" s="1748"/>
      <c r="AL18646" s="198"/>
      <c r="AM18646" s="198"/>
      <c r="AN18646" s="198"/>
      <c r="AO18646" s="198"/>
    </row>
    <row r="18647" spans="35:41" ht="19.5" thickBot="1" x14ac:dyDescent="0.35">
      <c r="AI18647" s="1746" t="s">
        <v>150</v>
      </c>
      <c r="AJ18647" s="1747"/>
      <c r="AK18647" s="1748"/>
      <c r="AL18647" s="198"/>
      <c r="AM18647" s="198"/>
      <c r="AN18647" s="198"/>
      <c r="AO18647" s="198"/>
    </row>
    <row r="18648" spans="35:41" ht="19.5" thickBot="1" x14ac:dyDescent="0.35">
      <c r="AI18648" s="1746" t="s">
        <v>150</v>
      </c>
      <c r="AJ18648" s="1747"/>
      <c r="AK18648" s="1748"/>
      <c r="AL18648" s="198"/>
      <c r="AM18648" s="198"/>
      <c r="AN18648" s="198"/>
      <c r="AO18648" s="198"/>
    </row>
    <row r="18649" spans="35:41" ht="19.5" thickBot="1" x14ac:dyDescent="0.35">
      <c r="AI18649" s="1746" t="s">
        <v>150</v>
      </c>
      <c r="AJ18649" s="1747"/>
      <c r="AK18649" s="1748"/>
      <c r="AL18649" s="198"/>
      <c r="AM18649" s="198"/>
      <c r="AN18649" s="198"/>
      <c r="AO18649" s="198"/>
    </row>
    <row r="18650" spans="35:41" ht="19.5" thickBot="1" x14ac:dyDescent="0.35">
      <c r="AI18650" s="1746" t="s">
        <v>150</v>
      </c>
      <c r="AJ18650" s="1747"/>
      <c r="AK18650" s="1748"/>
      <c r="AL18650" s="198"/>
      <c r="AM18650" s="198"/>
      <c r="AN18650" s="198"/>
      <c r="AO18650" s="198"/>
    </row>
    <row r="18651" spans="35:41" ht="19.5" thickBot="1" x14ac:dyDescent="0.35">
      <c r="AI18651" s="1746" t="s">
        <v>150</v>
      </c>
      <c r="AJ18651" s="1747"/>
      <c r="AK18651" s="1748"/>
      <c r="AL18651" s="198"/>
      <c r="AM18651" s="198"/>
      <c r="AN18651" s="198"/>
      <c r="AO18651" s="198"/>
    </row>
    <row r="18652" spans="35:41" ht="19.5" thickBot="1" x14ac:dyDescent="0.35">
      <c r="AI18652" s="1746" t="s">
        <v>150</v>
      </c>
      <c r="AJ18652" s="1747"/>
      <c r="AK18652" s="1748"/>
      <c r="AL18652" s="198"/>
      <c r="AM18652" s="198"/>
      <c r="AN18652" s="198"/>
      <c r="AO18652" s="198"/>
    </row>
    <row r="18653" spans="35:41" ht="19.5" thickBot="1" x14ac:dyDescent="0.35">
      <c r="AI18653" s="1746" t="s">
        <v>150</v>
      </c>
      <c r="AJ18653" s="1747"/>
      <c r="AK18653" s="1748"/>
      <c r="AL18653" s="198"/>
      <c r="AM18653" s="198"/>
      <c r="AN18653" s="198"/>
      <c r="AO18653" s="198"/>
    </row>
    <row r="18654" spans="35:41" ht="19.5" thickBot="1" x14ac:dyDescent="0.35">
      <c r="AI18654" s="1746" t="s">
        <v>150</v>
      </c>
      <c r="AJ18654" s="1747"/>
      <c r="AK18654" s="1748"/>
      <c r="AL18654" s="198"/>
      <c r="AM18654" s="198"/>
      <c r="AN18654" s="198"/>
      <c r="AO18654" s="198"/>
    </row>
    <row r="18655" spans="35:41" ht="19.5" thickBot="1" x14ac:dyDescent="0.35">
      <c r="AI18655" s="1746" t="s">
        <v>150</v>
      </c>
      <c r="AJ18655" s="1747"/>
      <c r="AK18655" s="1748"/>
      <c r="AL18655" s="198"/>
      <c r="AM18655" s="198"/>
      <c r="AN18655" s="198"/>
      <c r="AO18655" s="198"/>
    </row>
    <row r="18656" spans="35:41" ht="19.5" thickBot="1" x14ac:dyDescent="0.35">
      <c r="AI18656" s="1746" t="s">
        <v>150</v>
      </c>
      <c r="AJ18656" s="1747"/>
      <c r="AK18656" s="1748"/>
      <c r="AL18656" s="198"/>
      <c r="AM18656" s="198"/>
      <c r="AN18656" s="198"/>
      <c r="AO18656" s="198"/>
    </row>
    <row r="18657" spans="35:41" ht="19.5" thickBot="1" x14ac:dyDescent="0.35">
      <c r="AI18657" s="1746" t="s">
        <v>150</v>
      </c>
      <c r="AJ18657" s="1747"/>
      <c r="AK18657" s="1748"/>
      <c r="AL18657" s="198"/>
      <c r="AM18657" s="198"/>
      <c r="AN18657" s="198"/>
      <c r="AO18657" s="198"/>
    </row>
    <row r="18658" spans="35:41" ht="19.5" thickBot="1" x14ac:dyDescent="0.35">
      <c r="AI18658" s="1746" t="s">
        <v>150</v>
      </c>
      <c r="AJ18658" s="1747"/>
      <c r="AK18658" s="1748"/>
      <c r="AL18658" s="198"/>
      <c r="AM18658" s="198"/>
      <c r="AN18658" s="198"/>
      <c r="AO18658" s="198"/>
    </row>
    <row r="18659" spans="35:41" ht="19.5" thickBot="1" x14ac:dyDescent="0.35">
      <c r="AI18659" s="1746" t="s">
        <v>150</v>
      </c>
      <c r="AJ18659" s="1747"/>
      <c r="AK18659" s="1748"/>
      <c r="AL18659" s="198"/>
      <c r="AM18659" s="198"/>
      <c r="AN18659" s="198"/>
      <c r="AO18659" s="198"/>
    </row>
    <row r="18660" spans="35:41" ht="19.5" thickBot="1" x14ac:dyDescent="0.35">
      <c r="AI18660" s="1746" t="s">
        <v>150</v>
      </c>
      <c r="AJ18660" s="1747"/>
      <c r="AK18660" s="1748"/>
      <c r="AL18660" s="198"/>
      <c r="AM18660" s="198"/>
      <c r="AN18660" s="198"/>
      <c r="AO18660" s="198"/>
    </row>
    <row r="18661" spans="35:41" ht="19.5" thickBot="1" x14ac:dyDescent="0.35">
      <c r="AI18661" s="1746" t="s">
        <v>150</v>
      </c>
      <c r="AJ18661" s="1747"/>
      <c r="AK18661" s="1748"/>
      <c r="AL18661" s="198"/>
      <c r="AM18661" s="198"/>
      <c r="AN18661" s="198"/>
      <c r="AO18661" s="198"/>
    </row>
    <row r="18662" spans="35:41" ht="19.5" thickBot="1" x14ac:dyDescent="0.35">
      <c r="AI18662" s="1746" t="s">
        <v>150</v>
      </c>
      <c r="AJ18662" s="1747"/>
      <c r="AK18662" s="1748"/>
      <c r="AL18662" s="198"/>
      <c r="AM18662" s="198"/>
      <c r="AN18662" s="198"/>
      <c r="AO18662" s="198"/>
    </row>
    <row r="18663" spans="35:41" ht="19.5" thickBot="1" x14ac:dyDescent="0.35">
      <c r="AI18663" s="1746" t="s">
        <v>150</v>
      </c>
      <c r="AJ18663" s="1747"/>
      <c r="AK18663" s="1748"/>
      <c r="AL18663" s="198"/>
      <c r="AM18663" s="198"/>
      <c r="AN18663" s="198"/>
      <c r="AO18663" s="198"/>
    </row>
    <row r="18664" spans="35:41" ht="19.5" thickBot="1" x14ac:dyDescent="0.35">
      <c r="AI18664" s="1746" t="s">
        <v>150</v>
      </c>
      <c r="AJ18664" s="1747"/>
      <c r="AK18664" s="1748"/>
      <c r="AL18664" s="198"/>
      <c r="AM18664" s="198"/>
      <c r="AN18664" s="198"/>
      <c r="AO18664" s="198"/>
    </row>
    <row r="18665" spans="35:41" ht="19.5" thickBot="1" x14ac:dyDescent="0.35">
      <c r="AI18665" s="1746" t="s">
        <v>150</v>
      </c>
      <c r="AJ18665" s="1747"/>
      <c r="AK18665" s="1748"/>
      <c r="AL18665" s="198"/>
      <c r="AM18665" s="198"/>
      <c r="AN18665" s="198"/>
      <c r="AO18665" s="198"/>
    </row>
    <row r="18666" spans="35:41" ht="19.5" thickBot="1" x14ac:dyDescent="0.35">
      <c r="AI18666" s="1746" t="s">
        <v>150</v>
      </c>
      <c r="AJ18666" s="1747"/>
      <c r="AK18666" s="1748"/>
      <c r="AL18666" s="198"/>
      <c r="AM18666" s="198"/>
      <c r="AN18666" s="198"/>
      <c r="AO18666" s="198"/>
    </row>
    <row r="18667" spans="35:41" ht="19.5" thickBot="1" x14ac:dyDescent="0.35">
      <c r="AI18667" s="1746" t="s">
        <v>150</v>
      </c>
      <c r="AJ18667" s="1747"/>
      <c r="AK18667" s="1748"/>
      <c r="AL18667" s="198"/>
      <c r="AM18667" s="198"/>
      <c r="AN18667" s="198"/>
      <c r="AO18667" s="198"/>
    </row>
    <row r="18668" spans="35:41" ht="19.5" thickBot="1" x14ac:dyDescent="0.35">
      <c r="AI18668" s="1746" t="s">
        <v>150</v>
      </c>
      <c r="AJ18668" s="1747"/>
      <c r="AK18668" s="1748"/>
      <c r="AL18668" s="198"/>
      <c r="AM18668" s="198"/>
      <c r="AN18668" s="198"/>
      <c r="AO18668" s="198"/>
    </row>
    <row r="18669" spans="35:41" ht="19.5" thickBot="1" x14ac:dyDescent="0.35">
      <c r="AI18669" s="1746" t="s">
        <v>150</v>
      </c>
      <c r="AJ18669" s="1747"/>
      <c r="AK18669" s="1748"/>
      <c r="AL18669" s="198"/>
      <c r="AM18669" s="198"/>
      <c r="AN18669" s="198"/>
      <c r="AO18669" s="198"/>
    </row>
    <row r="18670" spans="35:41" ht="19.5" thickBot="1" x14ac:dyDescent="0.35">
      <c r="AI18670" s="1746" t="s">
        <v>150</v>
      </c>
      <c r="AJ18670" s="1747"/>
      <c r="AK18670" s="1748"/>
      <c r="AL18670" s="198"/>
      <c r="AM18670" s="198"/>
      <c r="AN18670" s="198"/>
      <c r="AO18670" s="198"/>
    </row>
    <row r="18671" spans="35:41" ht="19.5" thickBot="1" x14ac:dyDescent="0.35">
      <c r="AI18671" s="1746" t="s">
        <v>150</v>
      </c>
      <c r="AJ18671" s="1747"/>
      <c r="AK18671" s="1748"/>
      <c r="AL18671" s="198"/>
      <c r="AM18671" s="198"/>
      <c r="AN18671" s="198"/>
      <c r="AO18671" s="198"/>
    </row>
    <row r="18672" spans="35:41" ht="19.5" thickBot="1" x14ac:dyDescent="0.35">
      <c r="AI18672" s="1746" t="s">
        <v>150</v>
      </c>
      <c r="AJ18672" s="1747"/>
      <c r="AK18672" s="1748"/>
      <c r="AL18672" s="198"/>
      <c r="AM18672" s="198"/>
      <c r="AN18672" s="198"/>
      <c r="AO18672" s="198"/>
    </row>
    <row r="18673" spans="35:41" ht="19.5" thickBot="1" x14ac:dyDescent="0.35">
      <c r="AI18673" s="1746" t="s">
        <v>150</v>
      </c>
      <c r="AJ18673" s="1747"/>
      <c r="AK18673" s="1748"/>
      <c r="AL18673" s="198"/>
      <c r="AM18673" s="198"/>
      <c r="AN18673" s="198"/>
      <c r="AO18673" s="198"/>
    </row>
    <row r="18674" spans="35:41" ht="19.5" thickBot="1" x14ac:dyDescent="0.35">
      <c r="AI18674" s="1746" t="s">
        <v>150</v>
      </c>
      <c r="AJ18674" s="1747"/>
      <c r="AK18674" s="1748"/>
      <c r="AL18674" s="198"/>
      <c r="AM18674" s="198"/>
      <c r="AN18674" s="198"/>
      <c r="AO18674" s="198"/>
    </row>
    <row r="18675" spans="35:41" ht="19.5" thickBot="1" x14ac:dyDescent="0.35">
      <c r="AI18675" s="1746" t="s">
        <v>150</v>
      </c>
      <c r="AJ18675" s="1747"/>
      <c r="AK18675" s="1748"/>
      <c r="AL18675" s="198"/>
      <c r="AM18675" s="198"/>
      <c r="AN18675" s="198"/>
      <c r="AO18675" s="198"/>
    </row>
    <row r="18676" spans="35:41" ht="19.5" thickBot="1" x14ac:dyDescent="0.35">
      <c r="AI18676" s="1746" t="s">
        <v>150</v>
      </c>
      <c r="AJ18676" s="1747"/>
      <c r="AK18676" s="1748"/>
      <c r="AL18676" s="198"/>
      <c r="AM18676" s="198"/>
      <c r="AN18676" s="198"/>
      <c r="AO18676" s="198"/>
    </row>
    <row r="18677" spans="35:41" ht="19.5" thickBot="1" x14ac:dyDescent="0.35">
      <c r="AI18677" s="1746" t="s">
        <v>150</v>
      </c>
      <c r="AJ18677" s="1747"/>
      <c r="AK18677" s="1748"/>
      <c r="AL18677" s="198"/>
      <c r="AM18677" s="198"/>
      <c r="AN18677" s="198"/>
      <c r="AO18677" s="198"/>
    </row>
    <row r="18678" spans="35:41" ht="19.5" thickBot="1" x14ac:dyDescent="0.35">
      <c r="AI18678" s="1746" t="s">
        <v>150</v>
      </c>
      <c r="AJ18678" s="1747"/>
      <c r="AK18678" s="1748"/>
      <c r="AL18678" s="198"/>
      <c r="AM18678" s="198"/>
      <c r="AN18678" s="198"/>
      <c r="AO18678" s="198"/>
    </row>
    <row r="18679" spans="35:41" ht="19.5" thickBot="1" x14ac:dyDescent="0.35">
      <c r="AI18679" s="1746" t="s">
        <v>150</v>
      </c>
      <c r="AJ18679" s="1747"/>
      <c r="AK18679" s="1748"/>
      <c r="AL18679" s="198"/>
      <c r="AM18679" s="198"/>
      <c r="AN18679" s="198"/>
      <c r="AO18679" s="198"/>
    </row>
    <row r="18680" spans="35:41" ht="19.5" thickBot="1" x14ac:dyDescent="0.35">
      <c r="AI18680" s="1746" t="s">
        <v>150</v>
      </c>
      <c r="AJ18680" s="1747"/>
      <c r="AK18680" s="1748"/>
      <c r="AL18680" s="198"/>
      <c r="AM18680" s="198"/>
      <c r="AN18680" s="198"/>
      <c r="AO18680" s="198"/>
    </row>
    <row r="18681" spans="35:41" ht="19.5" thickBot="1" x14ac:dyDescent="0.35">
      <c r="AI18681" s="1746" t="s">
        <v>150</v>
      </c>
      <c r="AJ18681" s="1747"/>
      <c r="AK18681" s="1748"/>
      <c r="AL18681" s="198"/>
      <c r="AM18681" s="198"/>
      <c r="AN18681" s="198"/>
      <c r="AO18681" s="198"/>
    </row>
    <row r="18682" spans="35:41" ht="19.5" thickBot="1" x14ac:dyDescent="0.35">
      <c r="AI18682" s="1746" t="s">
        <v>150</v>
      </c>
      <c r="AJ18682" s="1747"/>
      <c r="AK18682" s="1748"/>
      <c r="AL18682" s="198"/>
      <c r="AM18682" s="198"/>
      <c r="AN18682" s="198"/>
      <c r="AO18682" s="198"/>
    </row>
    <row r="18683" spans="35:41" ht="19.5" thickBot="1" x14ac:dyDescent="0.35">
      <c r="AI18683" s="1746" t="s">
        <v>150</v>
      </c>
      <c r="AJ18683" s="1747"/>
      <c r="AK18683" s="1748"/>
      <c r="AL18683" s="198"/>
      <c r="AM18683" s="198"/>
      <c r="AN18683" s="198"/>
      <c r="AO18683" s="198"/>
    </row>
    <row r="18684" spans="35:41" ht="19.5" thickBot="1" x14ac:dyDescent="0.35">
      <c r="AI18684" s="1746" t="s">
        <v>150</v>
      </c>
      <c r="AJ18684" s="1747"/>
      <c r="AK18684" s="1748"/>
      <c r="AL18684" s="198"/>
      <c r="AM18684" s="198"/>
      <c r="AN18684" s="198"/>
      <c r="AO18684" s="198"/>
    </row>
    <row r="18685" spans="35:41" ht="19.5" thickBot="1" x14ac:dyDescent="0.35">
      <c r="AI18685" s="1746" t="s">
        <v>150</v>
      </c>
      <c r="AJ18685" s="1747"/>
      <c r="AK18685" s="1748"/>
      <c r="AL18685" s="198"/>
      <c r="AM18685" s="198"/>
      <c r="AN18685" s="198"/>
      <c r="AO18685" s="198"/>
    </row>
    <row r="18686" spans="35:41" ht="19.5" thickBot="1" x14ac:dyDescent="0.35">
      <c r="AI18686" s="1746" t="s">
        <v>150</v>
      </c>
      <c r="AJ18686" s="1747"/>
      <c r="AK18686" s="1748"/>
      <c r="AL18686" s="198"/>
      <c r="AM18686" s="198"/>
      <c r="AN18686" s="198"/>
      <c r="AO18686" s="198"/>
    </row>
    <row r="18687" spans="35:41" ht="19.5" thickBot="1" x14ac:dyDescent="0.35">
      <c r="AI18687" s="1746" t="s">
        <v>150</v>
      </c>
      <c r="AJ18687" s="1747"/>
      <c r="AK18687" s="1748"/>
      <c r="AL18687" s="198"/>
      <c r="AM18687" s="198"/>
      <c r="AN18687" s="198"/>
      <c r="AO18687" s="198"/>
    </row>
    <row r="18688" spans="35:41" ht="19.5" thickBot="1" x14ac:dyDescent="0.35">
      <c r="AI18688" s="1746" t="s">
        <v>150</v>
      </c>
      <c r="AJ18688" s="1747"/>
      <c r="AK18688" s="1748"/>
      <c r="AL18688" s="198"/>
      <c r="AM18688" s="198"/>
      <c r="AN18688" s="198"/>
      <c r="AO18688" s="198"/>
    </row>
    <row r="18689" spans="35:41" ht="19.5" thickBot="1" x14ac:dyDescent="0.35">
      <c r="AI18689" s="1746" t="s">
        <v>150</v>
      </c>
      <c r="AJ18689" s="1747"/>
      <c r="AK18689" s="1748"/>
      <c r="AL18689" s="198"/>
      <c r="AM18689" s="198"/>
      <c r="AN18689" s="198"/>
      <c r="AO18689" s="198"/>
    </row>
    <row r="18690" spans="35:41" ht="19.5" thickBot="1" x14ac:dyDescent="0.35">
      <c r="AI18690" s="1746" t="s">
        <v>150</v>
      </c>
      <c r="AJ18690" s="1747"/>
      <c r="AK18690" s="1748"/>
      <c r="AL18690" s="198"/>
      <c r="AM18690" s="198"/>
      <c r="AN18690" s="198"/>
      <c r="AO18690" s="198"/>
    </row>
    <row r="18691" spans="35:41" ht="19.5" thickBot="1" x14ac:dyDescent="0.35">
      <c r="AI18691" s="1746" t="s">
        <v>150</v>
      </c>
      <c r="AJ18691" s="1747"/>
      <c r="AK18691" s="1748"/>
      <c r="AL18691" s="198"/>
      <c r="AM18691" s="198"/>
      <c r="AN18691" s="198"/>
      <c r="AO18691" s="198"/>
    </row>
    <row r="18692" spans="35:41" ht="19.5" thickBot="1" x14ac:dyDescent="0.35">
      <c r="AI18692" s="1746" t="s">
        <v>150</v>
      </c>
      <c r="AJ18692" s="1747"/>
      <c r="AK18692" s="1748"/>
      <c r="AL18692" s="198"/>
      <c r="AM18692" s="198"/>
      <c r="AN18692" s="198"/>
      <c r="AO18692" s="198"/>
    </row>
    <row r="18693" spans="35:41" ht="19.5" thickBot="1" x14ac:dyDescent="0.35">
      <c r="AI18693" s="1746" t="s">
        <v>150</v>
      </c>
      <c r="AJ18693" s="1747"/>
      <c r="AK18693" s="1748"/>
      <c r="AL18693" s="198"/>
      <c r="AM18693" s="198"/>
      <c r="AN18693" s="198"/>
      <c r="AO18693" s="198"/>
    </row>
    <row r="18694" spans="35:41" ht="19.5" thickBot="1" x14ac:dyDescent="0.35">
      <c r="AI18694" s="1746" t="s">
        <v>150</v>
      </c>
      <c r="AJ18694" s="1747"/>
      <c r="AK18694" s="1748"/>
      <c r="AL18694" s="198"/>
      <c r="AM18694" s="198"/>
      <c r="AN18694" s="198"/>
      <c r="AO18694" s="198"/>
    </row>
    <row r="18695" spans="35:41" ht="19.5" thickBot="1" x14ac:dyDescent="0.35">
      <c r="AI18695" s="1746" t="s">
        <v>150</v>
      </c>
      <c r="AJ18695" s="1747"/>
      <c r="AK18695" s="1748"/>
      <c r="AL18695" s="198"/>
      <c r="AM18695" s="198"/>
      <c r="AN18695" s="198"/>
      <c r="AO18695" s="198"/>
    </row>
    <row r="18696" spans="35:41" ht="19.5" thickBot="1" x14ac:dyDescent="0.35">
      <c r="AI18696" s="1746" t="s">
        <v>150</v>
      </c>
      <c r="AJ18696" s="1747"/>
      <c r="AK18696" s="1748"/>
      <c r="AL18696" s="198"/>
      <c r="AM18696" s="198"/>
      <c r="AN18696" s="198"/>
      <c r="AO18696" s="198"/>
    </row>
    <row r="18697" spans="35:41" ht="19.5" thickBot="1" x14ac:dyDescent="0.35">
      <c r="AI18697" s="1746" t="s">
        <v>150</v>
      </c>
      <c r="AJ18697" s="1747"/>
      <c r="AK18697" s="1748"/>
      <c r="AL18697" s="198"/>
      <c r="AM18697" s="198"/>
      <c r="AN18697" s="198"/>
      <c r="AO18697" s="198"/>
    </row>
    <row r="18698" spans="35:41" ht="19.5" thickBot="1" x14ac:dyDescent="0.35">
      <c r="AI18698" s="1746" t="s">
        <v>150</v>
      </c>
      <c r="AJ18698" s="1747"/>
      <c r="AK18698" s="1748"/>
      <c r="AL18698" s="198"/>
      <c r="AM18698" s="198"/>
      <c r="AN18698" s="198"/>
      <c r="AO18698" s="198"/>
    </row>
    <row r="18699" spans="35:41" ht="19.5" thickBot="1" x14ac:dyDescent="0.35">
      <c r="AI18699" s="1746" t="s">
        <v>150</v>
      </c>
      <c r="AJ18699" s="1747"/>
      <c r="AK18699" s="1748"/>
      <c r="AL18699" s="198"/>
      <c r="AM18699" s="198"/>
      <c r="AN18699" s="198"/>
      <c r="AO18699" s="198"/>
    </row>
    <row r="18700" spans="35:41" ht="19.5" thickBot="1" x14ac:dyDescent="0.35">
      <c r="AI18700" s="1746" t="s">
        <v>150</v>
      </c>
      <c r="AJ18700" s="1747"/>
      <c r="AK18700" s="1748"/>
      <c r="AL18700" s="198"/>
      <c r="AM18700" s="198"/>
      <c r="AN18700" s="198"/>
      <c r="AO18700" s="198"/>
    </row>
    <row r="18701" spans="35:41" ht="19.5" thickBot="1" x14ac:dyDescent="0.35">
      <c r="AI18701" s="1746" t="s">
        <v>150</v>
      </c>
      <c r="AJ18701" s="1747"/>
      <c r="AK18701" s="1748"/>
      <c r="AL18701" s="198"/>
      <c r="AM18701" s="198"/>
      <c r="AN18701" s="198"/>
      <c r="AO18701" s="198"/>
    </row>
    <row r="18702" spans="35:41" ht="19.5" thickBot="1" x14ac:dyDescent="0.35">
      <c r="AI18702" s="1746" t="s">
        <v>150</v>
      </c>
      <c r="AJ18702" s="1747"/>
      <c r="AK18702" s="1748"/>
      <c r="AL18702" s="198"/>
      <c r="AM18702" s="198"/>
      <c r="AN18702" s="198"/>
      <c r="AO18702" s="198"/>
    </row>
    <row r="18703" spans="35:41" ht="19.5" thickBot="1" x14ac:dyDescent="0.35">
      <c r="AI18703" s="1746" t="s">
        <v>150</v>
      </c>
      <c r="AJ18703" s="1747"/>
      <c r="AK18703" s="1748"/>
      <c r="AL18703" s="198"/>
      <c r="AM18703" s="198"/>
      <c r="AN18703" s="198"/>
      <c r="AO18703" s="198"/>
    </row>
    <row r="18704" spans="35:41" ht="19.5" thickBot="1" x14ac:dyDescent="0.35">
      <c r="AI18704" s="1746" t="s">
        <v>150</v>
      </c>
      <c r="AJ18704" s="1747"/>
      <c r="AK18704" s="1748"/>
      <c r="AL18704" s="198"/>
      <c r="AM18704" s="198"/>
      <c r="AN18704" s="198"/>
      <c r="AO18704" s="198"/>
    </row>
    <row r="18705" spans="35:41" ht="19.5" thickBot="1" x14ac:dyDescent="0.35">
      <c r="AI18705" s="1746" t="s">
        <v>150</v>
      </c>
      <c r="AJ18705" s="1747"/>
      <c r="AK18705" s="1748"/>
      <c r="AL18705" s="198"/>
      <c r="AM18705" s="198"/>
      <c r="AN18705" s="198"/>
      <c r="AO18705" s="198"/>
    </row>
    <row r="18706" spans="35:41" ht="19.5" thickBot="1" x14ac:dyDescent="0.35">
      <c r="AI18706" s="1746" t="s">
        <v>150</v>
      </c>
      <c r="AJ18706" s="1747"/>
      <c r="AK18706" s="1748"/>
      <c r="AL18706" s="198"/>
      <c r="AM18706" s="198"/>
      <c r="AN18706" s="198"/>
      <c r="AO18706" s="198"/>
    </row>
    <row r="18707" spans="35:41" ht="19.5" thickBot="1" x14ac:dyDescent="0.35">
      <c r="AI18707" s="1746" t="s">
        <v>150</v>
      </c>
      <c r="AJ18707" s="1747"/>
      <c r="AK18707" s="1748"/>
      <c r="AL18707" s="198"/>
      <c r="AM18707" s="198"/>
      <c r="AN18707" s="198"/>
      <c r="AO18707" s="198"/>
    </row>
    <row r="18708" spans="35:41" ht="19.5" thickBot="1" x14ac:dyDescent="0.35">
      <c r="AI18708" s="1746" t="s">
        <v>150</v>
      </c>
      <c r="AJ18708" s="1747"/>
      <c r="AK18708" s="1748"/>
      <c r="AL18708" s="198"/>
      <c r="AM18708" s="198"/>
      <c r="AN18708" s="198"/>
      <c r="AO18708" s="198"/>
    </row>
    <row r="18709" spans="35:41" ht="19.5" thickBot="1" x14ac:dyDescent="0.35">
      <c r="AI18709" s="1746" t="s">
        <v>150</v>
      </c>
      <c r="AJ18709" s="1747"/>
      <c r="AK18709" s="1748"/>
      <c r="AL18709" s="198"/>
      <c r="AM18709" s="198"/>
      <c r="AN18709" s="198"/>
      <c r="AO18709" s="198"/>
    </row>
    <row r="18710" spans="35:41" ht="19.5" thickBot="1" x14ac:dyDescent="0.35">
      <c r="AI18710" s="1746" t="s">
        <v>150</v>
      </c>
      <c r="AJ18710" s="1747"/>
      <c r="AK18710" s="1748"/>
      <c r="AL18710" s="198"/>
      <c r="AM18710" s="198"/>
      <c r="AN18710" s="198"/>
      <c r="AO18710" s="198"/>
    </row>
    <row r="18711" spans="35:41" ht="19.5" thickBot="1" x14ac:dyDescent="0.35">
      <c r="AI18711" s="1746" t="s">
        <v>150</v>
      </c>
      <c r="AJ18711" s="1747"/>
      <c r="AK18711" s="1748"/>
      <c r="AL18711" s="198"/>
      <c r="AM18711" s="198"/>
      <c r="AN18711" s="198"/>
      <c r="AO18711" s="198"/>
    </row>
    <row r="18712" spans="35:41" ht="19.5" thickBot="1" x14ac:dyDescent="0.35">
      <c r="AI18712" s="1746" t="s">
        <v>150</v>
      </c>
      <c r="AJ18712" s="1747"/>
      <c r="AK18712" s="1748"/>
      <c r="AL18712" s="198"/>
      <c r="AM18712" s="198"/>
      <c r="AN18712" s="198"/>
      <c r="AO18712" s="198"/>
    </row>
    <row r="18713" spans="35:41" ht="19.5" thickBot="1" x14ac:dyDescent="0.35">
      <c r="AI18713" s="1746" t="s">
        <v>150</v>
      </c>
      <c r="AJ18713" s="1747"/>
      <c r="AK18713" s="1748"/>
      <c r="AL18713" s="198"/>
      <c r="AM18713" s="198"/>
      <c r="AN18713" s="198"/>
      <c r="AO18713" s="198"/>
    </row>
    <row r="18714" spans="35:41" ht="19.5" thickBot="1" x14ac:dyDescent="0.35">
      <c r="AI18714" s="1746" t="s">
        <v>150</v>
      </c>
      <c r="AJ18714" s="1747"/>
      <c r="AK18714" s="1748"/>
      <c r="AL18714" s="198"/>
      <c r="AM18714" s="198"/>
      <c r="AN18714" s="198"/>
      <c r="AO18714" s="198"/>
    </row>
    <row r="18715" spans="35:41" ht="19.5" thickBot="1" x14ac:dyDescent="0.35">
      <c r="AI18715" s="1746" t="s">
        <v>150</v>
      </c>
      <c r="AJ18715" s="1747"/>
      <c r="AK18715" s="1748"/>
      <c r="AL18715" s="198"/>
      <c r="AM18715" s="198"/>
      <c r="AN18715" s="198"/>
      <c r="AO18715" s="198"/>
    </row>
    <row r="18716" spans="35:41" ht="19.5" thickBot="1" x14ac:dyDescent="0.35">
      <c r="AI18716" s="1746" t="s">
        <v>150</v>
      </c>
      <c r="AJ18716" s="1747"/>
      <c r="AK18716" s="1748"/>
      <c r="AL18716" s="198"/>
      <c r="AM18716" s="198"/>
      <c r="AN18716" s="198"/>
      <c r="AO18716" s="198"/>
    </row>
    <row r="18717" spans="35:41" ht="19.5" thickBot="1" x14ac:dyDescent="0.35">
      <c r="AI18717" s="1746" t="s">
        <v>150</v>
      </c>
      <c r="AJ18717" s="1747"/>
      <c r="AK18717" s="1748"/>
      <c r="AL18717" s="198"/>
      <c r="AM18717" s="198"/>
      <c r="AN18717" s="198"/>
      <c r="AO18717" s="198"/>
    </row>
    <row r="18718" spans="35:41" ht="19.5" thickBot="1" x14ac:dyDescent="0.35">
      <c r="AI18718" s="1746" t="s">
        <v>150</v>
      </c>
      <c r="AJ18718" s="1747"/>
      <c r="AK18718" s="1748"/>
      <c r="AL18718" s="198"/>
      <c r="AM18718" s="198"/>
      <c r="AN18718" s="198"/>
      <c r="AO18718" s="198"/>
    </row>
    <row r="18719" spans="35:41" ht="19.5" thickBot="1" x14ac:dyDescent="0.35">
      <c r="AI18719" s="1746" t="s">
        <v>150</v>
      </c>
      <c r="AJ18719" s="1747"/>
      <c r="AK18719" s="1748"/>
      <c r="AL18719" s="198"/>
      <c r="AM18719" s="198"/>
      <c r="AN18719" s="198"/>
      <c r="AO18719" s="198"/>
    </row>
    <row r="18720" spans="35:41" ht="19.5" thickBot="1" x14ac:dyDescent="0.35">
      <c r="AI18720" s="1746" t="s">
        <v>150</v>
      </c>
      <c r="AJ18720" s="1747"/>
      <c r="AK18720" s="1748"/>
      <c r="AL18720" s="198"/>
      <c r="AM18720" s="198"/>
      <c r="AN18720" s="198"/>
      <c r="AO18720" s="198"/>
    </row>
    <row r="18721" spans="35:41" ht="19.5" thickBot="1" x14ac:dyDescent="0.35">
      <c r="AI18721" s="1746" t="s">
        <v>150</v>
      </c>
      <c r="AJ18721" s="1747"/>
      <c r="AK18721" s="1748"/>
      <c r="AL18721" s="198"/>
      <c r="AM18721" s="198"/>
      <c r="AN18721" s="198"/>
      <c r="AO18721" s="198"/>
    </row>
    <row r="18722" spans="35:41" ht="19.5" thickBot="1" x14ac:dyDescent="0.35">
      <c r="AI18722" s="1746" t="s">
        <v>150</v>
      </c>
      <c r="AJ18722" s="1747"/>
      <c r="AK18722" s="1748"/>
      <c r="AL18722" s="198"/>
      <c r="AM18722" s="198"/>
      <c r="AN18722" s="198"/>
      <c r="AO18722" s="198"/>
    </row>
    <row r="18723" spans="35:41" ht="19.5" thickBot="1" x14ac:dyDescent="0.35">
      <c r="AI18723" s="1746" t="s">
        <v>150</v>
      </c>
      <c r="AJ18723" s="1747"/>
      <c r="AK18723" s="1748"/>
      <c r="AL18723" s="198"/>
      <c r="AM18723" s="198"/>
      <c r="AN18723" s="198"/>
      <c r="AO18723" s="198"/>
    </row>
    <row r="18724" spans="35:41" ht="19.5" thickBot="1" x14ac:dyDescent="0.35">
      <c r="AI18724" s="1746" t="s">
        <v>150</v>
      </c>
      <c r="AJ18724" s="1747"/>
      <c r="AK18724" s="1748"/>
      <c r="AL18724" s="198"/>
      <c r="AM18724" s="198"/>
      <c r="AN18724" s="198"/>
      <c r="AO18724" s="198"/>
    </row>
    <row r="18725" spans="35:41" ht="19.5" thickBot="1" x14ac:dyDescent="0.35">
      <c r="AI18725" s="1746" t="s">
        <v>150</v>
      </c>
      <c r="AJ18725" s="1747"/>
      <c r="AK18725" s="1748"/>
      <c r="AL18725" s="198"/>
      <c r="AM18725" s="198"/>
      <c r="AN18725" s="198"/>
      <c r="AO18725" s="198"/>
    </row>
    <row r="18726" spans="35:41" ht="19.5" thickBot="1" x14ac:dyDescent="0.35">
      <c r="AI18726" s="1746" t="s">
        <v>150</v>
      </c>
      <c r="AJ18726" s="1747"/>
      <c r="AK18726" s="1748"/>
      <c r="AL18726" s="198"/>
      <c r="AM18726" s="198"/>
      <c r="AN18726" s="198"/>
      <c r="AO18726" s="198"/>
    </row>
    <row r="18727" spans="35:41" ht="19.5" thickBot="1" x14ac:dyDescent="0.35">
      <c r="AI18727" s="1746" t="s">
        <v>150</v>
      </c>
      <c r="AJ18727" s="1747"/>
      <c r="AK18727" s="1748"/>
      <c r="AL18727" s="198"/>
      <c r="AM18727" s="198"/>
      <c r="AN18727" s="198"/>
      <c r="AO18727" s="198"/>
    </row>
    <row r="18728" spans="35:41" ht="19.5" thickBot="1" x14ac:dyDescent="0.35">
      <c r="AI18728" s="1746" t="s">
        <v>150</v>
      </c>
      <c r="AJ18728" s="1747"/>
      <c r="AK18728" s="1748"/>
      <c r="AL18728" s="198"/>
      <c r="AM18728" s="198"/>
      <c r="AN18728" s="198"/>
      <c r="AO18728" s="198"/>
    </row>
    <row r="18729" spans="35:41" ht="19.5" thickBot="1" x14ac:dyDescent="0.35">
      <c r="AI18729" s="1746" t="s">
        <v>150</v>
      </c>
      <c r="AJ18729" s="1747"/>
      <c r="AK18729" s="1748"/>
      <c r="AL18729" s="198"/>
      <c r="AM18729" s="198"/>
      <c r="AN18729" s="198"/>
      <c r="AO18729" s="198"/>
    </row>
    <row r="18730" spans="35:41" ht="19.5" thickBot="1" x14ac:dyDescent="0.35">
      <c r="AI18730" s="1746" t="s">
        <v>150</v>
      </c>
      <c r="AJ18730" s="1747"/>
      <c r="AK18730" s="1748"/>
      <c r="AL18730" s="198"/>
      <c r="AM18730" s="198"/>
      <c r="AN18730" s="198"/>
      <c r="AO18730" s="198"/>
    </row>
    <row r="18731" spans="35:41" ht="19.5" thickBot="1" x14ac:dyDescent="0.35">
      <c r="AI18731" s="1746" t="s">
        <v>150</v>
      </c>
      <c r="AJ18731" s="1747"/>
      <c r="AK18731" s="1748"/>
      <c r="AL18731" s="198"/>
      <c r="AM18731" s="198"/>
      <c r="AN18731" s="198"/>
      <c r="AO18731" s="198"/>
    </row>
    <row r="18732" spans="35:41" ht="19.5" thickBot="1" x14ac:dyDescent="0.35">
      <c r="AI18732" s="1746" t="s">
        <v>150</v>
      </c>
      <c r="AJ18732" s="1747"/>
      <c r="AK18732" s="1748"/>
      <c r="AL18732" s="198"/>
      <c r="AM18732" s="198"/>
      <c r="AN18732" s="198"/>
      <c r="AO18732" s="198"/>
    </row>
    <row r="18733" spans="35:41" ht="19.5" thickBot="1" x14ac:dyDescent="0.35">
      <c r="AI18733" s="1746" t="s">
        <v>150</v>
      </c>
      <c r="AJ18733" s="1747"/>
      <c r="AK18733" s="1748"/>
      <c r="AL18733" s="198"/>
      <c r="AM18733" s="198"/>
      <c r="AN18733" s="198"/>
      <c r="AO18733" s="198"/>
    </row>
    <row r="18734" spans="35:41" ht="19.5" thickBot="1" x14ac:dyDescent="0.35">
      <c r="AI18734" s="1746" t="s">
        <v>150</v>
      </c>
      <c r="AJ18734" s="1747"/>
      <c r="AK18734" s="1748"/>
      <c r="AL18734" s="198"/>
      <c r="AM18734" s="198"/>
      <c r="AN18734" s="198"/>
      <c r="AO18734" s="198"/>
    </row>
    <row r="18735" spans="35:41" ht="19.5" thickBot="1" x14ac:dyDescent="0.35">
      <c r="AI18735" s="1746" t="s">
        <v>150</v>
      </c>
      <c r="AJ18735" s="1747"/>
      <c r="AK18735" s="1748"/>
      <c r="AL18735" s="198"/>
      <c r="AM18735" s="198"/>
      <c r="AN18735" s="198"/>
      <c r="AO18735" s="198"/>
    </row>
    <row r="18736" spans="35:41" ht="19.5" thickBot="1" x14ac:dyDescent="0.35">
      <c r="AI18736" s="1746" t="s">
        <v>150</v>
      </c>
      <c r="AJ18736" s="1747"/>
      <c r="AK18736" s="1748"/>
      <c r="AL18736" s="198"/>
      <c r="AM18736" s="198"/>
      <c r="AN18736" s="198"/>
      <c r="AO18736" s="198"/>
    </row>
    <row r="18737" spans="35:41" ht="19.5" thickBot="1" x14ac:dyDescent="0.35">
      <c r="AI18737" s="1746" t="s">
        <v>150</v>
      </c>
      <c r="AJ18737" s="1747"/>
      <c r="AK18737" s="1748"/>
      <c r="AL18737" s="198"/>
      <c r="AM18737" s="198"/>
      <c r="AN18737" s="198"/>
      <c r="AO18737" s="198"/>
    </row>
    <row r="18738" spans="35:41" ht="19.5" thickBot="1" x14ac:dyDescent="0.35">
      <c r="AI18738" s="1746" t="s">
        <v>150</v>
      </c>
      <c r="AJ18738" s="1747"/>
      <c r="AK18738" s="1748"/>
      <c r="AL18738" s="198"/>
      <c r="AM18738" s="198"/>
      <c r="AN18738" s="198"/>
      <c r="AO18738" s="198"/>
    </row>
    <row r="18739" spans="35:41" ht="19.5" thickBot="1" x14ac:dyDescent="0.35">
      <c r="AI18739" s="1746" t="s">
        <v>150</v>
      </c>
      <c r="AJ18739" s="1747"/>
      <c r="AK18739" s="1748"/>
      <c r="AL18739" s="198"/>
      <c r="AM18739" s="198"/>
      <c r="AN18739" s="198"/>
      <c r="AO18739" s="198"/>
    </row>
    <row r="18740" spans="35:41" ht="19.5" thickBot="1" x14ac:dyDescent="0.35">
      <c r="AI18740" s="1746" t="s">
        <v>150</v>
      </c>
      <c r="AJ18740" s="1747"/>
      <c r="AK18740" s="1748"/>
      <c r="AL18740" s="198"/>
      <c r="AM18740" s="198"/>
      <c r="AN18740" s="198"/>
      <c r="AO18740" s="198"/>
    </row>
    <row r="18741" spans="35:41" ht="19.5" thickBot="1" x14ac:dyDescent="0.35">
      <c r="AI18741" s="1746" t="s">
        <v>150</v>
      </c>
      <c r="AJ18741" s="1747"/>
      <c r="AK18741" s="1748"/>
      <c r="AL18741" s="198"/>
      <c r="AM18741" s="198"/>
      <c r="AN18741" s="198"/>
      <c r="AO18741" s="198"/>
    </row>
    <row r="18742" spans="35:41" ht="19.5" thickBot="1" x14ac:dyDescent="0.35">
      <c r="AI18742" s="1746" t="s">
        <v>150</v>
      </c>
      <c r="AJ18742" s="1747"/>
      <c r="AK18742" s="1748"/>
      <c r="AL18742" s="198"/>
      <c r="AM18742" s="198"/>
      <c r="AN18742" s="198"/>
      <c r="AO18742" s="198"/>
    </row>
    <row r="18743" spans="35:41" ht="19.5" thickBot="1" x14ac:dyDescent="0.35">
      <c r="AI18743" s="1746" t="s">
        <v>150</v>
      </c>
      <c r="AJ18743" s="1747"/>
      <c r="AK18743" s="1748"/>
      <c r="AL18743" s="198"/>
      <c r="AM18743" s="198"/>
      <c r="AN18743" s="198"/>
      <c r="AO18743" s="198"/>
    </row>
    <row r="18744" spans="35:41" ht="19.5" thickBot="1" x14ac:dyDescent="0.35">
      <c r="AI18744" s="1746" t="s">
        <v>150</v>
      </c>
      <c r="AJ18744" s="1747"/>
      <c r="AK18744" s="1748"/>
      <c r="AL18744" s="198"/>
      <c r="AM18744" s="198"/>
      <c r="AN18744" s="198"/>
      <c r="AO18744" s="198"/>
    </row>
    <row r="18745" spans="35:41" ht="19.5" thickBot="1" x14ac:dyDescent="0.35">
      <c r="AI18745" s="1746" t="s">
        <v>150</v>
      </c>
      <c r="AJ18745" s="1747"/>
      <c r="AK18745" s="1748"/>
      <c r="AL18745" s="198"/>
      <c r="AM18745" s="198"/>
      <c r="AN18745" s="198"/>
      <c r="AO18745" s="198"/>
    </row>
    <row r="18746" spans="35:41" ht="19.5" thickBot="1" x14ac:dyDescent="0.35">
      <c r="AI18746" s="1746" t="s">
        <v>150</v>
      </c>
      <c r="AJ18746" s="1747"/>
      <c r="AK18746" s="1748"/>
      <c r="AL18746" s="198"/>
      <c r="AM18746" s="198"/>
      <c r="AN18746" s="198"/>
      <c r="AO18746" s="198"/>
    </row>
    <row r="18747" spans="35:41" ht="19.5" thickBot="1" x14ac:dyDescent="0.35">
      <c r="AI18747" s="1746" t="s">
        <v>150</v>
      </c>
      <c r="AJ18747" s="1747"/>
      <c r="AK18747" s="1748"/>
      <c r="AL18747" s="198"/>
      <c r="AM18747" s="198"/>
      <c r="AN18747" s="198"/>
      <c r="AO18747" s="198"/>
    </row>
    <row r="18748" spans="35:41" ht="19.5" thickBot="1" x14ac:dyDescent="0.35">
      <c r="AI18748" s="1746" t="s">
        <v>150</v>
      </c>
      <c r="AJ18748" s="1747"/>
      <c r="AK18748" s="1748"/>
      <c r="AL18748" s="198"/>
      <c r="AM18748" s="198"/>
      <c r="AN18748" s="198"/>
      <c r="AO18748" s="198"/>
    </row>
    <row r="18749" spans="35:41" ht="19.5" thickBot="1" x14ac:dyDescent="0.35">
      <c r="AI18749" s="1746" t="s">
        <v>150</v>
      </c>
      <c r="AJ18749" s="1747"/>
      <c r="AK18749" s="1748"/>
      <c r="AL18749" s="198"/>
      <c r="AM18749" s="198"/>
      <c r="AN18749" s="198"/>
      <c r="AO18749" s="198"/>
    </row>
    <row r="18750" spans="35:41" ht="19.5" thickBot="1" x14ac:dyDescent="0.35">
      <c r="AI18750" s="1746" t="s">
        <v>150</v>
      </c>
      <c r="AJ18750" s="1747"/>
      <c r="AK18750" s="1748"/>
      <c r="AL18750" s="198"/>
      <c r="AM18750" s="198"/>
      <c r="AN18750" s="198"/>
      <c r="AO18750" s="198"/>
    </row>
    <row r="18751" spans="35:41" ht="19.5" thickBot="1" x14ac:dyDescent="0.35">
      <c r="AI18751" s="1746" t="s">
        <v>150</v>
      </c>
      <c r="AJ18751" s="1747"/>
      <c r="AK18751" s="1748"/>
      <c r="AL18751" s="198"/>
      <c r="AM18751" s="198"/>
      <c r="AN18751" s="198"/>
      <c r="AO18751" s="198"/>
    </row>
    <row r="18752" spans="35:41" ht="19.5" thickBot="1" x14ac:dyDescent="0.35">
      <c r="AI18752" s="1746" t="s">
        <v>150</v>
      </c>
      <c r="AJ18752" s="1747"/>
      <c r="AK18752" s="1748"/>
      <c r="AL18752" s="198"/>
      <c r="AM18752" s="198"/>
      <c r="AN18752" s="198"/>
      <c r="AO18752" s="198"/>
    </row>
    <row r="18753" spans="35:41" ht="19.5" thickBot="1" x14ac:dyDescent="0.35">
      <c r="AI18753" s="1746" t="s">
        <v>150</v>
      </c>
      <c r="AJ18753" s="1747"/>
      <c r="AK18753" s="1748"/>
      <c r="AL18753" s="198"/>
      <c r="AM18753" s="198"/>
      <c r="AN18753" s="198"/>
      <c r="AO18753" s="198"/>
    </row>
    <row r="18754" spans="35:41" ht="19.5" thickBot="1" x14ac:dyDescent="0.35">
      <c r="AI18754" s="1746" t="s">
        <v>150</v>
      </c>
      <c r="AJ18754" s="1747"/>
      <c r="AK18754" s="1748"/>
      <c r="AL18754" s="198"/>
      <c r="AM18754" s="198"/>
      <c r="AN18754" s="198"/>
      <c r="AO18754" s="198"/>
    </row>
    <row r="18755" spans="35:41" ht="19.5" thickBot="1" x14ac:dyDescent="0.35">
      <c r="AI18755" s="1746" t="s">
        <v>150</v>
      </c>
      <c r="AJ18755" s="1747"/>
      <c r="AK18755" s="1748"/>
      <c r="AL18755" s="198"/>
      <c r="AM18755" s="198"/>
      <c r="AN18755" s="198"/>
      <c r="AO18755" s="198"/>
    </row>
    <row r="18756" spans="35:41" ht="19.5" thickBot="1" x14ac:dyDescent="0.35">
      <c r="AI18756" s="1746" t="s">
        <v>150</v>
      </c>
      <c r="AJ18756" s="1747"/>
      <c r="AK18756" s="1748"/>
      <c r="AL18756" s="198"/>
      <c r="AM18756" s="198"/>
      <c r="AN18756" s="198"/>
      <c r="AO18756" s="198"/>
    </row>
    <row r="18757" spans="35:41" ht="19.5" thickBot="1" x14ac:dyDescent="0.35">
      <c r="AI18757" s="1746" t="s">
        <v>150</v>
      </c>
      <c r="AJ18757" s="1747"/>
      <c r="AK18757" s="1748"/>
      <c r="AL18757" s="198"/>
      <c r="AM18757" s="198"/>
      <c r="AN18757" s="198"/>
      <c r="AO18757" s="198"/>
    </row>
    <row r="18758" spans="35:41" ht="19.5" thickBot="1" x14ac:dyDescent="0.35">
      <c r="AI18758" s="1746" t="s">
        <v>150</v>
      </c>
      <c r="AJ18758" s="1747"/>
      <c r="AK18758" s="1748"/>
      <c r="AL18758" s="198"/>
      <c r="AM18758" s="198"/>
      <c r="AN18758" s="198"/>
      <c r="AO18758" s="198"/>
    </row>
    <row r="18759" spans="35:41" ht="19.5" thickBot="1" x14ac:dyDescent="0.35">
      <c r="AI18759" s="1746" t="s">
        <v>150</v>
      </c>
      <c r="AJ18759" s="1747"/>
      <c r="AK18759" s="1748"/>
      <c r="AL18759" s="198"/>
      <c r="AM18759" s="198"/>
      <c r="AN18759" s="198"/>
      <c r="AO18759" s="198"/>
    </row>
    <row r="18760" spans="35:41" ht="19.5" thickBot="1" x14ac:dyDescent="0.35">
      <c r="AI18760" s="1746" t="s">
        <v>150</v>
      </c>
      <c r="AJ18760" s="1747"/>
      <c r="AK18760" s="1748"/>
      <c r="AL18760" s="198"/>
      <c r="AM18760" s="198"/>
      <c r="AN18760" s="198"/>
      <c r="AO18760" s="198"/>
    </row>
    <row r="18761" spans="35:41" ht="19.5" thickBot="1" x14ac:dyDescent="0.35">
      <c r="AI18761" s="1746" t="s">
        <v>150</v>
      </c>
      <c r="AJ18761" s="1747"/>
      <c r="AK18761" s="1748"/>
      <c r="AL18761" s="198"/>
      <c r="AM18761" s="198"/>
      <c r="AN18761" s="198"/>
      <c r="AO18761" s="198"/>
    </row>
    <row r="18762" spans="35:41" ht="19.5" thickBot="1" x14ac:dyDescent="0.35">
      <c r="AI18762" s="1746" t="s">
        <v>150</v>
      </c>
      <c r="AJ18762" s="1747"/>
      <c r="AK18762" s="1748"/>
      <c r="AL18762" s="198"/>
      <c r="AM18762" s="198"/>
      <c r="AN18762" s="198"/>
      <c r="AO18762" s="198"/>
    </row>
    <row r="18763" spans="35:41" ht="19.5" thickBot="1" x14ac:dyDescent="0.35">
      <c r="AI18763" s="1746" t="s">
        <v>150</v>
      </c>
      <c r="AJ18763" s="1747"/>
      <c r="AK18763" s="1748"/>
      <c r="AL18763" s="198"/>
      <c r="AM18763" s="198"/>
      <c r="AN18763" s="198"/>
      <c r="AO18763" s="198"/>
    </row>
    <row r="18764" spans="35:41" ht="19.5" thickBot="1" x14ac:dyDescent="0.35">
      <c r="AI18764" s="1746" t="s">
        <v>150</v>
      </c>
      <c r="AJ18764" s="1747"/>
      <c r="AK18764" s="1748"/>
      <c r="AL18764" s="198"/>
      <c r="AM18764" s="198"/>
      <c r="AN18764" s="198"/>
      <c r="AO18764" s="198"/>
    </row>
    <row r="18765" spans="35:41" ht="19.5" thickBot="1" x14ac:dyDescent="0.35">
      <c r="AI18765" s="1746" t="s">
        <v>150</v>
      </c>
      <c r="AJ18765" s="1747"/>
      <c r="AK18765" s="1748"/>
      <c r="AL18765" s="198"/>
      <c r="AM18765" s="198"/>
      <c r="AN18765" s="198"/>
      <c r="AO18765" s="198"/>
    </row>
    <row r="18766" spans="35:41" ht="19.5" thickBot="1" x14ac:dyDescent="0.35">
      <c r="AI18766" s="1746" t="s">
        <v>150</v>
      </c>
      <c r="AJ18766" s="1747"/>
      <c r="AK18766" s="1748"/>
      <c r="AL18766" s="198"/>
      <c r="AM18766" s="198"/>
      <c r="AN18766" s="198"/>
      <c r="AO18766" s="198"/>
    </row>
    <row r="18767" spans="35:41" ht="19.5" thickBot="1" x14ac:dyDescent="0.35">
      <c r="AI18767" s="1746" t="s">
        <v>150</v>
      </c>
      <c r="AJ18767" s="1747"/>
      <c r="AK18767" s="1748"/>
      <c r="AL18767" s="198"/>
      <c r="AM18767" s="198"/>
      <c r="AN18767" s="198"/>
      <c r="AO18767" s="198"/>
    </row>
    <row r="18768" spans="35:41" ht="19.5" thickBot="1" x14ac:dyDescent="0.35">
      <c r="AI18768" s="1746" t="s">
        <v>150</v>
      </c>
      <c r="AJ18768" s="1747"/>
      <c r="AK18768" s="1748"/>
      <c r="AL18768" s="198"/>
      <c r="AM18768" s="198"/>
      <c r="AN18768" s="198"/>
      <c r="AO18768" s="198"/>
    </row>
    <row r="18769" spans="35:41" ht="19.5" thickBot="1" x14ac:dyDescent="0.35">
      <c r="AI18769" s="1746" t="s">
        <v>150</v>
      </c>
      <c r="AJ18769" s="1747"/>
      <c r="AK18769" s="1748"/>
      <c r="AL18769" s="198"/>
      <c r="AM18769" s="198"/>
      <c r="AN18769" s="198"/>
      <c r="AO18769" s="198"/>
    </row>
    <row r="18770" spans="35:41" ht="19.5" thickBot="1" x14ac:dyDescent="0.35">
      <c r="AI18770" s="1746" t="s">
        <v>150</v>
      </c>
      <c r="AJ18770" s="1747"/>
      <c r="AK18770" s="1748"/>
      <c r="AL18770" s="198"/>
      <c r="AM18770" s="198"/>
      <c r="AN18770" s="198"/>
      <c r="AO18770" s="198"/>
    </row>
    <row r="18771" spans="35:41" ht="19.5" thickBot="1" x14ac:dyDescent="0.35">
      <c r="AI18771" s="1746" t="s">
        <v>150</v>
      </c>
      <c r="AJ18771" s="1747"/>
      <c r="AK18771" s="1748"/>
      <c r="AL18771" s="198"/>
      <c r="AM18771" s="198"/>
      <c r="AN18771" s="198"/>
      <c r="AO18771" s="198"/>
    </row>
    <row r="18772" spans="35:41" ht="19.5" thickBot="1" x14ac:dyDescent="0.35">
      <c r="AI18772" s="1746" t="s">
        <v>150</v>
      </c>
      <c r="AJ18772" s="1747"/>
      <c r="AK18772" s="1748"/>
      <c r="AL18772" s="198"/>
      <c r="AM18772" s="198"/>
      <c r="AN18772" s="198"/>
      <c r="AO18772" s="198"/>
    </row>
    <row r="18773" spans="35:41" ht="19.5" thickBot="1" x14ac:dyDescent="0.35">
      <c r="AI18773" s="1746" t="s">
        <v>150</v>
      </c>
      <c r="AJ18773" s="1747"/>
      <c r="AK18773" s="1748"/>
      <c r="AL18773" s="198"/>
      <c r="AM18773" s="198"/>
      <c r="AN18773" s="198"/>
      <c r="AO18773" s="198"/>
    </row>
    <row r="18774" spans="35:41" ht="19.5" thickBot="1" x14ac:dyDescent="0.35">
      <c r="AI18774" s="1746" t="s">
        <v>150</v>
      </c>
      <c r="AJ18774" s="1747"/>
      <c r="AK18774" s="1748"/>
      <c r="AL18774" s="198"/>
      <c r="AM18774" s="198"/>
      <c r="AN18774" s="198"/>
      <c r="AO18774" s="198"/>
    </row>
    <row r="18775" spans="35:41" ht="19.5" thickBot="1" x14ac:dyDescent="0.35">
      <c r="AI18775" s="1746" t="s">
        <v>150</v>
      </c>
      <c r="AJ18775" s="1747"/>
      <c r="AK18775" s="1748"/>
      <c r="AL18775" s="198"/>
      <c r="AM18775" s="198"/>
      <c r="AN18775" s="198"/>
      <c r="AO18775" s="198"/>
    </row>
    <row r="18776" spans="35:41" ht="19.5" thickBot="1" x14ac:dyDescent="0.35">
      <c r="AI18776" s="1746" t="s">
        <v>150</v>
      </c>
      <c r="AJ18776" s="1747"/>
      <c r="AK18776" s="1748"/>
      <c r="AL18776" s="198"/>
      <c r="AM18776" s="198"/>
      <c r="AN18776" s="198"/>
      <c r="AO18776" s="198"/>
    </row>
    <row r="18777" spans="35:41" ht="19.5" thickBot="1" x14ac:dyDescent="0.35">
      <c r="AI18777" s="1746" t="s">
        <v>150</v>
      </c>
      <c r="AJ18777" s="1747"/>
      <c r="AK18777" s="1748"/>
      <c r="AL18777" s="198"/>
      <c r="AM18777" s="198"/>
      <c r="AN18777" s="198"/>
      <c r="AO18777" s="198"/>
    </row>
    <row r="18778" spans="35:41" ht="19.5" thickBot="1" x14ac:dyDescent="0.35">
      <c r="AI18778" s="1746" t="s">
        <v>150</v>
      </c>
      <c r="AJ18778" s="1747"/>
      <c r="AK18778" s="1748"/>
      <c r="AL18778" s="198"/>
      <c r="AM18778" s="198"/>
      <c r="AN18778" s="198"/>
      <c r="AO18778" s="198"/>
    </row>
    <row r="18779" spans="35:41" ht="19.5" thickBot="1" x14ac:dyDescent="0.35">
      <c r="AI18779" s="1746" t="s">
        <v>150</v>
      </c>
      <c r="AJ18779" s="1747"/>
      <c r="AK18779" s="1748"/>
      <c r="AL18779" s="198"/>
      <c r="AM18779" s="198"/>
      <c r="AN18779" s="198"/>
      <c r="AO18779" s="198"/>
    </row>
    <row r="18780" spans="35:41" ht="19.5" thickBot="1" x14ac:dyDescent="0.35">
      <c r="AI18780" s="1746" t="s">
        <v>150</v>
      </c>
      <c r="AJ18780" s="1747"/>
      <c r="AK18780" s="1748"/>
      <c r="AL18780" s="198"/>
      <c r="AM18780" s="198"/>
      <c r="AN18780" s="198"/>
      <c r="AO18780" s="198"/>
    </row>
    <row r="18781" spans="35:41" ht="19.5" thickBot="1" x14ac:dyDescent="0.35">
      <c r="AI18781" s="1746" t="s">
        <v>150</v>
      </c>
      <c r="AJ18781" s="1747"/>
      <c r="AK18781" s="1748"/>
      <c r="AL18781" s="198"/>
      <c r="AM18781" s="198"/>
      <c r="AN18781" s="198"/>
      <c r="AO18781" s="198"/>
    </row>
    <row r="18782" spans="35:41" ht="19.5" thickBot="1" x14ac:dyDescent="0.35">
      <c r="AI18782" s="1746" t="s">
        <v>150</v>
      </c>
      <c r="AJ18782" s="1747"/>
      <c r="AK18782" s="1748"/>
      <c r="AL18782" s="198"/>
      <c r="AM18782" s="198"/>
      <c r="AN18782" s="198"/>
      <c r="AO18782" s="198"/>
    </row>
    <row r="18783" spans="35:41" ht="19.5" thickBot="1" x14ac:dyDescent="0.35">
      <c r="AI18783" s="1746" t="s">
        <v>150</v>
      </c>
      <c r="AJ18783" s="1747"/>
      <c r="AK18783" s="1748"/>
      <c r="AL18783" s="198"/>
      <c r="AM18783" s="198"/>
      <c r="AN18783" s="198"/>
      <c r="AO18783" s="198"/>
    </row>
    <row r="18784" spans="35:41" ht="19.5" thickBot="1" x14ac:dyDescent="0.35">
      <c r="AI18784" s="1746" t="s">
        <v>150</v>
      </c>
      <c r="AJ18784" s="1747"/>
      <c r="AK18784" s="1748"/>
      <c r="AL18784" s="198"/>
      <c r="AM18784" s="198"/>
      <c r="AN18784" s="198"/>
      <c r="AO18784" s="198"/>
    </row>
    <row r="18785" spans="35:41" ht="19.5" thickBot="1" x14ac:dyDescent="0.35">
      <c r="AI18785" s="1746" t="s">
        <v>150</v>
      </c>
      <c r="AJ18785" s="1747"/>
      <c r="AK18785" s="1748"/>
      <c r="AL18785" s="198"/>
      <c r="AM18785" s="198"/>
      <c r="AN18785" s="198"/>
      <c r="AO18785" s="198"/>
    </row>
    <row r="18786" spans="35:41" ht="19.5" thickBot="1" x14ac:dyDescent="0.35">
      <c r="AI18786" s="1746" t="s">
        <v>150</v>
      </c>
      <c r="AJ18786" s="1747"/>
      <c r="AK18786" s="1748"/>
      <c r="AL18786" s="198"/>
      <c r="AM18786" s="198"/>
      <c r="AN18786" s="198"/>
      <c r="AO18786" s="198"/>
    </row>
    <row r="18787" spans="35:41" ht="19.5" thickBot="1" x14ac:dyDescent="0.35">
      <c r="AI18787" s="1746" t="s">
        <v>150</v>
      </c>
      <c r="AJ18787" s="1747"/>
      <c r="AK18787" s="1748"/>
      <c r="AL18787" s="198"/>
      <c r="AM18787" s="198"/>
      <c r="AN18787" s="198"/>
      <c r="AO18787" s="198"/>
    </row>
    <row r="18788" spans="35:41" ht="19.5" thickBot="1" x14ac:dyDescent="0.35">
      <c r="AI18788" s="1746" t="s">
        <v>150</v>
      </c>
      <c r="AJ18788" s="1747"/>
      <c r="AK18788" s="1748"/>
      <c r="AL18788" s="198"/>
      <c r="AM18788" s="198"/>
      <c r="AN18788" s="198"/>
      <c r="AO18788" s="198"/>
    </row>
    <row r="18789" spans="35:41" ht="19.5" thickBot="1" x14ac:dyDescent="0.35">
      <c r="AI18789" s="1746" t="s">
        <v>150</v>
      </c>
      <c r="AJ18789" s="1747"/>
      <c r="AK18789" s="1748"/>
      <c r="AL18789" s="198"/>
      <c r="AM18789" s="198"/>
      <c r="AN18789" s="198"/>
      <c r="AO18789" s="198"/>
    </row>
    <row r="18790" spans="35:41" ht="19.5" thickBot="1" x14ac:dyDescent="0.35">
      <c r="AI18790" s="1746" t="s">
        <v>150</v>
      </c>
      <c r="AJ18790" s="1747"/>
      <c r="AK18790" s="1748"/>
      <c r="AL18790" s="198"/>
      <c r="AM18790" s="198"/>
      <c r="AN18790" s="198"/>
      <c r="AO18790" s="198"/>
    </row>
    <row r="18791" spans="35:41" ht="19.5" thickBot="1" x14ac:dyDescent="0.35">
      <c r="AI18791" s="1746" t="s">
        <v>150</v>
      </c>
      <c r="AJ18791" s="1747"/>
      <c r="AK18791" s="1748"/>
      <c r="AL18791" s="198"/>
      <c r="AM18791" s="198"/>
      <c r="AN18791" s="198"/>
      <c r="AO18791" s="198"/>
    </row>
    <row r="18792" spans="35:41" ht="19.5" thickBot="1" x14ac:dyDescent="0.35">
      <c r="AI18792" s="1746" t="s">
        <v>150</v>
      </c>
      <c r="AJ18792" s="1747"/>
      <c r="AK18792" s="1748"/>
      <c r="AL18792" s="198"/>
      <c r="AM18792" s="198"/>
      <c r="AN18792" s="198"/>
      <c r="AO18792" s="198"/>
    </row>
    <row r="18793" spans="35:41" ht="19.5" thickBot="1" x14ac:dyDescent="0.35">
      <c r="AI18793" s="1746" t="s">
        <v>150</v>
      </c>
      <c r="AJ18793" s="1747"/>
      <c r="AK18793" s="1748"/>
      <c r="AL18793" s="198"/>
      <c r="AM18793" s="198"/>
      <c r="AN18793" s="198"/>
      <c r="AO18793" s="198"/>
    </row>
    <row r="18794" spans="35:41" ht="19.5" thickBot="1" x14ac:dyDescent="0.35">
      <c r="AI18794" s="1746" t="s">
        <v>150</v>
      </c>
      <c r="AJ18794" s="1747"/>
      <c r="AK18794" s="1748"/>
      <c r="AL18794" s="198"/>
      <c r="AM18794" s="198"/>
      <c r="AN18794" s="198"/>
      <c r="AO18794" s="198"/>
    </row>
    <row r="18795" spans="35:41" ht="19.5" thickBot="1" x14ac:dyDescent="0.35">
      <c r="AI18795" s="1746" t="s">
        <v>150</v>
      </c>
      <c r="AJ18795" s="1747"/>
      <c r="AK18795" s="1748"/>
      <c r="AL18795" s="198"/>
      <c r="AM18795" s="198"/>
      <c r="AN18795" s="198"/>
      <c r="AO18795" s="198"/>
    </row>
    <row r="18796" spans="35:41" ht="19.5" thickBot="1" x14ac:dyDescent="0.35">
      <c r="AI18796" s="1746" t="s">
        <v>150</v>
      </c>
      <c r="AJ18796" s="1747"/>
      <c r="AK18796" s="1748"/>
      <c r="AL18796" s="198"/>
      <c r="AM18796" s="198"/>
      <c r="AN18796" s="198"/>
      <c r="AO18796" s="198"/>
    </row>
    <row r="18797" spans="35:41" ht="19.5" thickBot="1" x14ac:dyDescent="0.35">
      <c r="AI18797" s="1746" t="s">
        <v>150</v>
      </c>
      <c r="AJ18797" s="1747"/>
      <c r="AK18797" s="1748"/>
      <c r="AL18797" s="198"/>
      <c r="AM18797" s="198"/>
      <c r="AN18797" s="198"/>
      <c r="AO18797" s="198"/>
    </row>
    <row r="18798" spans="35:41" ht="19.5" thickBot="1" x14ac:dyDescent="0.35">
      <c r="AI18798" s="1746" t="s">
        <v>150</v>
      </c>
      <c r="AJ18798" s="1747"/>
      <c r="AK18798" s="1748"/>
      <c r="AL18798" s="198"/>
      <c r="AM18798" s="198"/>
      <c r="AN18798" s="198"/>
      <c r="AO18798" s="198"/>
    </row>
    <row r="18799" spans="35:41" ht="19.5" thickBot="1" x14ac:dyDescent="0.35">
      <c r="AI18799" s="1746" t="s">
        <v>150</v>
      </c>
      <c r="AJ18799" s="1747"/>
      <c r="AK18799" s="1748"/>
      <c r="AL18799" s="198"/>
      <c r="AM18799" s="198"/>
      <c r="AN18799" s="198"/>
      <c r="AO18799" s="198"/>
    </row>
    <row r="18800" spans="35:41" ht="19.5" thickBot="1" x14ac:dyDescent="0.35">
      <c r="AI18800" s="1746" t="s">
        <v>150</v>
      </c>
      <c r="AJ18800" s="1747"/>
      <c r="AK18800" s="1748"/>
      <c r="AL18800" s="198"/>
      <c r="AM18800" s="198"/>
      <c r="AN18800" s="198"/>
      <c r="AO18800" s="198"/>
    </row>
    <row r="18801" spans="35:41" ht="19.5" thickBot="1" x14ac:dyDescent="0.35">
      <c r="AI18801" s="1746" t="s">
        <v>150</v>
      </c>
      <c r="AJ18801" s="1747"/>
      <c r="AK18801" s="1748"/>
      <c r="AL18801" s="198"/>
      <c r="AM18801" s="198"/>
      <c r="AN18801" s="198"/>
      <c r="AO18801" s="198"/>
    </row>
    <row r="18802" spans="35:41" ht="19.5" thickBot="1" x14ac:dyDescent="0.35">
      <c r="AI18802" s="1746" t="s">
        <v>150</v>
      </c>
      <c r="AJ18802" s="1747"/>
      <c r="AK18802" s="1748"/>
      <c r="AL18802" s="198"/>
      <c r="AM18802" s="198"/>
      <c r="AN18802" s="198"/>
      <c r="AO18802" s="198"/>
    </row>
    <row r="18803" spans="35:41" ht="19.5" thickBot="1" x14ac:dyDescent="0.35">
      <c r="AI18803" s="1746" t="s">
        <v>150</v>
      </c>
      <c r="AJ18803" s="1747"/>
      <c r="AK18803" s="1748"/>
      <c r="AL18803" s="198"/>
      <c r="AM18803" s="198"/>
      <c r="AN18803" s="198"/>
      <c r="AO18803" s="198"/>
    </row>
    <row r="18804" spans="35:41" ht="19.5" thickBot="1" x14ac:dyDescent="0.35">
      <c r="AI18804" s="1746" t="s">
        <v>150</v>
      </c>
      <c r="AJ18804" s="1747"/>
      <c r="AK18804" s="1748"/>
      <c r="AL18804" s="198"/>
      <c r="AM18804" s="198"/>
      <c r="AN18804" s="198"/>
      <c r="AO18804" s="198"/>
    </row>
    <row r="18805" spans="35:41" ht="19.5" thickBot="1" x14ac:dyDescent="0.35">
      <c r="AI18805" s="1746" t="s">
        <v>150</v>
      </c>
      <c r="AJ18805" s="1747"/>
      <c r="AK18805" s="1748"/>
      <c r="AL18805" s="198"/>
      <c r="AM18805" s="198"/>
      <c r="AN18805" s="198"/>
      <c r="AO18805" s="198"/>
    </row>
    <row r="18806" spans="35:41" ht="19.5" thickBot="1" x14ac:dyDescent="0.35">
      <c r="AI18806" s="1746" t="s">
        <v>150</v>
      </c>
      <c r="AJ18806" s="1747"/>
      <c r="AK18806" s="1748"/>
      <c r="AL18806" s="198"/>
      <c r="AM18806" s="198"/>
      <c r="AN18806" s="198"/>
      <c r="AO18806" s="198"/>
    </row>
    <row r="18807" spans="35:41" ht="19.5" thickBot="1" x14ac:dyDescent="0.35">
      <c r="AI18807" s="1746" t="s">
        <v>150</v>
      </c>
      <c r="AJ18807" s="1747"/>
      <c r="AK18807" s="1748"/>
      <c r="AL18807" s="198"/>
      <c r="AM18807" s="198"/>
      <c r="AN18807" s="198"/>
      <c r="AO18807" s="198"/>
    </row>
    <row r="18808" spans="35:41" ht="19.5" thickBot="1" x14ac:dyDescent="0.35">
      <c r="AI18808" s="1746" t="s">
        <v>150</v>
      </c>
      <c r="AJ18808" s="1747"/>
      <c r="AK18808" s="1748"/>
      <c r="AL18808" s="198"/>
      <c r="AM18808" s="198"/>
      <c r="AN18808" s="198"/>
      <c r="AO18808" s="198"/>
    </row>
    <row r="18809" spans="35:41" ht="19.5" thickBot="1" x14ac:dyDescent="0.35">
      <c r="AI18809" s="1746" t="s">
        <v>150</v>
      </c>
      <c r="AJ18809" s="1747"/>
      <c r="AK18809" s="1748"/>
      <c r="AL18809" s="198"/>
      <c r="AM18809" s="198"/>
      <c r="AN18809" s="198"/>
      <c r="AO18809" s="198"/>
    </row>
    <row r="18810" spans="35:41" ht="19.5" thickBot="1" x14ac:dyDescent="0.35">
      <c r="AI18810" s="1746" t="s">
        <v>150</v>
      </c>
      <c r="AJ18810" s="1747"/>
      <c r="AK18810" s="1748"/>
      <c r="AL18810" s="198"/>
      <c r="AM18810" s="198"/>
      <c r="AN18810" s="198"/>
      <c r="AO18810" s="198"/>
    </row>
    <row r="18811" spans="35:41" ht="19.5" thickBot="1" x14ac:dyDescent="0.35">
      <c r="AI18811" s="1746" t="s">
        <v>150</v>
      </c>
      <c r="AJ18811" s="1747"/>
      <c r="AK18811" s="1748"/>
      <c r="AL18811" s="198"/>
      <c r="AM18811" s="198"/>
      <c r="AN18811" s="198"/>
      <c r="AO18811" s="198"/>
    </row>
    <row r="18812" spans="35:41" ht="19.5" thickBot="1" x14ac:dyDescent="0.35">
      <c r="AI18812" s="1746" t="s">
        <v>150</v>
      </c>
      <c r="AJ18812" s="1747"/>
      <c r="AK18812" s="1748"/>
      <c r="AL18812" s="198"/>
      <c r="AM18812" s="198"/>
      <c r="AN18812" s="198"/>
      <c r="AO18812" s="198"/>
    </row>
    <row r="18813" spans="35:41" ht="19.5" thickBot="1" x14ac:dyDescent="0.35">
      <c r="AI18813" s="1746" t="s">
        <v>150</v>
      </c>
      <c r="AJ18813" s="1747"/>
      <c r="AK18813" s="1748"/>
      <c r="AL18813" s="198"/>
      <c r="AM18813" s="198"/>
      <c r="AN18813" s="198"/>
      <c r="AO18813" s="198"/>
    </row>
    <row r="18814" spans="35:41" ht="19.5" thickBot="1" x14ac:dyDescent="0.35">
      <c r="AI18814" s="1746" t="s">
        <v>150</v>
      </c>
      <c r="AJ18814" s="1747"/>
      <c r="AK18814" s="1748"/>
      <c r="AL18814" s="198"/>
      <c r="AM18814" s="198"/>
      <c r="AN18814" s="198"/>
      <c r="AO18814" s="198"/>
    </row>
    <row r="18815" spans="35:41" ht="19.5" thickBot="1" x14ac:dyDescent="0.35">
      <c r="AI18815" s="1746" t="s">
        <v>150</v>
      </c>
      <c r="AJ18815" s="1747"/>
      <c r="AK18815" s="1748"/>
      <c r="AL18815" s="198"/>
      <c r="AM18815" s="198"/>
      <c r="AN18815" s="198"/>
      <c r="AO18815" s="198"/>
    </row>
    <row r="18816" spans="35:41" ht="19.5" thickBot="1" x14ac:dyDescent="0.35">
      <c r="AI18816" s="1746" t="s">
        <v>150</v>
      </c>
      <c r="AJ18816" s="1747"/>
      <c r="AK18816" s="1748"/>
      <c r="AL18816" s="198"/>
      <c r="AM18816" s="198"/>
      <c r="AN18816" s="198"/>
      <c r="AO18816" s="198"/>
    </row>
    <row r="18817" spans="35:41" ht="19.5" thickBot="1" x14ac:dyDescent="0.35">
      <c r="AI18817" s="1746" t="s">
        <v>150</v>
      </c>
      <c r="AJ18817" s="1747"/>
      <c r="AK18817" s="1748"/>
      <c r="AL18817" s="198"/>
      <c r="AM18817" s="198"/>
      <c r="AN18817" s="198"/>
      <c r="AO18817" s="198"/>
    </row>
    <row r="18818" spans="35:41" ht="19.5" thickBot="1" x14ac:dyDescent="0.35">
      <c r="AI18818" s="1746" t="s">
        <v>150</v>
      </c>
      <c r="AJ18818" s="1747"/>
      <c r="AK18818" s="1748"/>
      <c r="AL18818" s="198"/>
      <c r="AM18818" s="198"/>
      <c r="AN18818" s="198"/>
      <c r="AO18818" s="198"/>
    </row>
    <row r="18819" spans="35:41" ht="19.5" thickBot="1" x14ac:dyDescent="0.35">
      <c r="AI18819" s="1746" t="s">
        <v>150</v>
      </c>
      <c r="AJ18819" s="1747"/>
      <c r="AK18819" s="1748"/>
      <c r="AL18819" s="198"/>
      <c r="AM18819" s="198"/>
      <c r="AN18819" s="198"/>
      <c r="AO18819" s="198"/>
    </row>
    <row r="18820" spans="35:41" ht="19.5" thickBot="1" x14ac:dyDescent="0.35">
      <c r="AI18820" s="1746" t="s">
        <v>150</v>
      </c>
      <c r="AJ18820" s="1747"/>
      <c r="AK18820" s="1748"/>
      <c r="AL18820" s="198"/>
      <c r="AM18820" s="198"/>
      <c r="AN18820" s="198"/>
      <c r="AO18820" s="198"/>
    </row>
    <row r="18821" spans="35:41" ht="19.5" thickBot="1" x14ac:dyDescent="0.35">
      <c r="AI18821" s="1746" t="s">
        <v>150</v>
      </c>
      <c r="AJ18821" s="1747"/>
      <c r="AK18821" s="1748"/>
      <c r="AL18821" s="198"/>
      <c r="AM18821" s="198"/>
      <c r="AN18821" s="198"/>
      <c r="AO18821" s="198"/>
    </row>
    <row r="18822" spans="35:41" ht="19.5" thickBot="1" x14ac:dyDescent="0.35">
      <c r="AI18822" s="1746" t="s">
        <v>150</v>
      </c>
      <c r="AJ18822" s="1747"/>
      <c r="AK18822" s="1748"/>
      <c r="AL18822" s="198"/>
      <c r="AM18822" s="198"/>
      <c r="AN18822" s="198"/>
      <c r="AO18822" s="198"/>
    </row>
    <row r="18823" spans="35:41" ht="19.5" thickBot="1" x14ac:dyDescent="0.35">
      <c r="AI18823" s="1746" t="s">
        <v>150</v>
      </c>
      <c r="AJ18823" s="1747"/>
      <c r="AK18823" s="1748"/>
      <c r="AL18823" s="198"/>
      <c r="AM18823" s="198"/>
      <c r="AN18823" s="198"/>
      <c r="AO18823" s="198"/>
    </row>
    <row r="18824" spans="35:41" ht="19.5" thickBot="1" x14ac:dyDescent="0.35">
      <c r="AI18824" s="1746" t="s">
        <v>150</v>
      </c>
      <c r="AJ18824" s="1747"/>
      <c r="AK18824" s="1748"/>
      <c r="AL18824" s="198"/>
      <c r="AM18824" s="198"/>
      <c r="AN18824" s="198"/>
      <c r="AO18824" s="198"/>
    </row>
    <row r="18825" spans="35:41" ht="19.5" thickBot="1" x14ac:dyDescent="0.35">
      <c r="AI18825" s="1746" t="s">
        <v>150</v>
      </c>
      <c r="AJ18825" s="1747"/>
      <c r="AK18825" s="1748"/>
      <c r="AL18825" s="198"/>
      <c r="AM18825" s="198"/>
      <c r="AN18825" s="198"/>
      <c r="AO18825" s="198"/>
    </row>
    <row r="18826" spans="35:41" ht="19.5" thickBot="1" x14ac:dyDescent="0.35">
      <c r="AI18826" s="1746" t="s">
        <v>150</v>
      </c>
      <c r="AJ18826" s="1747"/>
      <c r="AK18826" s="1748"/>
      <c r="AL18826" s="198"/>
      <c r="AM18826" s="198"/>
      <c r="AN18826" s="198"/>
      <c r="AO18826" s="198"/>
    </row>
    <row r="18827" spans="35:41" ht="19.5" thickBot="1" x14ac:dyDescent="0.35">
      <c r="AI18827" s="1746" t="s">
        <v>150</v>
      </c>
      <c r="AJ18827" s="1747"/>
      <c r="AK18827" s="1748"/>
      <c r="AL18827" s="198"/>
      <c r="AM18827" s="198"/>
      <c r="AN18827" s="198"/>
      <c r="AO18827" s="198"/>
    </row>
    <row r="18828" spans="35:41" ht="19.5" thickBot="1" x14ac:dyDescent="0.35">
      <c r="AI18828" s="1746" t="s">
        <v>150</v>
      </c>
      <c r="AJ18828" s="1747"/>
      <c r="AK18828" s="1748"/>
      <c r="AL18828" s="198"/>
      <c r="AM18828" s="198"/>
      <c r="AN18828" s="198"/>
      <c r="AO18828" s="198"/>
    </row>
    <row r="18829" spans="35:41" ht="19.5" thickBot="1" x14ac:dyDescent="0.35">
      <c r="AI18829" s="1746" t="s">
        <v>150</v>
      </c>
      <c r="AJ18829" s="1747"/>
      <c r="AK18829" s="1748"/>
      <c r="AL18829" s="198"/>
      <c r="AM18829" s="198"/>
      <c r="AN18829" s="198"/>
      <c r="AO18829" s="198"/>
    </row>
    <row r="18830" spans="35:41" ht="19.5" thickBot="1" x14ac:dyDescent="0.35">
      <c r="AI18830" s="1746" t="s">
        <v>150</v>
      </c>
      <c r="AJ18830" s="1747"/>
      <c r="AK18830" s="1748"/>
      <c r="AL18830" s="198"/>
      <c r="AM18830" s="198"/>
      <c r="AN18830" s="198"/>
      <c r="AO18830" s="198"/>
    </row>
    <row r="18831" spans="35:41" ht="19.5" thickBot="1" x14ac:dyDescent="0.35">
      <c r="AI18831" s="1746" t="s">
        <v>150</v>
      </c>
      <c r="AJ18831" s="1747"/>
      <c r="AK18831" s="1748"/>
      <c r="AL18831" s="198"/>
      <c r="AM18831" s="198"/>
      <c r="AN18831" s="198"/>
      <c r="AO18831" s="198"/>
    </row>
    <row r="18832" spans="35:41" ht="19.5" thickBot="1" x14ac:dyDescent="0.35">
      <c r="AI18832" s="1746" t="s">
        <v>150</v>
      </c>
      <c r="AJ18832" s="1747"/>
      <c r="AK18832" s="1748"/>
      <c r="AL18832" s="198"/>
      <c r="AM18832" s="198"/>
      <c r="AN18832" s="198"/>
      <c r="AO18832" s="198"/>
    </row>
    <row r="18833" spans="35:41" ht="19.5" thickBot="1" x14ac:dyDescent="0.35">
      <c r="AI18833" s="1746" t="s">
        <v>150</v>
      </c>
      <c r="AJ18833" s="1747"/>
      <c r="AK18833" s="1748"/>
      <c r="AL18833" s="198"/>
      <c r="AM18833" s="198"/>
      <c r="AN18833" s="198"/>
      <c r="AO18833" s="198"/>
    </row>
    <row r="18834" spans="35:41" ht="19.5" thickBot="1" x14ac:dyDescent="0.35">
      <c r="AI18834" s="1746" t="s">
        <v>150</v>
      </c>
      <c r="AJ18834" s="1747"/>
      <c r="AK18834" s="1748"/>
      <c r="AL18834" s="198"/>
      <c r="AM18834" s="198"/>
      <c r="AN18834" s="198"/>
      <c r="AO18834" s="198"/>
    </row>
    <row r="18835" spans="35:41" ht="19.5" thickBot="1" x14ac:dyDescent="0.35">
      <c r="AI18835" s="1746" t="s">
        <v>150</v>
      </c>
      <c r="AJ18835" s="1747"/>
      <c r="AK18835" s="1748"/>
      <c r="AL18835" s="198"/>
      <c r="AM18835" s="198"/>
      <c r="AN18835" s="198"/>
      <c r="AO18835" s="198"/>
    </row>
    <row r="18836" spans="35:41" ht="19.5" thickBot="1" x14ac:dyDescent="0.35">
      <c r="AI18836" s="1746" t="s">
        <v>150</v>
      </c>
      <c r="AJ18836" s="1747"/>
      <c r="AK18836" s="1748"/>
      <c r="AL18836" s="198"/>
      <c r="AM18836" s="198"/>
      <c r="AN18836" s="198"/>
      <c r="AO18836" s="198"/>
    </row>
    <row r="18837" spans="35:41" ht="19.5" thickBot="1" x14ac:dyDescent="0.35">
      <c r="AI18837" s="1746" t="s">
        <v>150</v>
      </c>
      <c r="AJ18837" s="1747"/>
      <c r="AK18837" s="1748"/>
      <c r="AL18837" s="198"/>
      <c r="AM18837" s="198"/>
      <c r="AN18837" s="198"/>
      <c r="AO18837" s="198"/>
    </row>
    <row r="18838" spans="35:41" ht="19.5" thickBot="1" x14ac:dyDescent="0.35">
      <c r="AI18838" s="1746" t="s">
        <v>150</v>
      </c>
      <c r="AJ18838" s="1747"/>
      <c r="AK18838" s="1748"/>
      <c r="AL18838" s="198"/>
      <c r="AM18838" s="198"/>
      <c r="AN18838" s="198"/>
      <c r="AO18838" s="198"/>
    </row>
    <row r="18839" spans="35:41" ht="19.5" thickBot="1" x14ac:dyDescent="0.35">
      <c r="AI18839" s="1746" t="s">
        <v>150</v>
      </c>
      <c r="AJ18839" s="1747"/>
      <c r="AK18839" s="1748"/>
      <c r="AL18839" s="198"/>
      <c r="AM18839" s="198"/>
      <c r="AN18839" s="198"/>
      <c r="AO18839" s="198"/>
    </row>
    <row r="18840" spans="35:41" ht="19.5" thickBot="1" x14ac:dyDescent="0.35">
      <c r="AI18840" s="1746" t="s">
        <v>150</v>
      </c>
      <c r="AJ18840" s="1747"/>
      <c r="AK18840" s="1748"/>
      <c r="AL18840" s="198"/>
      <c r="AM18840" s="198"/>
      <c r="AN18840" s="198"/>
      <c r="AO18840" s="198"/>
    </row>
    <row r="18841" spans="35:41" ht="19.5" thickBot="1" x14ac:dyDescent="0.35">
      <c r="AI18841" s="1746" t="s">
        <v>150</v>
      </c>
      <c r="AJ18841" s="1747"/>
      <c r="AK18841" s="1748"/>
      <c r="AL18841" s="198"/>
      <c r="AM18841" s="198"/>
      <c r="AN18841" s="198"/>
      <c r="AO18841" s="198"/>
    </row>
    <row r="18842" spans="35:41" ht="19.5" thickBot="1" x14ac:dyDescent="0.35">
      <c r="AI18842" s="1746" t="s">
        <v>150</v>
      </c>
      <c r="AJ18842" s="1747"/>
      <c r="AK18842" s="1748"/>
      <c r="AL18842" s="198"/>
      <c r="AM18842" s="198"/>
      <c r="AN18842" s="198"/>
      <c r="AO18842" s="198"/>
    </row>
    <row r="18843" spans="35:41" ht="19.5" thickBot="1" x14ac:dyDescent="0.35">
      <c r="AI18843" s="1746" t="s">
        <v>150</v>
      </c>
      <c r="AJ18843" s="1747"/>
      <c r="AK18843" s="1748"/>
      <c r="AL18843" s="198"/>
      <c r="AM18843" s="198"/>
      <c r="AN18843" s="198"/>
      <c r="AO18843" s="198"/>
    </row>
    <row r="18844" spans="35:41" ht="19.5" thickBot="1" x14ac:dyDescent="0.35">
      <c r="AI18844" s="1746" t="s">
        <v>150</v>
      </c>
      <c r="AJ18844" s="1747"/>
      <c r="AK18844" s="1748"/>
      <c r="AL18844" s="198"/>
      <c r="AM18844" s="198"/>
      <c r="AN18844" s="198"/>
      <c r="AO18844" s="198"/>
    </row>
    <row r="18845" spans="35:41" ht="19.5" thickBot="1" x14ac:dyDescent="0.35">
      <c r="AI18845" s="1746" t="s">
        <v>150</v>
      </c>
      <c r="AJ18845" s="1747"/>
      <c r="AK18845" s="1748"/>
      <c r="AL18845" s="198"/>
      <c r="AM18845" s="198"/>
      <c r="AN18845" s="198"/>
      <c r="AO18845" s="198"/>
    </row>
    <row r="18846" spans="35:41" ht="19.5" thickBot="1" x14ac:dyDescent="0.35">
      <c r="AI18846" s="1746" t="s">
        <v>150</v>
      </c>
      <c r="AJ18846" s="1747"/>
      <c r="AK18846" s="1748"/>
      <c r="AL18846" s="198"/>
      <c r="AM18846" s="198"/>
      <c r="AN18846" s="198"/>
      <c r="AO18846" s="198"/>
    </row>
    <row r="18847" spans="35:41" ht="19.5" thickBot="1" x14ac:dyDescent="0.35">
      <c r="AI18847" s="1746" t="s">
        <v>150</v>
      </c>
      <c r="AJ18847" s="1747"/>
      <c r="AK18847" s="1748"/>
      <c r="AL18847" s="198"/>
      <c r="AM18847" s="198"/>
      <c r="AN18847" s="198"/>
      <c r="AO18847" s="198"/>
    </row>
    <row r="18848" spans="35:41" ht="19.5" thickBot="1" x14ac:dyDescent="0.35">
      <c r="AI18848" s="1746" t="s">
        <v>150</v>
      </c>
      <c r="AJ18848" s="1747"/>
      <c r="AK18848" s="1748"/>
      <c r="AL18848" s="198"/>
      <c r="AM18848" s="198"/>
      <c r="AN18848" s="198"/>
      <c r="AO18848" s="198"/>
    </row>
    <row r="18849" spans="35:41" ht="19.5" thickBot="1" x14ac:dyDescent="0.35">
      <c r="AI18849" s="1746" t="s">
        <v>150</v>
      </c>
      <c r="AJ18849" s="1747"/>
      <c r="AK18849" s="1748"/>
      <c r="AL18849" s="198"/>
      <c r="AM18849" s="198"/>
      <c r="AN18849" s="198"/>
      <c r="AO18849" s="198"/>
    </row>
    <row r="18850" spans="35:41" ht="19.5" thickBot="1" x14ac:dyDescent="0.35">
      <c r="AI18850" s="1746" t="s">
        <v>150</v>
      </c>
      <c r="AJ18850" s="1747"/>
      <c r="AK18850" s="1748"/>
      <c r="AL18850" s="198"/>
      <c r="AM18850" s="198"/>
      <c r="AN18850" s="198"/>
      <c r="AO18850" s="198"/>
    </row>
    <row r="18851" spans="35:41" ht="19.5" thickBot="1" x14ac:dyDescent="0.35">
      <c r="AI18851" s="1746" t="s">
        <v>150</v>
      </c>
      <c r="AJ18851" s="1747"/>
      <c r="AK18851" s="1748"/>
      <c r="AL18851" s="198"/>
      <c r="AM18851" s="198"/>
      <c r="AN18851" s="198"/>
      <c r="AO18851" s="198"/>
    </row>
    <row r="18852" spans="35:41" ht="19.5" thickBot="1" x14ac:dyDescent="0.35">
      <c r="AI18852" s="1746" t="s">
        <v>150</v>
      </c>
      <c r="AJ18852" s="1747"/>
      <c r="AK18852" s="1748"/>
      <c r="AL18852" s="198"/>
      <c r="AM18852" s="198"/>
      <c r="AN18852" s="198"/>
      <c r="AO18852" s="198"/>
    </row>
    <row r="18853" spans="35:41" ht="19.5" thickBot="1" x14ac:dyDescent="0.35">
      <c r="AI18853" s="1746" t="s">
        <v>150</v>
      </c>
      <c r="AJ18853" s="1747"/>
      <c r="AK18853" s="1748"/>
      <c r="AL18853" s="198"/>
      <c r="AM18853" s="198"/>
      <c r="AN18853" s="198"/>
      <c r="AO18853" s="198"/>
    </row>
    <row r="18854" spans="35:41" ht="19.5" thickBot="1" x14ac:dyDescent="0.35">
      <c r="AI18854" s="1746" t="s">
        <v>150</v>
      </c>
      <c r="AJ18854" s="1747"/>
      <c r="AK18854" s="1748"/>
      <c r="AL18854" s="198"/>
      <c r="AM18854" s="198"/>
      <c r="AN18854" s="198"/>
      <c r="AO18854" s="198"/>
    </row>
    <row r="18855" spans="35:41" ht="19.5" thickBot="1" x14ac:dyDescent="0.35">
      <c r="AI18855" s="1746" t="s">
        <v>150</v>
      </c>
      <c r="AJ18855" s="1747"/>
      <c r="AK18855" s="1748"/>
      <c r="AL18855" s="198"/>
      <c r="AM18855" s="198"/>
      <c r="AN18855" s="198"/>
      <c r="AO18855" s="198"/>
    </row>
    <row r="18856" spans="35:41" ht="19.5" thickBot="1" x14ac:dyDescent="0.35">
      <c r="AI18856" s="1746" t="s">
        <v>150</v>
      </c>
      <c r="AJ18856" s="1747"/>
      <c r="AK18856" s="1748"/>
      <c r="AL18856" s="198"/>
      <c r="AM18856" s="198"/>
      <c r="AN18856" s="198"/>
      <c r="AO18856" s="198"/>
    </row>
    <row r="18857" spans="35:41" ht="19.5" thickBot="1" x14ac:dyDescent="0.35">
      <c r="AI18857" s="1746" t="s">
        <v>150</v>
      </c>
      <c r="AJ18857" s="1747"/>
      <c r="AK18857" s="1748"/>
      <c r="AL18857" s="198"/>
      <c r="AM18857" s="198"/>
      <c r="AN18857" s="198"/>
      <c r="AO18857" s="198"/>
    </row>
    <row r="18858" spans="35:41" ht="19.5" thickBot="1" x14ac:dyDescent="0.35">
      <c r="AI18858" s="1746" t="s">
        <v>150</v>
      </c>
      <c r="AJ18858" s="1747"/>
      <c r="AK18858" s="1748"/>
      <c r="AL18858" s="198"/>
      <c r="AM18858" s="198"/>
      <c r="AN18858" s="198"/>
      <c r="AO18858" s="198"/>
    </row>
    <row r="18859" spans="35:41" ht="19.5" thickBot="1" x14ac:dyDescent="0.35">
      <c r="AI18859" s="1746" t="s">
        <v>150</v>
      </c>
      <c r="AJ18859" s="1747"/>
      <c r="AK18859" s="1748"/>
      <c r="AL18859" s="198"/>
      <c r="AM18859" s="198"/>
      <c r="AN18859" s="198"/>
      <c r="AO18859" s="198"/>
    </row>
    <row r="18860" spans="35:41" ht="19.5" thickBot="1" x14ac:dyDescent="0.35">
      <c r="AI18860" s="1746" t="s">
        <v>150</v>
      </c>
      <c r="AJ18860" s="1747"/>
      <c r="AK18860" s="1748"/>
      <c r="AL18860" s="198"/>
      <c r="AM18860" s="198"/>
      <c r="AN18860" s="198"/>
      <c r="AO18860" s="198"/>
    </row>
    <row r="18861" spans="35:41" ht="19.5" thickBot="1" x14ac:dyDescent="0.35">
      <c r="AI18861" s="1746" t="s">
        <v>150</v>
      </c>
      <c r="AJ18861" s="1747"/>
      <c r="AK18861" s="1748"/>
      <c r="AL18861" s="198"/>
      <c r="AM18861" s="198"/>
      <c r="AN18861" s="198"/>
      <c r="AO18861" s="198"/>
    </row>
    <row r="18862" spans="35:41" ht="19.5" thickBot="1" x14ac:dyDescent="0.35">
      <c r="AI18862" s="1746" t="s">
        <v>150</v>
      </c>
      <c r="AJ18862" s="1747"/>
      <c r="AK18862" s="1748"/>
      <c r="AL18862" s="198"/>
      <c r="AM18862" s="198"/>
      <c r="AN18862" s="198"/>
      <c r="AO18862" s="198"/>
    </row>
    <row r="18863" spans="35:41" ht="19.5" thickBot="1" x14ac:dyDescent="0.35">
      <c r="AI18863" s="1746" t="s">
        <v>150</v>
      </c>
      <c r="AJ18863" s="1747"/>
      <c r="AK18863" s="1748"/>
      <c r="AL18863" s="198"/>
      <c r="AM18863" s="198"/>
      <c r="AN18863" s="198"/>
      <c r="AO18863" s="198"/>
    </row>
    <row r="18864" spans="35:41" ht="19.5" thickBot="1" x14ac:dyDescent="0.35">
      <c r="AI18864" s="1746" t="s">
        <v>150</v>
      </c>
      <c r="AJ18864" s="1747"/>
      <c r="AK18864" s="1748"/>
      <c r="AL18864" s="198"/>
      <c r="AM18864" s="198"/>
      <c r="AN18864" s="198"/>
      <c r="AO18864" s="198"/>
    </row>
    <row r="18865" spans="35:41" ht="19.5" thickBot="1" x14ac:dyDescent="0.35">
      <c r="AI18865" s="1746" t="s">
        <v>150</v>
      </c>
      <c r="AJ18865" s="1747"/>
      <c r="AK18865" s="1748"/>
      <c r="AL18865" s="198"/>
      <c r="AM18865" s="198"/>
      <c r="AN18865" s="198"/>
      <c r="AO18865" s="198"/>
    </row>
    <row r="18866" spans="35:41" ht="19.5" thickBot="1" x14ac:dyDescent="0.35">
      <c r="AI18866" s="1746" t="s">
        <v>150</v>
      </c>
      <c r="AJ18866" s="1747"/>
      <c r="AK18866" s="1748"/>
      <c r="AL18866" s="198"/>
      <c r="AM18866" s="198"/>
      <c r="AN18866" s="198"/>
      <c r="AO18866" s="198"/>
    </row>
    <row r="18867" spans="35:41" ht="19.5" thickBot="1" x14ac:dyDescent="0.35">
      <c r="AI18867" s="1746" t="s">
        <v>150</v>
      </c>
      <c r="AJ18867" s="1747"/>
      <c r="AK18867" s="1748"/>
      <c r="AL18867" s="198"/>
      <c r="AM18867" s="198"/>
      <c r="AN18867" s="198"/>
      <c r="AO18867" s="198"/>
    </row>
    <row r="18868" spans="35:41" ht="19.5" thickBot="1" x14ac:dyDescent="0.35">
      <c r="AI18868" s="1746" t="s">
        <v>150</v>
      </c>
      <c r="AJ18868" s="1747"/>
      <c r="AK18868" s="1748"/>
      <c r="AL18868" s="198"/>
      <c r="AM18868" s="198"/>
      <c r="AN18868" s="198"/>
      <c r="AO18868" s="198"/>
    </row>
    <row r="18869" spans="35:41" ht="19.5" thickBot="1" x14ac:dyDescent="0.35">
      <c r="AI18869" s="1746" t="s">
        <v>150</v>
      </c>
      <c r="AJ18869" s="1747"/>
      <c r="AK18869" s="1748"/>
      <c r="AL18869" s="198"/>
      <c r="AM18869" s="198"/>
      <c r="AN18869" s="198"/>
      <c r="AO18869" s="198"/>
    </row>
    <row r="18870" spans="35:41" ht="19.5" thickBot="1" x14ac:dyDescent="0.35">
      <c r="AI18870" s="1746" t="s">
        <v>150</v>
      </c>
      <c r="AJ18870" s="1747"/>
      <c r="AK18870" s="1748"/>
      <c r="AL18870" s="198"/>
      <c r="AM18870" s="198"/>
      <c r="AN18870" s="198"/>
      <c r="AO18870" s="198"/>
    </row>
    <row r="18871" spans="35:41" ht="19.5" thickBot="1" x14ac:dyDescent="0.35">
      <c r="AI18871" s="1746" t="s">
        <v>150</v>
      </c>
      <c r="AJ18871" s="1747"/>
      <c r="AK18871" s="1748"/>
      <c r="AL18871" s="198"/>
      <c r="AM18871" s="198"/>
      <c r="AN18871" s="198"/>
      <c r="AO18871" s="198"/>
    </row>
    <row r="18872" spans="35:41" ht="19.5" thickBot="1" x14ac:dyDescent="0.35">
      <c r="AI18872" s="1746" t="s">
        <v>150</v>
      </c>
      <c r="AJ18872" s="1747"/>
      <c r="AK18872" s="1748"/>
      <c r="AL18872" s="198"/>
      <c r="AM18872" s="198"/>
      <c r="AN18872" s="198"/>
      <c r="AO18872" s="198"/>
    </row>
    <row r="18873" spans="35:41" ht="19.5" thickBot="1" x14ac:dyDescent="0.35">
      <c r="AI18873" s="1746" t="s">
        <v>150</v>
      </c>
      <c r="AJ18873" s="1747"/>
      <c r="AK18873" s="1748"/>
      <c r="AL18873" s="198"/>
      <c r="AM18873" s="198"/>
      <c r="AN18873" s="198"/>
      <c r="AO18873" s="198"/>
    </row>
    <row r="18874" spans="35:41" ht="19.5" thickBot="1" x14ac:dyDescent="0.35">
      <c r="AI18874" s="1746" t="s">
        <v>150</v>
      </c>
      <c r="AJ18874" s="1747"/>
      <c r="AK18874" s="1748"/>
      <c r="AL18874" s="198"/>
      <c r="AM18874" s="198"/>
      <c r="AN18874" s="198"/>
      <c r="AO18874" s="198"/>
    </row>
    <row r="18875" spans="35:41" ht="19.5" thickBot="1" x14ac:dyDescent="0.35">
      <c r="AI18875" s="1746" t="s">
        <v>150</v>
      </c>
      <c r="AJ18875" s="1747"/>
      <c r="AK18875" s="1748"/>
      <c r="AL18875" s="198"/>
      <c r="AM18875" s="198"/>
      <c r="AN18875" s="198"/>
      <c r="AO18875" s="198"/>
    </row>
    <row r="18876" spans="35:41" ht="19.5" thickBot="1" x14ac:dyDescent="0.35">
      <c r="AI18876" s="1746" t="s">
        <v>150</v>
      </c>
      <c r="AJ18876" s="1747"/>
      <c r="AK18876" s="1748"/>
      <c r="AL18876" s="198"/>
      <c r="AM18876" s="198"/>
      <c r="AN18876" s="198"/>
      <c r="AO18876" s="198"/>
    </row>
    <row r="18877" spans="35:41" ht="19.5" thickBot="1" x14ac:dyDescent="0.35">
      <c r="AI18877" s="1746" t="s">
        <v>150</v>
      </c>
      <c r="AJ18877" s="1747"/>
      <c r="AK18877" s="1748"/>
      <c r="AL18877" s="198"/>
      <c r="AM18877" s="198"/>
      <c r="AN18877" s="198"/>
      <c r="AO18877" s="198"/>
    </row>
    <row r="18878" spans="35:41" ht="19.5" thickBot="1" x14ac:dyDescent="0.35">
      <c r="AI18878" s="1746" t="s">
        <v>150</v>
      </c>
      <c r="AJ18878" s="1747"/>
      <c r="AK18878" s="1748"/>
      <c r="AL18878" s="198"/>
      <c r="AM18878" s="198"/>
      <c r="AN18878" s="198"/>
      <c r="AO18878" s="198"/>
    </row>
    <row r="18879" spans="35:41" ht="19.5" thickBot="1" x14ac:dyDescent="0.35">
      <c r="AI18879" s="1746" t="s">
        <v>150</v>
      </c>
      <c r="AJ18879" s="1747"/>
      <c r="AK18879" s="1748"/>
      <c r="AL18879" s="198"/>
      <c r="AM18879" s="198"/>
      <c r="AN18879" s="198"/>
      <c r="AO18879" s="198"/>
    </row>
    <row r="18880" spans="35:41" ht="19.5" thickBot="1" x14ac:dyDescent="0.35">
      <c r="AI18880" s="1746" t="s">
        <v>150</v>
      </c>
      <c r="AJ18880" s="1747"/>
      <c r="AK18880" s="1748"/>
      <c r="AL18880" s="198"/>
      <c r="AM18880" s="198"/>
      <c r="AN18880" s="198"/>
      <c r="AO18880" s="198"/>
    </row>
    <row r="18881" spans="35:41" ht="19.5" thickBot="1" x14ac:dyDescent="0.35">
      <c r="AI18881" s="1746" t="s">
        <v>150</v>
      </c>
      <c r="AJ18881" s="1747"/>
      <c r="AK18881" s="1748"/>
      <c r="AL18881" s="198"/>
      <c r="AM18881" s="198"/>
      <c r="AN18881" s="198"/>
      <c r="AO18881" s="198"/>
    </row>
    <row r="18882" spans="35:41" ht="19.5" thickBot="1" x14ac:dyDescent="0.35">
      <c r="AI18882" s="1746" t="s">
        <v>150</v>
      </c>
      <c r="AJ18882" s="1747"/>
      <c r="AK18882" s="1748"/>
      <c r="AL18882" s="198"/>
      <c r="AM18882" s="198"/>
      <c r="AN18882" s="198"/>
      <c r="AO18882" s="198"/>
    </row>
    <row r="18883" spans="35:41" ht="19.5" thickBot="1" x14ac:dyDescent="0.35">
      <c r="AI18883" s="1746" t="s">
        <v>150</v>
      </c>
      <c r="AJ18883" s="1747"/>
      <c r="AK18883" s="1748"/>
      <c r="AL18883" s="198"/>
      <c r="AM18883" s="198"/>
      <c r="AN18883" s="198"/>
      <c r="AO18883" s="198"/>
    </row>
    <row r="18884" spans="35:41" ht="19.5" thickBot="1" x14ac:dyDescent="0.35">
      <c r="AI18884" s="1746" t="s">
        <v>150</v>
      </c>
      <c r="AJ18884" s="1747"/>
      <c r="AK18884" s="1748"/>
      <c r="AL18884" s="198"/>
      <c r="AM18884" s="198"/>
      <c r="AN18884" s="198"/>
      <c r="AO18884" s="198"/>
    </row>
    <row r="18885" spans="35:41" ht="19.5" thickBot="1" x14ac:dyDescent="0.35">
      <c r="AI18885" s="1746" t="s">
        <v>150</v>
      </c>
      <c r="AJ18885" s="1747"/>
      <c r="AK18885" s="1748"/>
      <c r="AL18885" s="198"/>
      <c r="AM18885" s="198"/>
      <c r="AN18885" s="198"/>
      <c r="AO18885" s="198"/>
    </row>
    <row r="18886" spans="35:41" ht="19.5" thickBot="1" x14ac:dyDescent="0.35">
      <c r="AI18886" s="1746" t="s">
        <v>150</v>
      </c>
      <c r="AJ18886" s="1747"/>
      <c r="AK18886" s="1748"/>
      <c r="AL18886" s="198"/>
      <c r="AM18886" s="198"/>
      <c r="AN18886" s="198"/>
      <c r="AO18886" s="198"/>
    </row>
    <row r="18887" spans="35:41" ht="19.5" thickBot="1" x14ac:dyDescent="0.35">
      <c r="AI18887" s="1746" t="s">
        <v>150</v>
      </c>
      <c r="AJ18887" s="1747"/>
      <c r="AK18887" s="1748"/>
      <c r="AL18887" s="198"/>
      <c r="AM18887" s="198"/>
      <c r="AN18887" s="198"/>
      <c r="AO18887" s="198"/>
    </row>
    <row r="18888" spans="35:41" ht="19.5" thickBot="1" x14ac:dyDescent="0.35">
      <c r="AI18888" s="1746" t="s">
        <v>150</v>
      </c>
      <c r="AJ18888" s="1747"/>
      <c r="AK18888" s="1748"/>
      <c r="AL18888" s="198"/>
      <c r="AM18888" s="198"/>
      <c r="AN18888" s="198"/>
      <c r="AO18888" s="198"/>
    </row>
    <row r="18889" spans="35:41" ht="19.5" thickBot="1" x14ac:dyDescent="0.35">
      <c r="AI18889" s="1746" t="s">
        <v>150</v>
      </c>
      <c r="AJ18889" s="1747"/>
      <c r="AK18889" s="1748"/>
      <c r="AL18889" s="198"/>
      <c r="AM18889" s="198"/>
      <c r="AN18889" s="198"/>
      <c r="AO18889" s="198"/>
    </row>
    <row r="18890" spans="35:41" ht="19.5" thickBot="1" x14ac:dyDescent="0.35">
      <c r="AI18890" s="1746" t="s">
        <v>150</v>
      </c>
      <c r="AJ18890" s="1747"/>
      <c r="AK18890" s="1748"/>
      <c r="AL18890" s="198"/>
      <c r="AM18890" s="198"/>
      <c r="AN18890" s="198"/>
      <c r="AO18890" s="198"/>
    </row>
    <row r="18891" spans="35:41" ht="19.5" thickBot="1" x14ac:dyDescent="0.35">
      <c r="AI18891" s="1746" t="s">
        <v>150</v>
      </c>
      <c r="AJ18891" s="1747"/>
      <c r="AK18891" s="1748"/>
      <c r="AL18891" s="198"/>
      <c r="AM18891" s="198"/>
      <c r="AN18891" s="198"/>
      <c r="AO18891" s="198"/>
    </row>
    <row r="18892" spans="35:41" ht="19.5" thickBot="1" x14ac:dyDescent="0.35">
      <c r="AI18892" s="1746" t="s">
        <v>150</v>
      </c>
      <c r="AJ18892" s="1747"/>
      <c r="AK18892" s="1748"/>
      <c r="AL18892" s="198"/>
      <c r="AM18892" s="198"/>
      <c r="AN18892" s="198"/>
      <c r="AO18892" s="198"/>
    </row>
    <row r="18893" spans="35:41" ht="19.5" thickBot="1" x14ac:dyDescent="0.35">
      <c r="AI18893" s="1746" t="s">
        <v>150</v>
      </c>
      <c r="AJ18893" s="1747"/>
      <c r="AK18893" s="1748"/>
      <c r="AL18893" s="198"/>
      <c r="AM18893" s="198"/>
      <c r="AN18893" s="198"/>
      <c r="AO18893" s="198"/>
    </row>
    <row r="18894" spans="35:41" ht="19.5" thickBot="1" x14ac:dyDescent="0.35">
      <c r="AI18894" s="1746" t="s">
        <v>150</v>
      </c>
      <c r="AJ18894" s="1747"/>
      <c r="AK18894" s="1748"/>
      <c r="AL18894" s="198"/>
      <c r="AM18894" s="198"/>
      <c r="AN18894" s="198"/>
      <c r="AO18894" s="198"/>
    </row>
    <row r="18895" spans="35:41" ht="19.5" thickBot="1" x14ac:dyDescent="0.35">
      <c r="AI18895" s="1746" t="s">
        <v>150</v>
      </c>
      <c r="AJ18895" s="1747"/>
      <c r="AK18895" s="1748"/>
      <c r="AL18895" s="198"/>
      <c r="AM18895" s="198"/>
      <c r="AN18895" s="198"/>
      <c r="AO18895" s="198"/>
    </row>
    <row r="18896" spans="35:41" ht="19.5" thickBot="1" x14ac:dyDescent="0.35">
      <c r="AI18896" s="1746" t="s">
        <v>150</v>
      </c>
      <c r="AJ18896" s="1747"/>
      <c r="AK18896" s="1748"/>
      <c r="AL18896" s="198"/>
      <c r="AM18896" s="198"/>
      <c r="AN18896" s="198"/>
      <c r="AO18896" s="198"/>
    </row>
    <row r="18897" spans="35:41" ht="19.5" thickBot="1" x14ac:dyDescent="0.35">
      <c r="AI18897" s="1746" t="s">
        <v>150</v>
      </c>
      <c r="AJ18897" s="1747"/>
      <c r="AK18897" s="1748"/>
      <c r="AL18897" s="198"/>
      <c r="AM18897" s="198"/>
      <c r="AN18897" s="198"/>
      <c r="AO18897" s="198"/>
    </row>
    <row r="18898" spans="35:41" ht="19.5" thickBot="1" x14ac:dyDescent="0.35">
      <c r="AI18898" s="1746" t="s">
        <v>150</v>
      </c>
      <c r="AJ18898" s="1747"/>
      <c r="AK18898" s="1748"/>
      <c r="AL18898" s="198"/>
      <c r="AM18898" s="198"/>
      <c r="AN18898" s="198"/>
      <c r="AO18898" s="198"/>
    </row>
    <row r="18899" spans="35:41" ht="19.5" thickBot="1" x14ac:dyDescent="0.35">
      <c r="AI18899" s="1746" t="s">
        <v>150</v>
      </c>
      <c r="AJ18899" s="1747"/>
      <c r="AK18899" s="1748"/>
      <c r="AL18899" s="198"/>
      <c r="AM18899" s="198"/>
      <c r="AN18899" s="198"/>
      <c r="AO18899" s="198"/>
    </row>
    <row r="18900" spans="35:41" ht="19.5" thickBot="1" x14ac:dyDescent="0.35">
      <c r="AI18900" s="1746" t="s">
        <v>150</v>
      </c>
      <c r="AJ18900" s="1747"/>
      <c r="AK18900" s="1748"/>
      <c r="AL18900" s="198"/>
      <c r="AM18900" s="198"/>
      <c r="AN18900" s="198"/>
      <c r="AO18900" s="198"/>
    </row>
    <row r="18901" spans="35:41" ht="19.5" thickBot="1" x14ac:dyDescent="0.35">
      <c r="AI18901" s="1746" t="s">
        <v>150</v>
      </c>
      <c r="AJ18901" s="1747"/>
      <c r="AK18901" s="1748"/>
      <c r="AL18901" s="198"/>
      <c r="AM18901" s="198"/>
      <c r="AN18901" s="198"/>
      <c r="AO18901" s="198"/>
    </row>
    <row r="18902" spans="35:41" ht="19.5" thickBot="1" x14ac:dyDescent="0.35">
      <c r="AI18902" s="1746" t="s">
        <v>150</v>
      </c>
      <c r="AJ18902" s="1747"/>
      <c r="AK18902" s="1748"/>
      <c r="AL18902" s="198"/>
      <c r="AM18902" s="198"/>
      <c r="AN18902" s="198"/>
      <c r="AO18902" s="198"/>
    </row>
    <row r="18903" spans="35:41" ht="19.5" thickBot="1" x14ac:dyDescent="0.35">
      <c r="AI18903" s="1746" t="s">
        <v>150</v>
      </c>
      <c r="AJ18903" s="1747"/>
      <c r="AK18903" s="1748"/>
      <c r="AL18903" s="198"/>
      <c r="AM18903" s="198"/>
      <c r="AN18903" s="198"/>
      <c r="AO18903" s="198"/>
    </row>
    <row r="18904" spans="35:41" ht="19.5" thickBot="1" x14ac:dyDescent="0.35">
      <c r="AI18904" s="1746" t="s">
        <v>150</v>
      </c>
      <c r="AJ18904" s="1747"/>
      <c r="AK18904" s="1748"/>
      <c r="AL18904" s="198"/>
      <c r="AM18904" s="198"/>
      <c r="AN18904" s="198"/>
      <c r="AO18904" s="198"/>
    </row>
    <row r="18905" spans="35:41" ht="19.5" thickBot="1" x14ac:dyDescent="0.35">
      <c r="AI18905" s="1746" t="s">
        <v>150</v>
      </c>
      <c r="AJ18905" s="1747"/>
      <c r="AK18905" s="1748"/>
      <c r="AL18905" s="198"/>
      <c r="AM18905" s="198"/>
      <c r="AN18905" s="198"/>
      <c r="AO18905" s="198"/>
    </row>
    <row r="18906" spans="35:41" ht="19.5" thickBot="1" x14ac:dyDescent="0.35">
      <c r="AI18906" s="1746" t="s">
        <v>150</v>
      </c>
      <c r="AJ18906" s="1747"/>
      <c r="AK18906" s="1748"/>
      <c r="AL18906" s="198"/>
      <c r="AM18906" s="198"/>
      <c r="AN18906" s="198"/>
      <c r="AO18906" s="198"/>
    </row>
    <row r="18907" spans="35:41" ht="19.5" thickBot="1" x14ac:dyDescent="0.35">
      <c r="AI18907" s="1746" t="s">
        <v>150</v>
      </c>
      <c r="AJ18907" s="1747"/>
      <c r="AK18907" s="1748"/>
      <c r="AL18907" s="198"/>
      <c r="AM18907" s="198"/>
      <c r="AN18907" s="198"/>
      <c r="AO18907" s="198"/>
    </row>
    <row r="18908" spans="35:41" ht="19.5" thickBot="1" x14ac:dyDescent="0.35">
      <c r="AI18908" s="1746" t="s">
        <v>150</v>
      </c>
      <c r="AJ18908" s="1747"/>
      <c r="AK18908" s="1748"/>
      <c r="AL18908" s="198"/>
      <c r="AM18908" s="198"/>
      <c r="AN18908" s="198"/>
      <c r="AO18908" s="198"/>
    </row>
    <row r="18909" spans="35:41" ht="19.5" thickBot="1" x14ac:dyDescent="0.35">
      <c r="AI18909" s="1746" t="s">
        <v>150</v>
      </c>
      <c r="AJ18909" s="1747"/>
      <c r="AK18909" s="1748"/>
      <c r="AL18909" s="198"/>
      <c r="AM18909" s="198"/>
      <c r="AN18909" s="198"/>
      <c r="AO18909" s="198"/>
    </row>
    <row r="18910" spans="35:41" ht="19.5" thickBot="1" x14ac:dyDescent="0.35">
      <c r="AI18910" s="1746" t="s">
        <v>150</v>
      </c>
      <c r="AJ18910" s="1747"/>
      <c r="AK18910" s="1748"/>
      <c r="AL18910" s="198"/>
      <c r="AM18910" s="198"/>
      <c r="AN18910" s="198"/>
      <c r="AO18910" s="198"/>
    </row>
    <row r="18911" spans="35:41" ht="19.5" thickBot="1" x14ac:dyDescent="0.35">
      <c r="AI18911" s="1746" t="s">
        <v>150</v>
      </c>
      <c r="AJ18911" s="1747"/>
      <c r="AK18911" s="1748"/>
      <c r="AL18911" s="198"/>
      <c r="AM18911" s="198"/>
      <c r="AN18911" s="198"/>
      <c r="AO18911" s="198"/>
    </row>
    <row r="18912" spans="35:41" ht="19.5" thickBot="1" x14ac:dyDescent="0.35">
      <c r="AI18912" s="1746" t="s">
        <v>150</v>
      </c>
      <c r="AJ18912" s="1747"/>
      <c r="AK18912" s="1748"/>
      <c r="AL18912" s="198"/>
      <c r="AM18912" s="198"/>
      <c r="AN18912" s="198"/>
      <c r="AO18912" s="198"/>
    </row>
    <row r="18913" spans="35:41" ht="19.5" thickBot="1" x14ac:dyDescent="0.35">
      <c r="AI18913" s="1746" t="s">
        <v>150</v>
      </c>
      <c r="AJ18913" s="1747"/>
      <c r="AK18913" s="1748"/>
      <c r="AL18913" s="198"/>
      <c r="AM18913" s="198"/>
      <c r="AN18913" s="198"/>
      <c r="AO18913" s="198"/>
    </row>
    <row r="18914" spans="35:41" ht="19.5" thickBot="1" x14ac:dyDescent="0.35">
      <c r="AI18914" s="1746" t="s">
        <v>150</v>
      </c>
      <c r="AJ18914" s="1747"/>
      <c r="AK18914" s="1748"/>
      <c r="AL18914" s="198"/>
      <c r="AM18914" s="198"/>
      <c r="AN18914" s="198"/>
      <c r="AO18914" s="198"/>
    </row>
    <row r="18915" spans="35:41" ht="19.5" thickBot="1" x14ac:dyDescent="0.35">
      <c r="AI18915" s="1746" t="s">
        <v>150</v>
      </c>
      <c r="AJ18915" s="1747"/>
      <c r="AK18915" s="1748"/>
      <c r="AL18915" s="198"/>
      <c r="AM18915" s="198"/>
      <c r="AN18915" s="198"/>
      <c r="AO18915" s="198"/>
    </row>
    <row r="18916" spans="35:41" ht="19.5" thickBot="1" x14ac:dyDescent="0.35">
      <c r="AI18916" s="1746" t="s">
        <v>150</v>
      </c>
      <c r="AJ18916" s="1747"/>
      <c r="AK18916" s="1748"/>
      <c r="AL18916" s="198"/>
      <c r="AM18916" s="198"/>
      <c r="AN18916" s="198"/>
      <c r="AO18916" s="198"/>
    </row>
    <row r="18917" spans="35:41" ht="19.5" thickBot="1" x14ac:dyDescent="0.35">
      <c r="AI18917" s="1746" t="s">
        <v>150</v>
      </c>
      <c r="AJ18917" s="1747"/>
      <c r="AK18917" s="1748"/>
      <c r="AL18917" s="198"/>
      <c r="AM18917" s="198"/>
      <c r="AN18917" s="198"/>
      <c r="AO18917" s="198"/>
    </row>
    <row r="18918" spans="35:41" ht="19.5" thickBot="1" x14ac:dyDescent="0.35">
      <c r="AI18918" s="1746" t="s">
        <v>150</v>
      </c>
      <c r="AJ18918" s="1747"/>
      <c r="AK18918" s="1748"/>
      <c r="AL18918" s="198"/>
      <c r="AM18918" s="198"/>
      <c r="AN18918" s="198"/>
      <c r="AO18918" s="198"/>
    </row>
    <row r="18919" spans="35:41" ht="19.5" thickBot="1" x14ac:dyDescent="0.35">
      <c r="AI18919" s="1746" t="s">
        <v>150</v>
      </c>
      <c r="AJ18919" s="1747"/>
      <c r="AK18919" s="1748"/>
      <c r="AL18919" s="198"/>
      <c r="AM18919" s="198"/>
      <c r="AN18919" s="198"/>
      <c r="AO18919" s="198"/>
    </row>
    <row r="18920" spans="35:41" ht="19.5" thickBot="1" x14ac:dyDescent="0.35">
      <c r="AI18920" s="1746" t="s">
        <v>150</v>
      </c>
      <c r="AJ18920" s="1747"/>
      <c r="AK18920" s="1748"/>
      <c r="AL18920" s="198"/>
      <c r="AM18920" s="198"/>
      <c r="AN18920" s="198"/>
      <c r="AO18920" s="198"/>
    </row>
    <row r="18921" spans="35:41" ht="19.5" thickBot="1" x14ac:dyDescent="0.35">
      <c r="AI18921" s="1746" t="s">
        <v>150</v>
      </c>
      <c r="AJ18921" s="1747"/>
      <c r="AK18921" s="1748"/>
      <c r="AL18921" s="198"/>
      <c r="AM18921" s="198"/>
      <c r="AN18921" s="198"/>
      <c r="AO18921" s="198"/>
    </row>
    <row r="18922" spans="35:41" ht="19.5" thickBot="1" x14ac:dyDescent="0.35">
      <c r="AI18922" s="1746" t="s">
        <v>150</v>
      </c>
      <c r="AJ18922" s="1747"/>
      <c r="AK18922" s="1748"/>
      <c r="AL18922" s="198"/>
      <c r="AM18922" s="198"/>
      <c r="AN18922" s="198"/>
      <c r="AO18922" s="198"/>
    </row>
    <row r="18923" spans="35:41" ht="19.5" thickBot="1" x14ac:dyDescent="0.35">
      <c r="AI18923" s="1746" t="s">
        <v>150</v>
      </c>
      <c r="AJ18923" s="1747"/>
      <c r="AK18923" s="1748"/>
      <c r="AL18923" s="198"/>
      <c r="AM18923" s="198"/>
      <c r="AN18923" s="198"/>
      <c r="AO18923" s="198"/>
    </row>
    <row r="18924" spans="35:41" ht="19.5" thickBot="1" x14ac:dyDescent="0.35">
      <c r="AI18924" s="1746" t="s">
        <v>150</v>
      </c>
      <c r="AJ18924" s="1747"/>
      <c r="AK18924" s="1748"/>
      <c r="AL18924" s="198"/>
      <c r="AM18924" s="198"/>
      <c r="AN18924" s="198"/>
      <c r="AO18924" s="198"/>
    </row>
    <row r="18925" spans="35:41" ht="19.5" thickBot="1" x14ac:dyDescent="0.35">
      <c r="AI18925" s="1746" t="s">
        <v>150</v>
      </c>
      <c r="AJ18925" s="1747"/>
      <c r="AK18925" s="1748"/>
      <c r="AL18925" s="198"/>
      <c r="AM18925" s="198"/>
      <c r="AN18925" s="198"/>
      <c r="AO18925" s="198"/>
    </row>
    <row r="18926" spans="35:41" ht="19.5" thickBot="1" x14ac:dyDescent="0.35">
      <c r="AI18926" s="1746" t="s">
        <v>150</v>
      </c>
      <c r="AJ18926" s="1747"/>
      <c r="AK18926" s="1748"/>
      <c r="AL18926" s="198"/>
      <c r="AM18926" s="198"/>
      <c r="AN18926" s="198"/>
      <c r="AO18926" s="198"/>
    </row>
    <row r="18927" spans="35:41" ht="19.5" thickBot="1" x14ac:dyDescent="0.35">
      <c r="AI18927" s="1746" t="s">
        <v>150</v>
      </c>
      <c r="AJ18927" s="1747"/>
      <c r="AK18927" s="1748"/>
      <c r="AL18927" s="198"/>
      <c r="AM18927" s="198"/>
      <c r="AN18927" s="198"/>
      <c r="AO18927" s="198"/>
    </row>
    <row r="18928" spans="35:41" ht="19.5" thickBot="1" x14ac:dyDescent="0.35">
      <c r="AI18928" s="1746" t="s">
        <v>150</v>
      </c>
      <c r="AJ18928" s="1747"/>
      <c r="AK18928" s="1748"/>
      <c r="AL18928" s="198"/>
      <c r="AM18928" s="198"/>
      <c r="AN18928" s="198"/>
      <c r="AO18928" s="198"/>
    </row>
    <row r="18929" spans="35:41" ht="19.5" thickBot="1" x14ac:dyDescent="0.35">
      <c r="AI18929" s="1746" t="s">
        <v>150</v>
      </c>
      <c r="AJ18929" s="1747"/>
      <c r="AK18929" s="1748"/>
      <c r="AL18929" s="198"/>
      <c r="AM18929" s="198"/>
      <c r="AN18929" s="198"/>
      <c r="AO18929" s="198"/>
    </row>
    <row r="18930" spans="35:41" ht="19.5" thickBot="1" x14ac:dyDescent="0.35">
      <c r="AI18930" s="1746" t="s">
        <v>150</v>
      </c>
      <c r="AJ18930" s="1747"/>
      <c r="AK18930" s="1748"/>
      <c r="AL18930" s="198"/>
      <c r="AM18930" s="198"/>
      <c r="AN18930" s="198"/>
      <c r="AO18930" s="198"/>
    </row>
    <row r="18931" spans="35:41" ht="19.5" thickBot="1" x14ac:dyDescent="0.35">
      <c r="AI18931" s="1746" t="s">
        <v>150</v>
      </c>
      <c r="AJ18931" s="1747"/>
      <c r="AK18931" s="1748"/>
      <c r="AL18931" s="198"/>
      <c r="AM18931" s="198"/>
      <c r="AN18931" s="198"/>
      <c r="AO18931" s="198"/>
    </row>
    <row r="18932" spans="35:41" ht="19.5" thickBot="1" x14ac:dyDescent="0.35">
      <c r="AI18932" s="1746" t="s">
        <v>150</v>
      </c>
      <c r="AJ18932" s="1747"/>
      <c r="AK18932" s="1748"/>
      <c r="AL18932" s="198"/>
      <c r="AM18932" s="198"/>
      <c r="AN18932" s="198"/>
      <c r="AO18932" s="198"/>
    </row>
    <row r="18933" spans="35:41" ht="19.5" thickBot="1" x14ac:dyDescent="0.35">
      <c r="AI18933" s="1746" t="s">
        <v>150</v>
      </c>
      <c r="AJ18933" s="1747"/>
      <c r="AK18933" s="1748"/>
      <c r="AL18933" s="198"/>
      <c r="AM18933" s="198"/>
      <c r="AN18933" s="198"/>
      <c r="AO18933" s="198"/>
    </row>
    <row r="18934" spans="35:41" ht="19.5" thickBot="1" x14ac:dyDescent="0.35">
      <c r="AI18934" s="1746" t="s">
        <v>150</v>
      </c>
      <c r="AJ18934" s="1747"/>
      <c r="AK18934" s="1748"/>
      <c r="AL18934" s="198"/>
      <c r="AM18934" s="198"/>
      <c r="AN18934" s="198"/>
      <c r="AO18934" s="198"/>
    </row>
    <row r="18935" spans="35:41" ht="19.5" thickBot="1" x14ac:dyDescent="0.35">
      <c r="AI18935" s="1746" t="s">
        <v>150</v>
      </c>
      <c r="AJ18935" s="1747"/>
      <c r="AK18935" s="1748"/>
      <c r="AL18935" s="198"/>
      <c r="AM18935" s="198"/>
      <c r="AN18935" s="198"/>
      <c r="AO18935" s="198"/>
    </row>
    <row r="18936" spans="35:41" ht="19.5" thickBot="1" x14ac:dyDescent="0.35">
      <c r="AI18936" s="1746" t="s">
        <v>150</v>
      </c>
      <c r="AJ18936" s="1747"/>
      <c r="AK18936" s="1748"/>
      <c r="AL18936" s="198"/>
      <c r="AM18936" s="198"/>
      <c r="AN18936" s="198"/>
      <c r="AO18936" s="198"/>
    </row>
    <row r="18937" spans="35:41" ht="19.5" thickBot="1" x14ac:dyDescent="0.35">
      <c r="AI18937" s="1746" t="s">
        <v>150</v>
      </c>
      <c r="AJ18937" s="1747"/>
      <c r="AK18937" s="1748"/>
      <c r="AL18937" s="198"/>
      <c r="AM18937" s="198"/>
      <c r="AN18937" s="198"/>
      <c r="AO18937" s="198"/>
    </row>
    <row r="18938" spans="35:41" ht="19.5" thickBot="1" x14ac:dyDescent="0.35">
      <c r="AI18938" s="1746" t="s">
        <v>150</v>
      </c>
      <c r="AJ18938" s="1747"/>
      <c r="AK18938" s="1748"/>
      <c r="AL18938" s="198"/>
      <c r="AM18938" s="198"/>
      <c r="AN18938" s="198"/>
      <c r="AO18938" s="198"/>
    </row>
    <row r="18939" spans="35:41" ht="19.5" thickBot="1" x14ac:dyDescent="0.35">
      <c r="AI18939" s="1746" t="s">
        <v>150</v>
      </c>
      <c r="AJ18939" s="1747"/>
      <c r="AK18939" s="1748"/>
      <c r="AL18939" s="198"/>
      <c r="AM18939" s="198"/>
      <c r="AN18939" s="198"/>
      <c r="AO18939" s="198"/>
    </row>
    <row r="18940" spans="35:41" ht="19.5" thickBot="1" x14ac:dyDescent="0.35">
      <c r="AI18940" s="1746" t="s">
        <v>150</v>
      </c>
      <c r="AJ18940" s="1747"/>
      <c r="AK18940" s="1748"/>
      <c r="AL18940" s="198"/>
      <c r="AM18940" s="198"/>
      <c r="AN18940" s="198"/>
      <c r="AO18940" s="198"/>
    </row>
    <row r="18941" spans="35:41" ht="19.5" thickBot="1" x14ac:dyDescent="0.35">
      <c r="AI18941" s="1746" t="s">
        <v>150</v>
      </c>
      <c r="AJ18941" s="1747"/>
      <c r="AK18941" s="1748"/>
      <c r="AL18941" s="198"/>
      <c r="AM18941" s="198"/>
      <c r="AN18941" s="198"/>
      <c r="AO18941" s="198"/>
    </row>
    <row r="18942" spans="35:41" ht="19.5" thickBot="1" x14ac:dyDescent="0.35">
      <c r="AI18942" s="1746" t="s">
        <v>150</v>
      </c>
      <c r="AJ18942" s="1747"/>
      <c r="AK18942" s="1748"/>
      <c r="AL18942" s="198"/>
      <c r="AM18942" s="198"/>
      <c r="AN18942" s="198"/>
      <c r="AO18942" s="198"/>
    </row>
    <row r="18943" spans="35:41" ht="19.5" thickBot="1" x14ac:dyDescent="0.35">
      <c r="AI18943" s="1746" t="s">
        <v>150</v>
      </c>
      <c r="AJ18943" s="1747"/>
      <c r="AK18943" s="1748"/>
      <c r="AL18943" s="198"/>
      <c r="AM18943" s="198"/>
      <c r="AN18943" s="198"/>
      <c r="AO18943" s="198"/>
    </row>
    <row r="18944" spans="35:41" ht="19.5" thickBot="1" x14ac:dyDescent="0.35">
      <c r="AI18944" s="1746" t="s">
        <v>150</v>
      </c>
      <c r="AJ18944" s="1747"/>
      <c r="AK18944" s="1748"/>
      <c r="AL18944" s="198"/>
      <c r="AM18944" s="198"/>
      <c r="AN18944" s="198"/>
      <c r="AO18944" s="198"/>
    </row>
    <row r="18945" spans="35:41" ht="19.5" thickBot="1" x14ac:dyDescent="0.35">
      <c r="AI18945" s="1746" t="s">
        <v>150</v>
      </c>
      <c r="AJ18945" s="1747"/>
      <c r="AK18945" s="1748"/>
      <c r="AL18945" s="198"/>
      <c r="AM18945" s="198"/>
      <c r="AN18945" s="198"/>
      <c r="AO18945" s="198"/>
    </row>
    <row r="18946" spans="35:41" ht="19.5" thickBot="1" x14ac:dyDescent="0.35">
      <c r="AI18946" s="1746" t="s">
        <v>150</v>
      </c>
      <c r="AJ18946" s="1747"/>
      <c r="AK18946" s="1748"/>
      <c r="AL18946" s="198"/>
      <c r="AM18946" s="198"/>
      <c r="AN18946" s="198"/>
      <c r="AO18946" s="198"/>
    </row>
    <row r="18947" spans="35:41" ht="19.5" thickBot="1" x14ac:dyDescent="0.35">
      <c r="AI18947" s="1746" t="s">
        <v>150</v>
      </c>
      <c r="AJ18947" s="1747"/>
      <c r="AK18947" s="1748"/>
      <c r="AL18947" s="198"/>
      <c r="AM18947" s="198"/>
      <c r="AN18947" s="198"/>
      <c r="AO18947" s="198"/>
    </row>
    <row r="18948" spans="35:41" ht="19.5" thickBot="1" x14ac:dyDescent="0.35">
      <c r="AI18948" s="1746" t="s">
        <v>150</v>
      </c>
      <c r="AJ18948" s="1747"/>
      <c r="AK18948" s="1748"/>
      <c r="AL18948" s="198"/>
      <c r="AM18948" s="198"/>
      <c r="AN18948" s="198"/>
      <c r="AO18948" s="198"/>
    </row>
    <row r="18949" spans="35:41" ht="19.5" thickBot="1" x14ac:dyDescent="0.35">
      <c r="AI18949" s="1746" t="s">
        <v>150</v>
      </c>
      <c r="AJ18949" s="1747"/>
      <c r="AK18949" s="1748"/>
      <c r="AL18949" s="198"/>
      <c r="AM18949" s="198"/>
      <c r="AN18949" s="198"/>
      <c r="AO18949" s="198"/>
    </row>
    <row r="18950" spans="35:41" ht="19.5" thickBot="1" x14ac:dyDescent="0.35">
      <c r="AI18950" s="1746" t="s">
        <v>150</v>
      </c>
      <c r="AJ18950" s="1747"/>
      <c r="AK18950" s="1748"/>
      <c r="AL18950" s="198"/>
      <c r="AM18950" s="198"/>
      <c r="AN18950" s="198"/>
      <c r="AO18950" s="198"/>
    </row>
    <row r="18951" spans="35:41" ht="19.5" thickBot="1" x14ac:dyDescent="0.35">
      <c r="AI18951" s="1746" t="s">
        <v>150</v>
      </c>
      <c r="AJ18951" s="1747"/>
      <c r="AK18951" s="1748"/>
      <c r="AL18951" s="198"/>
      <c r="AM18951" s="198"/>
      <c r="AN18951" s="198"/>
      <c r="AO18951" s="198"/>
    </row>
    <row r="18952" spans="35:41" ht="19.5" thickBot="1" x14ac:dyDescent="0.35">
      <c r="AI18952" s="1746" t="s">
        <v>150</v>
      </c>
      <c r="AJ18952" s="1747"/>
      <c r="AK18952" s="1748"/>
      <c r="AL18952" s="198"/>
      <c r="AM18952" s="198"/>
      <c r="AN18952" s="198"/>
      <c r="AO18952" s="198"/>
    </row>
    <row r="18953" spans="35:41" ht="19.5" thickBot="1" x14ac:dyDescent="0.35">
      <c r="AI18953" s="1746" t="s">
        <v>150</v>
      </c>
      <c r="AJ18953" s="1747"/>
      <c r="AK18953" s="1748"/>
      <c r="AL18953" s="198"/>
      <c r="AM18953" s="198"/>
      <c r="AN18953" s="198"/>
      <c r="AO18953" s="198"/>
    </row>
    <row r="18954" spans="35:41" ht="19.5" thickBot="1" x14ac:dyDescent="0.35">
      <c r="AI18954" s="1746" t="s">
        <v>150</v>
      </c>
      <c r="AJ18954" s="1747"/>
      <c r="AK18954" s="1748"/>
      <c r="AL18954" s="198"/>
      <c r="AM18954" s="198"/>
      <c r="AN18954" s="198"/>
      <c r="AO18954" s="198"/>
    </row>
    <row r="18955" spans="35:41" ht="19.5" thickBot="1" x14ac:dyDescent="0.35">
      <c r="AI18955" s="1746" t="s">
        <v>150</v>
      </c>
      <c r="AJ18955" s="1747"/>
      <c r="AK18955" s="1748"/>
      <c r="AL18955" s="198"/>
      <c r="AM18955" s="198"/>
      <c r="AN18955" s="198"/>
      <c r="AO18955" s="198"/>
    </row>
    <row r="18956" spans="35:41" ht="19.5" thickBot="1" x14ac:dyDescent="0.35">
      <c r="AI18956" s="1746" t="s">
        <v>150</v>
      </c>
      <c r="AJ18956" s="1747"/>
      <c r="AK18956" s="1748"/>
      <c r="AL18956" s="198"/>
      <c r="AM18956" s="198"/>
      <c r="AN18956" s="198"/>
      <c r="AO18956" s="198"/>
    </row>
    <row r="18957" spans="35:41" ht="19.5" thickBot="1" x14ac:dyDescent="0.35">
      <c r="AI18957" s="1746" t="s">
        <v>150</v>
      </c>
      <c r="AJ18957" s="1747"/>
      <c r="AK18957" s="1748"/>
      <c r="AL18957" s="198"/>
      <c r="AM18957" s="198"/>
      <c r="AN18957" s="198"/>
      <c r="AO18957" s="198"/>
    </row>
    <row r="18958" spans="35:41" ht="19.5" thickBot="1" x14ac:dyDescent="0.35">
      <c r="AI18958" s="1746" t="s">
        <v>150</v>
      </c>
      <c r="AJ18958" s="1747"/>
      <c r="AK18958" s="1748"/>
      <c r="AL18958" s="198"/>
      <c r="AM18958" s="198"/>
      <c r="AN18958" s="198"/>
      <c r="AO18958" s="198"/>
    </row>
    <row r="18959" spans="35:41" ht="19.5" thickBot="1" x14ac:dyDescent="0.35">
      <c r="AI18959" s="1746" t="s">
        <v>150</v>
      </c>
      <c r="AJ18959" s="1747"/>
      <c r="AK18959" s="1748"/>
      <c r="AL18959" s="198"/>
      <c r="AM18959" s="198"/>
      <c r="AN18959" s="198"/>
      <c r="AO18959" s="198"/>
    </row>
    <row r="18960" spans="35:41" ht="19.5" thickBot="1" x14ac:dyDescent="0.35">
      <c r="AI18960" s="1746" t="s">
        <v>150</v>
      </c>
      <c r="AJ18960" s="1747"/>
      <c r="AK18960" s="1748"/>
      <c r="AL18960" s="198"/>
      <c r="AM18960" s="198"/>
      <c r="AN18960" s="198"/>
      <c r="AO18960" s="198"/>
    </row>
    <row r="18961" spans="35:41" ht="19.5" thickBot="1" x14ac:dyDescent="0.35">
      <c r="AI18961" s="1746" t="s">
        <v>150</v>
      </c>
      <c r="AJ18961" s="1747"/>
      <c r="AK18961" s="1748"/>
      <c r="AL18961" s="198"/>
      <c r="AM18961" s="198"/>
      <c r="AN18961" s="198"/>
      <c r="AO18961" s="198"/>
    </row>
    <row r="18962" spans="35:41" ht="19.5" thickBot="1" x14ac:dyDescent="0.35">
      <c r="AI18962" s="1746" t="s">
        <v>150</v>
      </c>
      <c r="AJ18962" s="1747"/>
      <c r="AK18962" s="1748"/>
      <c r="AL18962" s="198"/>
      <c r="AM18962" s="198"/>
      <c r="AN18962" s="198"/>
      <c r="AO18962" s="198"/>
    </row>
    <row r="18963" spans="35:41" ht="19.5" thickBot="1" x14ac:dyDescent="0.35">
      <c r="AI18963" s="1746" t="s">
        <v>150</v>
      </c>
      <c r="AJ18963" s="1747"/>
      <c r="AK18963" s="1748"/>
      <c r="AL18963" s="198"/>
      <c r="AM18963" s="198"/>
      <c r="AN18963" s="198"/>
      <c r="AO18963" s="198"/>
    </row>
    <row r="18964" spans="35:41" ht="19.5" thickBot="1" x14ac:dyDescent="0.35">
      <c r="AI18964" s="1746" t="s">
        <v>150</v>
      </c>
      <c r="AJ18964" s="1747"/>
      <c r="AK18964" s="1748"/>
      <c r="AL18964" s="198"/>
      <c r="AM18964" s="198"/>
      <c r="AN18964" s="198"/>
      <c r="AO18964" s="198"/>
    </row>
    <row r="18965" spans="35:41" ht="19.5" thickBot="1" x14ac:dyDescent="0.35">
      <c r="AI18965" s="1746" t="s">
        <v>150</v>
      </c>
      <c r="AJ18965" s="1747"/>
      <c r="AK18965" s="1748"/>
      <c r="AL18965" s="198"/>
      <c r="AM18965" s="198"/>
      <c r="AN18965" s="198"/>
      <c r="AO18965" s="198"/>
    </row>
    <row r="18966" spans="35:41" ht="19.5" thickBot="1" x14ac:dyDescent="0.35">
      <c r="AI18966" s="1746" t="s">
        <v>150</v>
      </c>
      <c r="AJ18966" s="1747"/>
      <c r="AK18966" s="1748"/>
      <c r="AL18966" s="198"/>
      <c r="AM18966" s="198"/>
      <c r="AN18966" s="198"/>
      <c r="AO18966" s="198"/>
    </row>
    <row r="18967" spans="35:41" ht="19.5" thickBot="1" x14ac:dyDescent="0.35">
      <c r="AI18967" s="1746" t="s">
        <v>150</v>
      </c>
      <c r="AJ18967" s="1747"/>
      <c r="AK18967" s="1748"/>
      <c r="AL18967" s="198"/>
      <c r="AM18967" s="198"/>
      <c r="AN18967" s="198"/>
      <c r="AO18967" s="198"/>
    </row>
    <row r="18968" spans="35:41" ht="19.5" thickBot="1" x14ac:dyDescent="0.35">
      <c r="AI18968" s="1746" t="s">
        <v>150</v>
      </c>
      <c r="AJ18968" s="1747"/>
      <c r="AK18968" s="1748"/>
      <c r="AL18968" s="198"/>
      <c r="AM18968" s="198"/>
      <c r="AN18968" s="198"/>
      <c r="AO18968" s="198"/>
    </row>
    <row r="18969" spans="35:41" ht="19.5" thickBot="1" x14ac:dyDescent="0.35">
      <c r="AI18969" s="1746" t="s">
        <v>150</v>
      </c>
      <c r="AJ18969" s="1747"/>
      <c r="AK18969" s="1748"/>
      <c r="AL18969" s="198"/>
      <c r="AM18969" s="198"/>
      <c r="AN18969" s="198"/>
      <c r="AO18969" s="198"/>
    </row>
    <row r="18970" spans="35:41" ht="19.5" thickBot="1" x14ac:dyDescent="0.35">
      <c r="AI18970" s="1746" t="s">
        <v>150</v>
      </c>
      <c r="AJ18970" s="1747"/>
      <c r="AK18970" s="1748"/>
      <c r="AL18970" s="198"/>
      <c r="AM18970" s="198"/>
      <c r="AN18970" s="198"/>
      <c r="AO18970" s="198"/>
    </row>
    <row r="18971" spans="35:41" ht="19.5" thickBot="1" x14ac:dyDescent="0.35">
      <c r="AI18971" s="1746" t="s">
        <v>150</v>
      </c>
      <c r="AJ18971" s="1747"/>
      <c r="AK18971" s="1748"/>
      <c r="AL18971" s="198"/>
      <c r="AM18971" s="198"/>
      <c r="AN18971" s="198"/>
      <c r="AO18971" s="198"/>
    </row>
    <row r="18972" spans="35:41" ht="19.5" thickBot="1" x14ac:dyDescent="0.35">
      <c r="AI18972" s="1746" t="s">
        <v>150</v>
      </c>
      <c r="AJ18972" s="1747"/>
      <c r="AK18972" s="1748"/>
      <c r="AL18972" s="198"/>
      <c r="AM18972" s="198"/>
      <c r="AN18972" s="198"/>
      <c r="AO18972" s="198"/>
    </row>
    <row r="18973" spans="35:41" ht="19.5" thickBot="1" x14ac:dyDescent="0.35">
      <c r="AI18973" s="1746" t="s">
        <v>150</v>
      </c>
      <c r="AJ18973" s="1747"/>
      <c r="AK18973" s="1748"/>
      <c r="AL18973" s="198"/>
      <c r="AM18973" s="198"/>
      <c r="AN18973" s="198"/>
      <c r="AO18973" s="198"/>
    </row>
    <row r="18974" spans="35:41" ht="19.5" thickBot="1" x14ac:dyDescent="0.35">
      <c r="AI18974" s="1746" t="s">
        <v>150</v>
      </c>
      <c r="AJ18974" s="1747"/>
      <c r="AK18974" s="1748"/>
      <c r="AL18974" s="198"/>
      <c r="AM18974" s="198"/>
      <c r="AN18974" s="198"/>
      <c r="AO18974" s="198"/>
    </row>
    <row r="18975" spans="35:41" ht="19.5" thickBot="1" x14ac:dyDescent="0.35">
      <c r="AI18975" s="1746" t="s">
        <v>150</v>
      </c>
      <c r="AJ18975" s="1747"/>
      <c r="AK18975" s="1748"/>
      <c r="AL18975" s="198"/>
      <c r="AM18975" s="198"/>
      <c r="AN18975" s="198"/>
      <c r="AO18975" s="198"/>
    </row>
    <row r="18976" spans="35:41" ht="19.5" thickBot="1" x14ac:dyDescent="0.35">
      <c r="AI18976" s="1746" t="s">
        <v>150</v>
      </c>
      <c r="AJ18976" s="1747"/>
      <c r="AK18976" s="1748"/>
      <c r="AL18976" s="198"/>
      <c r="AM18976" s="198"/>
      <c r="AN18976" s="198"/>
      <c r="AO18976" s="198"/>
    </row>
    <row r="18977" spans="35:41" ht="19.5" thickBot="1" x14ac:dyDescent="0.35">
      <c r="AI18977" s="1746" t="s">
        <v>150</v>
      </c>
      <c r="AJ18977" s="1747"/>
      <c r="AK18977" s="1748"/>
      <c r="AL18977" s="198"/>
      <c r="AM18977" s="198"/>
      <c r="AN18977" s="198"/>
      <c r="AO18977" s="198"/>
    </row>
    <row r="18978" spans="35:41" ht="19.5" thickBot="1" x14ac:dyDescent="0.35">
      <c r="AI18978" s="1746" t="s">
        <v>150</v>
      </c>
      <c r="AJ18978" s="1747"/>
      <c r="AK18978" s="1748"/>
      <c r="AL18978" s="198"/>
      <c r="AM18978" s="198"/>
      <c r="AN18978" s="198"/>
      <c r="AO18978" s="198"/>
    </row>
    <row r="18979" spans="35:41" ht="19.5" thickBot="1" x14ac:dyDescent="0.35">
      <c r="AI18979" s="1746" t="s">
        <v>150</v>
      </c>
      <c r="AJ18979" s="1747"/>
      <c r="AK18979" s="1748"/>
      <c r="AL18979" s="198"/>
      <c r="AM18979" s="198"/>
      <c r="AN18979" s="198"/>
      <c r="AO18979" s="198"/>
    </row>
    <row r="18980" spans="35:41" ht="19.5" thickBot="1" x14ac:dyDescent="0.35">
      <c r="AI18980" s="1746" t="s">
        <v>150</v>
      </c>
      <c r="AJ18980" s="1747"/>
      <c r="AK18980" s="1748"/>
      <c r="AL18980" s="198"/>
      <c r="AM18980" s="198"/>
      <c r="AN18980" s="198"/>
      <c r="AO18980" s="198"/>
    </row>
    <row r="18981" spans="35:41" ht="19.5" thickBot="1" x14ac:dyDescent="0.35">
      <c r="AI18981" s="1746" t="s">
        <v>150</v>
      </c>
      <c r="AJ18981" s="1747"/>
      <c r="AK18981" s="1748"/>
      <c r="AL18981" s="198"/>
      <c r="AM18981" s="198"/>
      <c r="AN18981" s="198"/>
      <c r="AO18981" s="198"/>
    </row>
    <row r="18982" spans="35:41" ht="19.5" thickBot="1" x14ac:dyDescent="0.35">
      <c r="AI18982" s="1746" t="s">
        <v>150</v>
      </c>
      <c r="AJ18982" s="1747"/>
      <c r="AK18982" s="1748"/>
      <c r="AL18982" s="198"/>
      <c r="AM18982" s="198"/>
      <c r="AN18982" s="198"/>
      <c r="AO18982" s="198"/>
    </row>
    <row r="18983" spans="35:41" ht="19.5" thickBot="1" x14ac:dyDescent="0.35">
      <c r="AI18983" s="1746" t="s">
        <v>150</v>
      </c>
      <c r="AJ18983" s="1747"/>
      <c r="AK18983" s="1748"/>
      <c r="AL18983" s="198"/>
      <c r="AM18983" s="198"/>
      <c r="AN18983" s="198"/>
      <c r="AO18983" s="198"/>
    </row>
    <row r="18984" spans="35:41" ht="19.5" thickBot="1" x14ac:dyDescent="0.35">
      <c r="AI18984" s="1746" t="s">
        <v>150</v>
      </c>
      <c r="AJ18984" s="1747"/>
      <c r="AK18984" s="1748"/>
      <c r="AL18984" s="198"/>
      <c r="AM18984" s="198"/>
      <c r="AN18984" s="198"/>
      <c r="AO18984" s="198"/>
    </row>
    <row r="18985" spans="35:41" ht="19.5" thickBot="1" x14ac:dyDescent="0.35">
      <c r="AI18985" s="1746" t="s">
        <v>150</v>
      </c>
      <c r="AJ18985" s="1747"/>
      <c r="AK18985" s="1748"/>
      <c r="AL18985" s="198"/>
      <c r="AM18985" s="198"/>
      <c r="AN18985" s="198"/>
      <c r="AO18985" s="198"/>
    </row>
    <row r="18986" spans="35:41" ht="19.5" thickBot="1" x14ac:dyDescent="0.35">
      <c r="AI18986" s="1746" t="s">
        <v>150</v>
      </c>
      <c r="AJ18986" s="1747"/>
      <c r="AK18986" s="1748"/>
      <c r="AL18986" s="198"/>
      <c r="AM18986" s="198"/>
      <c r="AN18986" s="198"/>
      <c r="AO18986" s="198"/>
    </row>
    <row r="18987" spans="35:41" ht="19.5" thickBot="1" x14ac:dyDescent="0.35">
      <c r="AI18987" s="1746" t="s">
        <v>150</v>
      </c>
      <c r="AJ18987" s="1747"/>
      <c r="AK18987" s="1748"/>
      <c r="AL18987" s="198"/>
      <c r="AM18987" s="198"/>
      <c r="AN18987" s="198"/>
      <c r="AO18987" s="198"/>
    </row>
    <row r="18988" spans="35:41" ht="19.5" thickBot="1" x14ac:dyDescent="0.35">
      <c r="AI18988" s="1746" t="s">
        <v>150</v>
      </c>
      <c r="AJ18988" s="1747"/>
      <c r="AK18988" s="1748"/>
      <c r="AL18988" s="198"/>
      <c r="AM18988" s="198"/>
      <c r="AN18988" s="198"/>
      <c r="AO18988" s="198"/>
    </row>
    <row r="18989" spans="35:41" ht="19.5" thickBot="1" x14ac:dyDescent="0.35">
      <c r="AI18989" s="1746" t="s">
        <v>150</v>
      </c>
      <c r="AJ18989" s="1747"/>
      <c r="AK18989" s="1748"/>
      <c r="AL18989" s="198"/>
      <c r="AM18989" s="198"/>
      <c r="AN18989" s="198"/>
      <c r="AO18989" s="198"/>
    </row>
    <row r="18990" spans="35:41" ht="19.5" thickBot="1" x14ac:dyDescent="0.35">
      <c r="AI18990" s="1746" t="s">
        <v>150</v>
      </c>
      <c r="AJ18990" s="1747"/>
      <c r="AK18990" s="1748"/>
      <c r="AL18990" s="198"/>
      <c r="AM18990" s="198"/>
      <c r="AN18990" s="198"/>
      <c r="AO18990" s="198"/>
    </row>
    <row r="18991" spans="35:41" ht="19.5" thickBot="1" x14ac:dyDescent="0.35">
      <c r="AI18991" s="1746" t="s">
        <v>150</v>
      </c>
      <c r="AJ18991" s="1747"/>
      <c r="AK18991" s="1748"/>
      <c r="AL18991" s="198"/>
      <c r="AM18991" s="198"/>
      <c r="AN18991" s="198"/>
      <c r="AO18991" s="198"/>
    </row>
    <row r="18992" spans="35:41" ht="19.5" thickBot="1" x14ac:dyDescent="0.35">
      <c r="AI18992" s="1746" t="s">
        <v>150</v>
      </c>
      <c r="AJ18992" s="1747"/>
      <c r="AK18992" s="1748"/>
      <c r="AL18992" s="198"/>
      <c r="AM18992" s="198"/>
      <c r="AN18992" s="198"/>
      <c r="AO18992" s="198"/>
    </row>
    <row r="18993" spans="35:41" ht="19.5" thickBot="1" x14ac:dyDescent="0.35">
      <c r="AI18993" s="1746" t="s">
        <v>150</v>
      </c>
      <c r="AJ18993" s="1747"/>
      <c r="AK18993" s="1748"/>
      <c r="AL18993" s="198"/>
      <c r="AM18993" s="198"/>
      <c r="AN18993" s="198"/>
      <c r="AO18993" s="198"/>
    </row>
    <row r="18994" spans="35:41" ht="19.5" thickBot="1" x14ac:dyDescent="0.35">
      <c r="AI18994" s="1746" t="s">
        <v>150</v>
      </c>
      <c r="AJ18994" s="1747"/>
      <c r="AK18994" s="1748"/>
      <c r="AL18994" s="198"/>
      <c r="AM18994" s="198"/>
      <c r="AN18994" s="198"/>
      <c r="AO18994" s="198"/>
    </row>
    <row r="18995" spans="35:41" ht="19.5" thickBot="1" x14ac:dyDescent="0.35">
      <c r="AI18995" s="1746" t="s">
        <v>150</v>
      </c>
      <c r="AJ18995" s="1747"/>
      <c r="AK18995" s="1748"/>
      <c r="AL18995" s="198"/>
      <c r="AM18995" s="198"/>
      <c r="AN18995" s="198"/>
      <c r="AO18995" s="198"/>
    </row>
    <row r="18996" spans="35:41" ht="19.5" thickBot="1" x14ac:dyDescent="0.35">
      <c r="AI18996" s="1746" t="s">
        <v>150</v>
      </c>
      <c r="AJ18996" s="1747"/>
      <c r="AK18996" s="1748"/>
      <c r="AL18996" s="198"/>
      <c r="AM18996" s="198"/>
      <c r="AN18996" s="198"/>
      <c r="AO18996" s="198"/>
    </row>
    <row r="18997" spans="35:41" ht="19.5" thickBot="1" x14ac:dyDescent="0.35">
      <c r="AI18997" s="1746" t="s">
        <v>150</v>
      </c>
      <c r="AJ18997" s="1747"/>
      <c r="AK18997" s="1748"/>
      <c r="AL18997" s="198"/>
      <c r="AM18997" s="198"/>
      <c r="AN18997" s="198"/>
      <c r="AO18997" s="198"/>
    </row>
    <row r="18998" spans="35:41" ht="19.5" thickBot="1" x14ac:dyDescent="0.35">
      <c r="AI18998" s="1746" t="s">
        <v>150</v>
      </c>
      <c r="AJ18998" s="1747"/>
      <c r="AK18998" s="1748"/>
      <c r="AL18998" s="198"/>
      <c r="AM18998" s="198"/>
      <c r="AN18998" s="198"/>
      <c r="AO18998" s="198"/>
    </row>
    <row r="18999" spans="35:41" ht="19.5" thickBot="1" x14ac:dyDescent="0.35">
      <c r="AI18999" s="1746" t="s">
        <v>150</v>
      </c>
      <c r="AJ18999" s="1747"/>
      <c r="AK18999" s="1748"/>
      <c r="AL18999" s="198"/>
      <c r="AM18999" s="198"/>
      <c r="AN18999" s="198"/>
      <c r="AO18999" s="198"/>
    </row>
    <row r="19000" spans="35:41" ht="19.5" thickBot="1" x14ac:dyDescent="0.35">
      <c r="AI19000" s="1746" t="s">
        <v>150</v>
      </c>
      <c r="AJ19000" s="1747"/>
      <c r="AK19000" s="1748"/>
      <c r="AL19000" s="198"/>
      <c r="AM19000" s="198"/>
      <c r="AN19000" s="198"/>
      <c r="AO19000" s="198"/>
    </row>
    <row r="19001" spans="35:41" ht="19.5" thickBot="1" x14ac:dyDescent="0.35">
      <c r="AI19001" s="1746" t="s">
        <v>150</v>
      </c>
      <c r="AJ19001" s="1747"/>
      <c r="AK19001" s="1748"/>
      <c r="AL19001" s="198"/>
      <c r="AM19001" s="198"/>
      <c r="AN19001" s="198"/>
      <c r="AO19001" s="198"/>
    </row>
    <row r="19002" spans="35:41" ht="19.5" thickBot="1" x14ac:dyDescent="0.35">
      <c r="AI19002" s="1746" t="s">
        <v>150</v>
      </c>
      <c r="AJ19002" s="1747"/>
      <c r="AK19002" s="1748"/>
      <c r="AL19002" s="198"/>
      <c r="AM19002" s="198"/>
      <c r="AN19002" s="198"/>
      <c r="AO19002" s="198"/>
    </row>
    <row r="19003" spans="35:41" ht="19.5" thickBot="1" x14ac:dyDescent="0.35">
      <c r="AI19003" s="1746" t="s">
        <v>150</v>
      </c>
      <c r="AJ19003" s="1747"/>
      <c r="AK19003" s="1748"/>
      <c r="AL19003" s="198"/>
      <c r="AM19003" s="198"/>
      <c r="AN19003" s="198"/>
      <c r="AO19003" s="198"/>
    </row>
    <row r="19004" spans="35:41" ht="19.5" thickBot="1" x14ac:dyDescent="0.35">
      <c r="AI19004" s="1746" t="s">
        <v>150</v>
      </c>
      <c r="AJ19004" s="1747"/>
      <c r="AK19004" s="1748"/>
      <c r="AL19004" s="198"/>
      <c r="AM19004" s="198"/>
      <c r="AN19004" s="198"/>
      <c r="AO19004" s="198"/>
    </row>
    <row r="19005" spans="35:41" ht="19.5" thickBot="1" x14ac:dyDescent="0.35">
      <c r="AI19005" s="1746" t="s">
        <v>150</v>
      </c>
      <c r="AJ19005" s="1747"/>
      <c r="AK19005" s="1748"/>
      <c r="AL19005" s="198"/>
      <c r="AM19005" s="198"/>
      <c r="AN19005" s="198"/>
      <c r="AO19005" s="198"/>
    </row>
    <row r="19006" spans="35:41" ht="19.5" thickBot="1" x14ac:dyDescent="0.35">
      <c r="AI19006" s="1746" t="s">
        <v>150</v>
      </c>
      <c r="AJ19006" s="1747"/>
      <c r="AK19006" s="1748"/>
      <c r="AL19006" s="198"/>
      <c r="AM19006" s="198"/>
      <c r="AN19006" s="198"/>
      <c r="AO19006" s="198"/>
    </row>
    <row r="19007" spans="35:41" ht="19.5" thickBot="1" x14ac:dyDescent="0.35">
      <c r="AI19007" s="1746" t="s">
        <v>150</v>
      </c>
      <c r="AJ19007" s="1747"/>
      <c r="AK19007" s="1748"/>
      <c r="AL19007" s="198"/>
      <c r="AM19007" s="198"/>
      <c r="AN19007" s="198"/>
      <c r="AO19007" s="198"/>
    </row>
    <row r="19008" spans="35:41" ht="19.5" thickBot="1" x14ac:dyDescent="0.35">
      <c r="AI19008" s="1746" t="s">
        <v>150</v>
      </c>
      <c r="AJ19008" s="1747"/>
      <c r="AK19008" s="1748"/>
      <c r="AL19008" s="198"/>
      <c r="AM19008" s="198"/>
      <c r="AN19008" s="198"/>
      <c r="AO19008" s="198"/>
    </row>
    <row r="19009" spans="35:41" ht="19.5" thickBot="1" x14ac:dyDescent="0.35">
      <c r="AI19009" s="1746" t="s">
        <v>150</v>
      </c>
      <c r="AJ19009" s="1747"/>
      <c r="AK19009" s="1748"/>
      <c r="AL19009" s="198"/>
      <c r="AM19009" s="198"/>
      <c r="AN19009" s="198"/>
      <c r="AO19009" s="198"/>
    </row>
    <row r="19010" spans="35:41" ht="19.5" thickBot="1" x14ac:dyDescent="0.35">
      <c r="AI19010" s="1746" t="s">
        <v>150</v>
      </c>
      <c r="AJ19010" s="1747"/>
      <c r="AK19010" s="1748"/>
      <c r="AL19010" s="198"/>
      <c r="AM19010" s="198"/>
      <c r="AN19010" s="198"/>
      <c r="AO19010" s="198"/>
    </row>
    <row r="19011" spans="35:41" ht="19.5" thickBot="1" x14ac:dyDescent="0.35">
      <c r="AI19011" s="1746" t="s">
        <v>150</v>
      </c>
      <c r="AJ19011" s="1747"/>
      <c r="AK19011" s="1748"/>
      <c r="AL19011" s="198"/>
      <c r="AM19011" s="198"/>
      <c r="AN19011" s="198"/>
      <c r="AO19011" s="198"/>
    </row>
    <row r="19012" spans="35:41" ht="19.5" thickBot="1" x14ac:dyDescent="0.35">
      <c r="AI19012" s="1746" t="s">
        <v>150</v>
      </c>
      <c r="AJ19012" s="1747"/>
      <c r="AK19012" s="1748"/>
      <c r="AL19012" s="198"/>
      <c r="AM19012" s="198"/>
      <c r="AN19012" s="198"/>
      <c r="AO19012" s="198"/>
    </row>
    <row r="19013" spans="35:41" ht="19.5" thickBot="1" x14ac:dyDescent="0.35">
      <c r="AI19013" s="1746" t="s">
        <v>150</v>
      </c>
      <c r="AJ19013" s="1747"/>
      <c r="AK19013" s="1748"/>
      <c r="AL19013" s="198"/>
      <c r="AM19013" s="198"/>
      <c r="AN19013" s="198"/>
      <c r="AO19013" s="198"/>
    </row>
    <row r="19014" spans="35:41" ht="19.5" thickBot="1" x14ac:dyDescent="0.35">
      <c r="AI19014" s="1746" t="s">
        <v>150</v>
      </c>
      <c r="AJ19014" s="1747"/>
      <c r="AK19014" s="1748"/>
      <c r="AL19014" s="198"/>
      <c r="AM19014" s="198"/>
      <c r="AN19014" s="198"/>
      <c r="AO19014" s="198"/>
    </row>
    <row r="19015" spans="35:41" ht="19.5" thickBot="1" x14ac:dyDescent="0.35">
      <c r="AI19015" s="1746" t="s">
        <v>150</v>
      </c>
      <c r="AJ19015" s="1747"/>
      <c r="AK19015" s="1748"/>
      <c r="AL19015" s="198"/>
      <c r="AM19015" s="198"/>
      <c r="AN19015" s="198"/>
      <c r="AO19015" s="198"/>
    </row>
    <row r="19016" spans="35:41" ht="19.5" thickBot="1" x14ac:dyDescent="0.35">
      <c r="AI19016" s="1746" t="s">
        <v>150</v>
      </c>
      <c r="AJ19016" s="1747"/>
      <c r="AK19016" s="1748"/>
      <c r="AL19016" s="198"/>
      <c r="AM19016" s="198"/>
      <c r="AN19016" s="198"/>
      <c r="AO19016" s="198"/>
    </row>
    <row r="19017" spans="35:41" ht="19.5" thickBot="1" x14ac:dyDescent="0.35">
      <c r="AI19017" s="1746" t="s">
        <v>150</v>
      </c>
      <c r="AJ19017" s="1747"/>
      <c r="AK19017" s="1748"/>
      <c r="AL19017" s="198"/>
      <c r="AM19017" s="198"/>
      <c r="AN19017" s="198"/>
      <c r="AO19017" s="198"/>
    </row>
    <row r="19018" spans="35:41" ht="19.5" thickBot="1" x14ac:dyDescent="0.35">
      <c r="AI19018" s="1746" t="s">
        <v>150</v>
      </c>
      <c r="AJ19018" s="1747"/>
      <c r="AK19018" s="1748"/>
      <c r="AL19018" s="198"/>
      <c r="AM19018" s="198"/>
      <c r="AN19018" s="198"/>
      <c r="AO19018" s="198"/>
    </row>
    <row r="19019" spans="35:41" ht="19.5" thickBot="1" x14ac:dyDescent="0.35">
      <c r="AI19019" s="1746" t="s">
        <v>150</v>
      </c>
      <c r="AJ19019" s="1747"/>
      <c r="AK19019" s="1748"/>
      <c r="AL19019" s="198"/>
      <c r="AM19019" s="198"/>
      <c r="AN19019" s="198"/>
      <c r="AO19019" s="198"/>
    </row>
    <row r="19020" spans="35:41" ht="19.5" thickBot="1" x14ac:dyDescent="0.35">
      <c r="AI19020" s="1746" t="s">
        <v>150</v>
      </c>
      <c r="AJ19020" s="1747"/>
      <c r="AK19020" s="1748"/>
      <c r="AL19020" s="198"/>
      <c r="AM19020" s="198"/>
      <c r="AN19020" s="198"/>
      <c r="AO19020" s="198"/>
    </row>
    <row r="19021" spans="35:41" ht="19.5" thickBot="1" x14ac:dyDescent="0.35">
      <c r="AI19021" s="1746" t="s">
        <v>150</v>
      </c>
      <c r="AJ19021" s="1747"/>
      <c r="AK19021" s="1748"/>
      <c r="AL19021" s="198"/>
      <c r="AM19021" s="198"/>
      <c r="AN19021" s="198"/>
      <c r="AO19021" s="198"/>
    </row>
    <row r="19022" spans="35:41" ht="19.5" thickBot="1" x14ac:dyDescent="0.35">
      <c r="AI19022" s="1746" t="s">
        <v>150</v>
      </c>
      <c r="AJ19022" s="1747"/>
      <c r="AK19022" s="1748"/>
      <c r="AL19022" s="198"/>
      <c r="AM19022" s="198"/>
      <c r="AN19022" s="198"/>
      <c r="AO19022" s="198"/>
    </row>
    <row r="19023" spans="35:41" ht="19.5" thickBot="1" x14ac:dyDescent="0.35">
      <c r="AI19023" s="1746" t="s">
        <v>150</v>
      </c>
      <c r="AJ19023" s="1747"/>
      <c r="AK19023" s="1748"/>
      <c r="AL19023" s="198"/>
      <c r="AM19023" s="198"/>
      <c r="AN19023" s="198"/>
      <c r="AO19023" s="198"/>
    </row>
    <row r="19024" spans="35:41" ht="19.5" thickBot="1" x14ac:dyDescent="0.35">
      <c r="AI19024" s="1746" t="s">
        <v>150</v>
      </c>
      <c r="AJ19024" s="1747"/>
      <c r="AK19024" s="1748"/>
      <c r="AL19024" s="198"/>
      <c r="AM19024" s="198"/>
      <c r="AN19024" s="198"/>
      <c r="AO19024" s="198"/>
    </row>
    <row r="19025" spans="35:41" ht="19.5" thickBot="1" x14ac:dyDescent="0.35">
      <c r="AI19025" s="1746" t="s">
        <v>150</v>
      </c>
      <c r="AJ19025" s="1747"/>
      <c r="AK19025" s="1748"/>
      <c r="AL19025" s="198"/>
      <c r="AM19025" s="198"/>
      <c r="AN19025" s="198"/>
      <c r="AO19025" s="198"/>
    </row>
    <row r="19026" spans="35:41" ht="19.5" thickBot="1" x14ac:dyDescent="0.35">
      <c r="AI19026" s="1746" t="s">
        <v>150</v>
      </c>
      <c r="AJ19026" s="1747"/>
      <c r="AK19026" s="1748"/>
      <c r="AL19026" s="198"/>
      <c r="AM19026" s="198"/>
      <c r="AN19026" s="198"/>
      <c r="AO19026" s="198"/>
    </row>
    <row r="19027" spans="35:41" ht="19.5" thickBot="1" x14ac:dyDescent="0.35">
      <c r="AI19027" s="1746" t="s">
        <v>150</v>
      </c>
      <c r="AJ19027" s="1747"/>
      <c r="AK19027" s="1748"/>
      <c r="AL19027" s="198"/>
      <c r="AM19027" s="198"/>
      <c r="AN19027" s="198"/>
      <c r="AO19027" s="198"/>
    </row>
    <row r="19028" spans="35:41" ht="19.5" thickBot="1" x14ac:dyDescent="0.35">
      <c r="AI19028" s="1746" t="s">
        <v>150</v>
      </c>
      <c r="AJ19028" s="1747"/>
      <c r="AK19028" s="1748"/>
      <c r="AL19028" s="198"/>
      <c r="AM19028" s="198"/>
      <c r="AN19028" s="198"/>
      <c r="AO19028" s="198"/>
    </row>
    <row r="19029" spans="35:41" ht="19.5" thickBot="1" x14ac:dyDescent="0.35">
      <c r="AI19029" s="1746" t="s">
        <v>150</v>
      </c>
      <c r="AJ19029" s="1747"/>
      <c r="AK19029" s="1748"/>
      <c r="AL19029" s="198"/>
      <c r="AM19029" s="198"/>
      <c r="AN19029" s="198"/>
      <c r="AO19029" s="198"/>
    </row>
    <row r="19030" spans="35:41" ht="19.5" thickBot="1" x14ac:dyDescent="0.35">
      <c r="AI19030" s="1746" t="s">
        <v>150</v>
      </c>
      <c r="AJ19030" s="1747"/>
      <c r="AK19030" s="1748"/>
      <c r="AL19030" s="198"/>
      <c r="AM19030" s="198"/>
      <c r="AN19030" s="198"/>
      <c r="AO19030" s="198"/>
    </row>
    <row r="19031" spans="35:41" ht="19.5" thickBot="1" x14ac:dyDescent="0.35">
      <c r="AI19031" s="1746" t="s">
        <v>150</v>
      </c>
      <c r="AJ19031" s="1747"/>
      <c r="AK19031" s="1748"/>
      <c r="AL19031" s="198"/>
      <c r="AM19031" s="198"/>
      <c r="AN19031" s="198"/>
      <c r="AO19031" s="198"/>
    </row>
    <row r="19032" spans="35:41" ht="19.5" thickBot="1" x14ac:dyDescent="0.35">
      <c r="AI19032" s="1746" t="s">
        <v>150</v>
      </c>
      <c r="AJ19032" s="1747"/>
      <c r="AK19032" s="1748"/>
      <c r="AL19032" s="198"/>
      <c r="AM19032" s="198"/>
      <c r="AN19032" s="198"/>
      <c r="AO19032" s="198"/>
    </row>
    <row r="19033" spans="35:41" ht="19.5" thickBot="1" x14ac:dyDescent="0.35">
      <c r="AI19033" s="1746" t="s">
        <v>150</v>
      </c>
      <c r="AJ19033" s="1747"/>
      <c r="AK19033" s="1748"/>
      <c r="AL19033" s="198"/>
      <c r="AM19033" s="198"/>
      <c r="AN19033" s="198"/>
      <c r="AO19033" s="198"/>
    </row>
    <row r="19034" spans="35:41" ht="19.5" thickBot="1" x14ac:dyDescent="0.35">
      <c r="AI19034" s="1746" t="s">
        <v>150</v>
      </c>
      <c r="AJ19034" s="1747"/>
      <c r="AK19034" s="1748"/>
      <c r="AL19034" s="198"/>
      <c r="AM19034" s="198"/>
      <c r="AN19034" s="198"/>
      <c r="AO19034" s="198"/>
    </row>
    <row r="19035" spans="35:41" ht="19.5" thickBot="1" x14ac:dyDescent="0.35">
      <c r="AI19035" s="1746" t="s">
        <v>150</v>
      </c>
      <c r="AJ19035" s="1747"/>
      <c r="AK19035" s="1748"/>
      <c r="AL19035" s="198"/>
      <c r="AM19035" s="198"/>
      <c r="AN19035" s="198"/>
      <c r="AO19035" s="198"/>
    </row>
    <row r="19036" spans="35:41" ht="19.5" thickBot="1" x14ac:dyDescent="0.35">
      <c r="AI19036" s="1746" t="s">
        <v>150</v>
      </c>
      <c r="AJ19036" s="1747"/>
      <c r="AK19036" s="1748"/>
      <c r="AL19036" s="198"/>
      <c r="AM19036" s="198"/>
      <c r="AN19036" s="198"/>
      <c r="AO19036" s="198"/>
    </row>
    <row r="19037" spans="35:41" ht="19.5" thickBot="1" x14ac:dyDescent="0.35">
      <c r="AI19037" s="1746" t="s">
        <v>150</v>
      </c>
      <c r="AJ19037" s="1747"/>
      <c r="AK19037" s="1748"/>
      <c r="AL19037" s="198"/>
      <c r="AM19037" s="198"/>
      <c r="AN19037" s="198"/>
      <c r="AO19037" s="198"/>
    </row>
    <row r="19038" spans="35:41" ht="19.5" thickBot="1" x14ac:dyDescent="0.35">
      <c r="AI19038" s="1746" t="s">
        <v>150</v>
      </c>
      <c r="AJ19038" s="1747"/>
      <c r="AK19038" s="1748"/>
      <c r="AL19038" s="198"/>
      <c r="AM19038" s="198"/>
      <c r="AN19038" s="198"/>
      <c r="AO19038" s="198"/>
    </row>
    <row r="19039" spans="35:41" ht="19.5" thickBot="1" x14ac:dyDescent="0.35">
      <c r="AI19039" s="1746" t="s">
        <v>150</v>
      </c>
      <c r="AJ19039" s="1747"/>
      <c r="AK19039" s="1748"/>
      <c r="AL19039" s="198"/>
      <c r="AM19039" s="198"/>
      <c r="AN19039" s="198"/>
      <c r="AO19039" s="198"/>
    </row>
    <row r="19040" spans="35:41" ht="19.5" thickBot="1" x14ac:dyDescent="0.35">
      <c r="AI19040" s="1746" t="s">
        <v>150</v>
      </c>
      <c r="AJ19040" s="1747"/>
      <c r="AK19040" s="1748"/>
      <c r="AL19040" s="198"/>
      <c r="AM19040" s="198"/>
      <c r="AN19040" s="198"/>
      <c r="AO19040" s="198"/>
    </row>
    <row r="19041" spans="35:41" ht="19.5" thickBot="1" x14ac:dyDescent="0.35">
      <c r="AI19041" s="1746" t="s">
        <v>150</v>
      </c>
      <c r="AJ19041" s="1747"/>
      <c r="AK19041" s="1748"/>
      <c r="AL19041" s="198"/>
      <c r="AM19041" s="198"/>
      <c r="AN19041" s="198"/>
      <c r="AO19041" s="198"/>
    </row>
    <row r="19042" spans="35:41" ht="19.5" thickBot="1" x14ac:dyDescent="0.35">
      <c r="AI19042" s="1746" t="s">
        <v>150</v>
      </c>
      <c r="AJ19042" s="1747"/>
      <c r="AK19042" s="1748"/>
      <c r="AL19042" s="198"/>
      <c r="AM19042" s="198"/>
      <c r="AN19042" s="198"/>
      <c r="AO19042" s="198"/>
    </row>
    <row r="19043" spans="35:41" ht="19.5" thickBot="1" x14ac:dyDescent="0.35">
      <c r="AI19043" s="1746" t="s">
        <v>150</v>
      </c>
      <c r="AJ19043" s="1747"/>
      <c r="AK19043" s="1748"/>
      <c r="AL19043" s="198"/>
      <c r="AM19043" s="198"/>
      <c r="AN19043" s="198"/>
      <c r="AO19043" s="198"/>
    </row>
    <row r="19044" spans="35:41" ht="19.5" thickBot="1" x14ac:dyDescent="0.35">
      <c r="AI19044" s="1746" t="s">
        <v>150</v>
      </c>
      <c r="AJ19044" s="1747"/>
      <c r="AK19044" s="1748"/>
      <c r="AL19044" s="198"/>
      <c r="AM19044" s="198"/>
      <c r="AN19044" s="198"/>
      <c r="AO19044" s="198"/>
    </row>
    <row r="19045" spans="35:41" ht="19.5" thickBot="1" x14ac:dyDescent="0.35">
      <c r="AI19045" s="1746" t="s">
        <v>150</v>
      </c>
      <c r="AJ19045" s="1747"/>
      <c r="AK19045" s="1748"/>
      <c r="AL19045" s="198"/>
      <c r="AM19045" s="198"/>
      <c r="AN19045" s="198"/>
      <c r="AO19045" s="198"/>
    </row>
    <row r="19046" spans="35:41" ht="19.5" thickBot="1" x14ac:dyDescent="0.35">
      <c r="AI19046" s="1746" t="s">
        <v>150</v>
      </c>
      <c r="AJ19046" s="1747"/>
      <c r="AK19046" s="1748"/>
      <c r="AL19046" s="198"/>
      <c r="AM19046" s="198"/>
      <c r="AN19046" s="198"/>
      <c r="AO19046" s="198"/>
    </row>
    <row r="19047" spans="35:41" ht="19.5" thickBot="1" x14ac:dyDescent="0.35">
      <c r="AI19047" s="1746" t="s">
        <v>150</v>
      </c>
      <c r="AJ19047" s="1747"/>
      <c r="AK19047" s="1748"/>
      <c r="AL19047" s="198"/>
      <c r="AM19047" s="198"/>
      <c r="AN19047" s="198"/>
      <c r="AO19047" s="198"/>
    </row>
    <row r="19048" spans="35:41" ht="19.5" thickBot="1" x14ac:dyDescent="0.35">
      <c r="AI19048" s="1746" t="s">
        <v>150</v>
      </c>
      <c r="AJ19048" s="1747"/>
      <c r="AK19048" s="1748"/>
      <c r="AL19048" s="198"/>
      <c r="AM19048" s="198"/>
      <c r="AN19048" s="198"/>
      <c r="AO19048" s="198"/>
    </row>
    <row r="19049" spans="35:41" ht="19.5" thickBot="1" x14ac:dyDescent="0.35">
      <c r="AI19049" s="1746" t="s">
        <v>150</v>
      </c>
      <c r="AJ19049" s="1747"/>
      <c r="AK19049" s="1748"/>
      <c r="AL19049" s="198"/>
      <c r="AM19049" s="198"/>
      <c r="AN19049" s="198"/>
      <c r="AO19049" s="198"/>
    </row>
    <row r="19050" spans="35:41" ht="19.5" thickBot="1" x14ac:dyDescent="0.35">
      <c r="AI19050" s="1746" t="s">
        <v>150</v>
      </c>
      <c r="AJ19050" s="1747"/>
      <c r="AK19050" s="1748"/>
      <c r="AL19050" s="198"/>
      <c r="AM19050" s="198"/>
      <c r="AN19050" s="198"/>
      <c r="AO19050" s="198"/>
    </row>
    <row r="19051" spans="35:41" ht="19.5" thickBot="1" x14ac:dyDescent="0.35">
      <c r="AI19051" s="1746" t="s">
        <v>150</v>
      </c>
      <c r="AJ19051" s="1747"/>
      <c r="AK19051" s="1748"/>
      <c r="AL19051" s="198"/>
      <c r="AM19051" s="198"/>
      <c r="AN19051" s="198"/>
      <c r="AO19051" s="198"/>
    </row>
    <row r="19052" spans="35:41" ht="19.5" thickBot="1" x14ac:dyDescent="0.35">
      <c r="AI19052" s="1746" t="s">
        <v>150</v>
      </c>
      <c r="AJ19052" s="1747"/>
      <c r="AK19052" s="1748"/>
      <c r="AL19052" s="198"/>
      <c r="AM19052" s="198"/>
      <c r="AN19052" s="198"/>
      <c r="AO19052" s="198"/>
    </row>
    <row r="19053" spans="35:41" ht="19.5" thickBot="1" x14ac:dyDescent="0.35">
      <c r="AI19053" s="1746" t="s">
        <v>150</v>
      </c>
      <c r="AJ19053" s="1747"/>
      <c r="AK19053" s="1748"/>
      <c r="AL19053" s="198"/>
      <c r="AM19053" s="198"/>
      <c r="AN19053" s="198"/>
      <c r="AO19053" s="198"/>
    </row>
    <row r="19054" spans="35:41" ht="19.5" thickBot="1" x14ac:dyDescent="0.35">
      <c r="AI19054" s="1746" t="s">
        <v>150</v>
      </c>
      <c r="AJ19054" s="1747"/>
      <c r="AK19054" s="1748"/>
      <c r="AL19054" s="198"/>
      <c r="AM19054" s="198"/>
      <c r="AN19054" s="198"/>
      <c r="AO19054" s="198"/>
    </row>
    <row r="19055" spans="35:41" ht="19.5" thickBot="1" x14ac:dyDescent="0.35">
      <c r="AI19055" s="1746" t="s">
        <v>150</v>
      </c>
      <c r="AJ19055" s="1747"/>
      <c r="AK19055" s="1748"/>
      <c r="AL19055" s="198"/>
      <c r="AM19055" s="198"/>
      <c r="AN19055" s="198"/>
      <c r="AO19055" s="198"/>
    </row>
    <row r="19056" spans="35:41" ht="19.5" thickBot="1" x14ac:dyDescent="0.35">
      <c r="AI19056" s="1746" t="s">
        <v>150</v>
      </c>
      <c r="AJ19056" s="1747"/>
      <c r="AK19056" s="1748"/>
      <c r="AL19056" s="198"/>
      <c r="AM19056" s="198"/>
      <c r="AN19056" s="198"/>
      <c r="AO19056" s="198"/>
    </row>
    <row r="19057" spans="35:41" ht="19.5" thickBot="1" x14ac:dyDescent="0.35">
      <c r="AI19057" s="1746" t="s">
        <v>150</v>
      </c>
      <c r="AJ19057" s="1747"/>
      <c r="AK19057" s="1748"/>
      <c r="AL19057" s="198"/>
      <c r="AM19057" s="198"/>
      <c r="AN19057" s="198"/>
      <c r="AO19057" s="198"/>
    </row>
    <row r="19058" spans="35:41" ht="19.5" thickBot="1" x14ac:dyDescent="0.35">
      <c r="AI19058" s="1746" t="s">
        <v>150</v>
      </c>
      <c r="AJ19058" s="1747"/>
      <c r="AK19058" s="1748"/>
      <c r="AL19058" s="198"/>
      <c r="AM19058" s="198"/>
      <c r="AN19058" s="198"/>
      <c r="AO19058" s="198"/>
    </row>
    <row r="19059" spans="35:41" ht="19.5" thickBot="1" x14ac:dyDescent="0.35">
      <c r="AI19059" s="1746" t="s">
        <v>150</v>
      </c>
      <c r="AJ19059" s="1747"/>
      <c r="AK19059" s="1748"/>
      <c r="AL19059" s="198"/>
      <c r="AM19059" s="198"/>
      <c r="AN19059" s="198"/>
      <c r="AO19059" s="198"/>
    </row>
    <row r="19060" spans="35:41" ht="19.5" thickBot="1" x14ac:dyDescent="0.35">
      <c r="AI19060" s="1746" t="s">
        <v>150</v>
      </c>
      <c r="AJ19060" s="1747"/>
      <c r="AK19060" s="1748"/>
      <c r="AL19060" s="198"/>
      <c r="AM19060" s="198"/>
      <c r="AN19060" s="198"/>
      <c r="AO19060" s="198"/>
    </row>
    <row r="19061" spans="35:41" ht="19.5" thickBot="1" x14ac:dyDescent="0.35">
      <c r="AI19061" s="1746" t="s">
        <v>150</v>
      </c>
      <c r="AJ19061" s="1747"/>
      <c r="AK19061" s="1748"/>
      <c r="AL19061" s="198"/>
      <c r="AM19061" s="198"/>
      <c r="AN19061" s="198"/>
      <c r="AO19061" s="198"/>
    </row>
    <row r="19062" spans="35:41" ht="19.5" thickBot="1" x14ac:dyDescent="0.35">
      <c r="AI19062" s="1746" t="s">
        <v>150</v>
      </c>
      <c r="AJ19062" s="1747"/>
      <c r="AK19062" s="1748"/>
      <c r="AL19062" s="198"/>
      <c r="AM19062" s="198"/>
      <c r="AN19062" s="198"/>
      <c r="AO19062" s="198"/>
    </row>
    <row r="19063" spans="35:41" ht="19.5" thickBot="1" x14ac:dyDescent="0.35">
      <c r="AI19063" s="1746" t="s">
        <v>150</v>
      </c>
      <c r="AJ19063" s="1747"/>
      <c r="AK19063" s="1748"/>
      <c r="AL19063" s="198"/>
      <c r="AM19063" s="198"/>
      <c r="AN19063" s="198"/>
      <c r="AO19063" s="198"/>
    </row>
    <row r="19064" spans="35:41" ht="19.5" thickBot="1" x14ac:dyDescent="0.35">
      <c r="AI19064" s="1746" t="s">
        <v>150</v>
      </c>
      <c r="AJ19064" s="1747"/>
      <c r="AK19064" s="1748"/>
      <c r="AL19064" s="198"/>
      <c r="AM19064" s="198"/>
      <c r="AN19064" s="198"/>
      <c r="AO19064" s="198"/>
    </row>
    <row r="19065" spans="35:41" ht="19.5" thickBot="1" x14ac:dyDescent="0.35">
      <c r="AI19065" s="1746" t="s">
        <v>150</v>
      </c>
      <c r="AJ19065" s="1747"/>
      <c r="AK19065" s="1748"/>
      <c r="AL19065" s="198"/>
      <c r="AM19065" s="198"/>
      <c r="AN19065" s="198"/>
      <c r="AO19065" s="198"/>
    </row>
    <row r="19066" spans="35:41" ht="19.5" thickBot="1" x14ac:dyDescent="0.35">
      <c r="AI19066" s="1746" t="s">
        <v>150</v>
      </c>
      <c r="AJ19066" s="1747"/>
      <c r="AK19066" s="1748"/>
      <c r="AL19066" s="198"/>
      <c r="AM19066" s="198"/>
      <c r="AN19066" s="198"/>
      <c r="AO19066" s="198"/>
    </row>
    <row r="19067" spans="35:41" ht="19.5" thickBot="1" x14ac:dyDescent="0.35">
      <c r="AI19067" s="1746" t="s">
        <v>150</v>
      </c>
      <c r="AJ19067" s="1747"/>
      <c r="AK19067" s="1748"/>
      <c r="AL19067" s="198"/>
      <c r="AM19067" s="198"/>
      <c r="AN19067" s="198"/>
      <c r="AO19067" s="198"/>
    </row>
    <row r="19068" spans="35:41" ht="19.5" thickBot="1" x14ac:dyDescent="0.35">
      <c r="AI19068" s="1746" t="s">
        <v>150</v>
      </c>
      <c r="AJ19068" s="1747"/>
      <c r="AK19068" s="1748"/>
      <c r="AL19068" s="198"/>
      <c r="AM19068" s="198"/>
      <c r="AN19068" s="198"/>
      <c r="AO19068" s="198"/>
    </row>
    <row r="19069" spans="35:41" ht="19.5" thickBot="1" x14ac:dyDescent="0.35">
      <c r="AI19069" s="1746" t="s">
        <v>150</v>
      </c>
      <c r="AJ19069" s="1747"/>
      <c r="AK19069" s="1748"/>
      <c r="AL19069" s="198"/>
      <c r="AM19069" s="198"/>
      <c r="AN19069" s="198"/>
      <c r="AO19069" s="198"/>
    </row>
    <row r="19070" spans="35:41" ht="19.5" thickBot="1" x14ac:dyDescent="0.35">
      <c r="AI19070" s="1746" t="s">
        <v>150</v>
      </c>
      <c r="AJ19070" s="1747"/>
      <c r="AK19070" s="1748"/>
      <c r="AL19070" s="198"/>
      <c r="AM19070" s="198"/>
      <c r="AN19070" s="198"/>
      <c r="AO19070" s="198"/>
    </row>
    <row r="19071" spans="35:41" ht="19.5" thickBot="1" x14ac:dyDescent="0.35">
      <c r="AI19071" s="1746" t="s">
        <v>150</v>
      </c>
      <c r="AJ19071" s="1747"/>
      <c r="AK19071" s="1748"/>
      <c r="AL19071" s="198"/>
      <c r="AM19071" s="198"/>
      <c r="AN19071" s="198"/>
      <c r="AO19071" s="198"/>
    </row>
    <row r="19072" spans="35:41" ht="19.5" thickBot="1" x14ac:dyDescent="0.35">
      <c r="AI19072" s="1746" t="s">
        <v>150</v>
      </c>
      <c r="AJ19072" s="1747"/>
      <c r="AK19072" s="1748"/>
      <c r="AL19072" s="198"/>
      <c r="AM19072" s="198"/>
      <c r="AN19072" s="198"/>
      <c r="AO19072" s="198"/>
    </row>
    <row r="19073" spans="35:41" ht="19.5" thickBot="1" x14ac:dyDescent="0.35">
      <c r="AI19073" s="1746" t="s">
        <v>150</v>
      </c>
      <c r="AJ19073" s="1747"/>
      <c r="AK19073" s="1748"/>
      <c r="AL19073" s="198"/>
      <c r="AM19073" s="198"/>
      <c r="AN19073" s="198"/>
      <c r="AO19073" s="198"/>
    </row>
    <row r="19074" spans="35:41" ht="19.5" thickBot="1" x14ac:dyDescent="0.35">
      <c r="AI19074" s="1746" t="s">
        <v>150</v>
      </c>
      <c r="AJ19074" s="1747"/>
      <c r="AK19074" s="1748"/>
      <c r="AL19074" s="198"/>
      <c r="AM19074" s="198"/>
      <c r="AN19074" s="198"/>
      <c r="AO19074" s="198"/>
    </row>
    <row r="19075" spans="35:41" ht="19.5" thickBot="1" x14ac:dyDescent="0.35">
      <c r="AI19075" s="1746" t="s">
        <v>150</v>
      </c>
      <c r="AJ19075" s="1747"/>
      <c r="AK19075" s="1748"/>
      <c r="AL19075" s="198"/>
      <c r="AM19075" s="198"/>
      <c r="AN19075" s="198"/>
      <c r="AO19075" s="198"/>
    </row>
    <row r="19076" spans="35:41" ht="19.5" thickBot="1" x14ac:dyDescent="0.35">
      <c r="AI19076" s="1746" t="s">
        <v>150</v>
      </c>
      <c r="AJ19076" s="1747"/>
      <c r="AK19076" s="1748"/>
      <c r="AL19076" s="198"/>
      <c r="AM19076" s="198"/>
      <c r="AN19076" s="198"/>
      <c r="AO19076" s="198"/>
    </row>
    <row r="19077" spans="35:41" ht="19.5" thickBot="1" x14ac:dyDescent="0.35">
      <c r="AI19077" s="1746" t="s">
        <v>150</v>
      </c>
      <c r="AJ19077" s="1747"/>
      <c r="AK19077" s="1748"/>
      <c r="AL19077" s="198"/>
      <c r="AM19077" s="198"/>
      <c r="AN19077" s="198"/>
      <c r="AO19077" s="198"/>
    </row>
    <row r="19078" spans="35:41" ht="19.5" thickBot="1" x14ac:dyDescent="0.35">
      <c r="AI19078" s="1746" t="s">
        <v>150</v>
      </c>
      <c r="AJ19078" s="1747"/>
      <c r="AK19078" s="1748"/>
      <c r="AL19078" s="198"/>
      <c r="AM19078" s="198"/>
      <c r="AN19078" s="198"/>
      <c r="AO19078" s="198"/>
    </row>
    <row r="19079" spans="35:41" ht="19.5" thickBot="1" x14ac:dyDescent="0.35">
      <c r="AI19079" s="1746" t="s">
        <v>150</v>
      </c>
      <c r="AJ19079" s="1747"/>
      <c r="AK19079" s="1748"/>
      <c r="AL19079" s="198"/>
      <c r="AM19079" s="198"/>
      <c r="AN19079" s="198"/>
      <c r="AO19079" s="198"/>
    </row>
    <row r="19080" spans="35:41" ht="19.5" thickBot="1" x14ac:dyDescent="0.35">
      <c r="AI19080" s="1746" t="s">
        <v>150</v>
      </c>
      <c r="AJ19080" s="1747"/>
      <c r="AK19080" s="1748"/>
      <c r="AL19080" s="198"/>
      <c r="AM19080" s="198"/>
      <c r="AN19080" s="198"/>
      <c r="AO19080" s="198"/>
    </row>
    <row r="19081" spans="35:41" ht="19.5" thickBot="1" x14ac:dyDescent="0.35">
      <c r="AI19081" s="1746" t="s">
        <v>150</v>
      </c>
      <c r="AJ19081" s="1747"/>
      <c r="AK19081" s="1748"/>
      <c r="AL19081" s="198"/>
      <c r="AM19081" s="198"/>
      <c r="AN19081" s="198"/>
      <c r="AO19081" s="198"/>
    </row>
    <row r="19082" spans="35:41" ht="19.5" thickBot="1" x14ac:dyDescent="0.35">
      <c r="AI19082" s="1746" t="s">
        <v>150</v>
      </c>
      <c r="AJ19082" s="1747"/>
      <c r="AK19082" s="1748"/>
      <c r="AL19082" s="198"/>
      <c r="AM19082" s="198"/>
      <c r="AN19082" s="198"/>
      <c r="AO19082" s="198"/>
    </row>
    <row r="19083" spans="35:41" ht="19.5" thickBot="1" x14ac:dyDescent="0.35">
      <c r="AI19083" s="1746" t="s">
        <v>150</v>
      </c>
      <c r="AJ19083" s="1747"/>
      <c r="AK19083" s="1748"/>
      <c r="AL19083" s="198"/>
      <c r="AM19083" s="198"/>
      <c r="AN19083" s="198"/>
      <c r="AO19083" s="198"/>
    </row>
    <row r="19084" spans="35:41" ht="19.5" thickBot="1" x14ac:dyDescent="0.35">
      <c r="AI19084" s="1746" t="s">
        <v>150</v>
      </c>
      <c r="AJ19084" s="1747"/>
      <c r="AK19084" s="1748"/>
      <c r="AL19084" s="198"/>
      <c r="AM19084" s="198"/>
      <c r="AN19084" s="198"/>
      <c r="AO19084" s="198"/>
    </row>
    <row r="19085" spans="35:41" ht="19.5" thickBot="1" x14ac:dyDescent="0.35">
      <c r="AI19085" s="1746" t="s">
        <v>150</v>
      </c>
      <c r="AJ19085" s="1747"/>
      <c r="AK19085" s="1748"/>
      <c r="AL19085" s="198"/>
      <c r="AM19085" s="198"/>
      <c r="AN19085" s="198"/>
      <c r="AO19085" s="198"/>
    </row>
    <row r="19086" spans="35:41" ht="19.5" thickBot="1" x14ac:dyDescent="0.35">
      <c r="AI19086" s="1746" t="s">
        <v>150</v>
      </c>
      <c r="AJ19086" s="1747"/>
      <c r="AK19086" s="1748"/>
      <c r="AL19086" s="198"/>
      <c r="AM19086" s="198"/>
      <c r="AN19086" s="198"/>
      <c r="AO19086" s="198"/>
    </row>
    <row r="19087" spans="35:41" ht="19.5" thickBot="1" x14ac:dyDescent="0.35">
      <c r="AI19087" s="1746" t="s">
        <v>150</v>
      </c>
      <c r="AJ19087" s="1747"/>
      <c r="AK19087" s="1748"/>
      <c r="AL19087" s="198"/>
      <c r="AM19087" s="198"/>
      <c r="AN19087" s="198"/>
      <c r="AO19087" s="198"/>
    </row>
    <row r="19088" spans="35:41" ht="19.5" thickBot="1" x14ac:dyDescent="0.35">
      <c r="AI19088" s="1746" t="s">
        <v>150</v>
      </c>
      <c r="AJ19088" s="1747"/>
      <c r="AK19088" s="1748"/>
      <c r="AL19088" s="198"/>
      <c r="AM19088" s="198"/>
      <c r="AN19088" s="198"/>
      <c r="AO19088" s="198"/>
    </row>
    <row r="19089" spans="35:41" ht="19.5" thickBot="1" x14ac:dyDescent="0.35">
      <c r="AI19089" s="1746" t="s">
        <v>150</v>
      </c>
      <c r="AJ19089" s="1747"/>
      <c r="AK19089" s="1748"/>
      <c r="AL19089" s="198"/>
      <c r="AM19089" s="198"/>
      <c r="AN19089" s="198"/>
      <c r="AO19089" s="198"/>
    </row>
    <row r="19090" spans="35:41" ht="19.5" thickBot="1" x14ac:dyDescent="0.35">
      <c r="AI19090" s="1746" t="s">
        <v>150</v>
      </c>
      <c r="AJ19090" s="1747"/>
      <c r="AK19090" s="1748"/>
      <c r="AL19090" s="198"/>
      <c r="AM19090" s="198"/>
      <c r="AN19090" s="198"/>
      <c r="AO19090" s="198"/>
    </row>
    <row r="19091" spans="35:41" ht="19.5" thickBot="1" x14ac:dyDescent="0.35">
      <c r="AI19091" s="1746" t="s">
        <v>150</v>
      </c>
      <c r="AJ19091" s="1747"/>
      <c r="AK19091" s="1748"/>
      <c r="AL19091" s="198"/>
      <c r="AM19091" s="198"/>
      <c r="AN19091" s="198"/>
      <c r="AO19091" s="198"/>
    </row>
    <row r="19092" spans="35:41" ht="19.5" thickBot="1" x14ac:dyDescent="0.35">
      <c r="AI19092" s="1746" t="s">
        <v>150</v>
      </c>
      <c r="AJ19092" s="1747"/>
      <c r="AK19092" s="1748"/>
      <c r="AL19092" s="198"/>
      <c r="AM19092" s="198"/>
      <c r="AN19092" s="198"/>
      <c r="AO19092" s="198"/>
    </row>
    <row r="19093" spans="35:41" ht="19.5" thickBot="1" x14ac:dyDescent="0.35">
      <c r="AI19093" s="1746" t="s">
        <v>150</v>
      </c>
      <c r="AJ19093" s="1747"/>
      <c r="AK19093" s="1748"/>
      <c r="AL19093" s="198"/>
      <c r="AM19093" s="198"/>
      <c r="AN19093" s="198"/>
      <c r="AO19093" s="198"/>
    </row>
    <row r="19094" spans="35:41" ht="19.5" thickBot="1" x14ac:dyDescent="0.35">
      <c r="AI19094" s="1746" t="s">
        <v>150</v>
      </c>
      <c r="AJ19094" s="1747"/>
      <c r="AK19094" s="1748"/>
      <c r="AL19094" s="198"/>
      <c r="AM19094" s="198"/>
      <c r="AN19094" s="198"/>
      <c r="AO19094" s="198"/>
    </row>
    <row r="19095" spans="35:41" ht="19.5" thickBot="1" x14ac:dyDescent="0.35">
      <c r="AI19095" s="1746" t="s">
        <v>150</v>
      </c>
      <c r="AJ19095" s="1747"/>
      <c r="AK19095" s="1748"/>
      <c r="AL19095" s="198"/>
      <c r="AM19095" s="198"/>
      <c r="AN19095" s="198"/>
      <c r="AO19095" s="198"/>
    </row>
    <row r="19096" spans="35:41" ht="19.5" thickBot="1" x14ac:dyDescent="0.35">
      <c r="AI19096" s="1746" t="s">
        <v>150</v>
      </c>
      <c r="AJ19096" s="1747"/>
      <c r="AK19096" s="1748"/>
      <c r="AL19096" s="198"/>
      <c r="AM19096" s="198"/>
      <c r="AN19096" s="198"/>
      <c r="AO19096" s="198"/>
    </row>
    <row r="19097" spans="35:41" ht="19.5" thickBot="1" x14ac:dyDescent="0.35">
      <c r="AI19097" s="1746" t="s">
        <v>150</v>
      </c>
      <c r="AJ19097" s="1747"/>
      <c r="AK19097" s="1748"/>
      <c r="AL19097" s="198"/>
      <c r="AM19097" s="198"/>
      <c r="AN19097" s="198"/>
      <c r="AO19097" s="198"/>
    </row>
    <row r="19098" spans="35:41" ht="19.5" thickBot="1" x14ac:dyDescent="0.35">
      <c r="AI19098" s="1746" t="s">
        <v>150</v>
      </c>
      <c r="AJ19098" s="1747"/>
      <c r="AK19098" s="1748"/>
      <c r="AL19098" s="198"/>
      <c r="AM19098" s="198"/>
      <c r="AN19098" s="198"/>
      <c r="AO19098" s="198"/>
    </row>
    <row r="19099" spans="35:41" ht="19.5" thickBot="1" x14ac:dyDescent="0.35">
      <c r="AI19099" s="1746" t="s">
        <v>150</v>
      </c>
      <c r="AJ19099" s="1747"/>
      <c r="AK19099" s="1748"/>
      <c r="AL19099" s="198"/>
      <c r="AM19099" s="198"/>
      <c r="AN19099" s="198"/>
      <c r="AO19099" s="198"/>
    </row>
    <row r="19100" spans="35:41" ht="19.5" thickBot="1" x14ac:dyDescent="0.35">
      <c r="AI19100" s="1746" t="s">
        <v>150</v>
      </c>
      <c r="AJ19100" s="1747"/>
      <c r="AK19100" s="1748"/>
      <c r="AL19100" s="198"/>
      <c r="AM19100" s="198"/>
      <c r="AN19100" s="198"/>
      <c r="AO19100" s="198"/>
    </row>
    <row r="19101" spans="35:41" ht="19.5" thickBot="1" x14ac:dyDescent="0.35">
      <c r="AI19101" s="1746" t="s">
        <v>150</v>
      </c>
      <c r="AJ19101" s="1747"/>
      <c r="AK19101" s="1748"/>
      <c r="AL19101" s="198"/>
      <c r="AM19101" s="198"/>
      <c r="AN19101" s="198"/>
      <c r="AO19101" s="198"/>
    </row>
    <row r="19102" spans="35:41" ht="19.5" thickBot="1" x14ac:dyDescent="0.35">
      <c r="AI19102" s="1746" t="s">
        <v>150</v>
      </c>
      <c r="AJ19102" s="1747"/>
      <c r="AK19102" s="1748"/>
      <c r="AL19102" s="198"/>
      <c r="AM19102" s="198"/>
      <c r="AN19102" s="198"/>
      <c r="AO19102" s="198"/>
    </row>
    <row r="19103" spans="35:41" ht="19.5" thickBot="1" x14ac:dyDescent="0.35">
      <c r="AI19103" s="1746" t="s">
        <v>150</v>
      </c>
      <c r="AJ19103" s="1747"/>
      <c r="AK19103" s="1748"/>
      <c r="AL19103" s="198"/>
      <c r="AM19103" s="198"/>
      <c r="AN19103" s="198"/>
      <c r="AO19103" s="198"/>
    </row>
    <row r="19104" spans="35:41" ht="19.5" thickBot="1" x14ac:dyDescent="0.35">
      <c r="AI19104" s="1746" t="s">
        <v>150</v>
      </c>
      <c r="AJ19104" s="1747"/>
      <c r="AK19104" s="1748"/>
      <c r="AL19104" s="198"/>
      <c r="AM19104" s="198"/>
      <c r="AN19104" s="198"/>
      <c r="AO19104" s="198"/>
    </row>
    <row r="19105" spans="35:41" ht="19.5" thickBot="1" x14ac:dyDescent="0.35">
      <c r="AI19105" s="1746" t="s">
        <v>150</v>
      </c>
      <c r="AJ19105" s="1747"/>
      <c r="AK19105" s="1748"/>
      <c r="AL19105" s="198"/>
      <c r="AM19105" s="198"/>
      <c r="AN19105" s="198"/>
      <c r="AO19105" s="198"/>
    </row>
    <row r="19106" spans="35:41" ht="19.5" thickBot="1" x14ac:dyDescent="0.35">
      <c r="AI19106" s="1746" t="s">
        <v>150</v>
      </c>
      <c r="AJ19106" s="1747"/>
      <c r="AK19106" s="1748"/>
      <c r="AL19106" s="198"/>
      <c r="AM19106" s="198"/>
      <c r="AN19106" s="198"/>
      <c r="AO19106" s="198"/>
    </row>
    <row r="19107" spans="35:41" ht="19.5" thickBot="1" x14ac:dyDescent="0.35">
      <c r="AI19107" s="1746" t="s">
        <v>150</v>
      </c>
      <c r="AJ19107" s="1747"/>
      <c r="AK19107" s="1748"/>
      <c r="AL19107" s="198"/>
      <c r="AM19107" s="198"/>
      <c r="AN19107" s="198"/>
      <c r="AO19107" s="198"/>
    </row>
    <row r="19108" spans="35:41" ht="19.5" thickBot="1" x14ac:dyDescent="0.35">
      <c r="AI19108" s="1746" t="s">
        <v>150</v>
      </c>
      <c r="AJ19108" s="1747"/>
      <c r="AK19108" s="1748"/>
      <c r="AL19108" s="198"/>
      <c r="AM19108" s="198"/>
      <c r="AN19108" s="198"/>
      <c r="AO19108" s="198"/>
    </row>
    <row r="19109" spans="35:41" ht="19.5" thickBot="1" x14ac:dyDescent="0.35">
      <c r="AI19109" s="1746" t="s">
        <v>150</v>
      </c>
      <c r="AJ19109" s="1747"/>
      <c r="AK19109" s="1748"/>
      <c r="AL19109" s="198"/>
      <c r="AM19109" s="198"/>
      <c r="AN19109" s="198"/>
      <c r="AO19109" s="198"/>
    </row>
    <row r="19110" spans="35:41" ht="19.5" thickBot="1" x14ac:dyDescent="0.35">
      <c r="AI19110" s="1746" t="s">
        <v>150</v>
      </c>
      <c r="AJ19110" s="1747"/>
      <c r="AK19110" s="1748"/>
      <c r="AL19110" s="198"/>
      <c r="AM19110" s="198"/>
      <c r="AN19110" s="198"/>
      <c r="AO19110" s="198"/>
    </row>
    <row r="19111" spans="35:41" ht="19.5" thickBot="1" x14ac:dyDescent="0.35">
      <c r="AI19111" s="1746" t="s">
        <v>150</v>
      </c>
      <c r="AJ19111" s="1747"/>
      <c r="AK19111" s="1748"/>
      <c r="AL19111" s="198"/>
      <c r="AM19111" s="198"/>
      <c r="AN19111" s="198"/>
      <c r="AO19111" s="198"/>
    </row>
    <row r="19112" spans="35:41" ht="19.5" thickBot="1" x14ac:dyDescent="0.35">
      <c r="AI19112" s="1746" t="s">
        <v>150</v>
      </c>
      <c r="AJ19112" s="1747"/>
      <c r="AK19112" s="1748"/>
      <c r="AL19112" s="198"/>
      <c r="AM19112" s="198"/>
      <c r="AN19112" s="198"/>
      <c r="AO19112" s="198"/>
    </row>
    <row r="19113" spans="35:41" ht="19.5" thickBot="1" x14ac:dyDescent="0.35">
      <c r="AI19113" s="1746" t="s">
        <v>150</v>
      </c>
      <c r="AJ19113" s="1747"/>
      <c r="AK19113" s="1748"/>
      <c r="AL19113" s="198"/>
      <c r="AM19113" s="198"/>
      <c r="AN19113" s="198"/>
      <c r="AO19113" s="198"/>
    </row>
    <row r="19114" spans="35:41" ht="19.5" thickBot="1" x14ac:dyDescent="0.35">
      <c r="AI19114" s="1746" t="s">
        <v>150</v>
      </c>
      <c r="AJ19114" s="1747"/>
      <c r="AK19114" s="1748"/>
      <c r="AL19114" s="198"/>
      <c r="AM19114" s="198"/>
      <c r="AN19114" s="198"/>
      <c r="AO19114" s="198"/>
    </row>
    <row r="19115" spans="35:41" ht="19.5" thickBot="1" x14ac:dyDescent="0.35">
      <c r="AI19115" s="1746" t="s">
        <v>150</v>
      </c>
      <c r="AJ19115" s="1747"/>
      <c r="AK19115" s="1748"/>
      <c r="AL19115" s="198"/>
      <c r="AM19115" s="198"/>
      <c r="AN19115" s="198"/>
      <c r="AO19115" s="198"/>
    </row>
    <row r="19116" spans="35:41" ht="19.5" thickBot="1" x14ac:dyDescent="0.35">
      <c r="AI19116" s="1746" t="s">
        <v>150</v>
      </c>
      <c r="AJ19116" s="1747"/>
      <c r="AK19116" s="1748"/>
      <c r="AL19116" s="198"/>
      <c r="AM19116" s="198"/>
      <c r="AN19116" s="198"/>
      <c r="AO19116" s="198"/>
    </row>
    <row r="19117" spans="35:41" ht="19.5" thickBot="1" x14ac:dyDescent="0.35">
      <c r="AI19117" s="1746" t="s">
        <v>150</v>
      </c>
      <c r="AJ19117" s="1747"/>
      <c r="AK19117" s="1748"/>
      <c r="AL19117" s="198"/>
      <c r="AM19117" s="198"/>
      <c r="AN19117" s="198"/>
      <c r="AO19117" s="198"/>
    </row>
    <row r="19118" spans="35:41" ht="19.5" thickBot="1" x14ac:dyDescent="0.35">
      <c r="AI19118" s="1746" t="s">
        <v>150</v>
      </c>
      <c r="AJ19118" s="1747"/>
      <c r="AK19118" s="1748"/>
      <c r="AL19118" s="198"/>
      <c r="AM19118" s="198"/>
      <c r="AN19118" s="198"/>
      <c r="AO19118" s="198"/>
    </row>
    <row r="19119" spans="35:41" ht="19.5" thickBot="1" x14ac:dyDescent="0.35">
      <c r="AI19119" s="1746" t="s">
        <v>150</v>
      </c>
      <c r="AJ19119" s="1747"/>
      <c r="AK19119" s="1748"/>
      <c r="AL19119" s="198"/>
      <c r="AM19119" s="198"/>
      <c r="AN19119" s="198"/>
      <c r="AO19119" s="198"/>
    </row>
    <row r="19120" spans="35:41" ht="19.5" thickBot="1" x14ac:dyDescent="0.35">
      <c r="AI19120" s="1746" t="s">
        <v>150</v>
      </c>
      <c r="AJ19120" s="1747"/>
      <c r="AK19120" s="1748"/>
      <c r="AL19120" s="198"/>
      <c r="AM19120" s="198"/>
      <c r="AN19120" s="198"/>
      <c r="AO19120" s="198"/>
    </row>
    <row r="19121" spans="35:41" ht="19.5" thickBot="1" x14ac:dyDescent="0.35">
      <c r="AI19121" s="1746" t="s">
        <v>150</v>
      </c>
      <c r="AJ19121" s="1747"/>
      <c r="AK19121" s="1748"/>
      <c r="AL19121" s="198"/>
      <c r="AM19121" s="198"/>
      <c r="AN19121" s="198"/>
      <c r="AO19121" s="198"/>
    </row>
    <row r="19122" spans="35:41" ht="19.5" thickBot="1" x14ac:dyDescent="0.35">
      <c r="AI19122" s="1746" t="s">
        <v>150</v>
      </c>
      <c r="AJ19122" s="1747"/>
      <c r="AK19122" s="1748"/>
      <c r="AL19122" s="198"/>
      <c r="AM19122" s="198"/>
      <c r="AN19122" s="198"/>
      <c r="AO19122" s="198"/>
    </row>
    <row r="19123" spans="35:41" ht="19.5" thickBot="1" x14ac:dyDescent="0.35">
      <c r="AI19123" s="1746" t="s">
        <v>150</v>
      </c>
      <c r="AJ19123" s="1747"/>
      <c r="AK19123" s="1748"/>
      <c r="AL19123" s="198"/>
      <c r="AM19123" s="198"/>
      <c r="AN19123" s="198"/>
      <c r="AO19123" s="198"/>
    </row>
    <row r="19124" spans="35:41" ht="19.5" thickBot="1" x14ac:dyDescent="0.35">
      <c r="AI19124" s="1746" t="s">
        <v>150</v>
      </c>
      <c r="AJ19124" s="1747"/>
      <c r="AK19124" s="1748"/>
      <c r="AL19124" s="198"/>
      <c r="AM19124" s="198"/>
      <c r="AN19124" s="198"/>
      <c r="AO19124" s="198"/>
    </row>
    <row r="19125" spans="35:41" ht="19.5" thickBot="1" x14ac:dyDescent="0.35">
      <c r="AI19125" s="1746" t="s">
        <v>150</v>
      </c>
      <c r="AJ19125" s="1747"/>
      <c r="AK19125" s="1748"/>
      <c r="AL19125" s="198"/>
      <c r="AM19125" s="198"/>
      <c r="AN19125" s="198"/>
      <c r="AO19125" s="198"/>
    </row>
    <row r="19126" spans="35:41" ht="19.5" thickBot="1" x14ac:dyDescent="0.35">
      <c r="AI19126" s="1746" t="s">
        <v>150</v>
      </c>
      <c r="AJ19126" s="1747"/>
      <c r="AK19126" s="1748"/>
      <c r="AL19126" s="198"/>
      <c r="AM19126" s="198"/>
      <c r="AN19126" s="198"/>
      <c r="AO19126" s="198"/>
    </row>
    <row r="19127" spans="35:41" ht="19.5" thickBot="1" x14ac:dyDescent="0.35">
      <c r="AI19127" s="1746" t="s">
        <v>150</v>
      </c>
      <c r="AJ19127" s="1747"/>
      <c r="AK19127" s="1748"/>
      <c r="AL19127" s="198"/>
      <c r="AM19127" s="198"/>
      <c r="AN19127" s="198"/>
      <c r="AO19127" s="198"/>
    </row>
    <row r="19128" spans="35:41" ht="19.5" thickBot="1" x14ac:dyDescent="0.35">
      <c r="AI19128" s="1746" t="s">
        <v>150</v>
      </c>
      <c r="AJ19128" s="1747"/>
      <c r="AK19128" s="1748"/>
      <c r="AL19128" s="198"/>
      <c r="AM19128" s="198"/>
      <c r="AN19128" s="198"/>
      <c r="AO19128" s="198"/>
    </row>
    <row r="19129" spans="35:41" ht="19.5" thickBot="1" x14ac:dyDescent="0.35">
      <c r="AI19129" s="1746" t="s">
        <v>150</v>
      </c>
      <c r="AJ19129" s="1747"/>
      <c r="AK19129" s="1748"/>
      <c r="AL19129" s="198"/>
      <c r="AM19129" s="198"/>
      <c r="AN19129" s="198"/>
      <c r="AO19129" s="198"/>
    </row>
    <row r="19130" spans="35:41" ht="19.5" thickBot="1" x14ac:dyDescent="0.35">
      <c r="AI19130" s="1746" t="s">
        <v>150</v>
      </c>
      <c r="AJ19130" s="1747"/>
      <c r="AK19130" s="1748"/>
      <c r="AL19130" s="198"/>
      <c r="AM19130" s="198"/>
      <c r="AN19130" s="198"/>
      <c r="AO19130" s="198"/>
    </row>
    <row r="19131" spans="35:41" ht="19.5" thickBot="1" x14ac:dyDescent="0.35">
      <c r="AI19131" s="1746" t="s">
        <v>150</v>
      </c>
      <c r="AJ19131" s="1747"/>
      <c r="AK19131" s="1748"/>
      <c r="AL19131" s="198"/>
      <c r="AM19131" s="198"/>
      <c r="AN19131" s="198"/>
      <c r="AO19131" s="198"/>
    </row>
    <row r="19132" spans="35:41" ht="19.5" thickBot="1" x14ac:dyDescent="0.35">
      <c r="AI19132" s="1746" t="s">
        <v>150</v>
      </c>
      <c r="AJ19132" s="1747"/>
      <c r="AK19132" s="1748"/>
      <c r="AL19132" s="198"/>
      <c r="AM19132" s="198"/>
      <c r="AN19132" s="198"/>
      <c r="AO19132" s="198"/>
    </row>
    <row r="19133" spans="35:41" ht="19.5" thickBot="1" x14ac:dyDescent="0.35">
      <c r="AI19133" s="1746" t="s">
        <v>150</v>
      </c>
      <c r="AJ19133" s="1747"/>
      <c r="AK19133" s="1748"/>
      <c r="AL19133" s="198"/>
      <c r="AM19133" s="198"/>
      <c r="AN19133" s="198"/>
      <c r="AO19133" s="198"/>
    </row>
    <row r="19134" spans="35:41" ht="19.5" thickBot="1" x14ac:dyDescent="0.35">
      <c r="AI19134" s="1746" t="s">
        <v>150</v>
      </c>
      <c r="AJ19134" s="1747"/>
      <c r="AK19134" s="1748"/>
      <c r="AL19134" s="198"/>
      <c r="AM19134" s="198"/>
      <c r="AN19134" s="198"/>
      <c r="AO19134" s="198"/>
    </row>
    <row r="19135" spans="35:41" ht="19.5" thickBot="1" x14ac:dyDescent="0.35">
      <c r="AI19135" s="1746" t="s">
        <v>150</v>
      </c>
      <c r="AJ19135" s="1747"/>
      <c r="AK19135" s="1748"/>
      <c r="AL19135" s="198"/>
      <c r="AM19135" s="198"/>
      <c r="AN19135" s="198"/>
      <c r="AO19135" s="198"/>
    </row>
    <row r="19136" spans="35:41" ht="19.5" thickBot="1" x14ac:dyDescent="0.35">
      <c r="AI19136" s="1746" t="s">
        <v>150</v>
      </c>
      <c r="AJ19136" s="1747"/>
      <c r="AK19136" s="1748"/>
      <c r="AL19136" s="198"/>
      <c r="AM19136" s="198"/>
      <c r="AN19136" s="198"/>
      <c r="AO19136" s="198"/>
    </row>
    <row r="19137" spans="35:41" ht="19.5" thickBot="1" x14ac:dyDescent="0.35">
      <c r="AI19137" s="1746" t="s">
        <v>150</v>
      </c>
      <c r="AJ19137" s="1747"/>
      <c r="AK19137" s="1748"/>
      <c r="AL19137" s="198"/>
      <c r="AM19137" s="198"/>
      <c r="AN19137" s="198"/>
      <c r="AO19137" s="198"/>
    </row>
    <row r="19138" spans="35:41" ht="19.5" thickBot="1" x14ac:dyDescent="0.35">
      <c r="AI19138" s="1746" t="s">
        <v>150</v>
      </c>
      <c r="AJ19138" s="1747"/>
      <c r="AK19138" s="1748"/>
      <c r="AL19138" s="198"/>
      <c r="AM19138" s="198"/>
      <c r="AN19138" s="198"/>
      <c r="AO19138" s="198"/>
    </row>
    <row r="19139" spans="35:41" ht="19.5" thickBot="1" x14ac:dyDescent="0.35">
      <c r="AI19139" s="1746" t="s">
        <v>150</v>
      </c>
      <c r="AJ19139" s="1747"/>
      <c r="AK19139" s="1748"/>
      <c r="AL19139" s="198"/>
      <c r="AM19139" s="198"/>
      <c r="AN19139" s="198"/>
      <c r="AO19139" s="198"/>
    </row>
    <row r="19140" spans="35:41" ht="19.5" thickBot="1" x14ac:dyDescent="0.35">
      <c r="AI19140" s="1746" t="s">
        <v>150</v>
      </c>
      <c r="AJ19140" s="1747"/>
      <c r="AK19140" s="1748"/>
      <c r="AL19140" s="198"/>
      <c r="AM19140" s="198"/>
      <c r="AN19140" s="198"/>
      <c r="AO19140" s="198"/>
    </row>
    <row r="19141" spans="35:41" ht="19.5" thickBot="1" x14ac:dyDescent="0.35">
      <c r="AI19141" s="1746" t="s">
        <v>150</v>
      </c>
      <c r="AJ19141" s="1747"/>
      <c r="AK19141" s="1748"/>
      <c r="AL19141" s="198"/>
      <c r="AM19141" s="198"/>
      <c r="AN19141" s="198"/>
      <c r="AO19141" s="198"/>
    </row>
    <row r="19142" spans="35:41" ht="19.5" thickBot="1" x14ac:dyDescent="0.35">
      <c r="AI19142" s="1746" t="s">
        <v>150</v>
      </c>
      <c r="AJ19142" s="1747"/>
      <c r="AK19142" s="1748"/>
      <c r="AL19142" s="198"/>
      <c r="AM19142" s="198"/>
      <c r="AN19142" s="198"/>
      <c r="AO19142" s="198"/>
    </row>
    <row r="19143" spans="35:41" ht="19.5" thickBot="1" x14ac:dyDescent="0.35">
      <c r="AI19143" s="1746" t="s">
        <v>150</v>
      </c>
      <c r="AJ19143" s="1747"/>
      <c r="AK19143" s="1748"/>
      <c r="AL19143" s="198"/>
      <c r="AM19143" s="198"/>
      <c r="AN19143" s="198"/>
      <c r="AO19143" s="198"/>
    </row>
    <row r="19144" spans="35:41" ht="19.5" thickBot="1" x14ac:dyDescent="0.35">
      <c r="AI19144" s="1746" t="s">
        <v>150</v>
      </c>
      <c r="AJ19144" s="1747"/>
      <c r="AK19144" s="1748"/>
      <c r="AL19144" s="198"/>
      <c r="AM19144" s="198"/>
      <c r="AN19144" s="198"/>
      <c r="AO19144" s="198"/>
    </row>
    <row r="19145" spans="35:41" ht="19.5" thickBot="1" x14ac:dyDescent="0.35">
      <c r="AI19145" s="1746" t="s">
        <v>150</v>
      </c>
      <c r="AJ19145" s="1747"/>
      <c r="AK19145" s="1748"/>
      <c r="AL19145" s="198"/>
      <c r="AM19145" s="198"/>
      <c r="AN19145" s="198"/>
      <c r="AO19145" s="198"/>
    </row>
    <row r="19146" spans="35:41" ht="19.5" thickBot="1" x14ac:dyDescent="0.35">
      <c r="AI19146" s="1746" t="s">
        <v>150</v>
      </c>
      <c r="AJ19146" s="1747"/>
      <c r="AK19146" s="1748"/>
      <c r="AL19146" s="198"/>
      <c r="AM19146" s="198"/>
      <c r="AN19146" s="198"/>
      <c r="AO19146" s="198"/>
    </row>
    <row r="19147" spans="35:41" ht="19.5" thickBot="1" x14ac:dyDescent="0.35">
      <c r="AI19147" s="1746" t="s">
        <v>150</v>
      </c>
      <c r="AJ19147" s="1747"/>
      <c r="AK19147" s="1748"/>
      <c r="AL19147" s="198"/>
      <c r="AM19147" s="198"/>
      <c r="AN19147" s="198"/>
      <c r="AO19147" s="198"/>
    </row>
    <row r="19148" spans="35:41" ht="19.5" thickBot="1" x14ac:dyDescent="0.35">
      <c r="AI19148" s="1746" t="s">
        <v>150</v>
      </c>
      <c r="AJ19148" s="1747"/>
      <c r="AK19148" s="1748"/>
      <c r="AL19148" s="198"/>
      <c r="AM19148" s="198"/>
      <c r="AN19148" s="198"/>
      <c r="AO19148" s="198"/>
    </row>
    <row r="19149" spans="35:41" ht="19.5" thickBot="1" x14ac:dyDescent="0.35">
      <c r="AI19149" s="1746" t="s">
        <v>150</v>
      </c>
      <c r="AJ19149" s="1747"/>
      <c r="AK19149" s="1748"/>
      <c r="AL19149" s="198"/>
      <c r="AM19149" s="198"/>
      <c r="AN19149" s="198"/>
      <c r="AO19149" s="198"/>
    </row>
    <row r="19150" spans="35:41" ht="19.5" thickBot="1" x14ac:dyDescent="0.35">
      <c r="AI19150" s="1746" t="s">
        <v>150</v>
      </c>
      <c r="AJ19150" s="1747"/>
      <c r="AK19150" s="1748"/>
      <c r="AL19150" s="198"/>
      <c r="AM19150" s="198"/>
      <c r="AN19150" s="198"/>
      <c r="AO19150" s="198"/>
    </row>
    <row r="19151" spans="35:41" ht="19.5" thickBot="1" x14ac:dyDescent="0.35">
      <c r="AI19151" s="1746" t="s">
        <v>150</v>
      </c>
      <c r="AJ19151" s="1747"/>
      <c r="AK19151" s="1748"/>
      <c r="AL19151" s="198"/>
      <c r="AM19151" s="198"/>
      <c r="AN19151" s="198"/>
      <c r="AO19151" s="198"/>
    </row>
    <row r="19152" spans="35:41" ht="19.5" thickBot="1" x14ac:dyDescent="0.35">
      <c r="AI19152" s="1746" t="s">
        <v>150</v>
      </c>
      <c r="AJ19152" s="1747"/>
      <c r="AK19152" s="1748"/>
      <c r="AL19152" s="198"/>
      <c r="AM19152" s="198"/>
      <c r="AN19152" s="198"/>
      <c r="AO19152" s="198"/>
    </row>
    <row r="19153" spans="35:41" ht="19.5" thickBot="1" x14ac:dyDescent="0.35">
      <c r="AI19153" s="1746" t="s">
        <v>150</v>
      </c>
      <c r="AJ19153" s="1747"/>
      <c r="AK19153" s="1748"/>
      <c r="AL19153" s="198"/>
      <c r="AM19153" s="198"/>
      <c r="AN19153" s="198"/>
      <c r="AO19153" s="198"/>
    </row>
    <row r="19154" spans="35:41" ht="19.5" thickBot="1" x14ac:dyDescent="0.35">
      <c r="AI19154" s="1746" t="s">
        <v>150</v>
      </c>
      <c r="AJ19154" s="1747"/>
      <c r="AK19154" s="1748"/>
      <c r="AL19154" s="198"/>
      <c r="AM19154" s="198"/>
      <c r="AN19154" s="198"/>
      <c r="AO19154" s="198"/>
    </row>
    <row r="19155" spans="35:41" ht="19.5" thickBot="1" x14ac:dyDescent="0.35">
      <c r="AI19155" s="1746" t="s">
        <v>150</v>
      </c>
      <c r="AJ19155" s="1747"/>
      <c r="AK19155" s="1748"/>
      <c r="AL19155" s="198"/>
      <c r="AM19155" s="198"/>
      <c r="AN19155" s="198"/>
      <c r="AO19155" s="198"/>
    </row>
    <row r="19156" spans="35:41" ht="19.5" thickBot="1" x14ac:dyDescent="0.35">
      <c r="AI19156" s="1746" t="s">
        <v>150</v>
      </c>
      <c r="AJ19156" s="1747"/>
      <c r="AK19156" s="1748"/>
      <c r="AL19156" s="198"/>
      <c r="AM19156" s="198"/>
      <c r="AN19156" s="198"/>
      <c r="AO19156" s="198"/>
    </row>
    <row r="19157" spans="35:41" ht="19.5" thickBot="1" x14ac:dyDescent="0.35">
      <c r="AI19157" s="1746" t="s">
        <v>150</v>
      </c>
      <c r="AJ19157" s="1747"/>
      <c r="AK19157" s="1748"/>
      <c r="AL19157" s="198"/>
      <c r="AM19157" s="198"/>
      <c r="AN19157" s="198"/>
      <c r="AO19157" s="198"/>
    </row>
    <row r="19158" spans="35:41" ht="19.5" thickBot="1" x14ac:dyDescent="0.35">
      <c r="AI19158" s="1746" t="s">
        <v>150</v>
      </c>
      <c r="AJ19158" s="1747"/>
      <c r="AK19158" s="1748"/>
      <c r="AL19158" s="198"/>
      <c r="AM19158" s="198"/>
      <c r="AN19158" s="198"/>
      <c r="AO19158" s="198"/>
    </row>
    <row r="19159" spans="35:41" ht="19.5" thickBot="1" x14ac:dyDescent="0.35">
      <c r="AI19159" s="1746" t="s">
        <v>150</v>
      </c>
      <c r="AJ19159" s="1747"/>
      <c r="AK19159" s="1748"/>
      <c r="AL19159" s="198"/>
      <c r="AM19159" s="198"/>
      <c r="AN19159" s="198"/>
      <c r="AO19159" s="198"/>
    </row>
    <row r="19160" spans="35:41" ht="19.5" thickBot="1" x14ac:dyDescent="0.35">
      <c r="AI19160" s="1746" t="s">
        <v>150</v>
      </c>
      <c r="AJ19160" s="1747"/>
      <c r="AK19160" s="1748"/>
      <c r="AL19160" s="198"/>
      <c r="AM19160" s="198"/>
      <c r="AN19160" s="198"/>
      <c r="AO19160" s="198"/>
    </row>
    <row r="19161" spans="35:41" ht="19.5" thickBot="1" x14ac:dyDescent="0.35">
      <c r="AI19161" s="1746" t="s">
        <v>150</v>
      </c>
      <c r="AJ19161" s="1747"/>
      <c r="AK19161" s="1748"/>
      <c r="AL19161" s="198"/>
      <c r="AM19161" s="198"/>
      <c r="AN19161" s="198"/>
      <c r="AO19161" s="198"/>
    </row>
    <row r="19162" spans="35:41" ht="19.5" thickBot="1" x14ac:dyDescent="0.35">
      <c r="AI19162" s="1746" t="s">
        <v>150</v>
      </c>
      <c r="AJ19162" s="1747"/>
      <c r="AK19162" s="1748"/>
      <c r="AL19162" s="198"/>
      <c r="AM19162" s="198"/>
      <c r="AN19162" s="198"/>
      <c r="AO19162" s="198"/>
    </row>
    <row r="19163" spans="35:41" ht="19.5" thickBot="1" x14ac:dyDescent="0.35">
      <c r="AI19163" s="1746" t="s">
        <v>150</v>
      </c>
      <c r="AJ19163" s="1747"/>
      <c r="AK19163" s="1748"/>
      <c r="AL19163" s="198"/>
      <c r="AM19163" s="198"/>
      <c r="AN19163" s="198"/>
      <c r="AO19163" s="198"/>
    </row>
    <row r="19164" spans="35:41" ht="19.5" thickBot="1" x14ac:dyDescent="0.35">
      <c r="AI19164" s="1746" t="s">
        <v>150</v>
      </c>
      <c r="AJ19164" s="1747"/>
      <c r="AK19164" s="1748"/>
      <c r="AL19164" s="198"/>
      <c r="AM19164" s="198"/>
      <c r="AN19164" s="198"/>
      <c r="AO19164" s="198"/>
    </row>
    <row r="19165" spans="35:41" ht="19.5" thickBot="1" x14ac:dyDescent="0.35">
      <c r="AI19165" s="1746" t="s">
        <v>150</v>
      </c>
      <c r="AJ19165" s="1747"/>
      <c r="AK19165" s="1748"/>
      <c r="AL19165" s="198"/>
      <c r="AM19165" s="198"/>
      <c r="AN19165" s="198"/>
      <c r="AO19165" s="198"/>
    </row>
    <row r="19166" spans="35:41" ht="19.5" thickBot="1" x14ac:dyDescent="0.35">
      <c r="AI19166" s="1746" t="s">
        <v>150</v>
      </c>
      <c r="AJ19166" s="1747"/>
      <c r="AK19166" s="1748"/>
      <c r="AL19166" s="198"/>
      <c r="AM19166" s="198"/>
      <c r="AN19166" s="198"/>
      <c r="AO19166" s="198"/>
    </row>
    <row r="19167" spans="35:41" ht="19.5" thickBot="1" x14ac:dyDescent="0.35">
      <c r="AI19167" s="1746" t="s">
        <v>150</v>
      </c>
      <c r="AJ19167" s="1747"/>
      <c r="AK19167" s="1748"/>
      <c r="AL19167" s="198"/>
      <c r="AM19167" s="198"/>
      <c r="AN19167" s="198"/>
      <c r="AO19167" s="198"/>
    </row>
    <row r="19168" spans="35:41" ht="19.5" thickBot="1" x14ac:dyDescent="0.35">
      <c r="AI19168" s="1746" t="s">
        <v>150</v>
      </c>
      <c r="AJ19168" s="1747"/>
      <c r="AK19168" s="1748"/>
      <c r="AL19168" s="198"/>
      <c r="AM19168" s="198"/>
      <c r="AN19168" s="198"/>
      <c r="AO19168" s="198"/>
    </row>
    <row r="19169" spans="35:41" ht="19.5" thickBot="1" x14ac:dyDescent="0.35">
      <c r="AI19169" s="1746" t="s">
        <v>150</v>
      </c>
      <c r="AJ19169" s="1747"/>
      <c r="AK19169" s="1748"/>
      <c r="AL19169" s="198"/>
      <c r="AM19169" s="198"/>
      <c r="AN19169" s="198"/>
      <c r="AO19169" s="198"/>
    </row>
    <row r="19170" spans="35:41" ht="19.5" thickBot="1" x14ac:dyDescent="0.35">
      <c r="AI19170" s="1746" t="s">
        <v>150</v>
      </c>
      <c r="AJ19170" s="1747"/>
      <c r="AK19170" s="1748"/>
      <c r="AL19170" s="198"/>
      <c r="AM19170" s="198"/>
      <c r="AN19170" s="198"/>
      <c r="AO19170" s="198"/>
    </row>
    <row r="19171" spans="35:41" ht="19.5" thickBot="1" x14ac:dyDescent="0.35">
      <c r="AI19171" s="1746" t="s">
        <v>150</v>
      </c>
      <c r="AJ19171" s="1747"/>
      <c r="AK19171" s="1748"/>
      <c r="AL19171" s="198"/>
      <c r="AM19171" s="198"/>
      <c r="AN19171" s="198"/>
      <c r="AO19171" s="198"/>
    </row>
    <row r="19172" spans="35:41" ht="19.5" thickBot="1" x14ac:dyDescent="0.35">
      <c r="AI19172" s="1746" t="s">
        <v>150</v>
      </c>
      <c r="AJ19172" s="1747"/>
      <c r="AK19172" s="1748"/>
      <c r="AL19172" s="198"/>
      <c r="AM19172" s="198"/>
      <c r="AN19172" s="198"/>
      <c r="AO19172" s="198"/>
    </row>
    <row r="19173" spans="35:41" ht="19.5" thickBot="1" x14ac:dyDescent="0.35">
      <c r="AI19173" s="1746" t="s">
        <v>150</v>
      </c>
      <c r="AJ19173" s="1747"/>
      <c r="AK19173" s="1748"/>
      <c r="AL19173" s="198"/>
      <c r="AM19173" s="198"/>
      <c r="AN19173" s="198"/>
      <c r="AO19173" s="198"/>
    </row>
    <row r="19174" spans="35:41" ht="19.5" thickBot="1" x14ac:dyDescent="0.35">
      <c r="AI19174" s="1746" t="s">
        <v>150</v>
      </c>
      <c r="AJ19174" s="1747"/>
      <c r="AK19174" s="1748"/>
      <c r="AL19174" s="198"/>
      <c r="AM19174" s="198"/>
      <c r="AN19174" s="198"/>
      <c r="AO19174" s="198"/>
    </row>
    <row r="19175" spans="35:41" ht="19.5" thickBot="1" x14ac:dyDescent="0.35">
      <c r="AI19175" s="1746" t="s">
        <v>150</v>
      </c>
      <c r="AJ19175" s="1747"/>
      <c r="AK19175" s="1748"/>
      <c r="AL19175" s="198"/>
      <c r="AM19175" s="198"/>
      <c r="AN19175" s="198"/>
      <c r="AO19175" s="198"/>
    </row>
    <row r="19176" spans="35:41" ht="19.5" thickBot="1" x14ac:dyDescent="0.35">
      <c r="AI19176" s="1746" t="s">
        <v>150</v>
      </c>
      <c r="AJ19176" s="1747"/>
      <c r="AK19176" s="1748"/>
      <c r="AL19176" s="198"/>
      <c r="AM19176" s="198"/>
      <c r="AN19176" s="198"/>
      <c r="AO19176" s="198"/>
    </row>
    <row r="19177" spans="35:41" ht="19.5" thickBot="1" x14ac:dyDescent="0.35">
      <c r="AI19177" s="1746" t="s">
        <v>150</v>
      </c>
      <c r="AJ19177" s="1747"/>
      <c r="AK19177" s="1748"/>
      <c r="AL19177" s="198"/>
      <c r="AM19177" s="198"/>
      <c r="AN19177" s="198"/>
      <c r="AO19177" s="198"/>
    </row>
    <row r="19178" spans="35:41" ht="19.5" thickBot="1" x14ac:dyDescent="0.35">
      <c r="AI19178" s="1746" t="s">
        <v>150</v>
      </c>
      <c r="AJ19178" s="1747"/>
      <c r="AK19178" s="1748"/>
      <c r="AL19178" s="198"/>
      <c r="AM19178" s="198"/>
      <c r="AN19178" s="198"/>
      <c r="AO19178" s="198"/>
    </row>
    <row r="19179" spans="35:41" ht="19.5" thickBot="1" x14ac:dyDescent="0.35">
      <c r="AI19179" s="1746" t="s">
        <v>150</v>
      </c>
      <c r="AJ19179" s="1747"/>
      <c r="AK19179" s="1748"/>
      <c r="AL19179" s="198"/>
      <c r="AM19179" s="198"/>
      <c r="AN19179" s="198"/>
      <c r="AO19179" s="198"/>
    </row>
    <row r="19180" spans="35:41" ht="19.5" thickBot="1" x14ac:dyDescent="0.35">
      <c r="AI19180" s="1746" t="s">
        <v>150</v>
      </c>
      <c r="AJ19180" s="1747"/>
      <c r="AK19180" s="1748"/>
      <c r="AL19180" s="198"/>
      <c r="AM19180" s="198"/>
      <c r="AN19180" s="198"/>
      <c r="AO19180" s="198"/>
    </row>
    <row r="19181" spans="35:41" ht="19.5" thickBot="1" x14ac:dyDescent="0.35">
      <c r="AI19181" s="1746" t="s">
        <v>150</v>
      </c>
      <c r="AJ19181" s="1747"/>
      <c r="AK19181" s="1748"/>
      <c r="AL19181" s="198"/>
      <c r="AM19181" s="198"/>
      <c r="AN19181" s="198"/>
      <c r="AO19181" s="198"/>
    </row>
    <row r="19182" spans="35:41" ht="19.5" thickBot="1" x14ac:dyDescent="0.35">
      <c r="AI19182" s="1746" t="s">
        <v>150</v>
      </c>
      <c r="AJ19182" s="1747"/>
      <c r="AK19182" s="1748"/>
      <c r="AL19182" s="198"/>
      <c r="AM19182" s="198"/>
      <c r="AN19182" s="198"/>
      <c r="AO19182" s="198"/>
    </row>
    <row r="19183" spans="35:41" ht="19.5" thickBot="1" x14ac:dyDescent="0.35">
      <c r="AI19183" s="1746" t="s">
        <v>150</v>
      </c>
      <c r="AJ19183" s="1747"/>
      <c r="AK19183" s="1748"/>
      <c r="AL19183" s="198"/>
      <c r="AM19183" s="198"/>
      <c r="AN19183" s="198"/>
      <c r="AO19183" s="198"/>
    </row>
    <row r="19184" spans="35:41" ht="19.5" thickBot="1" x14ac:dyDescent="0.35">
      <c r="AI19184" s="1746" t="s">
        <v>150</v>
      </c>
      <c r="AJ19184" s="1747"/>
      <c r="AK19184" s="1748"/>
      <c r="AL19184" s="198"/>
      <c r="AM19184" s="198"/>
      <c r="AN19184" s="198"/>
      <c r="AO19184" s="198"/>
    </row>
    <row r="19185" spans="35:41" ht="19.5" thickBot="1" x14ac:dyDescent="0.35">
      <c r="AI19185" s="1746" t="s">
        <v>150</v>
      </c>
      <c r="AJ19185" s="1747"/>
      <c r="AK19185" s="1748"/>
      <c r="AL19185" s="198"/>
      <c r="AM19185" s="198"/>
      <c r="AN19185" s="198"/>
      <c r="AO19185" s="198"/>
    </row>
    <row r="19186" spans="35:41" ht="19.5" thickBot="1" x14ac:dyDescent="0.35">
      <c r="AI19186" s="1746" t="s">
        <v>150</v>
      </c>
      <c r="AJ19186" s="1747"/>
      <c r="AK19186" s="1748"/>
      <c r="AL19186" s="198"/>
      <c r="AM19186" s="198"/>
      <c r="AN19186" s="198"/>
      <c r="AO19186" s="198"/>
    </row>
    <row r="19187" spans="35:41" ht="19.5" thickBot="1" x14ac:dyDescent="0.35">
      <c r="AI19187" s="1746" t="s">
        <v>150</v>
      </c>
      <c r="AJ19187" s="1747"/>
      <c r="AK19187" s="1748"/>
      <c r="AL19187" s="198"/>
      <c r="AM19187" s="198"/>
      <c r="AN19187" s="198"/>
      <c r="AO19187" s="198"/>
    </row>
    <row r="19188" spans="35:41" ht="19.5" thickBot="1" x14ac:dyDescent="0.35">
      <c r="AI19188" s="1746" t="s">
        <v>150</v>
      </c>
      <c r="AJ19188" s="1747"/>
      <c r="AK19188" s="1748"/>
      <c r="AL19188" s="198"/>
      <c r="AM19188" s="198"/>
      <c r="AN19188" s="198"/>
      <c r="AO19188" s="198"/>
    </row>
    <row r="19189" spans="35:41" ht="19.5" thickBot="1" x14ac:dyDescent="0.35">
      <c r="AI19189" s="1746" t="s">
        <v>150</v>
      </c>
      <c r="AJ19189" s="1747"/>
      <c r="AK19189" s="1748"/>
      <c r="AL19189" s="198"/>
      <c r="AM19189" s="198"/>
      <c r="AN19189" s="198"/>
      <c r="AO19189" s="198"/>
    </row>
    <row r="19190" spans="35:41" ht="19.5" thickBot="1" x14ac:dyDescent="0.35">
      <c r="AI19190" s="1746" t="s">
        <v>150</v>
      </c>
      <c r="AJ19190" s="1747"/>
      <c r="AK19190" s="1748"/>
      <c r="AL19190" s="198"/>
      <c r="AM19190" s="198"/>
      <c r="AN19190" s="198"/>
      <c r="AO19190" s="198"/>
    </row>
    <row r="19191" spans="35:41" ht="19.5" thickBot="1" x14ac:dyDescent="0.35">
      <c r="AI19191" s="1746" t="s">
        <v>150</v>
      </c>
      <c r="AJ19191" s="1747"/>
      <c r="AK19191" s="1748"/>
      <c r="AL19191" s="198"/>
      <c r="AM19191" s="198"/>
      <c r="AN19191" s="198"/>
      <c r="AO19191" s="198"/>
    </row>
    <row r="19192" spans="35:41" ht="19.5" thickBot="1" x14ac:dyDescent="0.35">
      <c r="AI19192" s="1746" t="s">
        <v>150</v>
      </c>
      <c r="AJ19192" s="1747"/>
      <c r="AK19192" s="1748"/>
      <c r="AL19192" s="198"/>
      <c r="AM19192" s="198"/>
      <c r="AN19192" s="198"/>
      <c r="AO19192" s="198"/>
    </row>
    <row r="19193" spans="35:41" ht="19.5" thickBot="1" x14ac:dyDescent="0.35">
      <c r="AI19193" s="1746" t="s">
        <v>150</v>
      </c>
      <c r="AJ19193" s="1747"/>
      <c r="AK19193" s="1748"/>
      <c r="AL19193" s="198"/>
      <c r="AM19193" s="198"/>
      <c r="AN19193" s="198"/>
      <c r="AO19193" s="198"/>
    </row>
    <row r="19194" spans="35:41" ht="19.5" thickBot="1" x14ac:dyDescent="0.35">
      <c r="AI19194" s="1746" t="s">
        <v>150</v>
      </c>
      <c r="AJ19194" s="1747"/>
      <c r="AK19194" s="1748"/>
      <c r="AL19194" s="198"/>
      <c r="AM19194" s="198"/>
      <c r="AN19194" s="198"/>
      <c r="AO19194" s="198"/>
    </row>
    <row r="19195" spans="35:41" ht="19.5" thickBot="1" x14ac:dyDescent="0.35">
      <c r="AI19195" s="1746" t="s">
        <v>150</v>
      </c>
      <c r="AJ19195" s="1747"/>
      <c r="AK19195" s="1748"/>
      <c r="AL19195" s="198"/>
      <c r="AM19195" s="198"/>
      <c r="AN19195" s="198"/>
      <c r="AO19195" s="198"/>
    </row>
    <row r="19196" spans="35:41" ht="19.5" thickBot="1" x14ac:dyDescent="0.35">
      <c r="AI19196" s="1746" t="s">
        <v>150</v>
      </c>
      <c r="AJ19196" s="1747"/>
      <c r="AK19196" s="1748"/>
      <c r="AL19196" s="198"/>
      <c r="AM19196" s="198"/>
      <c r="AN19196" s="198"/>
      <c r="AO19196" s="198"/>
    </row>
    <row r="19197" spans="35:41" ht="19.5" thickBot="1" x14ac:dyDescent="0.35">
      <c r="AI19197" s="1746" t="s">
        <v>150</v>
      </c>
      <c r="AJ19197" s="1747"/>
      <c r="AK19197" s="1748"/>
      <c r="AL19197" s="198"/>
      <c r="AM19197" s="198"/>
      <c r="AN19197" s="198"/>
      <c r="AO19197" s="198"/>
    </row>
    <row r="19198" spans="35:41" ht="19.5" thickBot="1" x14ac:dyDescent="0.35">
      <c r="AI19198" s="1746" t="s">
        <v>150</v>
      </c>
      <c r="AJ19198" s="1747"/>
      <c r="AK19198" s="1748"/>
      <c r="AL19198" s="198"/>
      <c r="AM19198" s="198"/>
      <c r="AN19198" s="198"/>
      <c r="AO19198" s="198"/>
    </row>
    <row r="19199" spans="35:41" ht="19.5" thickBot="1" x14ac:dyDescent="0.35">
      <c r="AI19199" s="1746" t="s">
        <v>150</v>
      </c>
      <c r="AJ19199" s="1747"/>
      <c r="AK19199" s="1748"/>
      <c r="AL19199" s="198"/>
      <c r="AM19199" s="198"/>
      <c r="AN19199" s="198"/>
      <c r="AO19199" s="198"/>
    </row>
    <row r="19200" spans="35:41" ht="19.5" thickBot="1" x14ac:dyDescent="0.35">
      <c r="AI19200" s="1746" t="s">
        <v>150</v>
      </c>
      <c r="AJ19200" s="1747"/>
      <c r="AK19200" s="1748"/>
      <c r="AL19200" s="198"/>
      <c r="AM19200" s="198"/>
      <c r="AN19200" s="198"/>
      <c r="AO19200" s="198"/>
    </row>
    <row r="19201" spans="35:41" ht="19.5" thickBot="1" x14ac:dyDescent="0.35">
      <c r="AI19201" s="1746" t="s">
        <v>150</v>
      </c>
      <c r="AJ19201" s="1747"/>
      <c r="AK19201" s="1748"/>
      <c r="AL19201" s="198"/>
      <c r="AM19201" s="198"/>
      <c r="AN19201" s="198"/>
      <c r="AO19201" s="198"/>
    </row>
    <row r="19202" spans="35:41" ht="19.5" thickBot="1" x14ac:dyDescent="0.35">
      <c r="AI19202" s="1746" t="s">
        <v>150</v>
      </c>
      <c r="AJ19202" s="1747"/>
      <c r="AK19202" s="1748"/>
      <c r="AL19202" s="198"/>
      <c r="AM19202" s="198"/>
      <c r="AN19202" s="198"/>
      <c r="AO19202" s="198"/>
    </row>
    <row r="19203" spans="35:41" ht="19.5" thickBot="1" x14ac:dyDescent="0.35">
      <c r="AI19203" s="1746" t="s">
        <v>150</v>
      </c>
      <c r="AJ19203" s="1747"/>
      <c r="AK19203" s="1748"/>
      <c r="AL19203" s="198"/>
      <c r="AM19203" s="198"/>
      <c r="AN19203" s="198"/>
      <c r="AO19203" s="198"/>
    </row>
    <row r="19204" spans="35:41" ht="19.5" thickBot="1" x14ac:dyDescent="0.35">
      <c r="AI19204" s="1746" t="s">
        <v>150</v>
      </c>
      <c r="AJ19204" s="1747"/>
      <c r="AK19204" s="1748"/>
      <c r="AL19204" s="198"/>
      <c r="AM19204" s="198"/>
      <c r="AN19204" s="198"/>
      <c r="AO19204" s="198"/>
    </row>
    <row r="19205" spans="35:41" ht="19.5" thickBot="1" x14ac:dyDescent="0.35">
      <c r="AI19205" s="1746" t="s">
        <v>150</v>
      </c>
      <c r="AJ19205" s="1747"/>
      <c r="AK19205" s="1748"/>
      <c r="AL19205" s="198"/>
      <c r="AM19205" s="198"/>
      <c r="AN19205" s="198"/>
      <c r="AO19205" s="198"/>
    </row>
    <row r="19206" spans="35:41" ht="19.5" thickBot="1" x14ac:dyDescent="0.35">
      <c r="AI19206" s="1746" t="s">
        <v>150</v>
      </c>
      <c r="AJ19206" s="1747"/>
      <c r="AK19206" s="1748"/>
      <c r="AL19206" s="198"/>
      <c r="AM19206" s="198"/>
      <c r="AN19206" s="198"/>
      <c r="AO19206" s="198"/>
    </row>
    <row r="19207" spans="35:41" ht="19.5" thickBot="1" x14ac:dyDescent="0.35">
      <c r="AI19207" s="1746" t="s">
        <v>150</v>
      </c>
      <c r="AJ19207" s="1747"/>
      <c r="AK19207" s="1748"/>
      <c r="AL19207" s="198"/>
      <c r="AM19207" s="198"/>
      <c r="AN19207" s="198"/>
      <c r="AO19207" s="198"/>
    </row>
    <row r="19208" spans="35:41" ht="19.5" thickBot="1" x14ac:dyDescent="0.35">
      <c r="AI19208" s="1746" t="s">
        <v>150</v>
      </c>
      <c r="AJ19208" s="1747"/>
      <c r="AK19208" s="1748"/>
      <c r="AL19208" s="198"/>
      <c r="AM19208" s="198"/>
      <c r="AN19208" s="198"/>
      <c r="AO19208" s="198"/>
    </row>
    <row r="19209" spans="35:41" ht="19.5" thickBot="1" x14ac:dyDescent="0.35">
      <c r="AI19209" s="1746" t="s">
        <v>150</v>
      </c>
      <c r="AJ19209" s="1747"/>
      <c r="AK19209" s="1748"/>
      <c r="AL19209" s="198"/>
      <c r="AM19209" s="198"/>
      <c r="AN19209" s="198"/>
      <c r="AO19209" s="198"/>
    </row>
    <row r="19210" spans="35:41" ht="19.5" thickBot="1" x14ac:dyDescent="0.35">
      <c r="AI19210" s="1746" t="s">
        <v>150</v>
      </c>
      <c r="AJ19210" s="1747"/>
      <c r="AK19210" s="1748"/>
      <c r="AL19210" s="198"/>
      <c r="AM19210" s="198"/>
      <c r="AN19210" s="198"/>
      <c r="AO19210" s="198"/>
    </row>
    <row r="19211" spans="35:41" ht="19.5" thickBot="1" x14ac:dyDescent="0.35">
      <c r="AI19211" s="1746" t="s">
        <v>150</v>
      </c>
      <c r="AJ19211" s="1747"/>
      <c r="AK19211" s="1748"/>
      <c r="AL19211" s="198"/>
      <c r="AM19211" s="198"/>
      <c r="AN19211" s="198"/>
      <c r="AO19211" s="198"/>
    </row>
    <row r="19212" spans="35:41" ht="19.5" thickBot="1" x14ac:dyDescent="0.35">
      <c r="AI19212" s="1746" t="s">
        <v>150</v>
      </c>
      <c r="AJ19212" s="1747"/>
      <c r="AK19212" s="1748"/>
      <c r="AL19212" s="198"/>
      <c r="AM19212" s="198"/>
      <c r="AN19212" s="198"/>
      <c r="AO19212" s="198"/>
    </row>
    <row r="19213" spans="35:41" ht="19.5" thickBot="1" x14ac:dyDescent="0.35">
      <c r="AI19213" s="1746" t="s">
        <v>150</v>
      </c>
      <c r="AJ19213" s="1747"/>
      <c r="AK19213" s="1748"/>
      <c r="AL19213" s="198"/>
      <c r="AM19213" s="198"/>
      <c r="AN19213" s="198"/>
      <c r="AO19213" s="198"/>
    </row>
    <row r="19214" spans="35:41" ht="19.5" thickBot="1" x14ac:dyDescent="0.35">
      <c r="AI19214" s="1746" t="s">
        <v>150</v>
      </c>
      <c r="AJ19214" s="1747"/>
      <c r="AK19214" s="1748"/>
      <c r="AL19214" s="198"/>
      <c r="AM19214" s="198"/>
      <c r="AN19214" s="198"/>
      <c r="AO19214" s="198"/>
    </row>
    <row r="19215" spans="35:41" ht="19.5" thickBot="1" x14ac:dyDescent="0.35">
      <c r="AI19215" s="1746" t="s">
        <v>150</v>
      </c>
      <c r="AJ19215" s="1747"/>
      <c r="AK19215" s="1748"/>
      <c r="AL19215" s="198"/>
      <c r="AM19215" s="198"/>
      <c r="AN19215" s="198"/>
      <c r="AO19215" s="198"/>
    </row>
    <row r="19216" spans="35:41" ht="19.5" thickBot="1" x14ac:dyDescent="0.35">
      <c r="AI19216" s="1746" t="s">
        <v>150</v>
      </c>
      <c r="AJ19216" s="1747"/>
      <c r="AK19216" s="1748"/>
      <c r="AL19216" s="198"/>
      <c r="AM19216" s="198"/>
      <c r="AN19216" s="198"/>
      <c r="AO19216" s="198"/>
    </row>
    <row r="19217" spans="35:41" ht="19.5" thickBot="1" x14ac:dyDescent="0.35">
      <c r="AI19217" s="1746" t="s">
        <v>150</v>
      </c>
      <c r="AJ19217" s="1747"/>
      <c r="AK19217" s="1748"/>
      <c r="AL19217" s="198"/>
      <c r="AM19217" s="198"/>
      <c r="AN19217" s="198"/>
      <c r="AO19217" s="198"/>
    </row>
    <row r="19218" spans="35:41" ht="19.5" thickBot="1" x14ac:dyDescent="0.35">
      <c r="AI19218" s="1746" t="s">
        <v>150</v>
      </c>
      <c r="AJ19218" s="1747"/>
      <c r="AK19218" s="1748"/>
      <c r="AL19218" s="198"/>
      <c r="AM19218" s="198"/>
      <c r="AN19218" s="198"/>
      <c r="AO19218" s="198"/>
    </row>
    <row r="19219" spans="35:41" ht="19.5" thickBot="1" x14ac:dyDescent="0.35">
      <c r="AI19219" s="1746" t="s">
        <v>150</v>
      </c>
      <c r="AJ19219" s="1747"/>
      <c r="AK19219" s="1748"/>
      <c r="AL19219" s="198"/>
      <c r="AM19219" s="198"/>
      <c r="AN19219" s="198"/>
      <c r="AO19219" s="198"/>
    </row>
    <row r="19220" spans="35:41" ht="19.5" thickBot="1" x14ac:dyDescent="0.35">
      <c r="AI19220" s="1746" t="s">
        <v>150</v>
      </c>
      <c r="AJ19220" s="1747"/>
      <c r="AK19220" s="1748"/>
      <c r="AL19220" s="198"/>
      <c r="AM19220" s="198"/>
      <c r="AN19220" s="198"/>
      <c r="AO19220" s="198"/>
    </row>
    <row r="19221" spans="35:41" ht="19.5" thickBot="1" x14ac:dyDescent="0.35">
      <c r="AI19221" s="1746" t="s">
        <v>150</v>
      </c>
      <c r="AJ19221" s="1747"/>
      <c r="AK19221" s="1748"/>
      <c r="AL19221" s="198"/>
      <c r="AM19221" s="198"/>
      <c r="AN19221" s="198"/>
      <c r="AO19221" s="198"/>
    </row>
    <row r="19222" spans="35:41" ht="19.5" thickBot="1" x14ac:dyDescent="0.35">
      <c r="AI19222" s="1746" t="s">
        <v>150</v>
      </c>
      <c r="AJ19222" s="1747"/>
      <c r="AK19222" s="1748"/>
      <c r="AL19222" s="198"/>
      <c r="AM19222" s="198"/>
      <c r="AN19222" s="198"/>
      <c r="AO19222" s="198"/>
    </row>
    <row r="19223" spans="35:41" ht="19.5" thickBot="1" x14ac:dyDescent="0.35">
      <c r="AI19223" s="1746" t="s">
        <v>150</v>
      </c>
      <c r="AJ19223" s="1747"/>
      <c r="AK19223" s="1748"/>
      <c r="AL19223" s="198"/>
      <c r="AM19223" s="198"/>
      <c r="AN19223" s="198"/>
      <c r="AO19223" s="198"/>
    </row>
    <row r="19224" spans="35:41" ht="19.5" thickBot="1" x14ac:dyDescent="0.35">
      <c r="AI19224" s="1746" t="s">
        <v>150</v>
      </c>
      <c r="AJ19224" s="1747"/>
      <c r="AK19224" s="1748"/>
      <c r="AL19224" s="198"/>
      <c r="AM19224" s="198"/>
      <c r="AN19224" s="198"/>
      <c r="AO19224" s="198"/>
    </row>
    <row r="19225" spans="35:41" ht="19.5" thickBot="1" x14ac:dyDescent="0.35">
      <c r="AI19225" s="1746" t="s">
        <v>150</v>
      </c>
      <c r="AJ19225" s="1747"/>
      <c r="AK19225" s="1748"/>
      <c r="AL19225" s="198"/>
      <c r="AM19225" s="198"/>
      <c r="AN19225" s="198"/>
      <c r="AO19225" s="198"/>
    </row>
    <row r="19226" spans="35:41" ht="19.5" thickBot="1" x14ac:dyDescent="0.35">
      <c r="AI19226" s="1746" t="s">
        <v>150</v>
      </c>
      <c r="AJ19226" s="1747"/>
      <c r="AK19226" s="1748"/>
      <c r="AL19226" s="198"/>
      <c r="AM19226" s="198"/>
      <c r="AN19226" s="198"/>
      <c r="AO19226" s="198"/>
    </row>
    <row r="19227" spans="35:41" ht="19.5" thickBot="1" x14ac:dyDescent="0.35">
      <c r="AI19227" s="1746" t="s">
        <v>150</v>
      </c>
      <c r="AJ19227" s="1747"/>
      <c r="AK19227" s="1748"/>
      <c r="AL19227" s="198"/>
      <c r="AM19227" s="198"/>
      <c r="AN19227" s="198"/>
      <c r="AO19227" s="198"/>
    </row>
    <row r="19228" spans="35:41" ht="19.5" thickBot="1" x14ac:dyDescent="0.35">
      <c r="AI19228" s="1746" t="s">
        <v>150</v>
      </c>
      <c r="AJ19228" s="1747"/>
      <c r="AK19228" s="1748"/>
      <c r="AL19228" s="198"/>
      <c r="AM19228" s="198"/>
      <c r="AN19228" s="198"/>
      <c r="AO19228" s="198"/>
    </row>
    <row r="19229" spans="35:41" ht="19.5" thickBot="1" x14ac:dyDescent="0.35">
      <c r="AI19229" s="1746" t="s">
        <v>150</v>
      </c>
      <c r="AJ19229" s="1747"/>
      <c r="AK19229" s="1748"/>
      <c r="AL19229" s="198"/>
      <c r="AM19229" s="198"/>
      <c r="AN19229" s="198"/>
      <c r="AO19229" s="198"/>
    </row>
    <row r="19230" spans="35:41" ht="19.5" thickBot="1" x14ac:dyDescent="0.35">
      <c r="AI19230" s="1746" t="s">
        <v>150</v>
      </c>
      <c r="AJ19230" s="1747"/>
      <c r="AK19230" s="1748"/>
      <c r="AL19230" s="198"/>
      <c r="AM19230" s="198"/>
      <c r="AN19230" s="198"/>
      <c r="AO19230" s="198"/>
    </row>
    <row r="19231" spans="35:41" ht="19.5" thickBot="1" x14ac:dyDescent="0.35">
      <c r="AI19231" s="1746" t="s">
        <v>150</v>
      </c>
      <c r="AJ19231" s="1747"/>
      <c r="AK19231" s="1748"/>
      <c r="AL19231" s="198"/>
      <c r="AM19231" s="198"/>
      <c r="AN19231" s="198"/>
      <c r="AO19231" s="198"/>
    </row>
    <row r="19232" spans="35:41" ht="19.5" thickBot="1" x14ac:dyDescent="0.35">
      <c r="AI19232" s="1746" t="s">
        <v>150</v>
      </c>
      <c r="AJ19232" s="1747"/>
      <c r="AK19232" s="1748"/>
      <c r="AL19232" s="198"/>
      <c r="AM19232" s="198"/>
      <c r="AN19232" s="198"/>
      <c r="AO19232" s="198"/>
    </row>
    <row r="19233" spans="35:41" ht="19.5" thickBot="1" x14ac:dyDescent="0.35">
      <c r="AI19233" s="1746" t="s">
        <v>150</v>
      </c>
      <c r="AJ19233" s="1747"/>
      <c r="AK19233" s="1748"/>
      <c r="AL19233" s="198"/>
      <c r="AM19233" s="198"/>
      <c r="AN19233" s="198"/>
      <c r="AO19233" s="198"/>
    </row>
    <row r="19234" spans="35:41" ht="19.5" thickBot="1" x14ac:dyDescent="0.35">
      <c r="AI19234" s="1746" t="s">
        <v>150</v>
      </c>
      <c r="AJ19234" s="1747"/>
      <c r="AK19234" s="1748"/>
      <c r="AL19234" s="198"/>
      <c r="AM19234" s="198"/>
      <c r="AN19234" s="198"/>
      <c r="AO19234" s="198"/>
    </row>
    <row r="19235" spans="35:41" ht="19.5" thickBot="1" x14ac:dyDescent="0.35">
      <c r="AI19235" s="1746" t="s">
        <v>150</v>
      </c>
      <c r="AJ19235" s="1747"/>
      <c r="AK19235" s="1748"/>
      <c r="AL19235" s="198"/>
      <c r="AM19235" s="198"/>
      <c r="AN19235" s="198"/>
      <c r="AO19235" s="198"/>
    </row>
    <row r="19236" spans="35:41" ht="19.5" thickBot="1" x14ac:dyDescent="0.35">
      <c r="AI19236" s="1746" t="s">
        <v>150</v>
      </c>
      <c r="AJ19236" s="1747"/>
      <c r="AK19236" s="1748"/>
      <c r="AL19236" s="198"/>
      <c r="AM19236" s="198"/>
      <c r="AN19236" s="198"/>
      <c r="AO19236" s="198"/>
    </row>
    <row r="19237" spans="35:41" ht="19.5" thickBot="1" x14ac:dyDescent="0.35">
      <c r="AI19237" s="1746" t="s">
        <v>150</v>
      </c>
      <c r="AJ19237" s="1747"/>
      <c r="AK19237" s="1748"/>
      <c r="AL19237" s="198"/>
      <c r="AM19237" s="198"/>
      <c r="AN19237" s="198"/>
      <c r="AO19237" s="198"/>
    </row>
    <row r="19238" spans="35:41" ht="19.5" thickBot="1" x14ac:dyDescent="0.35">
      <c r="AI19238" s="1746" t="s">
        <v>150</v>
      </c>
      <c r="AJ19238" s="1747"/>
      <c r="AK19238" s="1748"/>
      <c r="AL19238" s="198"/>
      <c r="AM19238" s="198"/>
      <c r="AN19238" s="198"/>
      <c r="AO19238" s="198"/>
    </row>
    <row r="19239" spans="35:41" ht="19.5" thickBot="1" x14ac:dyDescent="0.35">
      <c r="AI19239" s="1746" t="s">
        <v>150</v>
      </c>
      <c r="AJ19239" s="1747"/>
      <c r="AK19239" s="1748"/>
      <c r="AL19239" s="198"/>
      <c r="AM19239" s="198"/>
      <c r="AN19239" s="198"/>
      <c r="AO19239" s="198"/>
    </row>
    <row r="19240" spans="35:41" ht="19.5" thickBot="1" x14ac:dyDescent="0.35">
      <c r="AI19240" s="1746" t="s">
        <v>150</v>
      </c>
      <c r="AJ19240" s="1747"/>
      <c r="AK19240" s="1748"/>
      <c r="AL19240" s="198"/>
      <c r="AM19240" s="198"/>
      <c r="AN19240" s="198"/>
      <c r="AO19240" s="198"/>
    </row>
    <row r="19241" spans="35:41" ht="19.5" thickBot="1" x14ac:dyDescent="0.35">
      <c r="AI19241" s="1746" t="s">
        <v>150</v>
      </c>
      <c r="AJ19241" s="1747"/>
      <c r="AK19241" s="1748"/>
      <c r="AL19241" s="198"/>
      <c r="AM19241" s="198"/>
      <c r="AN19241" s="198"/>
      <c r="AO19241" s="198"/>
    </row>
    <row r="19242" spans="35:41" ht="19.5" thickBot="1" x14ac:dyDescent="0.35">
      <c r="AI19242" s="1746" t="s">
        <v>150</v>
      </c>
      <c r="AJ19242" s="1747"/>
      <c r="AK19242" s="1748"/>
      <c r="AL19242" s="198"/>
      <c r="AM19242" s="198"/>
      <c r="AN19242" s="198"/>
      <c r="AO19242" s="198"/>
    </row>
    <row r="19243" spans="35:41" ht="19.5" thickBot="1" x14ac:dyDescent="0.35">
      <c r="AI19243" s="1746" t="s">
        <v>150</v>
      </c>
      <c r="AJ19243" s="1747"/>
      <c r="AK19243" s="1748"/>
      <c r="AL19243" s="198"/>
      <c r="AM19243" s="198"/>
      <c r="AN19243" s="198"/>
      <c r="AO19243" s="198"/>
    </row>
    <row r="19244" spans="35:41" ht="19.5" thickBot="1" x14ac:dyDescent="0.35">
      <c r="AI19244" s="1746" t="s">
        <v>150</v>
      </c>
      <c r="AJ19244" s="1747"/>
      <c r="AK19244" s="1748"/>
      <c r="AL19244" s="198"/>
      <c r="AM19244" s="198"/>
      <c r="AN19244" s="198"/>
      <c r="AO19244" s="198"/>
    </row>
    <row r="19245" spans="35:41" ht="19.5" thickBot="1" x14ac:dyDescent="0.35">
      <c r="AI19245" s="1746" t="s">
        <v>150</v>
      </c>
      <c r="AJ19245" s="1747"/>
      <c r="AK19245" s="1748"/>
      <c r="AL19245" s="198"/>
      <c r="AM19245" s="198"/>
      <c r="AN19245" s="198"/>
      <c r="AO19245" s="198"/>
    </row>
    <row r="19246" spans="35:41" ht="19.5" thickBot="1" x14ac:dyDescent="0.35">
      <c r="AI19246" s="1746" t="s">
        <v>150</v>
      </c>
      <c r="AJ19246" s="1747"/>
      <c r="AK19246" s="1748"/>
      <c r="AL19246" s="198"/>
      <c r="AM19246" s="198"/>
      <c r="AN19246" s="198"/>
      <c r="AO19246" s="198"/>
    </row>
    <row r="19247" spans="35:41" ht="19.5" thickBot="1" x14ac:dyDescent="0.35">
      <c r="AI19247" s="1746" t="s">
        <v>150</v>
      </c>
      <c r="AJ19247" s="1747"/>
      <c r="AK19247" s="1748"/>
      <c r="AL19247" s="198"/>
      <c r="AM19247" s="198"/>
      <c r="AN19247" s="198"/>
      <c r="AO19247" s="198"/>
    </row>
    <row r="19248" spans="35:41" ht="19.5" thickBot="1" x14ac:dyDescent="0.35">
      <c r="AI19248" s="1746" t="s">
        <v>150</v>
      </c>
      <c r="AJ19248" s="1747"/>
      <c r="AK19248" s="1748"/>
      <c r="AL19248" s="198"/>
      <c r="AM19248" s="198"/>
      <c r="AN19248" s="198"/>
      <c r="AO19248" s="198"/>
    </row>
    <row r="19249" spans="35:41" ht="19.5" thickBot="1" x14ac:dyDescent="0.35">
      <c r="AI19249" s="1746" t="s">
        <v>150</v>
      </c>
      <c r="AJ19249" s="1747"/>
      <c r="AK19249" s="1748"/>
      <c r="AL19249" s="198"/>
      <c r="AM19249" s="198"/>
      <c r="AN19249" s="198"/>
      <c r="AO19249" s="198"/>
    </row>
    <row r="19250" spans="35:41" ht="19.5" thickBot="1" x14ac:dyDescent="0.35">
      <c r="AI19250" s="1746" t="s">
        <v>150</v>
      </c>
      <c r="AJ19250" s="1747"/>
      <c r="AK19250" s="1748"/>
      <c r="AL19250" s="198"/>
      <c r="AM19250" s="198"/>
      <c r="AN19250" s="198"/>
      <c r="AO19250" s="198"/>
    </row>
    <row r="19251" spans="35:41" ht="19.5" thickBot="1" x14ac:dyDescent="0.35">
      <c r="AI19251" s="1746" t="s">
        <v>150</v>
      </c>
      <c r="AJ19251" s="1747"/>
      <c r="AK19251" s="1748"/>
      <c r="AL19251" s="198"/>
      <c r="AM19251" s="198"/>
      <c r="AN19251" s="198"/>
      <c r="AO19251" s="198"/>
    </row>
    <row r="19252" spans="35:41" ht="19.5" thickBot="1" x14ac:dyDescent="0.35">
      <c r="AI19252" s="1746" t="s">
        <v>150</v>
      </c>
      <c r="AJ19252" s="1747"/>
      <c r="AK19252" s="1748"/>
      <c r="AL19252" s="198"/>
      <c r="AM19252" s="198"/>
      <c r="AN19252" s="198"/>
      <c r="AO19252" s="198"/>
    </row>
    <row r="19253" spans="35:41" ht="19.5" thickBot="1" x14ac:dyDescent="0.35">
      <c r="AI19253" s="1746" t="s">
        <v>150</v>
      </c>
      <c r="AJ19253" s="1747"/>
      <c r="AK19253" s="1748"/>
      <c r="AL19253" s="198"/>
      <c r="AM19253" s="198"/>
      <c r="AN19253" s="198"/>
      <c r="AO19253" s="198"/>
    </row>
    <row r="19254" spans="35:41" ht="19.5" thickBot="1" x14ac:dyDescent="0.35">
      <c r="AI19254" s="1746" t="s">
        <v>150</v>
      </c>
      <c r="AJ19254" s="1747"/>
      <c r="AK19254" s="1748"/>
      <c r="AL19254" s="198"/>
      <c r="AM19254" s="198"/>
      <c r="AN19254" s="198"/>
      <c r="AO19254" s="198"/>
    </row>
    <row r="19255" spans="35:41" ht="19.5" thickBot="1" x14ac:dyDescent="0.35">
      <c r="AI19255" s="1746" t="s">
        <v>150</v>
      </c>
      <c r="AJ19255" s="1747"/>
      <c r="AK19255" s="1748"/>
      <c r="AL19255" s="198"/>
      <c r="AM19255" s="198"/>
      <c r="AN19255" s="198"/>
      <c r="AO19255" s="198"/>
    </row>
    <row r="19256" spans="35:41" ht="19.5" thickBot="1" x14ac:dyDescent="0.35">
      <c r="AI19256" s="1746" t="s">
        <v>150</v>
      </c>
      <c r="AJ19256" s="1747"/>
      <c r="AK19256" s="1748"/>
      <c r="AL19256" s="198"/>
      <c r="AM19256" s="198"/>
      <c r="AN19256" s="198"/>
      <c r="AO19256" s="198"/>
    </row>
    <row r="19257" spans="35:41" ht="19.5" thickBot="1" x14ac:dyDescent="0.35">
      <c r="AI19257" s="1746" t="s">
        <v>150</v>
      </c>
      <c r="AJ19257" s="1747"/>
      <c r="AK19257" s="1748"/>
      <c r="AL19257" s="198"/>
      <c r="AM19257" s="198"/>
      <c r="AN19257" s="198"/>
      <c r="AO19257" s="198"/>
    </row>
    <row r="19258" spans="35:41" ht="19.5" thickBot="1" x14ac:dyDescent="0.35">
      <c r="AI19258" s="1746" t="s">
        <v>150</v>
      </c>
      <c r="AJ19258" s="1747"/>
      <c r="AK19258" s="1748"/>
      <c r="AL19258" s="198"/>
      <c r="AM19258" s="198"/>
      <c r="AN19258" s="198"/>
      <c r="AO19258" s="198"/>
    </row>
    <row r="19259" spans="35:41" ht="19.5" thickBot="1" x14ac:dyDescent="0.35">
      <c r="AI19259" s="1746" t="s">
        <v>150</v>
      </c>
      <c r="AJ19259" s="1747"/>
      <c r="AK19259" s="1748"/>
      <c r="AL19259" s="198"/>
      <c r="AM19259" s="198"/>
      <c r="AN19259" s="198"/>
      <c r="AO19259" s="198"/>
    </row>
    <row r="19260" spans="35:41" ht="19.5" thickBot="1" x14ac:dyDescent="0.35">
      <c r="AI19260" s="1746" t="s">
        <v>150</v>
      </c>
      <c r="AJ19260" s="1747"/>
      <c r="AK19260" s="1748"/>
      <c r="AL19260" s="198"/>
      <c r="AM19260" s="198"/>
      <c r="AN19260" s="198"/>
      <c r="AO19260" s="198"/>
    </row>
    <row r="19261" spans="35:41" ht="19.5" thickBot="1" x14ac:dyDescent="0.35">
      <c r="AI19261" s="1746" t="s">
        <v>150</v>
      </c>
      <c r="AJ19261" s="1747"/>
      <c r="AK19261" s="1748"/>
      <c r="AL19261" s="198"/>
      <c r="AM19261" s="198"/>
      <c r="AN19261" s="198"/>
      <c r="AO19261" s="198"/>
    </row>
    <row r="19262" spans="35:41" ht="19.5" thickBot="1" x14ac:dyDescent="0.35">
      <c r="AI19262" s="1746" t="s">
        <v>150</v>
      </c>
      <c r="AJ19262" s="1747"/>
      <c r="AK19262" s="1748"/>
      <c r="AL19262" s="198"/>
      <c r="AM19262" s="198"/>
      <c r="AN19262" s="198"/>
      <c r="AO19262" s="198"/>
    </row>
    <row r="19263" spans="35:41" ht="19.5" thickBot="1" x14ac:dyDescent="0.35">
      <c r="AI19263" s="1746" t="s">
        <v>150</v>
      </c>
      <c r="AJ19263" s="1747"/>
      <c r="AK19263" s="1748"/>
      <c r="AL19263" s="198"/>
      <c r="AM19263" s="198"/>
      <c r="AN19263" s="198"/>
      <c r="AO19263" s="198"/>
    </row>
    <row r="19264" spans="35:41" ht="19.5" thickBot="1" x14ac:dyDescent="0.35">
      <c r="AI19264" s="1746" t="s">
        <v>150</v>
      </c>
      <c r="AJ19264" s="1747"/>
      <c r="AK19264" s="1748"/>
      <c r="AL19264" s="198"/>
      <c r="AM19264" s="198"/>
      <c r="AN19264" s="198"/>
      <c r="AO19264" s="198"/>
    </row>
    <row r="19265" spans="35:41" ht="19.5" thickBot="1" x14ac:dyDescent="0.35">
      <c r="AI19265" s="1746" t="s">
        <v>150</v>
      </c>
      <c r="AJ19265" s="1747"/>
      <c r="AK19265" s="1748"/>
      <c r="AL19265" s="198"/>
      <c r="AM19265" s="198"/>
      <c r="AN19265" s="198"/>
      <c r="AO19265" s="198"/>
    </row>
    <row r="19266" spans="35:41" ht="19.5" thickBot="1" x14ac:dyDescent="0.35">
      <c r="AI19266" s="1746" t="s">
        <v>150</v>
      </c>
      <c r="AJ19266" s="1747"/>
      <c r="AK19266" s="1748"/>
      <c r="AL19266" s="198"/>
      <c r="AM19266" s="198"/>
      <c r="AN19266" s="198"/>
      <c r="AO19266" s="198"/>
    </row>
    <row r="19267" spans="35:41" ht="19.5" thickBot="1" x14ac:dyDescent="0.35">
      <c r="AI19267" s="1746" t="s">
        <v>150</v>
      </c>
      <c r="AJ19267" s="1747"/>
      <c r="AK19267" s="1748"/>
      <c r="AL19267" s="198"/>
      <c r="AM19267" s="198"/>
      <c r="AN19267" s="198"/>
      <c r="AO19267" s="198"/>
    </row>
    <row r="19268" spans="35:41" ht="19.5" thickBot="1" x14ac:dyDescent="0.35">
      <c r="AI19268" s="1746" t="s">
        <v>150</v>
      </c>
      <c r="AJ19268" s="1747"/>
      <c r="AK19268" s="1748"/>
      <c r="AL19268" s="198"/>
      <c r="AM19268" s="198"/>
      <c r="AN19268" s="198"/>
      <c r="AO19268" s="198"/>
    </row>
    <row r="19269" spans="35:41" ht="19.5" thickBot="1" x14ac:dyDescent="0.35">
      <c r="AI19269" s="1746" t="s">
        <v>150</v>
      </c>
      <c r="AJ19269" s="1747"/>
      <c r="AK19269" s="1748"/>
      <c r="AL19269" s="198"/>
      <c r="AM19269" s="198"/>
      <c r="AN19269" s="198"/>
      <c r="AO19269" s="198"/>
    </row>
    <row r="19270" spans="35:41" ht="19.5" thickBot="1" x14ac:dyDescent="0.35">
      <c r="AI19270" s="1746" t="s">
        <v>150</v>
      </c>
      <c r="AJ19270" s="1747"/>
      <c r="AK19270" s="1748"/>
      <c r="AL19270" s="198"/>
      <c r="AM19270" s="198"/>
      <c r="AN19270" s="198"/>
      <c r="AO19270" s="198"/>
    </row>
    <row r="19271" spans="35:41" ht="19.5" thickBot="1" x14ac:dyDescent="0.35">
      <c r="AI19271" s="1746" t="s">
        <v>150</v>
      </c>
      <c r="AJ19271" s="1747"/>
      <c r="AK19271" s="1748"/>
      <c r="AL19271" s="198"/>
      <c r="AM19271" s="198"/>
      <c r="AN19271" s="198"/>
      <c r="AO19271" s="198"/>
    </row>
    <row r="19272" spans="35:41" ht="19.5" thickBot="1" x14ac:dyDescent="0.35">
      <c r="AI19272" s="1746" t="s">
        <v>150</v>
      </c>
      <c r="AJ19272" s="1747"/>
      <c r="AK19272" s="1748"/>
      <c r="AL19272" s="198"/>
      <c r="AM19272" s="198"/>
      <c r="AN19272" s="198"/>
      <c r="AO19272" s="198"/>
    </row>
    <row r="19273" spans="35:41" ht="19.5" thickBot="1" x14ac:dyDescent="0.35">
      <c r="AI19273" s="1746" t="s">
        <v>150</v>
      </c>
      <c r="AJ19273" s="1747"/>
      <c r="AK19273" s="1748"/>
      <c r="AL19273" s="198"/>
      <c r="AM19273" s="198"/>
      <c r="AN19273" s="198"/>
      <c r="AO19273" s="198"/>
    </row>
    <row r="19274" spans="35:41" ht="19.5" thickBot="1" x14ac:dyDescent="0.35">
      <c r="AI19274" s="1746" t="s">
        <v>150</v>
      </c>
      <c r="AJ19274" s="1747"/>
      <c r="AK19274" s="1748"/>
      <c r="AL19274" s="198"/>
      <c r="AM19274" s="198"/>
      <c r="AN19274" s="198"/>
      <c r="AO19274" s="198"/>
    </row>
    <row r="19275" spans="35:41" ht="19.5" thickBot="1" x14ac:dyDescent="0.35">
      <c r="AI19275" s="1746" t="s">
        <v>150</v>
      </c>
      <c r="AJ19275" s="1747"/>
      <c r="AK19275" s="1748"/>
      <c r="AL19275" s="198"/>
      <c r="AM19275" s="198"/>
      <c r="AN19275" s="198"/>
      <c r="AO19275" s="198"/>
    </row>
    <row r="19276" spans="35:41" ht="19.5" thickBot="1" x14ac:dyDescent="0.35">
      <c r="AI19276" s="1746" t="s">
        <v>150</v>
      </c>
      <c r="AJ19276" s="1747"/>
      <c r="AK19276" s="1748"/>
      <c r="AL19276" s="198"/>
      <c r="AM19276" s="198"/>
      <c r="AN19276" s="198"/>
      <c r="AO19276" s="198"/>
    </row>
    <row r="19277" spans="35:41" ht="19.5" thickBot="1" x14ac:dyDescent="0.35">
      <c r="AI19277" s="1746" t="s">
        <v>150</v>
      </c>
      <c r="AJ19277" s="1747"/>
      <c r="AK19277" s="1748"/>
      <c r="AL19277" s="198"/>
      <c r="AM19277" s="198"/>
      <c r="AN19277" s="198"/>
      <c r="AO19277" s="198"/>
    </row>
    <row r="19278" spans="35:41" ht="19.5" thickBot="1" x14ac:dyDescent="0.35">
      <c r="AI19278" s="1746" t="s">
        <v>150</v>
      </c>
      <c r="AJ19278" s="1747"/>
      <c r="AK19278" s="1748"/>
      <c r="AL19278" s="198"/>
      <c r="AM19278" s="198"/>
      <c r="AN19278" s="198"/>
      <c r="AO19278" s="198"/>
    </row>
    <row r="19279" spans="35:41" ht="19.5" thickBot="1" x14ac:dyDescent="0.35">
      <c r="AI19279" s="1746" t="s">
        <v>150</v>
      </c>
      <c r="AJ19279" s="1747"/>
      <c r="AK19279" s="1748"/>
      <c r="AL19279" s="198"/>
      <c r="AM19279" s="198"/>
      <c r="AN19279" s="198"/>
      <c r="AO19279" s="198"/>
    </row>
    <row r="19280" spans="35:41" ht="19.5" thickBot="1" x14ac:dyDescent="0.35">
      <c r="AI19280" s="1746" t="s">
        <v>150</v>
      </c>
      <c r="AJ19280" s="1747"/>
      <c r="AK19280" s="1748"/>
      <c r="AL19280" s="198"/>
      <c r="AM19280" s="198"/>
      <c r="AN19280" s="198"/>
      <c r="AO19280" s="198"/>
    </row>
    <row r="19281" spans="35:41" ht="19.5" thickBot="1" x14ac:dyDescent="0.35">
      <c r="AI19281" s="1746" t="s">
        <v>150</v>
      </c>
      <c r="AJ19281" s="1747"/>
      <c r="AK19281" s="1748"/>
      <c r="AL19281" s="198"/>
      <c r="AM19281" s="198"/>
      <c r="AN19281" s="198"/>
      <c r="AO19281" s="198"/>
    </row>
    <row r="19282" spans="35:41" ht="19.5" thickBot="1" x14ac:dyDescent="0.35">
      <c r="AI19282" s="1746" t="s">
        <v>150</v>
      </c>
      <c r="AJ19282" s="1747"/>
      <c r="AK19282" s="1748"/>
      <c r="AL19282" s="198"/>
      <c r="AM19282" s="198"/>
      <c r="AN19282" s="198"/>
      <c r="AO19282" s="198"/>
    </row>
    <row r="19283" spans="35:41" ht="19.5" thickBot="1" x14ac:dyDescent="0.35">
      <c r="AI19283" s="1746" t="s">
        <v>150</v>
      </c>
      <c r="AJ19283" s="1747"/>
      <c r="AK19283" s="1748"/>
      <c r="AL19283" s="198"/>
      <c r="AM19283" s="198"/>
      <c r="AN19283" s="198"/>
      <c r="AO19283" s="198"/>
    </row>
    <row r="19284" spans="35:41" ht="19.5" thickBot="1" x14ac:dyDescent="0.35">
      <c r="AI19284" s="1746" t="s">
        <v>150</v>
      </c>
      <c r="AJ19284" s="1747"/>
      <c r="AK19284" s="1748"/>
      <c r="AL19284" s="198"/>
      <c r="AM19284" s="198"/>
      <c r="AN19284" s="198"/>
      <c r="AO19284" s="198"/>
    </row>
    <row r="19285" spans="35:41" ht="19.5" thickBot="1" x14ac:dyDescent="0.35">
      <c r="AI19285" s="1746" t="s">
        <v>150</v>
      </c>
      <c r="AJ19285" s="1747"/>
      <c r="AK19285" s="1748"/>
      <c r="AL19285" s="198"/>
      <c r="AM19285" s="198"/>
      <c r="AN19285" s="198"/>
      <c r="AO19285" s="198"/>
    </row>
    <row r="19286" spans="35:41" ht="19.5" thickBot="1" x14ac:dyDescent="0.35">
      <c r="AI19286" s="1746" t="s">
        <v>150</v>
      </c>
      <c r="AJ19286" s="1747"/>
      <c r="AK19286" s="1748"/>
      <c r="AL19286" s="198"/>
      <c r="AM19286" s="198"/>
      <c r="AN19286" s="198"/>
      <c r="AO19286" s="198"/>
    </row>
    <row r="19287" spans="35:41" ht="19.5" thickBot="1" x14ac:dyDescent="0.35">
      <c r="AI19287" s="1746" t="s">
        <v>150</v>
      </c>
      <c r="AJ19287" s="1747"/>
      <c r="AK19287" s="1748"/>
      <c r="AL19287" s="198"/>
      <c r="AM19287" s="198"/>
      <c r="AN19287" s="198"/>
      <c r="AO19287" s="198"/>
    </row>
    <row r="19288" spans="35:41" ht="19.5" thickBot="1" x14ac:dyDescent="0.35">
      <c r="AI19288" s="1746" t="s">
        <v>150</v>
      </c>
      <c r="AJ19288" s="1747"/>
      <c r="AK19288" s="1748"/>
      <c r="AL19288" s="198"/>
      <c r="AM19288" s="198"/>
      <c r="AN19288" s="198"/>
      <c r="AO19288" s="198"/>
    </row>
    <row r="19289" spans="35:41" ht="19.5" thickBot="1" x14ac:dyDescent="0.35">
      <c r="AI19289" s="1746" t="s">
        <v>150</v>
      </c>
      <c r="AJ19289" s="1747"/>
      <c r="AK19289" s="1748"/>
      <c r="AL19289" s="198"/>
      <c r="AM19289" s="198"/>
      <c r="AN19289" s="198"/>
      <c r="AO19289" s="198"/>
    </row>
    <row r="19290" spans="35:41" ht="19.5" thickBot="1" x14ac:dyDescent="0.35">
      <c r="AI19290" s="1746" t="s">
        <v>150</v>
      </c>
      <c r="AJ19290" s="1747"/>
      <c r="AK19290" s="1748"/>
      <c r="AL19290" s="198"/>
      <c r="AM19290" s="198"/>
      <c r="AN19290" s="198"/>
      <c r="AO19290" s="198"/>
    </row>
    <row r="19291" spans="35:41" ht="19.5" thickBot="1" x14ac:dyDescent="0.35">
      <c r="AI19291" s="1746" t="s">
        <v>150</v>
      </c>
      <c r="AJ19291" s="1747"/>
      <c r="AK19291" s="1748"/>
      <c r="AL19291" s="198"/>
      <c r="AM19291" s="198"/>
      <c r="AN19291" s="198"/>
      <c r="AO19291" s="198"/>
    </row>
    <row r="19292" spans="35:41" ht="19.5" thickBot="1" x14ac:dyDescent="0.35">
      <c r="AI19292" s="1746" t="s">
        <v>150</v>
      </c>
      <c r="AJ19292" s="1747"/>
      <c r="AK19292" s="1748"/>
      <c r="AL19292" s="198"/>
      <c r="AM19292" s="198"/>
      <c r="AN19292" s="198"/>
      <c r="AO19292" s="198"/>
    </row>
    <row r="19293" spans="35:41" ht="19.5" thickBot="1" x14ac:dyDescent="0.35">
      <c r="AI19293" s="1746" t="s">
        <v>150</v>
      </c>
      <c r="AJ19293" s="1747"/>
      <c r="AK19293" s="1748"/>
      <c r="AL19293" s="198"/>
      <c r="AM19293" s="198"/>
      <c r="AN19293" s="198"/>
      <c r="AO19293" s="198"/>
    </row>
    <row r="19294" spans="35:41" ht="19.5" thickBot="1" x14ac:dyDescent="0.35">
      <c r="AI19294" s="1746" t="s">
        <v>150</v>
      </c>
      <c r="AJ19294" s="1747"/>
      <c r="AK19294" s="1748"/>
      <c r="AL19294" s="198"/>
      <c r="AM19294" s="198"/>
      <c r="AN19294" s="198"/>
      <c r="AO19294" s="198"/>
    </row>
    <row r="19295" spans="35:41" ht="19.5" thickBot="1" x14ac:dyDescent="0.35">
      <c r="AI19295" s="1746" t="s">
        <v>150</v>
      </c>
      <c r="AJ19295" s="1747"/>
      <c r="AK19295" s="1748"/>
      <c r="AL19295" s="198"/>
      <c r="AM19295" s="198"/>
      <c r="AN19295" s="198"/>
      <c r="AO19295" s="198"/>
    </row>
    <row r="19296" spans="35:41" ht="19.5" thickBot="1" x14ac:dyDescent="0.35">
      <c r="AI19296" s="1746" t="s">
        <v>150</v>
      </c>
      <c r="AJ19296" s="1747"/>
      <c r="AK19296" s="1748"/>
      <c r="AL19296" s="198"/>
      <c r="AM19296" s="198"/>
      <c r="AN19296" s="198"/>
      <c r="AO19296" s="198"/>
    </row>
    <row r="19297" spans="35:41" ht="19.5" thickBot="1" x14ac:dyDescent="0.35">
      <c r="AI19297" s="1746" t="s">
        <v>150</v>
      </c>
      <c r="AJ19297" s="1747"/>
      <c r="AK19297" s="1748"/>
      <c r="AL19297" s="198"/>
      <c r="AM19297" s="198"/>
      <c r="AN19297" s="198"/>
      <c r="AO19297" s="198"/>
    </row>
    <row r="19298" spans="35:41" ht="19.5" thickBot="1" x14ac:dyDescent="0.35">
      <c r="AI19298" s="1746" t="s">
        <v>150</v>
      </c>
      <c r="AJ19298" s="1747"/>
      <c r="AK19298" s="1748"/>
      <c r="AL19298" s="198"/>
      <c r="AM19298" s="198"/>
      <c r="AN19298" s="198"/>
      <c r="AO19298" s="198"/>
    </row>
    <row r="19299" spans="35:41" ht="19.5" thickBot="1" x14ac:dyDescent="0.35">
      <c r="AI19299" s="1746" t="s">
        <v>150</v>
      </c>
      <c r="AJ19299" s="1747"/>
      <c r="AK19299" s="1748"/>
      <c r="AL19299" s="198"/>
      <c r="AM19299" s="198"/>
      <c r="AN19299" s="198"/>
      <c r="AO19299" s="198"/>
    </row>
    <row r="19300" spans="35:41" ht="19.5" thickBot="1" x14ac:dyDescent="0.35">
      <c r="AI19300" s="1746" t="s">
        <v>150</v>
      </c>
      <c r="AJ19300" s="1747"/>
      <c r="AK19300" s="1748"/>
      <c r="AL19300" s="198"/>
      <c r="AM19300" s="198"/>
      <c r="AN19300" s="198"/>
      <c r="AO19300" s="198"/>
    </row>
    <row r="19301" spans="35:41" ht="19.5" thickBot="1" x14ac:dyDescent="0.35">
      <c r="AI19301" s="1746" t="s">
        <v>150</v>
      </c>
      <c r="AJ19301" s="1747"/>
      <c r="AK19301" s="1748"/>
      <c r="AL19301" s="198"/>
      <c r="AM19301" s="198"/>
      <c r="AN19301" s="198"/>
      <c r="AO19301" s="198"/>
    </row>
    <row r="19302" spans="35:41" ht="19.5" thickBot="1" x14ac:dyDescent="0.35">
      <c r="AI19302" s="1746" t="s">
        <v>150</v>
      </c>
      <c r="AJ19302" s="1747"/>
      <c r="AK19302" s="1748"/>
      <c r="AL19302" s="198"/>
      <c r="AM19302" s="198"/>
      <c r="AN19302" s="198"/>
      <c r="AO19302" s="198"/>
    </row>
    <row r="19303" spans="35:41" ht="19.5" thickBot="1" x14ac:dyDescent="0.35">
      <c r="AI19303" s="1746" t="s">
        <v>150</v>
      </c>
      <c r="AJ19303" s="1747"/>
      <c r="AK19303" s="1748"/>
      <c r="AL19303" s="198"/>
      <c r="AM19303" s="198"/>
      <c r="AN19303" s="198"/>
      <c r="AO19303" s="198"/>
    </row>
    <row r="19304" spans="35:41" ht="19.5" thickBot="1" x14ac:dyDescent="0.35">
      <c r="AI19304" s="1746" t="s">
        <v>150</v>
      </c>
      <c r="AJ19304" s="1747"/>
      <c r="AK19304" s="1748"/>
      <c r="AL19304" s="198"/>
      <c r="AM19304" s="198"/>
      <c r="AN19304" s="198"/>
      <c r="AO19304" s="198"/>
    </row>
    <row r="19305" spans="35:41" ht="19.5" thickBot="1" x14ac:dyDescent="0.35">
      <c r="AI19305" s="1746" t="s">
        <v>150</v>
      </c>
      <c r="AJ19305" s="1747"/>
      <c r="AK19305" s="1748"/>
      <c r="AL19305" s="198"/>
      <c r="AM19305" s="198"/>
      <c r="AN19305" s="198"/>
      <c r="AO19305" s="198"/>
    </row>
    <row r="19306" spans="35:41" ht="19.5" thickBot="1" x14ac:dyDescent="0.35">
      <c r="AI19306" s="1746" t="s">
        <v>150</v>
      </c>
      <c r="AJ19306" s="1747"/>
      <c r="AK19306" s="1748"/>
      <c r="AL19306" s="198"/>
      <c r="AM19306" s="198"/>
      <c r="AN19306" s="198"/>
      <c r="AO19306" s="198"/>
    </row>
    <row r="19307" spans="35:41" ht="19.5" thickBot="1" x14ac:dyDescent="0.35">
      <c r="AI19307" s="1746" t="s">
        <v>150</v>
      </c>
      <c r="AJ19307" s="1747"/>
      <c r="AK19307" s="1748"/>
      <c r="AL19307" s="198"/>
      <c r="AM19307" s="198"/>
      <c r="AN19307" s="198"/>
      <c r="AO19307" s="198"/>
    </row>
    <row r="19308" spans="35:41" ht="19.5" thickBot="1" x14ac:dyDescent="0.35">
      <c r="AI19308" s="1746" t="s">
        <v>150</v>
      </c>
      <c r="AJ19308" s="1747"/>
      <c r="AK19308" s="1748"/>
      <c r="AL19308" s="198"/>
      <c r="AM19308" s="198"/>
      <c r="AN19308" s="198"/>
      <c r="AO19308" s="198"/>
    </row>
    <row r="19309" spans="35:41" ht="19.5" thickBot="1" x14ac:dyDescent="0.35">
      <c r="AI19309" s="1746" t="s">
        <v>150</v>
      </c>
      <c r="AJ19309" s="1747"/>
      <c r="AK19309" s="1748"/>
      <c r="AL19309" s="198"/>
      <c r="AM19309" s="198"/>
      <c r="AN19309" s="198"/>
      <c r="AO19309" s="198"/>
    </row>
    <row r="19310" spans="35:41" ht="19.5" thickBot="1" x14ac:dyDescent="0.35">
      <c r="AI19310" s="1746" t="s">
        <v>150</v>
      </c>
      <c r="AJ19310" s="1747"/>
      <c r="AK19310" s="1748"/>
      <c r="AL19310" s="198"/>
      <c r="AM19310" s="198"/>
      <c r="AN19310" s="198"/>
      <c r="AO19310" s="198"/>
    </row>
    <row r="19311" spans="35:41" ht="19.5" thickBot="1" x14ac:dyDescent="0.35">
      <c r="AI19311" s="1746" t="s">
        <v>150</v>
      </c>
      <c r="AJ19311" s="1747"/>
      <c r="AK19311" s="1748"/>
      <c r="AL19311" s="198"/>
      <c r="AM19311" s="198"/>
      <c r="AN19311" s="198"/>
      <c r="AO19311" s="198"/>
    </row>
    <row r="19312" spans="35:41" ht="19.5" thickBot="1" x14ac:dyDescent="0.35">
      <c r="AI19312" s="1746" t="s">
        <v>150</v>
      </c>
      <c r="AJ19312" s="1747"/>
      <c r="AK19312" s="1748"/>
      <c r="AL19312" s="198"/>
      <c r="AM19312" s="198"/>
      <c r="AN19312" s="198"/>
      <c r="AO19312" s="198"/>
    </row>
    <row r="19313" spans="35:41" ht="19.5" thickBot="1" x14ac:dyDescent="0.35">
      <c r="AI19313" s="1746" t="s">
        <v>150</v>
      </c>
      <c r="AJ19313" s="1747"/>
      <c r="AK19313" s="1748"/>
      <c r="AL19313" s="198"/>
      <c r="AM19313" s="198"/>
      <c r="AN19313" s="198"/>
      <c r="AO19313" s="198"/>
    </row>
    <row r="19314" spans="35:41" ht="19.5" thickBot="1" x14ac:dyDescent="0.35">
      <c r="AI19314" s="1746" t="s">
        <v>150</v>
      </c>
      <c r="AJ19314" s="1747"/>
      <c r="AK19314" s="1748"/>
      <c r="AL19314" s="198"/>
      <c r="AM19314" s="198"/>
      <c r="AN19314" s="198"/>
      <c r="AO19314" s="198"/>
    </row>
    <row r="19315" spans="35:41" ht="19.5" thickBot="1" x14ac:dyDescent="0.35">
      <c r="AI19315" s="1746" t="s">
        <v>150</v>
      </c>
      <c r="AJ19315" s="1747"/>
      <c r="AK19315" s="1748"/>
      <c r="AL19315" s="198"/>
      <c r="AM19315" s="198"/>
      <c r="AN19315" s="198"/>
      <c r="AO19315" s="198"/>
    </row>
    <row r="19316" spans="35:41" ht="19.5" thickBot="1" x14ac:dyDescent="0.35">
      <c r="AI19316" s="1746" t="s">
        <v>150</v>
      </c>
      <c r="AJ19316" s="1747"/>
      <c r="AK19316" s="1748"/>
      <c r="AL19316" s="198"/>
      <c r="AM19316" s="198"/>
      <c r="AN19316" s="198"/>
      <c r="AO19316" s="198"/>
    </row>
    <row r="19317" spans="35:41" ht="19.5" thickBot="1" x14ac:dyDescent="0.35">
      <c r="AI19317" s="1746" t="s">
        <v>150</v>
      </c>
      <c r="AJ19317" s="1747"/>
      <c r="AK19317" s="1748"/>
      <c r="AL19317" s="198"/>
      <c r="AM19317" s="198"/>
      <c r="AN19317" s="198"/>
      <c r="AO19317" s="198"/>
    </row>
    <row r="19318" spans="35:41" ht="19.5" thickBot="1" x14ac:dyDescent="0.35">
      <c r="AI19318" s="1746" t="s">
        <v>150</v>
      </c>
      <c r="AJ19318" s="1747"/>
      <c r="AK19318" s="1748"/>
      <c r="AL19318" s="198"/>
      <c r="AM19318" s="198"/>
      <c r="AN19318" s="198"/>
      <c r="AO19318" s="198"/>
    </row>
    <row r="19319" spans="35:41" ht="19.5" thickBot="1" x14ac:dyDescent="0.35">
      <c r="AI19319" s="1746" t="s">
        <v>150</v>
      </c>
      <c r="AJ19319" s="1747"/>
      <c r="AK19319" s="1748"/>
      <c r="AL19319" s="198"/>
      <c r="AM19319" s="198"/>
      <c r="AN19319" s="198"/>
      <c r="AO19319" s="198"/>
    </row>
    <row r="19320" spans="35:41" ht="19.5" thickBot="1" x14ac:dyDescent="0.35">
      <c r="AI19320" s="1746" t="s">
        <v>150</v>
      </c>
      <c r="AJ19320" s="1747"/>
      <c r="AK19320" s="1748"/>
      <c r="AL19320" s="198"/>
      <c r="AM19320" s="198"/>
      <c r="AN19320" s="198"/>
      <c r="AO19320" s="198"/>
    </row>
    <row r="19321" spans="35:41" ht="19.5" thickBot="1" x14ac:dyDescent="0.35">
      <c r="AI19321" s="1746" t="s">
        <v>150</v>
      </c>
      <c r="AJ19321" s="1747"/>
      <c r="AK19321" s="1748"/>
      <c r="AL19321" s="198"/>
      <c r="AM19321" s="198"/>
      <c r="AN19321" s="198"/>
      <c r="AO19321" s="198"/>
    </row>
    <row r="19322" spans="35:41" ht="19.5" thickBot="1" x14ac:dyDescent="0.35">
      <c r="AI19322" s="1746" t="s">
        <v>150</v>
      </c>
      <c r="AJ19322" s="1747"/>
      <c r="AK19322" s="1748"/>
      <c r="AL19322" s="198"/>
      <c r="AM19322" s="198"/>
      <c r="AN19322" s="198"/>
      <c r="AO19322" s="198"/>
    </row>
    <row r="19323" spans="35:41" ht="19.5" thickBot="1" x14ac:dyDescent="0.35">
      <c r="AI19323" s="1746" t="s">
        <v>150</v>
      </c>
      <c r="AJ19323" s="1747"/>
      <c r="AK19323" s="1748"/>
      <c r="AL19323" s="198"/>
      <c r="AM19323" s="198"/>
      <c r="AN19323" s="198"/>
      <c r="AO19323" s="198"/>
    </row>
    <row r="19324" spans="35:41" ht="19.5" thickBot="1" x14ac:dyDescent="0.35">
      <c r="AI19324" s="1746" t="s">
        <v>150</v>
      </c>
      <c r="AJ19324" s="1747"/>
      <c r="AK19324" s="1748"/>
      <c r="AL19324" s="198"/>
      <c r="AM19324" s="198"/>
      <c r="AN19324" s="198"/>
      <c r="AO19324" s="198"/>
    </row>
    <row r="19325" spans="35:41" ht="19.5" thickBot="1" x14ac:dyDescent="0.35">
      <c r="AI19325" s="1746" t="s">
        <v>150</v>
      </c>
      <c r="AJ19325" s="1747"/>
      <c r="AK19325" s="1748"/>
      <c r="AL19325" s="198"/>
      <c r="AM19325" s="198"/>
      <c r="AN19325" s="198"/>
      <c r="AO19325" s="198"/>
    </row>
    <row r="19326" spans="35:41" ht="19.5" thickBot="1" x14ac:dyDescent="0.35">
      <c r="AI19326" s="1746" t="s">
        <v>150</v>
      </c>
      <c r="AJ19326" s="1747"/>
      <c r="AK19326" s="1748"/>
      <c r="AL19326" s="198"/>
      <c r="AM19326" s="198"/>
      <c r="AN19326" s="198"/>
      <c r="AO19326" s="198"/>
    </row>
    <row r="19327" spans="35:41" ht="19.5" thickBot="1" x14ac:dyDescent="0.35">
      <c r="AI19327" s="1746" t="s">
        <v>150</v>
      </c>
      <c r="AJ19327" s="1747"/>
      <c r="AK19327" s="1748"/>
      <c r="AL19327" s="198"/>
      <c r="AM19327" s="198"/>
      <c r="AN19327" s="198"/>
      <c r="AO19327" s="198"/>
    </row>
    <row r="19328" spans="35:41" ht="19.5" thickBot="1" x14ac:dyDescent="0.35">
      <c r="AI19328" s="1746" t="s">
        <v>150</v>
      </c>
      <c r="AJ19328" s="1747"/>
      <c r="AK19328" s="1748"/>
      <c r="AL19328" s="198"/>
      <c r="AM19328" s="198"/>
      <c r="AN19328" s="198"/>
      <c r="AO19328" s="198"/>
    </row>
    <row r="19329" spans="35:41" ht="19.5" thickBot="1" x14ac:dyDescent="0.35">
      <c r="AI19329" s="1746" t="s">
        <v>150</v>
      </c>
      <c r="AJ19329" s="1747"/>
      <c r="AK19329" s="1748"/>
      <c r="AL19329" s="198"/>
      <c r="AM19329" s="198"/>
      <c r="AN19329" s="198"/>
      <c r="AO19329" s="198"/>
    </row>
    <row r="19330" spans="35:41" ht="19.5" thickBot="1" x14ac:dyDescent="0.35">
      <c r="AI19330" s="1746" t="s">
        <v>150</v>
      </c>
      <c r="AJ19330" s="1747"/>
      <c r="AK19330" s="1748"/>
      <c r="AL19330" s="198"/>
      <c r="AM19330" s="198"/>
      <c r="AN19330" s="198"/>
      <c r="AO19330" s="198"/>
    </row>
    <row r="19331" spans="35:41" ht="19.5" thickBot="1" x14ac:dyDescent="0.35">
      <c r="AI19331" s="1746" t="s">
        <v>150</v>
      </c>
      <c r="AJ19331" s="1747"/>
      <c r="AK19331" s="1748"/>
      <c r="AL19331" s="198"/>
      <c r="AM19331" s="198"/>
      <c r="AN19331" s="198"/>
      <c r="AO19331" s="198"/>
    </row>
    <row r="19332" spans="35:41" ht="19.5" thickBot="1" x14ac:dyDescent="0.35">
      <c r="AI19332" s="1746" t="s">
        <v>150</v>
      </c>
      <c r="AJ19332" s="1747"/>
      <c r="AK19332" s="1748"/>
      <c r="AL19332" s="198"/>
      <c r="AM19332" s="198"/>
      <c r="AN19332" s="198"/>
      <c r="AO19332" s="198"/>
    </row>
    <row r="19333" spans="35:41" ht="19.5" thickBot="1" x14ac:dyDescent="0.35">
      <c r="AI19333" s="1746" t="s">
        <v>150</v>
      </c>
      <c r="AJ19333" s="1747"/>
      <c r="AK19333" s="1748"/>
      <c r="AL19333" s="198"/>
      <c r="AM19333" s="198"/>
      <c r="AN19333" s="198"/>
      <c r="AO19333" s="198"/>
    </row>
    <row r="19334" spans="35:41" ht="19.5" thickBot="1" x14ac:dyDescent="0.35">
      <c r="AI19334" s="1746" t="s">
        <v>150</v>
      </c>
      <c r="AJ19334" s="1747"/>
      <c r="AK19334" s="1748"/>
      <c r="AL19334" s="198"/>
      <c r="AM19334" s="198"/>
      <c r="AN19334" s="198"/>
      <c r="AO19334" s="198"/>
    </row>
    <row r="19335" spans="35:41" ht="19.5" thickBot="1" x14ac:dyDescent="0.35">
      <c r="AI19335" s="1746" t="s">
        <v>150</v>
      </c>
      <c r="AJ19335" s="1747"/>
      <c r="AK19335" s="1748"/>
      <c r="AL19335" s="198"/>
      <c r="AM19335" s="198"/>
      <c r="AN19335" s="198"/>
      <c r="AO19335" s="198"/>
    </row>
    <row r="19336" spans="35:41" ht="19.5" thickBot="1" x14ac:dyDescent="0.35">
      <c r="AI19336" s="1746" t="s">
        <v>150</v>
      </c>
      <c r="AJ19336" s="1747"/>
      <c r="AK19336" s="1748"/>
      <c r="AL19336" s="198"/>
      <c r="AM19336" s="198"/>
      <c r="AN19336" s="198"/>
      <c r="AO19336" s="198"/>
    </row>
    <row r="19337" spans="35:41" ht="19.5" thickBot="1" x14ac:dyDescent="0.35">
      <c r="AI19337" s="1746" t="s">
        <v>150</v>
      </c>
      <c r="AJ19337" s="1747"/>
      <c r="AK19337" s="1748"/>
      <c r="AL19337" s="198"/>
      <c r="AM19337" s="198"/>
      <c r="AN19337" s="198"/>
      <c r="AO19337" s="198"/>
    </row>
    <row r="19338" spans="35:41" ht="19.5" thickBot="1" x14ac:dyDescent="0.35">
      <c r="AI19338" s="1746" t="s">
        <v>150</v>
      </c>
      <c r="AJ19338" s="1747"/>
      <c r="AK19338" s="1748"/>
      <c r="AL19338" s="198"/>
      <c r="AM19338" s="198"/>
      <c r="AN19338" s="198"/>
      <c r="AO19338" s="198"/>
    </row>
    <row r="19339" spans="35:41" ht="19.5" thickBot="1" x14ac:dyDescent="0.35">
      <c r="AI19339" s="1746" t="s">
        <v>150</v>
      </c>
      <c r="AJ19339" s="1747"/>
      <c r="AK19339" s="1748"/>
      <c r="AL19339" s="198"/>
      <c r="AM19339" s="198"/>
      <c r="AN19339" s="198"/>
      <c r="AO19339" s="198"/>
    </row>
    <row r="19340" spans="35:41" ht="19.5" thickBot="1" x14ac:dyDescent="0.35">
      <c r="AI19340" s="1746" t="s">
        <v>150</v>
      </c>
      <c r="AJ19340" s="1747"/>
      <c r="AK19340" s="1748"/>
      <c r="AL19340" s="198"/>
      <c r="AM19340" s="198"/>
      <c r="AN19340" s="198"/>
      <c r="AO19340" s="198"/>
    </row>
    <row r="19341" spans="35:41" ht="19.5" thickBot="1" x14ac:dyDescent="0.35">
      <c r="AI19341" s="1746" t="s">
        <v>150</v>
      </c>
      <c r="AJ19341" s="1747"/>
      <c r="AK19341" s="1748"/>
      <c r="AL19341" s="198"/>
      <c r="AM19341" s="198"/>
      <c r="AN19341" s="198"/>
      <c r="AO19341" s="198"/>
    </row>
    <row r="19342" spans="35:41" ht="19.5" thickBot="1" x14ac:dyDescent="0.35">
      <c r="AI19342" s="1746" t="s">
        <v>150</v>
      </c>
      <c r="AJ19342" s="1747"/>
      <c r="AK19342" s="1748"/>
      <c r="AL19342" s="198"/>
      <c r="AM19342" s="198"/>
      <c r="AN19342" s="198"/>
      <c r="AO19342" s="198"/>
    </row>
    <row r="19343" spans="35:41" ht="19.5" thickBot="1" x14ac:dyDescent="0.35">
      <c r="AI19343" s="1746" t="s">
        <v>150</v>
      </c>
      <c r="AJ19343" s="1747"/>
      <c r="AK19343" s="1748"/>
      <c r="AL19343" s="198"/>
      <c r="AM19343" s="198"/>
      <c r="AN19343" s="198"/>
      <c r="AO19343" s="198"/>
    </row>
    <row r="19344" spans="35:41" ht="19.5" thickBot="1" x14ac:dyDescent="0.35">
      <c r="AI19344" s="1746" t="s">
        <v>150</v>
      </c>
      <c r="AJ19344" s="1747"/>
      <c r="AK19344" s="1748"/>
      <c r="AL19344" s="198"/>
      <c r="AM19344" s="198"/>
      <c r="AN19344" s="198"/>
      <c r="AO19344" s="198"/>
    </row>
    <row r="19345" spans="35:41" ht="19.5" thickBot="1" x14ac:dyDescent="0.35">
      <c r="AI19345" s="1746" t="s">
        <v>150</v>
      </c>
      <c r="AJ19345" s="1747"/>
      <c r="AK19345" s="1748"/>
      <c r="AL19345" s="198"/>
      <c r="AM19345" s="198"/>
      <c r="AN19345" s="198"/>
      <c r="AO19345" s="198"/>
    </row>
    <row r="19346" spans="35:41" ht="19.5" thickBot="1" x14ac:dyDescent="0.35">
      <c r="AI19346" s="1746" t="s">
        <v>150</v>
      </c>
      <c r="AJ19346" s="1747"/>
      <c r="AK19346" s="1748"/>
      <c r="AL19346" s="198"/>
      <c r="AM19346" s="198"/>
      <c r="AN19346" s="198"/>
      <c r="AO19346" s="198"/>
    </row>
    <row r="19347" spans="35:41" ht="19.5" thickBot="1" x14ac:dyDescent="0.35">
      <c r="AI19347" s="1746" t="s">
        <v>150</v>
      </c>
      <c r="AJ19347" s="1747"/>
      <c r="AK19347" s="1748"/>
      <c r="AL19347" s="198"/>
      <c r="AM19347" s="198"/>
      <c r="AN19347" s="198"/>
      <c r="AO19347" s="198"/>
    </row>
    <row r="19348" spans="35:41" ht="19.5" thickBot="1" x14ac:dyDescent="0.35">
      <c r="AI19348" s="1746" t="s">
        <v>150</v>
      </c>
      <c r="AJ19348" s="1747"/>
      <c r="AK19348" s="1748"/>
      <c r="AL19348" s="198"/>
      <c r="AM19348" s="198"/>
      <c r="AN19348" s="198"/>
      <c r="AO19348" s="198"/>
    </row>
    <row r="19349" spans="35:41" ht="19.5" thickBot="1" x14ac:dyDescent="0.35">
      <c r="AI19349" s="1746" t="s">
        <v>150</v>
      </c>
      <c r="AJ19349" s="1747"/>
      <c r="AK19349" s="1748"/>
      <c r="AL19349" s="198"/>
      <c r="AM19349" s="198"/>
      <c r="AN19349" s="198"/>
      <c r="AO19349" s="198"/>
    </row>
    <row r="19350" spans="35:41" ht="19.5" thickBot="1" x14ac:dyDescent="0.35">
      <c r="AI19350" s="1746" t="s">
        <v>150</v>
      </c>
      <c r="AJ19350" s="1747"/>
      <c r="AK19350" s="1748"/>
      <c r="AL19350" s="198"/>
      <c r="AM19350" s="198"/>
      <c r="AN19350" s="198"/>
      <c r="AO19350" s="198"/>
    </row>
    <row r="19351" spans="35:41" ht="19.5" thickBot="1" x14ac:dyDescent="0.35">
      <c r="AI19351" s="1746" t="s">
        <v>150</v>
      </c>
      <c r="AJ19351" s="1747"/>
      <c r="AK19351" s="1748"/>
      <c r="AL19351" s="198"/>
      <c r="AM19351" s="198"/>
      <c r="AN19351" s="198"/>
      <c r="AO19351" s="198"/>
    </row>
    <row r="19352" spans="35:41" ht="19.5" thickBot="1" x14ac:dyDescent="0.35">
      <c r="AI19352" s="1746" t="s">
        <v>150</v>
      </c>
      <c r="AJ19352" s="1747"/>
      <c r="AK19352" s="1748"/>
      <c r="AL19352" s="198"/>
      <c r="AM19352" s="198"/>
      <c r="AN19352" s="198"/>
      <c r="AO19352" s="198"/>
    </row>
    <row r="19353" spans="35:41" ht="19.5" thickBot="1" x14ac:dyDescent="0.35">
      <c r="AI19353" s="1746" t="s">
        <v>150</v>
      </c>
      <c r="AJ19353" s="1747"/>
      <c r="AK19353" s="1748"/>
      <c r="AL19353" s="198"/>
      <c r="AM19353" s="198"/>
      <c r="AN19353" s="198"/>
      <c r="AO19353" s="198"/>
    </row>
    <row r="19354" spans="35:41" ht="19.5" thickBot="1" x14ac:dyDescent="0.35">
      <c r="AI19354" s="1746" t="s">
        <v>150</v>
      </c>
      <c r="AJ19354" s="1747"/>
      <c r="AK19354" s="1748"/>
      <c r="AL19354" s="198"/>
      <c r="AM19354" s="198"/>
      <c r="AN19354" s="198"/>
      <c r="AO19354" s="198"/>
    </row>
    <row r="19355" spans="35:41" ht="19.5" thickBot="1" x14ac:dyDescent="0.35">
      <c r="AI19355" s="1746" t="s">
        <v>150</v>
      </c>
      <c r="AJ19355" s="1747"/>
      <c r="AK19355" s="1748"/>
      <c r="AL19355" s="198"/>
      <c r="AM19355" s="198"/>
      <c r="AN19355" s="198"/>
      <c r="AO19355" s="198"/>
    </row>
    <row r="19356" spans="35:41" ht="19.5" thickBot="1" x14ac:dyDescent="0.35">
      <c r="AI19356" s="1746" t="s">
        <v>150</v>
      </c>
      <c r="AJ19356" s="1747"/>
      <c r="AK19356" s="1748"/>
      <c r="AL19356" s="198"/>
      <c r="AM19356" s="198"/>
      <c r="AN19356" s="198"/>
      <c r="AO19356" s="198"/>
    </row>
    <row r="19357" spans="35:41" ht="19.5" thickBot="1" x14ac:dyDescent="0.35">
      <c r="AI19357" s="1746" t="s">
        <v>150</v>
      </c>
      <c r="AJ19357" s="1747"/>
      <c r="AK19357" s="1748"/>
      <c r="AL19357" s="198"/>
      <c r="AM19357" s="198"/>
      <c r="AN19357" s="198"/>
      <c r="AO19357" s="198"/>
    </row>
    <row r="19358" spans="35:41" ht="19.5" thickBot="1" x14ac:dyDescent="0.35">
      <c r="AI19358" s="1746" t="s">
        <v>150</v>
      </c>
      <c r="AJ19358" s="1747"/>
      <c r="AK19358" s="1748"/>
      <c r="AL19358" s="198"/>
      <c r="AM19358" s="198"/>
      <c r="AN19358" s="198"/>
      <c r="AO19358" s="198"/>
    </row>
    <row r="19359" spans="35:41" ht="19.5" thickBot="1" x14ac:dyDescent="0.35">
      <c r="AI19359" s="1746" t="s">
        <v>150</v>
      </c>
      <c r="AJ19359" s="1747"/>
      <c r="AK19359" s="1748"/>
      <c r="AL19359" s="198"/>
      <c r="AM19359" s="198"/>
      <c r="AN19359" s="198"/>
      <c r="AO19359" s="198"/>
    </row>
    <row r="19360" spans="35:41" ht="19.5" thickBot="1" x14ac:dyDescent="0.35">
      <c r="AI19360" s="1746" t="s">
        <v>150</v>
      </c>
      <c r="AJ19360" s="1747"/>
      <c r="AK19360" s="1748"/>
      <c r="AL19360" s="198"/>
      <c r="AM19360" s="198"/>
      <c r="AN19360" s="198"/>
      <c r="AO19360" s="198"/>
    </row>
    <row r="19361" spans="35:41" ht="19.5" thickBot="1" x14ac:dyDescent="0.35">
      <c r="AI19361" s="1746" t="s">
        <v>150</v>
      </c>
      <c r="AJ19361" s="1747"/>
      <c r="AK19361" s="1748"/>
      <c r="AL19361" s="198"/>
      <c r="AM19361" s="198"/>
      <c r="AN19361" s="198"/>
      <c r="AO19361" s="198"/>
    </row>
    <row r="19362" spans="35:41" ht="19.5" thickBot="1" x14ac:dyDescent="0.35">
      <c r="AI19362" s="1746" t="s">
        <v>150</v>
      </c>
      <c r="AJ19362" s="1747"/>
      <c r="AK19362" s="1748"/>
      <c r="AL19362" s="198"/>
      <c r="AM19362" s="198"/>
      <c r="AN19362" s="198"/>
      <c r="AO19362" s="198"/>
    </row>
    <row r="19363" spans="35:41" ht="19.5" thickBot="1" x14ac:dyDescent="0.35">
      <c r="AI19363" s="1746" t="s">
        <v>150</v>
      </c>
      <c r="AJ19363" s="1747"/>
      <c r="AK19363" s="1748"/>
      <c r="AL19363" s="198"/>
      <c r="AM19363" s="198"/>
      <c r="AN19363" s="198"/>
      <c r="AO19363" s="198"/>
    </row>
    <row r="19364" spans="35:41" ht="19.5" thickBot="1" x14ac:dyDescent="0.35">
      <c r="AI19364" s="1746" t="s">
        <v>150</v>
      </c>
      <c r="AJ19364" s="1747"/>
      <c r="AK19364" s="1748"/>
      <c r="AL19364" s="198"/>
      <c r="AM19364" s="198"/>
      <c r="AN19364" s="198"/>
      <c r="AO19364" s="198"/>
    </row>
    <row r="19365" spans="35:41" ht="19.5" thickBot="1" x14ac:dyDescent="0.35">
      <c r="AI19365" s="1746" t="s">
        <v>150</v>
      </c>
      <c r="AJ19365" s="1747"/>
      <c r="AK19365" s="1748"/>
      <c r="AL19365" s="198"/>
      <c r="AM19365" s="198"/>
      <c r="AN19365" s="198"/>
      <c r="AO19365" s="198"/>
    </row>
    <row r="19366" spans="35:41" ht="19.5" thickBot="1" x14ac:dyDescent="0.35">
      <c r="AI19366" s="1746" t="s">
        <v>150</v>
      </c>
      <c r="AJ19366" s="1747"/>
      <c r="AK19366" s="1748"/>
      <c r="AL19366" s="198"/>
      <c r="AM19366" s="198"/>
      <c r="AN19366" s="198"/>
      <c r="AO19366" s="198"/>
    </row>
    <row r="19367" spans="35:41" ht="19.5" thickBot="1" x14ac:dyDescent="0.35">
      <c r="AI19367" s="1746" t="s">
        <v>150</v>
      </c>
      <c r="AJ19367" s="1747"/>
      <c r="AK19367" s="1748"/>
      <c r="AL19367" s="198"/>
      <c r="AM19367" s="198"/>
      <c r="AN19367" s="198"/>
      <c r="AO19367" s="198"/>
    </row>
    <row r="19368" spans="35:41" ht="19.5" thickBot="1" x14ac:dyDescent="0.35">
      <c r="AI19368" s="1746" t="s">
        <v>150</v>
      </c>
      <c r="AJ19368" s="1747"/>
      <c r="AK19368" s="1748"/>
      <c r="AL19368" s="198"/>
      <c r="AM19368" s="198"/>
      <c r="AN19368" s="198"/>
      <c r="AO19368" s="198"/>
    </row>
    <row r="19369" spans="35:41" ht="19.5" thickBot="1" x14ac:dyDescent="0.35">
      <c r="AI19369" s="1746" t="s">
        <v>150</v>
      </c>
      <c r="AJ19369" s="1747"/>
      <c r="AK19369" s="1748"/>
      <c r="AL19369" s="198"/>
      <c r="AM19369" s="198"/>
      <c r="AN19369" s="198"/>
      <c r="AO19369" s="198"/>
    </row>
    <row r="19370" spans="35:41" ht="19.5" thickBot="1" x14ac:dyDescent="0.35">
      <c r="AI19370" s="1746" t="s">
        <v>150</v>
      </c>
      <c r="AJ19370" s="1747"/>
      <c r="AK19370" s="1748"/>
      <c r="AL19370" s="198"/>
      <c r="AM19370" s="198"/>
      <c r="AN19370" s="198"/>
      <c r="AO19370" s="198"/>
    </row>
    <row r="19371" spans="35:41" ht="19.5" thickBot="1" x14ac:dyDescent="0.35">
      <c r="AI19371" s="1746" t="s">
        <v>150</v>
      </c>
      <c r="AJ19371" s="1747"/>
      <c r="AK19371" s="1748"/>
      <c r="AL19371" s="198"/>
      <c r="AM19371" s="198"/>
      <c r="AN19371" s="198"/>
      <c r="AO19371" s="198"/>
    </row>
    <row r="19372" spans="35:41" ht="19.5" thickBot="1" x14ac:dyDescent="0.35">
      <c r="AI19372" s="1746" t="s">
        <v>150</v>
      </c>
      <c r="AJ19372" s="1747"/>
      <c r="AK19372" s="1748"/>
      <c r="AL19372" s="198"/>
      <c r="AM19372" s="198"/>
      <c r="AN19372" s="198"/>
      <c r="AO19372" s="198"/>
    </row>
    <row r="19373" spans="35:41" ht="19.5" thickBot="1" x14ac:dyDescent="0.35">
      <c r="AI19373" s="1746" t="s">
        <v>150</v>
      </c>
      <c r="AJ19373" s="1747"/>
      <c r="AK19373" s="1748"/>
      <c r="AL19373" s="198"/>
      <c r="AM19373" s="198"/>
      <c r="AN19373" s="198"/>
      <c r="AO19373" s="198"/>
    </row>
    <row r="19374" spans="35:41" ht="19.5" thickBot="1" x14ac:dyDescent="0.35">
      <c r="AI19374" s="1746" t="s">
        <v>150</v>
      </c>
      <c r="AJ19374" s="1747"/>
      <c r="AK19374" s="1748"/>
      <c r="AL19374" s="198"/>
      <c r="AM19374" s="198"/>
      <c r="AN19374" s="198"/>
      <c r="AO19374" s="198"/>
    </row>
    <row r="19375" spans="35:41" ht="19.5" thickBot="1" x14ac:dyDescent="0.35">
      <c r="AI19375" s="1746" t="s">
        <v>150</v>
      </c>
      <c r="AJ19375" s="1747"/>
      <c r="AK19375" s="1748"/>
      <c r="AL19375" s="198"/>
      <c r="AM19375" s="198"/>
      <c r="AN19375" s="198"/>
      <c r="AO19375" s="198"/>
    </row>
    <row r="19376" spans="35:41" ht="19.5" thickBot="1" x14ac:dyDescent="0.35">
      <c r="AI19376" s="1746" t="s">
        <v>150</v>
      </c>
      <c r="AJ19376" s="1747"/>
      <c r="AK19376" s="1748"/>
      <c r="AL19376" s="198"/>
      <c r="AM19376" s="198"/>
      <c r="AN19376" s="198"/>
      <c r="AO19376" s="198"/>
    </row>
    <row r="19377" spans="35:41" ht="19.5" thickBot="1" x14ac:dyDescent="0.35">
      <c r="AI19377" s="1746" t="s">
        <v>150</v>
      </c>
      <c r="AJ19377" s="1747"/>
      <c r="AK19377" s="1748"/>
      <c r="AL19377" s="198"/>
      <c r="AM19377" s="198"/>
      <c r="AN19377" s="198"/>
      <c r="AO19377" s="198"/>
    </row>
    <row r="19378" spans="35:41" ht="19.5" thickBot="1" x14ac:dyDescent="0.35">
      <c r="AI19378" s="1746" t="s">
        <v>150</v>
      </c>
      <c r="AJ19378" s="1747"/>
      <c r="AK19378" s="1748"/>
      <c r="AL19378" s="198"/>
      <c r="AM19378" s="198"/>
      <c r="AN19378" s="198"/>
      <c r="AO19378" s="198"/>
    </row>
    <row r="19379" spans="35:41" ht="19.5" thickBot="1" x14ac:dyDescent="0.35">
      <c r="AI19379" s="1746" t="s">
        <v>150</v>
      </c>
      <c r="AJ19379" s="1747"/>
      <c r="AK19379" s="1748"/>
      <c r="AL19379" s="198"/>
      <c r="AM19379" s="198"/>
      <c r="AN19379" s="198"/>
      <c r="AO19379" s="198"/>
    </row>
    <row r="19380" spans="35:41" ht="19.5" thickBot="1" x14ac:dyDescent="0.35">
      <c r="AI19380" s="1746" t="s">
        <v>150</v>
      </c>
      <c r="AJ19380" s="1747"/>
      <c r="AK19380" s="1748"/>
      <c r="AL19380" s="198"/>
      <c r="AM19380" s="198"/>
      <c r="AN19380" s="198"/>
      <c r="AO19380" s="198"/>
    </row>
    <row r="19381" spans="35:41" ht="19.5" thickBot="1" x14ac:dyDescent="0.35">
      <c r="AI19381" s="1746" t="s">
        <v>150</v>
      </c>
      <c r="AJ19381" s="1747"/>
      <c r="AK19381" s="1748"/>
      <c r="AL19381" s="198"/>
      <c r="AM19381" s="198"/>
      <c r="AN19381" s="198"/>
      <c r="AO19381" s="198"/>
    </row>
    <row r="19382" spans="35:41" ht="19.5" thickBot="1" x14ac:dyDescent="0.35">
      <c r="AI19382" s="1746" t="s">
        <v>150</v>
      </c>
      <c r="AJ19382" s="1747"/>
      <c r="AK19382" s="1748"/>
      <c r="AL19382" s="198"/>
      <c r="AM19382" s="198"/>
      <c r="AN19382" s="198"/>
      <c r="AO19382" s="198"/>
    </row>
    <row r="19383" spans="35:41" ht="19.5" thickBot="1" x14ac:dyDescent="0.35">
      <c r="AI19383" s="1746" t="s">
        <v>150</v>
      </c>
      <c r="AJ19383" s="1747"/>
      <c r="AK19383" s="1748"/>
      <c r="AL19383" s="198"/>
      <c r="AM19383" s="198"/>
      <c r="AN19383" s="198"/>
      <c r="AO19383" s="198"/>
    </row>
    <row r="19384" spans="35:41" ht="19.5" thickBot="1" x14ac:dyDescent="0.35">
      <c r="AI19384" s="1746" t="s">
        <v>150</v>
      </c>
      <c r="AJ19384" s="1747"/>
      <c r="AK19384" s="1748"/>
      <c r="AL19384" s="198"/>
      <c r="AM19384" s="198"/>
      <c r="AN19384" s="198"/>
      <c r="AO19384" s="198"/>
    </row>
    <row r="19385" spans="35:41" ht="19.5" thickBot="1" x14ac:dyDescent="0.35">
      <c r="AI19385" s="1746" t="s">
        <v>150</v>
      </c>
      <c r="AJ19385" s="1747"/>
      <c r="AK19385" s="1748"/>
      <c r="AL19385" s="198"/>
      <c r="AM19385" s="198"/>
      <c r="AN19385" s="198"/>
      <c r="AO19385" s="198"/>
    </row>
    <row r="19386" spans="35:41" ht="19.5" thickBot="1" x14ac:dyDescent="0.35">
      <c r="AI19386" s="1746" t="s">
        <v>150</v>
      </c>
      <c r="AJ19386" s="1747"/>
      <c r="AK19386" s="1748"/>
      <c r="AL19386" s="198"/>
      <c r="AM19386" s="198"/>
      <c r="AN19386" s="198"/>
      <c r="AO19386" s="198"/>
    </row>
    <row r="19387" spans="35:41" ht="19.5" thickBot="1" x14ac:dyDescent="0.35">
      <c r="AI19387" s="1746" t="s">
        <v>150</v>
      </c>
      <c r="AJ19387" s="1747"/>
      <c r="AK19387" s="1748"/>
      <c r="AL19387" s="198"/>
      <c r="AM19387" s="198"/>
      <c r="AN19387" s="198"/>
      <c r="AO19387" s="198"/>
    </row>
    <row r="19388" spans="35:41" ht="19.5" thickBot="1" x14ac:dyDescent="0.35">
      <c r="AI19388" s="1746" t="s">
        <v>150</v>
      </c>
      <c r="AJ19388" s="1747"/>
      <c r="AK19388" s="1748"/>
      <c r="AL19388" s="198"/>
      <c r="AM19388" s="198"/>
      <c r="AN19388" s="198"/>
      <c r="AO19388" s="198"/>
    </row>
    <row r="19389" spans="35:41" ht="19.5" thickBot="1" x14ac:dyDescent="0.35">
      <c r="AI19389" s="1746" t="s">
        <v>150</v>
      </c>
      <c r="AJ19389" s="1747"/>
      <c r="AK19389" s="1748"/>
      <c r="AL19389" s="198"/>
      <c r="AM19389" s="198"/>
      <c r="AN19389" s="198"/>
      <c r="AO19389" s="198"/>
    </row>
    <row r="19390" spans="35:41" ht="19.5" thickBot="1" x14ac:dyDescent="0.35">
      <c r="AI19390" s="1746" t="s">
        <v>150</v>
      </c>
      <c r="AJ19390" s="1747"/>
      <c r="AK19390" s="1748"/>
      <c r="AL19390" s="198"/>
      <c r="AM19390" s="198"/>
      <c r="AN19390" s="198"/>
      <c r="AO19390" s="198"/>
    </row>
    <row r="19391" spans="35:41" ht="19.5" thickBot="1" x14ac:dyDescent="0.35">
      <c r="AI19391" s="1746" t="s">
        <v>150</v>
      </c>
      <c r="AJ19391" s="1747"/>
      <c r="AK19391" s="1748"/>
      <c r="AL19391" s="198"/>
      <c r="AM19391" s="198"/>
      <c r="AN19391" s="198"/>
      <c r="AO19391" s="198"/>
    </row>
    <row r="19392" spans="35:41" ht="19.5" thickBot="1" x14ac:dyDescent="0.35">
      <c r="AI19392" s="1746" t="s">
        <v>150</v>
      </c>
      <c r="AJ19392" s="1747"/>
      <c r="AK19392" s="1748"/>
      <c r="AL19392" s="198"/>
      <c r="AM19392" s="198"/>
      <c r="AN19392" s="198"/>
      <c r="AO19392" s="198"/>
    </row>
    <row r="19393" spans="35:41" ht="19.5" thickBot="1" x14ac:dyDescent="0.35">
      <c r="AI19393" s="1746" t="s">
        <v>150</v>
      </c>
      <c r="AJ19393" s="1747"/>
      <c r="AK19393" s="1748"/>
      <c r="AL19393" s="198"/>
      <c r="AM19393" s="198"/>
      <c r="AN19393" s="198"/>
      <c r="AO19393" s="198"/>
    </row>
    <row r="19394" spans="35:41" ht="19.5" thickBot="1" x14ac:dyDescent="0.35">
      <c r="AI19394" s="1746" t="s">
        <v>150</v>
      </c>
      <c r="AJ19394" s="1747"/>
      <c r="AK19394" s="1748"/>
      <c r="AL19394" s="198"/>
      <c r="AM19394" s="198"/>
      <c r="AN19394" s="198"/>
      <c r="AO19394" s="198"/>
    </row>
    <row r="19395" spans="35:41" ht="19.5" thickBot="1" x14ac:dyDescent="0.35">
      <c r="AI19395" s="1746" t="s">
        <v>150</v>
      </c>
      <c r="AJ19395" s="1747"/>
      <c r="AK19395" s="1748"/>
      <c r="AL19395" s="198"/>
      <c r="AM19395" s="198"/>
      <c r="AN19395" s="198"/>
      <c r="AO19395" s="198"/>
    </row>
    <row r="19396" spans="35:41" ht="19.5" thickBot="1" x14ac:dyDescent="0.35">
      <c r="AI19396" s="1746" t="s">
        <v>150</v>
      </c>
      <c r="AJ19396" s="1747"/>
      <c r="AK19396" s="1748"/>
      <c r="AL19396" s="198"/>
      <c r="AM19396" s="198"/>
      <c r="AN19396" s="198"/>
      <c r="AO19396" s="198"/>
    </row>
    <row r="19397" spans="35:41" ht="19.5" thickBot="1" x14ac:dyDescent="0.35">
      <c r="AI19397" s="1746" t="s">
        <v>150</v>
      </c>
      <c r="AJ19397" s="1747"/>
      <c r="AK19397" s="1748"/>
      <c r="AL19397" s="198"/>
      <c r="AM19397" s="198"/>
      <c r="AN19397" s="198"/>
      <c r="AO19397" s="198"/>
    </row>
    <row r="19398" spans="35:41" ht="19.5" thickBot="1" x14ac:dyDescent="0.35">
      <c r="AI19398" s="1746" t="s">
        <v>150</v>
      </c>
      <c r="AJ19398" s="1747"/>
      <c r="AK19398" s="1748"/>
      <c r="AL19398" s="198"/>
      <c r="AM19398" s="198"/>
      <c r="AN19398" s="198"/>
      <c r="AO19398" s="198"/>
    </row>
    <row r="19399" spans="35:41" ht="19.5" thickBot="1" x14ac:dyDescent="0.35">
      <c r="AI19399" s="1746" t="s">
        <v>150</v>
      </c>
      <c r="AJ19399" s="1747"/>
      <c r="AK19399" s="1748"/>
      <c r="AL19399" s="198"/>
      <c r="AM19399" s="198"/>
      <c r="AN19399" s="198"/>
      <c r="AO19399" s="198"/>
    </row>
    <row r="19400" spans="35:41" ht="19.5" thickBot="1" x14ac:dyDescent="0.35">
      <c r="AI19400" s="1746" t="s">
        <v>150</v>
      </c>
      <c r="AJ19400" s="1747"/>
      <c r="AK19400" s="1748"/>
      <c r="AL19400" s="198"/>
      <c r="AM19400" s="198"/>
      <c r="AN19400" s="198"/>
      <c r="AO19400" s="198"/>
    </row>
    <row r="19401" spans="35:41" ht="19.5" thickBot="1" x14ac:dyDescent="0.35">
      <c r="AI19401" s="1746" t="s">
        <v>150</v>
      </c>
      <c r="AJ19401" s="1747"/>
      <c r="AK19401" s="1748"/>
      <c r="AL19401" s="198"/>
      <c r="AM19401" s="198"/>
      <c r="AN19401" s="198"/>
      <c r="AO19401" s="198"/>
    </row>
    <row r="19402" spans="35:41" ht="19.5" thickBot="1" x14ac:dyDescent="0.35">
      <c r="AI19402" s="1746" t="s">
        <v>150</v>
      </c>
      <c r="AJ19402" s="1747"/>
      <c r="AK19402" s="1748"/>
      <c r="AL19402" s="198"/>
      <c r="AM19402" s="198"/>
      <c r="AN19402" s="198"/>
      <c r="AO19402" s="198"/>
    </row>
    <row r="19403" spans="35:41" ht="19.5" thickBot="1" x14ac:dyDescent="0.35">
      <c r="AI19403" s="1746" t="s">
        <v>150</v>
      </c>
      <c r="AJ19403" s="1747"/>
      <c r="AK19403" s="1748"/>
      <c r="AL19403" s="198"/>
      <c r="AM19403" s="198"/>
      <c r="AN19403" s="198"/>
      <c r="AO19403" s="198"/>
    </row>
    <row r="19404" spans="35:41" ht="19.5" thickBot="1" x14ac:dyDescent="0.35">
      <c r="AI19404" s="1746" t="s">
        <v>150</v>
      </c>
      <c r="AJ19404" s="1747"/>
      <c r="AK19404" s="1748"/>
      <c r="AL19404" s="198"/>
      <c r="AM19404" s="198"/>
      <c r="AN19404" s="198"/>
      <c r="AO19404" s="198"/>
    </row>
    <row r="19405" spans="35:41" ht="19.5" thickBot="1" x14ac:dyDescent="0.35">
      <c r="AI19405" s="1746" t="s">
        <v>150</v>
      </c>
      <c r="AJ19405" s="1747"/>
      <c r="AK19405" s="1748"/>
      <c r="AL19405" s="198"/>
      <c r="AM19405" s="198"/>
      <c r="AN19405" s="198"/>
      <c r="AO19405" s="198"/>
    </row>
    <row r="19406" spans="35:41" ht="19.5" thickBot="1" x14ac:dyDescent="0.35">
      <c r="AI19406" s="1746" t="s">
        <v>150</v>
      </c>
      <c r="AJ19406" s="1747"/>
      <c r="AK19406" s="1748"/>
      <c r="AL19406" s="198"/>
      <c r="AM19406" s="198"/>
      <c r="AN19406" s="198"/>
      <c r="AO19406" s="198"/>
    </row>
    <row r="19407" spans="35:41" ht="19.5" thickBot="1" x14ac:dyDescent="0.35">
      <c r="AI19407" s="1746" t="s">
        <v>150</v>
      </c>
      <c r="AJ19407" s="1747"/>
      <c r="AK19407" s="1748"/>
      <c r="AL19407" s="198"/>
      <c r="AM19407" s="198"/>
      <c r="AN19407" s="198"/>
      <c r="AO19407" s="198"/>
    </row>
    <row r="19408" spans="35:41" ht="19.5" thickBot="1" x14ac:dyDescent="0.35">
      <c r="AI19408" s="1746" t="s">
        <v>150</v>
      </c>
      <c r="AJ19408" s="1747"/>
      <c r="AK19408" s="1748"/>
      <c r="AL19408" s="198"/>
      <c r="AM19408" s="198"/>
      <c r="AN19408" s="198"/>
      <c r="AO19408" s="198"/>
    </row>
    <row r="19409" spans="35:41" ht="19.5" thickBot="1" x14ac:dyDescent="0.35">
      <c r="AI19409" s="1746" t="s">
        <v>150</v>
      </c>
      <c r="AJ19409" s="1747"/>
      <c r="AK19409" s="1748"/>
      <c r="AL19409" s="198"/>
      <c r="AM19409" s="198"/>
      <c r="AN19409" s="198"/>
      <c r="AO19409" s="198"/>
    </row>
    <row r="19410" spans="35:41" ht="19.5" thickBot="1" x14ac:dyDescent="0.35">
      <c r="AI19410" s="1746" t="s">
        <v>150</v>
      </c>
      <c r="AJ19410" s="1747"/>
      <c r="AK19410" s="1748"/>
      <c r="AL19410" s="198"/>
      <c r="AM19410" s="198"/>
      <c r="AN19410" s="198"/>
      <c r="AO19410" s="198"/>
    </row>
    <row r="19411" spans="35:41" ht="19.5" thickBot="1" x14ac:dyDescent="0.35">
      <c r="AI19411" s="1746" t="s">
        <v>150</v>
      </c>
      <c r="AJ19411" s="1747"/>
      <c r="AK19411" s="1748"/>
      <c r="AL19411" s="198"/>
      <c r="AM19411" s="198"/>
      <c r="AN19411" s="198"/>
      <c r="AO19411" s="198"/>
    </row>
    <row r="19412" spans="35:41" ht="19.5" thickBot="1" x14ac:dyDescent="0.35">
      <c r="AI19412" s="1746" t="s">
        <v>150</v>
      </c>
      <c r="AJ19412" s="1747"/>
      <c r="AK19412" s="1748"/>
      <c r="AL19412" s="198"/>
      <c r="AM19412" s="198"/>
      <c r="AN19412" s="198"/>
      <c r="AO19412" s="198"/>
    </row>
    <row r="19413" spans="35:41" ht="19.5" thickBot="1" x14ac:dyDescent="0.35">
      <c r="AI19413" s="1746" t="s">
        <v>150</v>
      </c>
      <c r="AJ19413" s="1747"/>
      <c r="AK19413" s="1748"/>
      <c r="AL19413" s="198"/>
      <c r="AM19413" s="198"/>
      <c r="AN19413" s="198"/>
      <c r="AO19413" s="198"/>
    </row>
    <row r="19414" spans="35:41" ht="19.5" thickBot="1" x14ac:dyDescent="0.35">
      <c r="AI19414" s="1746" t="s">
        <v>150</v>
      </c>
      <c r="AJ19414" s="1747"/>
      <c r="AK19414" s="1748"/>
      <c r="AL19414" s="198"/>
      <c r="AM19414" s="198"/>
      <c r="AN19414" s="198"/>
      <c r="AO19414" s="198"/>
    </row>
    <row r="19415" spans="35:41" ht="19.5" thickBot="1" x14ac:dyDescent="0.35">
      <c r="AI19415" s="1746" t="s">
        <v>150</v>
      </c>
      <c r="AJ19415" s="1747"/>
      <c r="AK19415" s="1748"/>
      <c r="AL19415" s="198"/>
      <c r="AM19415" s="198"/>
      <c r="AN19415" s="198"/>
      <c r="AO19415" s="198"/>
    </row>
    <row r="19416" spans="35:41" ht="19.5" thickBot="1" x14ac:dyDescent="0.35">
      <c r="AI19416" s="1746" t="s">
        <v>150</v>
      </c>
      <c r="AJ19416" s="1747"/>
      <c r="AK19416" s="1748"/>
      <c r="AL19416" s="198"/>
      <c r="AM19416" s="198"/>
      <c r="AN19416" s="198"/>
      <c r="AO19416" s="198"/>
    </row>
    <row r="19417" spans="35:41" ht="19.5" thickBot="1" x14ac:dyDescent="0.35">
      <c r="AI19417" s="1746" t="s">
        <v>150</v>
      </c>
      <c r="AJ19417" s="1747"/>
      <c r="AK19417" s="1748"/>
      <c r="AL19417" s="198"/>
      <c r="AM19417" s="198"/>
      <c r="AN19417" s="198"/>
      <c r="AO19417" s="198"/>
    </row>
    <row r="19418" spans="35:41" ht="19.5" thickBot="1" x14ac:dyDescent="0.35">
      <c r="AI19418" s="1746" t="s">
        <v>150</v>
      </c>
      <c r="AJ19418" s="1747"/>
      <c r="AK19418" s="1748"/>
      <c r="AL19418" s="198"/>
      <c r="AM19418" s="198"/>
      <c r="AN19418" s="198"/>
      <c r="AO19418" s="198"/>
    </row>
    <row r="19419" spans="35:41" ht="19.5" thickBot="1" x14ac:dyDescent="0.35">
      <c r="AI19419" s="1746" t="s">
        <v>150</v>
      </c>
      <c r="AJ19419" s="1747"/>
      <c r="AK19419" s="1748"/>
      <c r="AL19419" s="198"/>
      <c r="AM19419" s="198"/>
      <c r="AN19419" s="198"/>
      <c r="AO19419" s="198"/>
    </row>
    <row r="19420" spans="35:41" ht="19.5" thickBot="1" x14ac:dyDescent="0.35">
      <c r="AI19420" s="1746" t="s">
        <v>150</v>
      </c>
      <c r="AJ19420" s="1747"/>
      <c r="AK19420" s="1748"/>
      <c r="AL19420" s="198"/>
      <c r="AM19420" s="198"/>
      <c r="AN19420" s="198"/>
      <c r="AO19420" s="198"/>
    </row>
    <row r="19421" spans="35:41" ht="19.5" thickBot="1" x14ac:dyDescent="0.35">
      <c r="AI19421" s="1746" t="s">
        <v>150</v>
      </c>
      <c r="AJ19421" s="1747"/>
      <c r="AK19421" s="1748"/>
      <c r="AL19421" s="198"/>
      <c r="AM19421" s="198"/>
      <c r="AN19421" s="198"/>
      <c r="AO19421" s="198"/>
    </row>
    <row r="19422" spans="35:41" ht="19.5" thickBot="1" x14ac:dyDescent="0.35">
      <c r="AI19422" s="1746" t="s">
        <v>150</v>
      </c>
      <c r="AJ19422" s="1747"/>
      <c r="AK19422" s="1748"/>
      <c r="AL19422" s="198"/>
      <c r="AM19422" s="198"/>
      <c r="AN19422" s="198"/>
      <c r="AO19422" s="198"/>
    </row>
    <row r="19423" spans="35:41" ht="19.5" thickBot="1" x14ac:dyDescent="0.35">
      <c r="AI19423" s="1746" t="s">
        <v>150</v>
      </c>
      <c r="AJ19423" s="1747"/>
      <c r="AK19423" s="1748"/>
      <c r="AL19423" s="198"/>
      <c r="AM19423" s="198"/>
      <c r="AN19423" s="198"/>
      <c r="AO19423" s="198"/>
    </row>
    <row r="19424" spans="35:41" ht="19.5" thickBot="1" x14ac:dyDescent="0.35">
      <c r="AI19424" s="1746" t="s">
        <v>150</v>
      </c>
      <c r="AJ19424" s="1747"/>
      <c r="AK19424" s="1748"/>
      <c r="AL19424" s="198"/>
      <c r="AM19424" s="198"/>
      <c r="AN19424" s="198"/>
      <c r="AO19424" s="198"/>
    </row>
    <row r="19425" spans="35:41" ht="19.5" thickBot="1" x14ac:dyDescent="0.35">
      <c r="AI19425" s="1746" t="s">
        <v>150</v>
      </c>
      <c r="AJ19425" s="1747"/>
      <c r="AK19425" s="1748"/>
      <c r="AL19425" s="198"/>
      <c r="AM19425" s="198"/>
      <c r="AN19425" s="198"/>
      <c r="AO19425" s="198"/>
    </row>
    <row r="19426" spans="35:41" ht="19.5" thickBot="1" x14ac:dyDescent="0.35">
      <c r="AI19426" s="1746" t="s">
        <v>150</v>
      </c>
      <c r="AJ19426" s="1747"/>
      <c r="AK19426" s="1748"/>
      <c r="AL19426" s="198"/>
      <c r="AM19426" s="198"/>
      <c r="AN19426" s="198"/>
      <c r="AO19426" s="198"/>
    </row>
    <row r="19427" spans="35:41" ht="19.5" thickBot="1" x14ac:dyDescent="0.35">
      <c r="AI19427" s="1746" t="s">
        <v>150</v>
      </c>
      <c r="AJ19427" s="1747"/>
      <c r="AK19427" s="1748"/>
      <c r="AL19427" s="198"/>
      <c r="AM19427" s="198"/>
      <c r="AN19427" s="198"/>
      <c r="AO19427" s="198"/>
    </row>
    <row r="19428" spans="35:41" ht="19.5" thickBot="1" x14ac:dyDescent="0.35">
      <c r="AI19428" s="1746" t="s">
        <v>150</v>
      </c>
      <c r="AJ19428" s="1747"/>
      <c r="AK19428" s="1748"/>
      <c r="AL19428" s="198"/>
      <c r="AM19428" s="198"/>
      <c r="AN19428" s="198"/>
      <c r="AO19428" s="198"/>
    </row>
    <row r="19429" spans="35:41" ht="19.5" thickBot="1" x14ac:dyDescent="0.35">
      <c r="AI19429" s="1746" t="s">
        <v>150</v>
      </c>
      <c r="AJ19429" s="1747"/>
      <c r="AK19429" s="1748"/>
      <c r="AL19429" s="198"/>
      <c r="AM19429" s="198"/>
      <c r="AN19429" s="198"/>
      <c r="AO19429" s="198"/>
    </row>
    <row r="19430" spans="35:41" ht="19.5" thickBot="1" x14ac:dyDescent="0.35">
      <c r="AI19430" s="1746" t="s">
        <v>150</v>
      </c>
      <c r="AJ19430" s="1747"/>
      <c r="AK19430" s="1748"/>
      <c r="AL19430" s="198"/>
      <c r="AM19430" s="198"/>
      <c r="AN19430" s="198"/>
      <c r="AO19430" s="198"/>
    </row>
    <row r="19431" spans="35:41" ht="19.5" thickBot="1" x14ac:dyDescent="0.35">
      <c r="AI19431" s="1746" t="s">
        <v>150</v>
      </c>
      <c r="AJ19431" s="1747"/>
      <c r="AK19431" s="1748"/>
      <c r="AL19431" s="198"/>
      <c r="AM19431" s="198"/>
      <c r="AN19431" s="198"/>
      <c r="AO19431" s="198"/>
    </row>
    <row r="19432" spans="35:41" ht="19.5" thickBot="1" x14ac:dyDescent="0.35">
      <c r="AI19432" s="1746" t="s">
        <v>150</v>
      </c>
      <c r="AJ19432" s="1747"/>
      <c r="AK19432" s="1748"/>
      <c r="AL19432" s="198"/>
      <c r="AM19432" s="198"/>
      <c r="AN19432" s="198"/>
      <c r="AO19432" s="198"/>
    </row>
    <row r="19433" spans="35:41" ht="19.5" thickBot="1" x14ac:dyDescent="0.35">
      <c r="AI19433" s="1746" t="s">
        <v>150</v>
      </c>
      <c r="AJ19433" s="1747"/>
      <c r="AK19433" s="1748"/>
      <c r="AL19433" s="198"/>
      <c r="AM19433" s="198"/>
      <c r="AN19433" s="198"/>
      <c r="AO19433" s="198"/>
    </row>
    <row r="19434" spans="35:41" ht="19.5" thickBot="1" x14ac:dyDescent="0.35">
      <c r="AI19434" s="1746" t="s">
        <v>150</v>
      </c>
      <c r="AJ19434" s="1747"/>
      <c r="AK19434" s="1748"/>
      <c r="AL19434" s="198"/>
      <c r="AM19434" s="198"/>
      <c r="AN19434" s="198"/>
      <c r="AO19434" s="198"/>
    </row>
    <row r="19435" spans="35:41" x14ac:dyDescent="0.3">
      <c r="AI19435" s="1746" t="s">
        <v>150</v>
      </c>
      <c r="AJ19435" s="1747"/>
      <c r="AK19435" s="1748"/>
      <c r="AL19435" s="198"/>
      <c r="AM19435" s="198"/>
      <c r="AN19435" s="198"/>
      <c r="AO19435" s="198"/>
    </row>
  </sheetData>
  <dataConsolidate/>
  <customSheetViews>
    <customSheetView guid="{3F312A0E-DF4A-4A92-9F0F-6B2059264CC1}" scale="55" showPageBreaks="1" fitToPage="1" printArea="1" hiddenRows="1" showRuler="0" topLeftCell="A2">
      <pane xSplit="3" ySplit="6" topLeftCell="AV77" activePane="bottomRight" state="frozen"/>
      <selection pane="bottomRight" activeCell="S8" sqref="S8:X8"/>
      <pageMargins left="0.44" right="0.5" top="3.937007874015748E-2" bottom="3.937007874015748E-2" header="0.28000000000000003" footer="0.3"/>
      <pageSetup paperSize="8" scale="26" orientation="landscape" verticalDpi="300" r:id="rId1"/>
      <headerFooter alignWithMargins="0"/>
    </customSheetView>
  </customSheetViews>
  <mergeCells count="4002">
    <mergeCell ref="CT55:CZ55"/>
    <mergeCell ref="A55:A57"/>
    <mergeCell ref="DA55:DA57"/>
    <mergeCell ref="DA87:DA89"/>
    <mergeCell ref="DA90:DA92"/>
    <mergeCell ref="CS94:CS95"/>
    <mergeCell ref="CT91:CZ92"/>
    <mergeCell ref="CT101:CZ103"/>
    <mergeCell ref="CT93:CZ93"/>
    <mergeCell ref="CT90:CZ90"/>
    <mergeCell ref="CT96:CZ96"/>
    <mergeCell ref="C97:C98"/>
    <mergeCell ref="AX97:AX98"/>
    <mergeCell ref="CS97:CS98"/>
    <mergeCell ref="CT97:CZ98"/>
    <mergeCell ref="A59:A61"/>
    <mergeCell ref="B94:B95"/>
    <mergeCell ref="C71:C72"/>
    <mergeCell ref="CT83:CZ83"/>
    <mergeCell ref="DA77:DA79"/>
    <mergeCell ref="DA80:DA82"/>
    <mergeCell ref="CT66:CZ67"/>
    <mergeCell ref="CS78:CS79"/>
    <mergeCell ref="A87:A89"/>
    <mergeCell ref="DA71:DA73"/>
    <mergeCell ref="CT74:CZ74"/>
    <mergeCell ref="AX56:AX57"/>
    <mergeCell ref="CS56:CS57"/>
    <mergeCell ref="CT56:CZ57"/>
    <mergeCell ref="B55:B56"/>
    <mergeCell ref="C55:C56"/>
    <mergeCell ref="B39:CZ39"/>
    <mergeCell ref="AX28:AX29"/>
    <mergeCell ref="AX34:AX35"/>
    <mergeCell ref="CS31:CS32"/>
    <mergeCell ref="CS21:CS22"/>
    <mergeCell ref="B37:B38"/>
    <mergeCell ref="B28:B29"/>
    <mergeCell ref="C28:C29"/>
    <mergeCell ref="C5:C6"/>
    <mergeCell ref="DA43:DA45"/>
    <mergeCell ref="DA74:DA76"/>
    <mergeCell ref="AX85:AX86"/>
    <mergeCell ref="A68:A70"/>
    <mergeCell ref="C40:C41"/>
    <mergeCell ref="CT20:CZ20"/>
    <mergeCell ref="B47:B48"/>
    <mergeCell ref="CT63:CZ64"/>
    <mergeCell ref="AX50:AX51"/>
    <mergeCell ref="CT52:CZ52"/>
    <mergeCell ref="DA52:DA54"/>
    <mergeCell ref="CS53:CS54"/>
    <mergeCell ref="CT53:CZ54"/>
    <mergeCell ref="C77:C78"/>
    <mergeCell ref="B60:B61"/>
    <mergeCell ref="A62:A64"/>
    <mergeCell ref="A77:A79"/>
    <mergeCell ref="A74:A76"/>
    <mergeCell ref="A71:A73"/>
    <mergeCell ref="A80:A82"/>
    <mergeCell ref="A84:A86"/>
    <mergeCell ref="A65:A67"/>
    <mergeCell ref="A49:A51"/>
    <mergeCell ref="AI19127:AK19127"/>
    <mergeCell ref="AI19128:AK19128"/>
    <mergeCell ref="AI19129:AK19129"/>
    <mergeCell ref="AI19130:AK19130"/>
    <mergeCell ref="AI19131:AK19131"/>
    <mergeCell ref="AI19132:AK19132"/>
    <mergeCell ref="AI19162:AK19162"/>
    <mergeCell ref="AI19155:AK19155"/>
    <mergeCell ref="AI19144:AK19144"/>
    <mergeCell ref="AI19147:AK19147"/>
    <mergeCell ref="AI19156:AK19156"/>
    <mergeCell ref="AI19148:AK19148"/>
    <mergeCell ref="AI19157:AK19157"/>
    <mergeCell ref="AI19161:AK19161"/>
    <mergeCell ref="AI19158:AK19158"/>
    <mergeCell ref="AI19133:AK19133"/>
    <mergeCell ref="AI19134:AK19134"/>
    <mergeCell ref="AI19141:AK19141"/>
    <mergeCell ref="AI19142:AK19142"/>
    <mergeCell ref="AI19149:AK19149"/>
    <mergeCell ref="AI19150:AK19150"/>
    <mergeCell ref="AI19145:AK19145"/>
    <mergeCell ref="AI19146:AK19146"/>
    <mergeCell ref="AI19143:AK19143"/>
    <mergeCell ref="AI19139:AK19139"/>
    <mergeCell ref="AI19140:AK19140"/>
    <mergeCell ref="AI19151:AK19151"/>
    <mergeCell ref="AI19152:AK19152"/>
    <mergeCell ref="AI19153:AK19153"/>
    <mergeCell ref="AI19154:AK19154"/>
    <mergeCell ref="DA5:DA7"/>
    <mergeCell ref="DA8:DA10"/>
    <mergeCell ref="DA14:DA16"/>
    <mergeCell ref="DA17:DA19"/>
    <mergeCell ref="CT21:CZ22"/>
    <mergeCell ref="CS15:CS16"/>
    <mergeCell ref="DA46:DA48"/>
    <mergeCell ref="DA59:DA61"/>
    <mergeCell ref="DA62:DA64"/>
    <mergeCell ref="DA65:DA67"/>
    <mergeCell ref="DA49:DA51"/>
    <mergeCell ref="DA68:DA70"/>
    <mergeCell ref="CS66:CS67"/>
    <mergeCell ref="CS44:CS45"/>
    <mergeCell ref="AX60:AX61"/>
    <mergeCell ref="CT72:CZ73"/>
    <mergeCell ref="CT75:CZ76"/>
    <mergeCell ref="DA11:DA13"/>
    <mergeCell ref="CT33:CZ33"/>
    <mergeCell ref="AX6:AX7"/>
    <mergeCell ref="AX31:AX32"/>
    <mergeCell ref="CT5:CZ5"/>
    <mergeCell ref="CT6:CZ7"/>
    <mergeCell ref="CS34:CS35"/>
    <mergeCell ref="CT41:CZ42"/>
    <mergeCell ref="CT28:CZ29"/>
    <mergeCell ref="CT34:CZ35"/>
    <mergeCell ref="CT37:CZ38"/>
    <mergeCell ref="CT8:CZ8"/>
    <mergeCell ref="CT31:CZ32"/>
    <mergeCell ref="DA20:DA22"/>
    <mergeCell ref="DA40:DA42"/>
    <mergeCell ref="AI19187:AK19187"/>
    <mergeCell ref="AI19188:AK19188"/>
    <mergeCell ref="AI19180:AK19180"/>
    <mergeCell ref="AI19174:AK19174"/>
    <mergeCell ref="AI19167:AK19167"/>
    <mergeCell ref="AI19168:AK19168"/>
    <mergeCell ref="AI19169:AK19169"/>
    <mergeCell ref="AI19170:AK19170"/>
    <mergeCell ref="AI19253:AK19253"/>
    <mergeCell ref="AI19254:AK19254"/>
    <mergeCell ref="AI19273:AK19273"/>
    <mergeCell ref="AI19274:AK19274"/>
    <mergeCell ref="AI19206:AK19206"/>
    <mergeCell ref="AI19219:AK19219"/>
    <mergeCell ref="AI19220:AK19220"/>
    <mergeCell ref="AI19221:AK19221"/>
    <mergeCell ref="AI19171:AK19171"/>
    <mergeCell ref="AI19172:AK19172"/>
    <mergeCell ref="AI19181:AK19181"/>
    <mergeCell ref="AI19182:AK19182"/>
    <mergeCell ref="AI19177:AK19177"/>
    <mergeCell ref="AI19397:AK19397"/>
    <mergeCell ref="AI19375:AK19375"/>
    <mergeCell ref="AI19387:AK19387"/>
    <mergeCell ref="AI19348:AK19348"/>
    <mergeCell ref="AI19355:AK19355"/>
    <mergeCell ref="AI19351:AK19351"/>
    <mergeCell ref="AI19377:AK19377"/>
    <mergeCell ref="AI19381:AK19381"/>
    <mergeCell ref="AI19291:AK19291"/>
    <mergeCell ref="AI19211:AK19211"/>
    <mergeCell ref="AI19212:AK19212"/>
    <mergeCell ref="AI19231:AK19231"/>
    <mergeCell ref="AI19222:AK19222"/>
    <mergeCell ref="AI19214:AK19214"/>
    <mergeCell ref="AI19215:AK19215"/>
    <mergeCell ref="AI19216:AK19216"/>
    <mergeCell ref="AI19267:AK19267"/>
    <mergeCell ref="AI19268:AK19268"/>
    <mergeCell ref="AI19270:AK19270"/>
    <mergeCell ref="AI19245:AK19245"/>
    <mergeCell ref="AI19246:AK19246"/>
    <mergeCell ref="AI19261:AK19261"/>
    <mergeCell ref="AI19262:AK19262"/>
    <mergeCell ref="AI19235:AK19235"/>
    <mergeCell ref="AI19236:AK19236"/>
    <mergeCell ref="AI19263:AK19263"/>
    <mergeCell ref="AI19264:AK19264"/>
    <mergeCell ref="AI19259:AK19259"/>
    <mergeCell ref="AI19229:AK19229"/>
    <mergeCell ref="AI19230:AK19230"/>
    <mergeCell ref="AI19393:AK19393"/>
    <mergeCell ref="AI19384:AK19384"/>
    <mergeCell ref="AI19398:AK19398"/>
    <mergeCell ref="AI19339:AK19339"/>
    <mergeCell ref="AI19327:AK19327"/>
    <mergeCell ref="AI19333:AK19333"/>
    <mergeCell ref="AI19362:AK19362"/>
    <mergeCell ref="AI19344:AK19344"/>
    <mergeCell ref="AI19388:AK19388"/>
    <mergeCell ref="AI19389:AK19389"/>
    <mergeCell ref="AI19391:AK19391"/>
    <mergeCell ref="AI19392:AK19392"/>
    <mergeCell ref="AI19416:AK19416"/>
    <mergeCell ref="AI19415:AK19415"/>
    <mergeCell ref="AI19409:AK19409"/>
    <mergeCell ref="AI19320:AK19320"/>
    <mergeCell ref="AI19401:AK19401"/>
    <mergeCell ref="AI19395:AK19395"/>
    <mergeCell ref="AI19356:AK19356"/>
    <mergeCell ref="AI19357:AK19357"/>
    <mergeCell ref="AI19358:AK19358"/>
    <mergeCell ref="AI19372:AK19372"/>
    <mergeCell ref="AI19383:AK19383"/>
    <mergeCell ref="AI19365:AK19365"/>
    <mergeCell ref="AI19368:AK19368"/>
    <mergeCell ref="AI19369:AK19369"/>
    <mergeCell ref="AI19361:AK19361"/>
    <mergeCell ref="AI19378:AK19378"/>
    <mergeCell ref="AI19390:AK19390"/>
    <mergeCell ref="AI19321:AK19321"/>
    <mergeCell ref="AI19326:AK19326"/>
    <mergeCell ref="AI19407:AK19407"/>
    <mergeCell ref="AI19402:AK19402"/>
    <mergeCell ref="AI19405:AK19405"/>
    <mergeCell ref="AI19286:AK19286"/>
    <mergeCell ref="AI19287:AK19287"/>
    <mergeCell ref="AI19284:AK19284"/>
    <mergeCell ref="AI19279:AK19279"/>
    <mergeCell ref="AI19275:AK19275"/>
    <mergeCell ref="AI19289:AK19289"/>
    <mergeCell ref="AI19288:AK19288"/>
    <mergeCell ref="AI19265:AK19265"/>
    <mergeCell ref="AI19266:AK19266"/>
    <mergeCell ref="AI19197:AK19197"/>
    <mergeCell ref="AI19198:AK19198"/>
    <mergeCell ref="AI19189:AK19189"/>
    <mergeCell ref="AI19190:AK19190"/>
    <mergeCell ref="AI19203:AK19203"/>
    <mergeCell ref="AI19204:AK19204"/>
    <mergeCell ref="AI19209:AK19209"/>
    <mergeCell ref="AI19210:AK19210"/>
    <mergeCell ref="AI19207:AK19207"/>
    <mergeCell ref="AI19208:AK19208"/>
    <mergeCell ref="AI19201:AK19201"/>
    <mergeCell ref="AI19202:AK19202"/>
    <mergeCell ref="AI19199:AK19199"/>
    <mergeCell ref="AI19200:AK19200"/>
    <mergeCell ref="AI19271:AK19271"/>
    <mergeCell ref="AI19272:AK19272"/>
    <mergeCell ref="AI19283:AK19283"/>
    <mergeCell ref="AI19225:AK19225"/>
    <mergeCell ref="AI19226:AK19226"/>
    <mergeCell ref="AI19258:AK19258"/>
    <mergeCell ref="AI19218:AK19218"/>
    <mergeCell ref="AI19435:AK19435"/>
    <mergeCell ref="AI19429:AK19429"/>
    <mergeCell ref="AI19430:AK19430"/>
    <mergeCell ref="AI19431:AK19431"/>
    <mergeCell ref="AI19432:AK19432"/>
    <mergeCell ref="AI19433:AK19433"/>
    <mergeCell ref="AI19434:AK19434"/>
    <mergeCell ref="AI19426:AK19426"/>
    <mergeCell ref="AI19408:AK19408"/>
    <mergeCell ref="AI19412:AK19412"/>
    <mergeCell ref="AI19421:AK19421"/>
    <mergeCell ref="AI19422:AK19422"/>
    <mergeCell ref="AI19410:AK19410"/>
    <mergeCell ref="AI19423:AK19423"/>
    <mergeCell ref="AI19417:AK19417"/>
    <mergeCell ref="AI19400:AK19400"/>
    <mergeCell ref="AI19394:AK19394"/>
    <mergeCell ref="AI19428:AK19428"/>
    <mergeCell ref="AI19396:AK19396"/>
    <mergeCell ref="AI19403:AK19403"/>
    <mergeCell ref="AI19427:AK19427"/>
    <mergeCell ref="AI19411:AK19411"/>
    <mergeCell ref="AI19420:AK19420"/>
    <mergeCell ref="AI19425:AK19425"/>
    <mergeCell ref="AI19399:AK19399"/>
    <mergeCell ref="AI19419:AK19419"/>
    <mergeCell ref="AI19406:AK19406"/>
    <mergeCell ref="AI19404:AK19404"/>
    <mergeCell ref="AI19413:AK19413"/>
    <mergeCell ref="AI19424:AK19424"/>
    <mergeCell ref="AI19414:AK19414"/>
    <mergeCell ref="AI19418:AK19418"/>
    <mergeCell ref="AI19382:AK19382"/>
    <mergeCell ref="AI19379:AK19379"/>
    <mergeCell ref="AI19380:AK19380"/>
    <mergeCell ref="AI19385:AK19385"/>
    <mergeCell ref="AI19386:AK19386"/>
    <mergeCell ref="AI19371:AK19371"/>
    <mergeCell ref="AI19376:AK19376"/>
    <mergeCell ref="AI19350:AK19350"/>
    <mergeCell ref="AI19319:AK19319"/>
    <mergeCell ref="AI19325:AK19325"/>
    <mergeCell ref="AI19352:AK19352"/>
    <mergeCell ref="AI19343:AK19343"/>
    <mergeCell ref="AI19345:AK19345"/>
    <mergeCell ref="AI19346:AK19346"/>
    <mergeCell ref="AI19364:AK19364"/>
    <mergeCell ref="AI19366:AK19366"/>
    <mergeCell ref="AI19342:AK19342"/>
    <mergeCell ref="AI19370:AK19370"/>
    <mergeCell ref="AI19341:AK19341"/>
    <mergeCell ref="AI19335:AK19335"/>
    <mergeCell ref="AI19330:AK19330"/>
    <mergeCell ref="AI19334:AK19334"/>
    <mergeCell ref="AI19353:AK19353"/>
    <mergeCell ref="AI19354:AK19354"/>
    <mergeCell ref="AI19347:AK19347"/>
    <mergeCell ref="AI19367:AK19367"/>
    <mergeCell ref="AI19359:AK19359"/>
    <mergeCell ref="AI19360:AK19360"/>
    <mergeCell ref="AI19363:AK19363"/>
    <mergeCell ref="AI19349:AK19349"/>
    <mergeCell ref="AI19374:AK19374"/>
    <mergeCell ref="AI19373:AK19373"/>
    <mergeCell ref="AI19340:AK19340"/>
    <mergeCell ref="AI19313:AK19313"/>
    <mergeCell ref="AI19307:AK19307"/>
    <mergeCell ref="AI19295:AK19295"/>
    <mergeCell ref="AI19296:AK19296"/>
    <mergeCell ref="AI19302:AK19302"/>
    <mergeCell ref="AI19308:AK19308"/>
    <mergeCell ref="AI19336:AK19336"/>
    <mergeCell ref="AI19332:AK19332"/>
    <mergeCell ref="AI19337:AK19337"/>
    <mergeCell ref="AI19338:AK19338"/>
    <mergeCell ref="AI19297:AK19297"/>
    <mergeCell ref="AI19298:AK19298"/>
    <mergeCell ref="AI19299:AK19299"/>
    <mergeCell ref="AI19331:AK19331"/>
    <mergeCell ref="AI19294:AK19294"/>
    <mergeCell ref="AI19305:AK19305"/>
    <mergeCell ref="AI19314:AK19314"/>
    <mergeCell ref="AI19303:AK19303"/>
    <mergeCell ref="AI19306:AK19306"/>
    <mergeCell ref="AI19323:AK19323"/>
    <mergeCell ref="AI19310:AK19310"/>
    <mergeCell ref="AI19329:AK19329"/>
    <mergeCell ref="AI19328:AK19328"/>
    <mergeCell ref="AI19322:AK19322"/>
    <mergeCell ref="AI19309:AK19309"/>
    <mergeCell ref="AI19301:AK19301"/>
    <mergeCell ref="AI19317:AK19317"/>
    <mergeCell ref="AI19318:AK19318"/>
    <mergeCell ref="AI19316:AK19316"/>
    <mergeCell ref="AI19324:AK19324"/>
    <mergeCell ref="AI19312:AK19312"/>
    <mergeCell ref="AI19300:AK19300"/>
    <mergeCell ref="AI19292:AK19292"/>
    <mergeCell ref="AI19260:AK19260"/>
    <mergeCell ref="AI19249:AK19249"/>
    <mergeCell ref="AI19250:AK19250"/>
    <mergeCell ref="AI19251:AK19251"/>
    <mergeCell ref="AI19315:AK19315"/>
    <mergeCell ref="AI19280:AK19280"/>
    <mergeCell ref="AI19278:AK19278"/>
    <mergeCell ref="AI19269:AK19269"/>
    <mergeCell ref="AI19281:AK19281"/>
    <mergeCell ref="AI19252:AK19252"/>
    <mergeCell ref="AI19227:AK19227"/>
    <mergeCell ref="AI19228:AK19228"/>
    <mergeCell ref="AI19239:AK19239"/>
    <mergeCell ref="AI19240:AK19240"/>
    <mergeCell ref="AI19232:AK19232"/>
    <mergeCell ref="AI19237:AK19237"/>
    <mergeCell ref="AI19238:AK19238"/>
    <mergeCell ref="AI19243:AK19243"/>
    <mergeCell ref="AI19282:AK19282"/>
    <mergeCell ref="AI19277:AK19277"/>
    <mergeCell ref="AI19290:AK19290"/>
    <mergeCell ref="AI19311:AK19311"/>
    <mergeCell ref="AI19241:AK19241"/>
    <mergeCell ref="AI19242:AK19242"/>
    <mergeCell ref="AI19247:AK19247"/>
    <mergeCell ref="AI19233:AK19233"/>
    <mergeCell ref="AI19234:AK19234"/>
    <mergeCell ref="AI19276:AK19276"/>
    <mergeCell ref="AI19244:AK19244"/>
    <mergeCell ref="AI19285:AK19285"/>
    <mergeCell ref="AI19165:AK19165"/>
    <mergeCell ref="AI19166:AK19166"/>
    <mergeCell ref="AI19159:AK19159"/>
    <mergeCell ref="AI19160:AK19160"/>
    <mergeCell ref="AI19304:AK19304"/>
    <mergeCell ref="AI19248:AK19248"/>
    <mergeCell ref="AI19255:AK19255"/>
    <mergeCell ref="AI19256:AK19256"/>
    <mergeCell ref="AI19257:AK19257"/>
    <mergeCell ref="AI19173:AK19173"/>
    <mergeCell ref="AI19178:AK19178"/>
    <mergeCell ref="AI19175:AK19175"/>
    <mergeCell ref="AI19176:AK19176"/>
    <mergeCell ref="AI19185:AK19185"/>
    <mergeCell ref="AI19191:AK19191"/>
    <mergeCell ref="AI19192:AK19192"/>
    <mergeCell ref="AI19193:AK19193"/>
    <mergeCell ref="AI19194:AK19194"/>
    <mergeCell ref="AI19195:AK19195"/>
    <mergeCell ref="AI19196:AK19196"/>
    <mergeCell ref="AI19183:AK19183"/>
    <mergeCell ref="AI19184:AK19184"/>
    <mergeCell ref="AI19179:AK19179"/>
    <mergeCell ref="AI19293:AK19293"/>
    <mergeCell ref="AI19163:AK19163"/>
    <mergeCell ref="AI19164:AK19164"/>
    <mergeCell ref="AI19223:AK19223"/>
    <mergeCell ref="AI19224:AK19224"/>
    <mergeCell ref="AI19186:AK19186"/>
    <mergeCell ref="AI19205:AK19205"/>
    <mergeCell ref="AI19213:AK19213"/>
    <mergeCell ref="AI19217:AK19217"/>
    <mergeCell ref="AI19079:AK19079"/>
    <mergeCell ref="AI19080:AK19080"/>
    <mergeCell ref="AI19083:AK19083"/>
    <mergeCell ref="AI19084:AK19084"/>
    <mergeCell ref="AI19109:AK19109"/>
    <mergeCell ref="AI19110:AK19110"/>
    <mergeCell ref="AI19107:AK19107"/>
    <mergeCell ref="AI19108:AK19108"/>
    <mergeCell ref="AI19111:AK19111"/>
    <mergeCell ref="AI19105:AK19105"/>
    <mergeCell ref="AI19106:AK19106"/>
    <mergeCell ref="AI19137:AK19137"/>
    <mergeCell ref="AI19138:AK19138"/>
    <mergeCell ref="AI19125:AK19125"/>
    <mergeCell ref="AI19126:AK19126"/>
    <mergeCell ref="AI19123:AK19123"/>
    <mergeCell ref="AI19124:AK19124"/>
    <mergeCell ref="AI19135:AK19135"/>
    <mergeCell ref="AI19136:AK19136"/>
    <mergeCell ref="AI19103:AK19103"/>
    <mergeCell ref="AI19104:AK19104"/>
    <mergeCell ref="AI19120:AK19120"/>
    <mergeCell ref="AI19112:AK19112"/>
    <mergeCell ref="AI19121:AK19121"/>
    <mergeCell ref="AI19122:AK19122"/>
    <mergeCell ref="AI19117:AK19117"/>
    <mergeCell ref="AI19118:AK19118"/>
    <mergeCell ref="AI19113:AK19113"/>
    <mergeCell ref="AI19114:AK19114"/>
    <mergeCell ref="AI19115:AK19115"/>
    <mergeCell ref="AI19116:AK19116"/>
    <mergeCell ref="AI19119:AK19119"/>
    <mergeCell ref="AI19075:AK19075"/>
    <mergeCell ref="AI19076:AK19076"/>
    <mergeCell ref="AI19087:AK19087"/>
    <mergeCell ref="AI19088:AK19088"/>
    <mergeCell ref="AI19101:AK19101"/>
    <mergeCell ref="AI19102:AK19102"/>
    <mergeCell ref="AI19095:AK19095"/>
    <mergeCell ref="AI19096:AK19096"/>
    <mergeCell ref="AI19097:AK19097"/>
    <mergeCell ref="AI19098:AK19098"/>
    <mergeCell ref="AI19089:AK19089"/>
    <mergeCell ref="AI19090:AK19090"/>
    <mergeCell ref="AI19063:AK19063"/>
    <mergeCell ref="AI19064:AK19064"/>
    <mergeCell ref="AI19065:AK19065"/>
    <mergeCell ref="AI19066:AK19066"/>
    <mergeCell ref="AI19067:AK19067"/>
    <mergeCell ref="AI19068:AK19068"/>
    <mergeCell ref="AI19073:AK19073"/>
    <mergeCell ref="AI19074:AK19074"/>
    <mergeCell ref="AI19093:AK19093"/>
    <mergeCell ref="AI19094:AK19094"/>
    <mergeCell ref="AI19091:AK19091"/>
    <mergeCell ref="AI19092:AK19092"/>
    <mergeCell ref="AI19099:AK19099"/>
    <mergeCell ref="AI19100:AK19100"/>
    <mergeCell ref="AI19077:AK19077"/>
    <mergeCell ref="AI19078:AK19078"/>
    <mergeCell ref="AI19085:AK19085"/>
    <mergeCell ref="AI19086:AK19086"/>
    <mergeCell ref="AI19081:AK19081"/>
    <mergeCell ref="AI19082:AK19082"/>
    <mergeCell ref="AI19061:AK19061"/>
    <mergeCell ref="AI19062:AK19062"/>
    <mergeCell ref="AI19059:AK19059"/>
    <mergeCell ref="AI19060:AK19060"/>
    <mergeCell ref="AI19055:AK19055"/>
    <mergeCell ref="AI19056:AK19056"/>
    <mergeCell ref="AI19045:AK19045"/>
    <mergeCell ref="AI19046:AK19046"/>
    <mergeCell ref="AI19043:AK19043"/>
    <mergeCell ref="AI19044:AK19044"/>
    <mergeCell ref="AI19071:AK19071"/>
    <mergeCell ref="AI19072:AK19072"/>
    <mergeCell ref="AI19069:AK19069"/>
    <mergeCell ref="AI19070:AK19070"/>
    <mergeCell ref="AI19057:AK19057"/>
    <mergeCell ref="AI19058:AK19058"/>
    <mergeCell ref="AI19053:AK19053"/>
    <mergeCell ref="AI19054:AK19054"/>
    <mergeCell ref="AI19049:AK19049"/>
    <mergeCell ref="AI19050:AK19050"/>
    <mergeCell ref="AI19047:AK19047"/>
    <mergeCell ref="AI19048:AK19048"/>
    <mergeCell ref="AI19051:AK19051"/>
    <mergeCell ref="AI19052:AK19052"/>
    <mergeCell ref="AI19041:AK19041"/>
    <mergeCell ref="AI19042:AK19042"/>
    <mergeCell ref="AI19029:AK19029"/>
    <mergeCell ref="AI19030:AK19030"/>
    <mergeCell ref="AI19027:AK19027"/>
    <mergeCell ref="AI19028:AK19028"/>
    <mergeCell ref="AI19035:AK19035"/>
    <mergeCell ref="AI19036:AK19036"/>
    <mergeCell ref="AI19039:AK19039"/>
    <mergeCell ref="AI19040:AK19040"/>
    <mergeCell ref="AI19013:AK19013"/>
    <mergeCell ref="AI19014:AK19014"/>
    <mergeCell ref="AI19021:AK19021"/>
    <mergeCell ref="AI19022:AK19022"/>
    <mergeCell ref="AI19017:AK19017"/>
    <mergeCell ref="AI19018:AK19018"/>
    <mergeCell ref="AI19015:AK19015"/>
    <mergeCell ref="AI19016:AK19016"/>
    <mergeCell ref="AI19019:AK19019"/>
    <mergeCell ref="AI19020:AK19020"/>
    <mergeCell ref="AI19011:AK19011"/>
    <mergeCell ref="AI19012:AK19012"/>
    <mergeCell ref="AI19023:AK19023"/>
    <mergeCell ref="AI19024:AK19024"/>
    <mergeCell ref="AI19037:AK19037"/>
    <mergeCell ref="AI19038:AK19038"/>
    <mergeCell ref="AI19031:AK19031"/>
    <mergeCell ref="AI19032:AK19032"/>
    <mergeCell ref="AI19033:AK19033"/>
    <mergeCell ref="AI19034:AK19034"/>
    <mergeCell ref="AI19025:AK19025"/>
    <mergeCell ref="AI19026:AK19026"/>
    <mergeCell ref="AI18999:AK18999"/>
    <mergeCell ref="AI19000:AK19000"/>
    <mergeCell ref="AI19001:AK19001"/>
    <mergeCell ref="AI19002:AK19002"/>
    <mergeCell ref="AI19003:AK19003"/>
    <mergeCell ref="AI19004:AK19004"/>
    <mergeCell ref="AI19009:AK19009"/>
    <mergeCell ref="AI19010:AK19010"/>
    <mergeCell ref="AI18997:AK18997"/>
    <mergeCell ref="AI18998:AK18998"/>
    <mergeCell ref="AI18995:AK18995"/>
    <mergeCell ref="AI18996:AK18996"/>
    <mergeCell ref="AI18991:AK18991"/>
    <mergeCell ref="AI18992:AK18992"/>
    <mergeCell ref="AI18981:AK18981"/>
    <mergeCell ref="AI18982:AK18982"/>
    <mergeCell ref="AI18979:AK18979"/>
    <mergeCell ref="AI18980:AK18980"/>
    <mergeCell ref="AI19007:AK19007"/>
    <mergeCell ref="AI19008:AK19008"/>
    <mergeCell ref="AI19005:AK19005"/>
    <mergeCell ref="AI19006:AK19006"/>
    <mergeCell ref="AI18993:AK18993"/>
    <mergeCell ref="AI18994:AK18994"/>
    <mergeCell ref="AI18989:AK18989"/>
    <mergeCell ref="AI18990:AK18990"/>
    <mergeCell ref="AI18985:AK18985"/>
    <mergeCell ref="AI18986:AK18986"/>
    <mergeCell ref="AI18983:AK18983"/>
    <mergeCell ref="AI18984:AK18984"/>
    <mergeCell ref="AI18987:AK18987"/>
    <mergeCell ref="AI18988:AK18988"/>
    <mergeCell ref="AI18977:AK18977"/>
    <mergeCell ref="AI18978:AK18978"/>
    <mergeCell ref="AI18965:AK18965"/>
    <mergeCell ref="AI18966:AK18966"/>
    <mergeCell ref="AI18963:AK18963"/>
    <mergeCell ref="AI18964:AK18964"/>
    <mergeCell ref="AI18971:AK18971"/>
    <mergeCell ref="AI18972:AK18972"/>
    <mergeCell ref="AI18975:AK18975"/>
    <mergeCell ref="AI18976:AK18976"/>
    <mergeCell ref="AI18949:AK18949"/>
    <mergeCell ref="AI18950:AK18950"/>
    <mergeCell ref="AI18957:AK18957"/>
    <mergeCell ref="AI18958:AK18958"/>
    <mergeCell ref="AI18953:AK18953"/>
    <mergeCell ref="AI18954:AK18954"/>
    <mergeCell ref="AI18951:AK18951"/>
    <mergeCell ref="AI18952:AK18952"/>
    <mergeCell ref="AI18955:AK18955"/>
    <mergeCell ref="AI18956:AK18956"/>
    <mergeCell ref="AI18947:AK18947"/>
    <mergeCell ref="AI18948:AK18948"/>
    <mergeCell ref="AI18959:AK18959"/>
    <mergeCell ref="AI18960:AK18960"/>
    <mergeCell ref="AI18973:AK18973"/>
    <mergeCell ref="AI18974:AK18974"/>
    <mergeCell ref="AI18967:AK18967"/>
    <mergeCell ref="AI18968:AK18968"/>
    <mergeCell ref="AI18969:AK18969"/>
    <mergeCell ref="AI18970:AK18970"/>
    <mergeCell ref="AI18961:AK18961"/>
    <mergeCell ref="AI18962:AK18962"/>
    <mergeCell ref="AI18935:AK18935"/>
    <mergeCell ref="AI18936:AK18936"/>
    <mergeCell ref="AI18937:AK18937"/>
    <mergeCell ref="AI18938:AK18938"/>
    <mergeCell ref="AI18939:AK18939"/>
    <mergeCell ref="AI18940:AK18940"/>
    <mergeCell ref="AI18945:AK18945"/>
    <mergeCell ref="AI18946:AK18946"/>
    <mergeCell ref="AI18933:AK18933"/>
    <mergeCell ref="AI18934:AK18934"/>
    <mergeCell ref="AI18931:AK18931"/>
    <mergeCell ref="AI18932:AK18932"/>
    <mergeCell ref="AI18927:AK18927"/>
    <mergeCell ref="AI18928:AK18928"/>
    <mergeCell ref="AI18917:AK18917"/>
    <mergeCell ref="AI18918:AK18918"/>
    <mergeCell ref="AI18915:AK18915"/>
    <mergeCell ref="AI18916:AK18916"/>
    <mergeCell ref="AI18943:AK18943"/>
    <mergeCell ref="AI18944:AK18944"/>
    <mergeCell ref="AI18941:AK18941"/>
    <mergeCell ref="AI18942:AK18942"/>
    <mergeCell ref="AI18929:AK18929"/>
    <mergeCell ref="AI18930:AK18930"/>
    <mergeCell ref="AI18925:AK18925"/>
    <mergeCell ref="AI18926:AK18926"/>
    <mergeCell ref="AI18921:AK18921"/>
    <mergeCell ref="AI18922:AK18922"/>
    <mergeCell ref="AI18919:AK18919"/>
    <mergeCell ref="AI18920:AK18920"/>
    <mergeCell ref="AI18923:AK18923"/>
    <mergeCell ref="AI18924:AK18924"/>
    <mergeCell ref="AI18913:AK18913"/>
    <mergeCell ref="AI18914:AK18914"/>
    <mergeCell ref="AI18901:AK18901"/>
    <mergeCell ref="AI18902:AK18902"/>
    <mergeCell ref="AI18899:AK18899"/>
    <mergeCell ref="AI18900:AK18900"/>
    <mergeCell ref="AI18907:AK18907"/>
    <mergeCell ref="AI18908:AK18908"/>
    <mergeCell ref="AI18911:AK18911"/>
    <mergeCell ref="AI18912:AK18912"/>
    <mergeCell ref="AI18885:AK18885"/>
    <mergeCell ref="AI18886:AK18886"/>
    <mergeCell ref="AI18893:AK18893"/>
    <mergeCell ref="AI18894:AK18894"/>
    <mergeCell ref="AI18889:AK18889"/>
    <mergeCell ref="AI18890:AK18890"/>
    <mergeCell ref="AI18887:AK18887"/>
    <mergeCell ref="AI18888:AK18888"/>
    <mergeCell ref="AI18891:AK18891"/>
    <mergeCell ref="AI18892:AK18892"/>
    <mergeCell ref="AI18883:AK18883"/>
    <mergeCell ref="AI18884:AK18884"/>
    <mergeCell ref="AI18895:AK18895"/>
    <mergeCell ref="AI18896:AK18896"/>
    <mergeCell ref="AI18909:AK18909"/>
    <mergeCell ref="AI18910:AK18910"/>
    <mergeCell ref="AI18903:AK18903"/>
    <mergeCell ref="AI18904:AK18904"/>
    <mergeCell ref="AI18905:AK18905"/>
    <mergeCell ref="AI18906:AK18906"/>
    <mergeCell ref="AI18897:AK18897"/>
    <mergeCell ref="AI18898:AK18898"/>
    <mergeCell ref="AI18871:AK18871"/>
    <mergeCell ref="AI18872:AK18872"/>
    <mergeCell ref="AI18873:AK18873"/>
    <mergeCell ref="AI18874:AK18874"/>
    <mergeCell ref="AI18875:AK18875"/>
    <mergeCell ref="AI18876:AK18876"/>
    <mergeCell ref="AI18881:AK18881"/>
    <mergeCell ref="AI18882:AK18882"/>
    <mergeCell ref="AI18869:AK18869"/>
    <mergeCell ref="AI18870:AK18870"/>
    <mergeCell ref="AI18867:AK18867"/>
    <mergeCell ref="AI18868:AK18868"/>
    <mergeCell ref="AI18863:AK18863"/>
    <mergeCell ref="AI18864:AK18864"/>
    <mergeCell ref="AI18853:AK18853"/>
    <mergeCell ref="AI18854:AK18854"/>
    <mergeCell ref="AI18851:AK18851"/>
    <mergeCell ref="AI18852:AK18852"/>
    <mergeCell ref="AI18879:AK18879"/>
    <mergeCell ref="AI18880:AK18880"/>
    <mergeCell ref="AI18877:AK18877"/>
    <mergeCell ref="AI18878:AK18878"/>
    <mergeCell ref="AI18865:AK18865"/>
    <mergeCell ref="AI18866:AK18866"/>
    <mergeCell ref="AI18861:AK18861"/>
    <mergeCell ref="AI18862:AK18862"/>
    <mergeCell ref="AI18857:AK18857"/>
    <mergeCell ref="AI18858:AK18858"/>
    <mergeCell ref="AI18855:AK18855"/>
    <mergeCell ref="AI18856:AK18856"/>
    <mergeCell ref="AI18859:AK18859"/>
    <mergeCell ref="AI18860:AK18860"/>
    <mergeCell ref="AI18849:AK18849"/>
    <mergeCell ref="AI18850:AK18850"/>
    <mergeCell ref="AI18837:AK18837"/>
    <mergeCell ref="AI18838:AK18838"/>
    <mergeCell ref="AI18835:AK18835"/>
    <mergeCell ref="AI18836:AK18836"/>
    <mergeCell ref="AI18843:AK18843"/>
    <mergeCell ref="AI18844:AK18844"/>
    <mergeCell ref="AI18847:AK18847"/>
    <mergeCell ref="AI18848:AK18848"/>
    <mergeCell ref="AI18821:AK18821"/>
    <mergeCell ref="AI18822:AK18822"/>
    <mergeCell ref="AI18829:AK18829"/>
    <mergeCell ref="AI18830:AK18830"/>
    <mergeCell ref="AI18825:AK18825"/>
    <mergeCell ref="AI18826:AK18826"/>
    <mergeCell ref="AI18823:AK18823"/>
    <mergeCell ref="AI18824:AK18824"/>
    <mergeCell ref="AI18827:AK18827"/>
    <mergeCell ref="AI18828:AK18828"/>
    <mergeCell ref="AI18819:AK18819"/>
    <mergeCell ref="AI18820:AK18820"/>
    <mergeCell ref="AI18831:AK18831"/>
    <mergeCell ref="AI18832:AK18832"/>
    <mergeCell ref="AI18845:AK18845"/>
    <mergeCell ref="AI18846:AK18846"/>
    <mergeCell ref="AI18839:AK18839"/>
    <mergeCell ref="AI18840:AK18840"/>
    <mergeCell ref="AI18841:AK18841"/>
    <mergeCell ref="AI18842:AK18842"/>
    <mergeCell ref="AI18833:AK18833"/>
    <mergeCell ref="AI18834:AK18834"/>
    <mergeCell ref="AI18807:AK18807"/>
    <mergeCell ref="AI18808:AK18808"/>
    <mergeCell ref="AI18809:AK18809"/>
    <mergeCell ref="AI18810:AK18810"/>
    <mergeCell ref="AI18811:AK18811"/>
    <mergeCell ref="AI18812:AK18812"/>
    <mergeCell ref="AI18817:AK18817"/>
    <mergeCell ref="AI18818:AK18818"/>
    <mergeCell ref="AI18805:AK18805"/>
    <mergeCell ref="AI18806:AK18806"/>
    <mergeCell ref="AI18803:AK18803"/>
    <mergeCell ref="AI18804:AK18804"/>
    <mergeCell ref="AI18799:AK18799"/>
    <mergeCell ref="AI18800:AK18800"/>
    <mergeCell ref="AI18789:AK18789"/>
    <mergeCell ref="AI18790:AK18790"/>
    <mergeCell ref="AI18787:AK18787"/>
    <mergeCell ref="AI18788:AK18788"/>
    <mergeCell ref="AI18815:AK18815"/>
    <mergeCell ref="AI18816:AK18816"/>
    <mergeCell ref="AI18813:AK18813"/>
    <mergeCell ref="AI18814:AK18814"/>
    <mergeCell ref="AI18801:AK18801"/>
    <mergeCell ref="AI18802:AK18802"/>
    <mergeCell ref="AI18797:AK18797"/>
    <mergeCell ref="AI18798:AK18798"/>
    <mergeCell ref="AI18793:AK18793"/>
    <mergeCell ref="AI18794:AK18794"/>
    <mergeCell ref="AI18791:AK18791"/>
    <mergeCell ref="AI18792:AK18792"/>
    <mergeCell ref="AI18795:AK18795"/>
    <mergeCell ref="AI18796:AK18796"/>
    <mergeCell ref="AI18785:AK18785"/>
    <mergeCell ref="AI18786:AK18786"/>
    <mergeCell ref="AI18773:AK18773"/>
    <mergeCell ref="AI18774:AK18774"/>
    <mergeCell ref="AI18771:AK18771"/>
    <mergeCell ref="AI18772:AK18772"/>
    <mergeCell ref="AI18779:AK18779"/>
    <mergeCell ref="AI18780:AK18780"/>
    <mergeCell ref="AI18783:AK18783"/>
    <mergeCell ref="AI18784:AK18784"/>
    <mergeCell ref="AI18757:AK18757"/>
    <mergeCell ref="AI18758:AK18758"/>
    <mergeCell ref="AI18765:AK18765"/>
    <mergeCell ref="AI18766:AK18766"/>
    <mergeCell ref="AI18761:AK18761"/>
    <mergeCell ref="AI18762:AK18762"/>
    <mergeCell ref="AI18759:AK18759"/>
    <mergeCell ref="AI18760:AK18760"/>
    <mergeCell ref="AI18763:AK18763"/>
    <mergeCell ref="AI18764:AK18764"/>
    <mergeCell ref="AI18755:AK18755"/>
    <mergeCell ref="AI18756:AK18756"/>
    <mergeCell ref="AI18767:AK18767"/>
    <mergeCell ref="AI18768:AK18768"/>
    <mergeCell ref="AI18781:AK18781"/>
    <mergeCell ref="AI18782:AK18782"/>
    <mergeCell ref="AI18775:AK18775"/>
    <mergeCell ref="AI18776:AK18776"/>
    <mergeCell ref="AI18777:AK18777"/>
    <mergeCell ref="AI18778:AK18778"/>
    <mergeCell ref="AI18769:AK18769"/>
    <mergeCell ref="AI18770:AK18770"/>
    <mergeCell ref="AI18743:AK18743"/>
    <mergeCell ref="AI18744:AK18744"/>
    <mergeCell ref="AI18745:AK18745"/>
    <mergeCell ref="AI18746:AK18746"/>
    <mergeCell ref="AI18747:AK18747"/>
    <mergeCell ref="AI18748:AK18748"/>
    <mergeCell ref="AI18753:AK18753"/>
    <mergeCell ref="AI18754:AK18754"/>
    <mergeCell ref="AI18741:AK18741"/>
    <mergeCell ref="AI18742:AK18742"/>
    <mergeCell ref="AI18739:AK18739"/>
    <mergeCell ref="AI18740:AK18740"/>
    <mergeCell ref="AI18735:AK18735"/>
    <mergeCell ref="AI18736:AK18736"/>
    <mergeCell ref="AI18725:AK18725"/>
    <mergeCell ref="AI18726:AK18726"/>
    <mergeCell ref="AI18723:AK18723"/>
    <mergeCell ref="AI18724:AK18724"/>
    <mergeCell ref="AI18751:AK18751"/>
    <mergeCell ref="AI18752:AK18752"/>
    <mergeCell ref="AI18749:AK18749"/>
    <mergeCell ref="AI18750:AK18750"/>
    <mergeCell ref="AI18737:AK18737"/>
    <mergeCell ref="AI18738:AK18738"/>
    <mergeCell ref="AI18733:AK18733"/>
    <mergeCell ref="AI18734:AK18734"/>
    <mergeCell ref="AI18729:AK18729"/>
    <mergeCell ref="AI18730:AK18730"/>
    <mergeCell ref="AI18727:AK18727"/>
    <mergeCell ref="AI18728:AK18728"/>
    <mergeCell ref="AI18731:AK18731"/>
    <mergeCell ref="AI18732:AK18732"/>
    <mergeCell ref="AI18721:AK18721"/>
    <mergeCell ref="AI18722:AK18722"/>
    <mergeCell ref="AI18709:AK18709"/>
    <mergeCell ref="AI18710:AK18710"/>
    <mergeCell ref="AI18707:AK18707"/>
    <mergeCell ref="AI18708:AK18708"/>
    <mergeCell ref="AI18715:AK18715"/>
    <mergeCell ref="AI18716:AK18716"/>
    <mergeCell ref="AI18719:AK18719"/>
    <mergeCell ref="AI18720:AK18720"/>
    <mergeCell ref="AI18693:AK18693"/>
    <mergeCell ref="AI18694:AK18694"/>
    <mergeCell ref="AI18701:AK18701"/>
    <mergeCell ref="AI18702:AK18702"/>
    <mergeCell ref="AI18697:AK18697"/>
    <mergeCell ref="AI18698:AK18698"/>
    <mergeCell ref="AI18695:AK18695"/>
    <mergeCell ref="AI18696:AK18696"/>
    <mergeCell ref="AI18699:AK18699"/>
    <mergeCell ref="AI18700:AK18700"/>
    <mergeCell ref="AI18691:AK18691"/>
    <mergeCell ref="AI18692:AK18692"/>
    <mergeCell ref="AI18703:AK18703"/>
    <mergeCell ref="AI18704:AK18704"/>
    <mergeCell ref="AI18717:AK18717"/>
    <mergeCell ref="AI18718:AK18718"/>
    <mergeCell ref="AI18711:AK18711"/>
    <mergeCell ref="AI18712:AK18712"/>
    <mergeCell ref="AI18713:AK18713"/>
    <mergeCell ref="AI18714:AK18714"/>
    <mergeCell ref="AI18705:AK18705"/>
    <mergeCell ref="AI18706:AK18706"/>
    <mergeCell ref="AI18679:AK18679"/>
    <mergeCell ref="AI18680:AK18680"/>
    <mergeCell ref="AI18681:AK18681"/>
    <mergeCell ref="AI18682:AK18682"/>
    <mergeCell ref="AI18683:AK18683"/>
    <mergeCell ref="AI18684:AK18684"/>
    <mergeCell ref="AI18689:AK18689"/>
    <mergeCell ref="AI18690:AK18690"/>
    <mergeCell ref="AI18677:AK18677"/>
    <mergeCell ref="AI18678:AK18678"/>
    <mergeCell ref="AI18675:AK18675"/>
    <mergeCell ref="AI18676:AK18676"/>
    <mergeCell ref="AI18671:AK18671"/>
    <mergeCell ref="AI18672:AK18672"/>
    <mergeCell ref="AI18661:AK18661"/>
    <mergeCell ref="AI18662:AK18662"/>
    <mergeCell ref="AI18659:AK18659"/>
    <mergeCell ref="AI18660:AK18660"/>
    <mergeCell ref="AI18687:AK18687"/>
    <mergeCell ref="AI18688:AK18688"/>
    <mergeCell ref="AI18685:AK18685"/>
    <mergeCell ref="AI18686:AK18686"/>
    <mergeCell ref="AI18673:AK18673"/>
    <mergeCell ref="AI18674:AK18674"/>
    <mergeCell ref="AI18669:AK18669"/>
    <mergeCell ref="AI18670:AK18670"/>
    <mergeCell ref="AI18665:AK18665"/>
    <mergeCell ref="AI18666:AK18666"/>
    <mergeCell ref="AI18663:AK18663"/>
    <mergeCell ref="AI18664:AK18664"/>
    <mergeCell ref="AI18667:AK18667"/>
    <mergeCell ref="AI18668:AK18668"/>
    <mergeCell ref="AI18657:AK18657"/>
    <mergeCell ref="AI18658:AK18658"/>
    <mergeCell ref="AI18645:AK18645"/>
    <mergeCell ref="AI18646:AK18646"/>
    <mergeCell ref="AI18643:AK18643"/>
    <mergeCell ref="AI18644:AK18644"/>
    <mergeCell ref="AI18651:AK18651"/>
    <mergeCell ref="AI18652:AK18652"/>
    <mergeCell ref="AI18655:AK18655"/>
    <mergeCell ref="AI18656:AK18656"/>
    <mergeCell ref="AI18629:AK18629"/>
    <mergeCell ref="AI18630:AK18630"/>
    <mergeCell ref="AI18637:AK18637"/>
    <mergeCell ref="AI18638:AK18638"/>
    <mergeCell ref="AI18633:AK18633"/>
    <mergeCell ref="AI18634:AK18634"/>
    <mergeCell ref="AI18631:AK18631"/>
    <mergeCell ref="AI18632:AK18632"/>
    <mergeCell ref="AI18635:AK18635"/>
    <mergeCell ref="AI18636:AK18636"/>
    <mergeCell ref="AI18627:AK18627"/>
    <mergeCell ref="AI18628:AK18628"/>
    <mergeCell ref="AI18639:AK18639"/>
    <mergeCell ref="AI18640:AK18640"/>
    <mergeCell ref="AI18653:AK18653"/>
    <mergeCell ref="AI18654:AK18654"/>
    <mergeCell ref="AI18647:AK18647"/>
    <mergeCell ref="AI18648:AK18648"/>
    <mergeCell ref="AI18649:AK18649"/>
    <mergeCell ref="AI18650:AK18650"/>
    <mergeCell ref="AI18641:AK18641"/>
    <mergeCell ref="AI18642:AK18642"/>
    <mergeCell ref="AI18615:AK18615"/>
    <mergeCell ref="AI18616:AK18616"/>
    <mergeCell ref="AI18617:AK18617"/>
    <mergeCell ref="AI18618:AK18618"/>
    <mergeCell ref="AI18619:AK18619"/>
    <mergeCell ref="AI18620:AK18620"/>
    <mergeCell ref="AI18625:AK18625"/>
    <mergeCell ref="AI18626:AK18626"/>
    <mergeCell ref="AI18613:AK18613"/>
    <mergeCell ref="AI18614:AK18614"/>
    <mergeCell ref="AI18611:AK18611"/>
    <mergeCell ref="AI18612:AK18612"/>
    <mergeCell ref="AI18607:AK18607"/>
    <mergeCell ref="AI18608:AK18608"/>
    <mergeCell ref="AI18597:AK18597"/>
    <mergeCell ref="AI18598:AK18598"/>
    <mergeCell ref="AI18595:AK18595"/>
    <mergeCell ref="AI18596:AK18596"/>
    <mergeCell ref="AI18623:AK18623"/>
    <mergeCell ref="AI18624:AK18624"/>
    <mergeCell ref="AI18621:AK18621"/>
    <mergeCell ref="AI18622:AK18622"/>
    <mergeCell ref="AI18609:AK18609"/>
    <mergeCell ref="AI18610:AK18610"/>
    <mergeCell ref="AI18605:AK18605"/>
    <mergeCell ref="AI18606:AK18606"/>
    <mergeCell ref="AI18601:AK18601"/>
    <mergeCell ref="AI18602:AK18602"/>
    <mergeCell ref="AI18599:AK18599"/>
    <mergeCell ref="AI18600:AK18600"/>
    <mergeCell ref="AI18603:AK18603"/>
    <mergeCell ref="AI18604:AK18604"/>
    <mergeCell ref="AI18593:AK18593"/>
    <mergeCell ref="AI18594:AK18594"/>
    <mergeCell ref="AI18581:AK18581"/>
    <mergeCell ref="AI18582:AK18582"/>
    <mergeCell ref="AI18579:AK18579"/>
    <mergeCell ref="AI18580:AK18580"/>
    <mergeCell ref="AI18587:AK18587"/>
    <mergeCell ref="AI18588:AK18588"/>
    <mergeCell ref="AI18591:AK18591"/>
    <mergeCell ref="AI18592:AK18592"/>
    <mergeCell ref="AI18565:AK18565"/>
    <mergeCell ref="AI18566:AK18566"/>
    <mergeCell ref="AI18573:AK18573"/>
    <mergeCell ref="AI18574:AK18574"/>
    <mergeCell ref="AI18569:AK18569"/>
    <mergeCell ref="AI18570:AK18570"/>
    <mergeCell ref="AI18567:AK18567"/>
    <mergeCell ref="AI18568:AK18568"/>
    <mergeCell ref="AI18571:AK18571"/>
    <mergeCell ref="AI18572:AK18572"/>
    <mergeCell ref="AI18563:AK18563"/>
    <mergeCell ref="AI18564:AK18564"/>
    <mergeCell ref="AI18575:AK18575"/>
    <mergeCell ref="AI18576:AK18576"/>
    <mergeCell ref="AI18589:AK18589"/>
    <mergeCell ref="AI18590:AK18590"/>
    <mergeCell ref="AI18583:AK18583"/>
    <mergeCell ref="AI18584:AK18584"/>
    <mergeCell ref="AI18585:AK18585"/>
    <mergeCell ref="AI18586:AK18586"/>
    <mergeCell ref="AI18577:AK18577"/>
    <mergeCell ref="AI18578:AK18578"/>
    <mergeCell ref="AI18551:AK18551"/>
    <mergeCell ref="AI18552:AK18552"/>
    <mergeCell ref="AI18553:AK18553"/>
    <mergeCell ref="AI18554:AK18554"/>
    <mergeCell ref="AI18555:AK18555"/>
    <mergeCell ref="AI18556:AK18556"/>
    <mergeCell ref="AI18561:AK18561"/>
    <mergeCell ref="AI18562:AK18562"/>
    <mergeCell ref="AI18549:AK18549"/>
    <mergeCell ref="AI18550:AK18550"/>
    <mergeCell ref="AI18547:AK18547"/>
    <mergeCell ref="AI18548:AK18548"/>
    <mergeCell ref="AI18543:AK18543"/>
    <mergeCell ref="AI18544:AK18544"/>
    <mergeCell ref="AI18533:AK18533"/>
    <mergeCell ref="AI18534:AK18534"/>
    <mergeCell ref="AI18531:AK18531"/>
    <mergeCell ref="AI18532:AK18532"/>
    <mergeCell ref="AI18559:AK18559"/>
    <mergeCell ref="AI18560:AK18560"/>
    <mergeCell ref="AI18557:AK18557"/>
    <mergeCell ref="AI18558:AK18558"/>
    <mergeCell ref="AI18545:AK18545"/>
    <mergeCell ref="AI18546:AK18546"/>
    <mergeCell ref="AI18541:AK18541"/>
    <mergeCell ref="AI18542:AK18542"/>
    <mergeCell ref="AI18537:AK18537"/>
    <mergeCell ref="AI18538:AK18538"/>
    <mergeCell ref="AI18535:AK18535"/>
    <mergeCell ref="AI18536:AK18536"/>
    <mergeCell ref="AI18539:AK18539"/>
    <mergeCell ref="AI18540:AK18540"/>
    <mergeCell ref="AI18529:AK18529"/>
    <mergeCell ref="AI18530:AK18530"/>
    <mergeCell ref="AI18517:AK18517"/>
    <mergeCell ref="AI18518:AK18518"/>
    <mergeCell ref="AI18515:AK18515"/>
    <mergeCell ref="AI18516:AK18516"/>
    <mergeCell ref="AI18523:AK18523"/>
    <mergeCell ref="AI18524:AK18524"/>
    <mergeCell ref="AI18527:AK18527"/>
    <mergeCell ref="AI18528:AK18528"/>
    <mergeCell ref="AI18501:AK18501"/>
    <mergeCell ref="AI18502:AK18502"/>
    <mergeCell ref="AI18509:AK18509"/>
    <mergeCell ref="AI18510:AK18510"/>
    <mergeCell ref="AI18505:AK18505"/>
    <mergeCell ref="AI18506:AK18506"/>
    <mergeCell ref="AI18503:AK18503"/>
    <mergeCell ref="AI18504:AK18504"/>
    <mergeCell ref="AI18507:AK18507"/>
    <mergeCell ref="AI18508:AK18508"/>
    <mergeCell ref="AI18499:AK18499"/>
    <mergeCell ref="AI18500:AK18500"/>
    <mergeCell ref="AI18511:AK18511"/>
    <mergeCell ref="AI18512:AK18512"/>
    <mergeCell ref="AI18525:AK18525"/>
    <mergeCell ref="AI18526:AK18526"/>
    <mergeCell ref="AI18519:AK18519"/>
    <mergeCell ref="AI18520:AK18520"/>
    <mergeCell ref="AI18521:AK18521"/>
    <mergeCell ref="AI18522:AK18522"/>
    <mergeCell ref="AI18513:AK18513"/>
    <mergeCell ref="AI18514:AK18514"/>
    <mergeCell ref="AI18487:AK18487"/>
    <mergeCell ref="AI18488:AK18488"/>
    <mergeCell ref="AI18489:AK18489"/>
    <mergeCell ref="AI18490:AK18490"/>
    <mergeCell ref="AI18491:AK18491"/>
    <mergeCell ref="AI18492:AK18492"/>
    <mergeCell ref="AI18497:AK18497"/>
    <mergeCell ref="AI18498:AK18498"/>
    <mergeCell ref="AI18485:AK18485"/>
    <mergeCell ref="AI18486:AK18486"/>
    <mergeCell ref="AI18483:AK18483"/>
    <mergeCell ref="AI18484:AK18484"/>
    <mergeCell ref="AI18479:AK18479"/>
    <mergeCell ref="AI18480:AK18480"/>
    <mergeCell ref="AI18469:AK18469"/>
    <mergeCell ref="AI18470:AK18470"/>
    <mergeCell ref="AI18467:AK18467"/>
    <mergeCell ref="AI18468:AK18468"/>
    <mergeCell ref="AI18495:AK18495"/>
    <mergeCell ref="AI18496:AK18496"/>
    <mergeCell ref="AI18493:AK18493"/>
    <mergeCell ref="AI18494:AK18494"/>
    <mergeCell ref="AI18481:AK18481"/>
    <mergeCell ref="AI18482:AK18482"/>
    <mergeCell ref="AI18477:AK18477"/>
    <mergeCell ref="AI18478:AK18478"/>
    <mergeCell ref="AI18473:AK18473"/>
    <mergeCell ref="AI18474:AK18474"/>
    <mergeCell ref="AI18471:AK18471"/>
    <mergeCell ref="AI18472:AK18472"/>
    <mergeCell ref="AI18475:AK18475"/>
    <mergeCell ref="AI18476:AK18476"/>
    <mergeCell ref="AI18465:AK18465"/>
    <mergeCell ref="AI18466:AK18466"/>
    <mergeCell ref="AI18453:AK18453"/>
    <mergeCell ref="AI18454:AK18454"/>
    <mergeCell ref="AI18451:AK18451"/>
    <mergeCell ref="AI18452:AK18452"/>
    <mergeCell ref="AI18459:AK18459"/>
    <mergeCell ref="AI18460:AK18460"/>
    <mergeCell ref="AI18463:AK18463"/>
    <mergeCell ref="AI18464:AK18464"/>
    <mergeCell ref="AI18437:AK18437"/>
    <mergeCell ref="AI18438:AK18438"/>
    <mergeCell ref="AI18445:AK18445"/>
    <mergeCell ref="AI18446:AK18446"/>
    <mergeCell ref="AI18441:AK18441"/>
    <mergeCell ref="AI18442:AK18442"/>
    <mergeCell ref="AI18439:AK18439"/>
    <mergeCell ref="AI18440:AK18440"/>
    <mergeCell ref="AI18443:AK18443"/>
    <mergeCell ref="AI18444:AK18444"/>
    <mergeCell ref="AI18435:AK18435"/>
    <mergeCell ref="AI18436:AK18436"/>
    <mergeCell ref="AI18447:AK18447"/>
    <mergeCell ref="AI18448:AK18448"/>
    <mergeCell ref="AI18461:AK18461"/>
    <mergeCell ref="AI18462:AK18462"/>
    <mergeCell ref="AI18455:AK18455"/>
    <mergeCell ref="AI18456:AK18456"/>
    <mergeCell ref="AI18457:AK18457"/>
    <mergeCell ref="AI18458:AK18458"/>
    <mergeCell ref="AI18449:AK18449"/>
    <mergeCell ref="AI18450:AK18450"/>
    <mergeCell ref="AI18423:AK18423"/>
    <mergeCell ref="AI18424:AK18424"/>
    <mergeCell ref="AI18425:AK18425"/>
    <mergeCell ref="AI18426:AK18426"/>
    <mergeCell ref="AI18427:AK18427"/>
    <mergeCell ref="AI18428:AK18428"/>
    <mergeCell ref="AI18433:AK18433"/>
    <mergeCell ref="AI18434:AK18434"/>
    <mergeCell ref="AI18421:AK18421"/>
    <mergeCell ref="AI18422:AK18422"/>
    <mergeCell ref="AI18419:AK18419"/>
    <mergeCell ref="AI18420:AK18420"/>
    <mergeCell ref="AI18415:AK18415"/>
    <mergeCell ref="AI18416:AK18416"/>
    <mergeCell ref="AI18405:AK18405"/>
    <mergeCell ref="AI18406:AK18406"/>
    <mergeCell ref="AI18403:AK18403"/>
    <mergeCell ref="AI18404:AK18404"/>
    <mergeCell ref="AI18431:AK18431"/>
    <mergeCell ref="AI18432:AK18432"/>
    <mergeCell ref="AI18429:AK18429"/>
    <mergeCell ref="AI18430:AK18430"/>
    <mergeCell ref="AI18417:AK18417"/>
    <mergeCell ref="AI18418:AK18418"/>
    <mergeCell ref="AI18413:AK18413"/>
    <mergeCell ref="AI18414:AK18414"/>
    <mergeCell ref="AI18409:AK18409"/>
    <mergeCell ref="AI18410:AK18410"/>
    <mergeCell ref="AI18407:AK18407"/>
    <mergeCell ref="AI18408:AK18408"/>
    <mergeCell ref="AI18411:AK18411"/>
    <mergeCell ref="AI18412:AK18412"/>
    <mergeCell ref="AI18401:AK18401"/>
    <mergeCell ref="AI18402:AK18402"/>
    <mergeCell ref="AI18389:AK18389"/>
    <mergeCell ref="AI18390:AK18390"/>
    <mergeCell ref="AI18387:AK18387"/>
    <mergeCell ref="AI18388:AK18388"/>
    <mergeCell ref="AI18395:AK18395"/>
    <mergeCell ref="AI18396:AK18396"/>
    <mergeCell ref="AI18399:AK18399"/>
    <mergeCell ref="AI18400:AK18400"/>
    <mergeCell ref="AI18373:AK18373"/>
    <mergeCell ref="AI18374:AK18374"/>
    <mergeCell ref="AI18381:AK18381"/>
    <mergeCell ref="AI18382:AK18382"/>
    <mergeCell ref="AI18377:AK18377"/>
    <mergeCell ref="AI18378:AK18378"/>
    <mergeCell ref="AI18375:AK18375"/>
    <mergeCell ref="AI18376:AK18376"/>
    <mergeCell ref="AI18379:AK18379"/>
    <mergeCell ref="AI18380:AK18380"/>
    <mergeCell ref="AI18371:AK18371"/>
    <mergeCell ref="AI18372:AK18372"/>
    <mergeCell ref="AI18383:AK18383"/>
    <mergeCell ref="AI18384:AK18384"/>
    <mergeCell ref="AI18397:AK18397"/>
    <mergeCell ref="AI18398:AK18398"/>
    <mergeCell ref="AI18391:AK18391"/>
    <mergeCell ref="AI18392:AK18392"/>
    <mergeCell ref="AI18393:AK18393"/>
    <mergeCell ref="AI18394:AK18394"/>
    <mergeCell ref="AI18385:AK18385"/>
    <mergeCell ref="AI18386:AK18386"/>
    <mergeCell ref="AI18359:AK18359"/>
    <mergeCell ref="AI18360:AK18360"/>
    <mergeCell ref="AI18361:AK18361"/>
    <mergeCell ref="AI18362:AK18362"/>
    <mergeCell ref="AI18363:AK18363"/>
    <mergeCell ref="AI18364:AK18364"/>
    <mergeCell ref="AI18369:AK18369"/>
    <mergeCell ref="AI18370:AK18370"/>
    <mergeCell ref="AI18357:AK18357"/>
    <mergeCell ref="AI18358:AK18358"/>
    <mergeCell ref="AI18355:AK18355"/>
    <mergeCell ref="AI18356:AK18356"/>
    <mergeCell ref="AI18351:AK18351"/>
    <mergeCell ref="AI18352:AK18352"/>
    <mergeCell ref="AI18341:AK18341"/>
    <mergeCell ref="AI18342:AK18342"/>
    <mergeCell ref="AI18339:AK18339"/>
    <mergeCell ref="AI18340:AK18340"/>
    <mergeCell ref="AI18367:AK18367"/>
    <mergeCell ref="AI18368:AK18368"/>
    <mergeCell ref="AI18365:AK18365"/>
    <mergeCell ref="AI18366:AK18366"/>
    <mergeCell ref="AI18353:AK18353"/>
    <mergeCell ref="AI18354:AK18354"/>
    <mergeCell ref="AI18349:AK18349"/>
    <mergeCell ref="AI18350:AK18350"/>
    <mergeCell ref="AI18345:AK18345"/>
    <mergeCell ref="AI18346:AK18346"/>
    <mergeCell ref="AI18343:AK18343"/>
    <mergeCell ref="AI18344:AK18344"/>
    <mergeCell ref="AI18347:AK18347"/>
    <mergeCell ref="AI18348:AK18348"/>
    <mergeCell ref="AI18337:AK18337"/>
    <mergeCell ref="AI18338:AK18338"/>
    <mergeCell ref="AI18325:AK18325"/>
    <mergeCell ref="AI18326:AK18326"/>
    <mergeCell ref="AI18323:AK18323"/>
    <mergeCell ref="AI18324:AK18324"/>
    <mergeCell ref="AI18331:AK18331"/>
    <mergeCell ref="AI18332:AK18332"/>
    <mergeCell ref="AI18335:AK18335"/>
    <mergeCell ref="AI18336:AK18336"/>
    <mergeCell ref="AI18309:AK18309"/>
    <mergeCell ref="AI18310:AK18310"/>
    <mergeCell ref="AI18317:AK18317"/>
    <mergeCell ref="AI18318:AK18318"/>
    <mergeCell ref="AI18313:AK18313"/>
    <mergeCell ref="AI18314:AK18314"/>
    <mergeCell ref="AI18311:AK18311"/>
    <mergeCell ref="AI18312:AK18312"/>
    <mergeCell ref="AI18315:AK18315"/>
    <mergeCell ref="AI18316:AK18316"/>
    <mergeCell ref="AI18307:AK18307"/>
    <mergeCell ref="AI18308:AK18308"/>
    <mergeCell ref="AI18319:AK18319"/>
    <mergeCell ref="AI18320:AK18320"/>
    <mergeCell ref="AI18333:AK18333"/>
    <mergeCell ref="AI18334:AK18334"/>
    <mergeCell ref="AI18327:AK18327"/>
    <mergeCell ref="AI18328:AK18328"/>
    <mergeCell ref="AI18329:AK18329"/>
    <mergeCell ref="AI18330:AK18330"/>
    <mergeCell ref="AI18321:AK18321"/>
    <mergeCell ref="AI18322:AK18322"/>
    <mergeCell ref="AI18295:AK18295"/>
    <mergeCell ref="AI18296:AK18296"/>
    <mergeCell ref="AI18297:AK18297"/>
    <mergeCell ref="AI18298:AK18298"/>
    <mergeCell ref="AI18299:AK18299"/>
    <mergeCell ref="AI18300:AK18300"/>
    <mergeCell ref="AI18305:AK18305"/>
    <mergeCell ref="AI18306:AK18306"/>
    <mergeCell ref="AI18293:AK18293"/>
    <mergeCell ref="AI18294:AK18294"/>
    <mergeCell ref="AI18291:AK18291"/>
    <mergeCell ref="AI18292:AK18292"/>
    <mergeCell ref="AI18287:AK18287"/>
    <mergeCell ref="AI18288:AK18288"/>
    <mergeCell ref="AI18277:AK18277"/>
    <mergeCell ref="AI18278:AK18278"/>
    <mergeCell ref="AI18275:AK18275"/>
    <mergeCell ref="AI18276:AK18276"/>
    <mergeCell ref="AI18303:AK18303"/>
    <mergeCell ref="AI18304:AK18304"/>
    <mergeCell ref="AI18301:AK18301"/>
    <mergeCell ref="AI18302:AK18302"/>
    <mergeCell ref="AI18289:AK18289"/>
    <mergeCell ref="AI18290:AK18290"/>
    <mergeCell ref="AI18285:AK18285"/>
    <mergeCell ref="AI18286:AK18286"/>
    <mergeCell ref="AI18281:AK18281"/>
    <mergeCell ref="AI18282:AK18282"/>
    <mergeCell ref="AI18279:AK18279"/>
    <mergeCell ref="AI18280:AK18280"/>
    <mergeCell ref="AI18283:AK18283"/>
    <mergeCell ref="AI18284:AK18284"/>
    <mergeCell ref="AI18273:AK18273"/>
    <mergeCell ref="AI18274:AK18274"/>
    <mergeCell ref="AI18261:AK18261"/>
    <mergeCell ref="AI18262:AK18262"/>
    <mergeCell ref="AI18259:AK18259"/>
    <mergeCell ref="AI18260:AK18260"/>
    <mergeCell ref="AI18267:AK18267"/>
    <mergeCell ref="AI18268:AK18268"/>
    <mergeCell ref="AI18271:AK18271"/>
    <mergeCell ref="AI18272:AK18272"/>
    <mergeCell ref="AI18245:AK18245"/>
    <mergeCell ref="AI18246:AK18246"/>
    <mergeCell ref="AI18253:AK18253"/>
    <mergeCell ref="AI18254:AK18254"/>
    <mergeCell ref="AI18249:AK18249"/>
    <mergeCell ref="AI18250:AK18250"/>
    <mergeCell ref="AI18247:AK18247"/>
    <mergeCell ref="AI18248:AK18248"/>
    <mergeCell ref="AI18251:AK18251"/>
    <mergeCell ref="AI18252:AK18252"/>
    <mergeCell ref="AI18243:AK18243"/>
    <mergeCell ref="AI18244:AK18244"/>
    <mergeCell ref="AI18255:AK18255"/>
    <mergeCell ref="AI18256:AK18256"/>
    <mergeCell ref="AI18269:AK18269"/>
    <mergeCell ref="AI18270:AK18270"/>
    <mergeCell ref="AI18263:AK18263"/>
    <mergeCell ref="AI18264:AK18264"/>
    <mergeCell ref="AI18265:AK18265"/>
    <mergeCell ref="AI18266:AK18266"/>
    <mergeCell ref="AI18257:AK18257"/>
    <mergeCell ref="AI18258:AK18258"/>
    <mergeCell ref="AI18231:AK18231"/>
    <mergeCell ref="AI18232:AK18232"/>
    <mergeCell ref="AI18233:AK18233"/>
    <mergeCell ref="AI18234:AK18234"/>
    <mergeCell ref="AI18235:AK18235"/>
    <mergeCell ref="AI18236:AK18236"/>
    <mergeCell ref="AI18241:AK18241"/>
    <mergeCell ref="AI18242:AK18242"/>
    <mergeCell ref="AI18229:AK18229"/>
    <mergeCell ref="AI18230:AK18230"/>
    <mergeCell ref="AI18227:AK18227"/>
    <mergeCell ref="AI18228:AK18228"/>
    <mergeCell ref="AI18223:AK18223"/>
    <mergeCell ref="AI18224:AK18224"/>
    <mergeCell ref="AI18213:AK18213"/>
    <mergeCell ref="AI18214:AK18214"/>
    <mergeCell ref="AI18211:AK18211"/>
    <mergeCell ref="AI18212:AK18212"/>
    <mergeCell ref="AI18239:AK18239"/>
    <mergeCell ref="AI18240:AK18240"/>
    <mergeCell ref="AI18237:AK18237"/>
    <mergeCell ref="AI18238:AK18238"/>
    <mergeCell ref="AI18225:AK18225"/>
    <mergeCell ref="AI18226:AK18226"/>
    <mergeCell ref="AI18221:AK18221"/>
    <mergeCell ref="AI18222:AK18222"/>
    <mergeCell ref="AI18217:AK18217"/>
    <mergeCell ref="AI18218:AK18218"/>
    <mergeCell ref="AI18215:AK18215"/>
    <mergeCell ref="AI18216:AK18216"/>
    <mergeCell ref="AI18219:AK18219"/>
    <mergeCell ref="AI18220:AK18220"/>
    <mergeCell ref="AI18209:AK18209"/>
    <mergeCell ref="AI18210:AK18210"/>
    <mergeCell ref="AI18197:AK18197"/>
    <mergeCell ref="AI18198:AK18198"/>
    <mergeCell ref="AI18195:AK18195"/>
    <mergeCell ref="AI18196:AK18196"/>
    <mergeCell ref="AI18203:AK18203"/>
    <mergeCell ref="AI18204:AK18204"/>
    <mergeCell ref="AI18207:AK18207"/>
    <mergeCell ref="AI18208:AK18208"/>
    <mergeCell ref="AI18181:AK18181"/>
    <mergeCell ref="AI18182:AK18182"/>
    <mergeCell ref="AI18189:AK18189"/>
    <mergeCell ref="AI18190:AK18190"/>
    <mergeCell ref="AI18185:AK18185"/>
    <mergeCell ref="AI18186:AK18186"/>
    <mergeCell ref="AI18183:AK18183"/>
    <mergeCell ref="AI18184:AK18184"/>
    <mergeCell ref="AI18187:AK18187"/>
    <mergeCell ref="AI18188:AK18188"/>
    <mergeCell ref="AI18179:AK18179"/>
    <mergeCell ref="AI18180:AK18180"/>
    <mergeCell ref="AI18191:AK18191"/>
    <mergeCell ref="AI18192:AK18192"/>
    <mergeCell ref="AI18205:AK18205"/>
    <mergeCell ref="AI18206:AK18206"/>
    <mergeCell ref="AI18199:AK18199"/>
    <mergeCell ref="AI18200:AK18200"/>
    <mergeCell ref="AI18201:AK18201"/>
    <mergeCell ref="AI18202:AK18202"/>
    <mergeCell ref="AI18193:AK18193"/>
    <mergeCell ref="AI18194:AK18194"/>
    <mergeCell ref="AI18167:AK18167"/>
    <mergeCell ref="AI18168:AK18168"/>
    <mergeCell ref="AI18169:AK18169"/>
    <mergeCell ref="AI18170:AK18170"/>
    <mergeCell ref="AI18171:AK18171"/>
    <mergeCell ref="AI18172:AK18172"/>
    <mergeCell ref="AI18177:AK18177"/>
    <mergeCell ref="AI18178:AK18178"/>
    <mergeCell ref="AI18165:AK18165"/>
    <mergeCell ref="AI18166:AK18166"/>
    <mergeCell ref="AI18163:AK18163"/>
    <mergeCell ref="AI18164:AK18164"/>
    <mergeCell ref="AI18159:AK18159"/>
    <mergeCell ref="AI18160:AK18160"/>
    <mergeCell ref="AI18149:AK18149"/>
    <mergeCell ref="AI18150:AK18150"/>
    <mergeCell ref="AI18147:AK18147"/>
    <mergeCell ref="AI18148:AK18148"/>
    <mergeCell ref="AI18175:AK18175"/>
    <mergeCell ref="AI18176:AK18176"/>
    <mergeCell ref="AI18173:AK18173"/>
    <mergeCell ref="AI18174:AK18174"/>
    <mergeCell ref="AI18161:AK18161"/>
    <mergeCell ref="AI18162:AK18162"/>
    <mergeCell ref="AI18157:AK18157"/>
    <mergeCell ref="AI18158:AK18158"/>
    <mergeCell ref="AI18153:AK18153"/>
    <mergeCell ref="AI18154:AK18154"/>
    <mergeCell ref="AI18151:AK18151"/>
    <mergeCell ref="AI18152:AK18152"/>
    <mergeCell ref="AI18155:AK18155"/>
    <mergeCell ref="AI18156:AK18156"/>
    <mergeCell ref="AI18145:AK18145"/>
    <mergeCell ref="AI18146:AK18146"/>
    <mergeCell ref="AI18133:AK18133"/>
    <mergeCell ref="AI18134:AK18134"/>
    <mergeCell ref="AI18131:AK18131"/>
    <mergeCell ref="AI18132:AK18132"/>
    <mergeCell ref="AI18139:AK18139"/>
    <mergeCell ref="AI18140:AK18140"/>
    <mergeCell ref="AI18143:AK18143"/>
    <mergeCell ref="AI18144:AK18144"/>
    <mergeCell ref="AI18117:AK18117"/>
    <mergeCell ref="AI18118:AK18118"/>
    <mergeCell ref="AI18125:AK18125"/>
    <mergeCell ref="AI18126:AK18126"/>
    <mergeCell ref="AI18121:AK18121"/>
    <mergeCell ref="AI18122:AK18122"/>
    <mergeCell ref="AI18119:AK18119"/>
    <mergeCell ref="AI18120:AK18120"/>
    <mergeCell ref="AI18123:AK18123"/>
    <mergeCell ref="AI18124:AK18124"/>
    <mergeCell ref="AI18115:AK18115"/>
    <mergeCell ref="AI18116:AK18116"/>
    <mergeCell ref="AI18127:AK18127"/>
    <mergeCell ref="AI18128:AK18128"/>
    <mergeCell ref="AI18141:AK18141"/>
    <mergeCell ref="AI18142:AK18142"/>
    <mergeCell ref="AI18135:AK18135"/>
    <mergeCell ref="AI18136:AK18136"/>
    <mergeCell ref="AI18137:AK18137"/>
    <mergeCell ref="AI18138:AK18138"/>
    <mergeCell ref="AI18129:AK18129"/>
    <mergeCell ref="AI18130:AK18130"/>
    <mergeCell ref="AI18103:AK18103"/>
    <mergeCell ref="AI18104:AK18104"/>
    <mergeCell ref="AI18105:AK18105"/>
    <mergeCell ref="AI18106:AK18106"/>
    <mergeCell ref="AI18107:AK18107"/>
    <mergeCell ref="AI18108:AK18108"/>
    <mergeCell ref="AI18113:AK18113"/>
    <mergeCell ref="AI18114:AK18114"/>
    <mergeCell ref="AI18101:AK18101"/>
    <mergeCell ref="AI18102:AK18102"/>
    <mergeCell ref="AI18099:AK18099"/>
    <mergeCell ref="AI18100:AK18100"/>
    <mergeCell ref="AI18095:AK18095"/>
    <mergeCell ref="AI18096:AK18096"/>
    <mergeCell ref="AI18085:AK18085"/>
    <mergeCell ref="AI18086:AK18086"/>
    <mergeCell ref="AI18083:AK18083"/>
    <mergeCell ref="AI18084:AK18084"/>
    <mergeCell ref="AI18111:AK18111"/>
    <mergeCell ref="AI18112:AK18112"/>
    <mergeCell ref="AI18109:AK18109"/>
    <mergeCell ref="AI18110:AK18110"/>
    <mergeCell ref="AI18097:AK18097"/>
    <mergeCell ref="AI18098:AK18098"/>
    <mergeCell ref="AI18093:AK18093"/>
    <mergeCell ref="AI18094:AK18094"/>
    <mergeCell ref="AI18089:AK18089"/>
    <mergeCell ref="AI18090:AK18090"/>
    <mergeCell ref="AI18087:AK18087"/>
    <mergeCell ref="AI18088:AK18088"/>
    <mergeCell ref="AI18091:AK18091"/>
    <mergeCell ref="AI18092:AK18092"/>
    <mergeCell ref="AI18081:AK18081"/>
    <mergeCell ref="AI18082:AK18082"/>
    <mergeCell ref="AI18069:AK18069"/>
    <mergeCell ref="AI18070:AK18070"/>
    <mergeCell ref="AI18067:AK18067"/>
    <mergeCell ref="AI18068:AK18068"/>
    <mergeCell ref="AI18075:AK18075"/>
    <mergeCell ref="AI18076:AK18076"/>
    <mergeCell ref="AI18079:AK18079"/>
    <mergeCell ref="AI18080:AK18080"/>
    <mergeCell ref="AI18053:AK18053"/>
    <mergeCell ref="AI18054:AK18054"/>
    <mergeCell ref="AI18061:AK18061"/>
    <mergeCell ref="AI18062:AK18062"/>
    <mergeCell ref="AI18057:AK18057"/>
    <mergeCell ref="AI18058:AK18058"/>
    <mergeCell ref="AI18055:AK18055"/>
    <mergeCell ref="AI18056:AK18056"/>
    <mergeCell ref="AI18059:AK18059"/>
    <mergeCell ref="AI18060:AK18060"/>
    <mergeCell ref="AI18051:AK18051"/>
    <mergeCell ref="AI18052:AK18052"/>
    <mergeCell ref="AI18063:AK18063"/>
    <mergeCell ref="AI18064:AK18064"/>
    <mergeCell ref="AI18077:AK18077"/>
    <mergeCell ref="AI18078:AK18078"/>
    <mergeCell ref="AI18071:AK18071"/>
    <mergeCell ref="AI18072:AK18072"/>
    <mergeCell ref="AI18073:AK18073"/>
    <mergeCell ref="AI18074:AK18074"/>
    <mergeCell ref="AI18065:AK18065"/>
    <mergeCell ref="AI18066:AK18066"/>
    <mergeCell ref="AI18039:AK18039"/>
    <mergeCell ref="AI18040:AK18040"/>
    <mergeCell ref="AI18041:AK18041"/>
    <mergeCell ref="AI18042:AK18042"/>
    <mergeCell ref="AI18043:AK18043"/>
    <mergeCell ref="AI18044:AK18044"/>
    <mergeCell ref="AI18049:AK18049"/>
    <mergeCell ref="AI18050:AK18050"/>
    <mergeCell ref="AI18037:AK18037"/>
    <mergeCell ref="AI18038:AK18038"/>
    <mergeCell ref="AI18035:AK18035"/>
    <mergeCell ref="AI18036:AK18036"/>
    <mergeCell ref="AI18031:AK18031"/>
    <mergeCell ref="AI18032:AK18032"/>
    <mergeCell ref="AI18021:AK18021"/>
    <mergeCell ref="AI18022:AK18022"/>
    <mergeCell ref="AI18019:AK18019"/>
    <mergeCell ref="AI18020:AK18020"/>
    <mergeCell ref="AI18047:AK18047"/>
    <mergeCell ref="AI18048:AK18048"/>
    <mergeCell ref="AI18045:AK18045"/>
    <mergeCell ref="AI18046:AK18046"/>
    <mergeCell ref="AI18033:AK18033"/>
    <mergeCell ref="AI18034:AK18034"/>
    <mergeCell ref="AI18029:AK18029"/>
    <mergeCell ref="AI18030:AK18030"/>
    <mergeCell ref="AI18025:AK18025"/>
    <mergeCell ref="AI18026:AK18026"/>
    <mergeCell ref="AI18023:AK18023"/>
    <mergeCell ref="AI18024:AK18024"/>
    <mergeCell ref="AI18027:AK18027"/>
    <mergeCell ref="AI18028:AK18028"/>
    <mergeCell ref="AI18017:AK18017"/>
    <mergeCell ref="AI18018:AK18018"/>
    <mergeCell ref="AI18005:AK18005"/>
    <mergeCell ref="AI18006:AK18006"/>
    <mergeCell ref="AI18003:AK18003"/>
    <mergeCell ref="AI18004:AK18004"/>
    <mergeCell ref="AI18011:AK18011"/>
    <mergeCell ref="AI18012:AK18012"/>
    <mergeCell ref="AI18015:AK18015"/>
    <mergeCell ref="AI18016:AK18016"/>
    <mergeCell ref="AI17989:AK17989"/>
    <mergeCell ref="AI17990:AK17990"/>
    <mergeCell ref="AI17997:AK17997"/>
    <mergeCell ref="AI17998:AK17998"/>
    <mergeCell ref="AI17993:AK17993"/>
    <mergeCell ref="AI17994:AK17994"/>
    <mergeCell ref="AI17991:AK17991"/>
    <mergeCell ref="AI17992:AK17992"/>
    <mergeCell ref="AI17995:AK17995"/>
    <mergeCell ref="AI17996:AK17996"/>
    <mergeCell ref="AI17987:AK17987"/>
    <mergeCell ref="AI17988:AK17988"/>
    <mergeCell ref="AI17999:AK17999"/>
    <mergeCell ref="AI18000:AK18000"/>
    <mergeCell ref="AI18013:AK18013"/>
    <mergeCell ref="AI18014:AK18014"/>
    <mergeCell ref="AI18007:AK18007"/>
    <mergeCell ref="AI18008:AK18008"/>
    <mergeCell ref="AI18009:AK18009"/>
    <mergeCell ref="AI18010:AK18010"/>
    <mergeCell ref="AI18001:AK18001"/>
    <mergeCell ref="AI18002:AK18002"/>
    <mergeCell ref="AI17975:AK17975"/>
    <mergeCell ref="AI17976:AK17976"/>
    <mergeCell ref="AI17977:AK17977"/>
    <mergeCell ref="AI17978:AK17978"/>
    <mergeCell ref="AI17979:AK17979"/>
    <mergeCell ref="AI17980:AK17980"/>
    <mergeCell ref="AI17985:AK17985"/>
    <mergeCell ref="AI17986:AK17986"/>
    <mergeCell ref="AI17973:AK17973"/>
    <mergeCell ref="AI17974:AK17974"/>
    <mergeCell ref="AI17971:AK17971"/>
    <mergeCell ref="AI17972:AK17972"/>
    <mergeCell ref="AI17967:AK17967"/>
    <mergeCell ref="AI17968:AK17968"/>
    <mergeCell ref="AI17957:AK17957"/>
    <mergeCell ref="AI17958:AK17958"/>
    <mergeCell ref="AI17955:AK17955"/>
    <mergeCell ref="AI17956:AK17956"/>
    <mergeCell ref="AI17983:AK17983"/>
    <mergeCell ref="AI17984:AK17984"/>
    <mergeCell ref="AI17981:AK17981"/>
    <mergeCell ref="AI17982:AK17982"/>
    <mergeCell ref="AI17969:AK17969"/>
    <mergeCell ref="AI17970:AK17970"/>
    <mergeCell ref="AI17965:AK17965"/>
    <mergeCell ref="AI17966:AK17966"/>
    <mergeCell ref="AI17961:AK17961"/>
    <mergeCell ref="AI17962:AK17962"/>
    <mergeCell ref="AI17959:AK17959"/>
    <mergeCell ref="AI17960:AK17960"/>
    <mergeCell ref="AI17963:AK17963"/>
    <mergeCell ref="AI17964:AK17964"/>
    <mergeCell ref="AI17953:AK17953"/>
    <mergeCell ref="AI17954:AK17954"/>
    <mergeCell ref="AI17941:AK17941"/>
    <mergeCell ref="AI17942:AK17942"/>
    <mergeCell ref="AI17939:AK17939"/>
    <mergeCell ref="AI17940:AK17940"/>
    <mergeCell ref="AI17947:AK17947"/>
    <mergeCell ref="AI17948:AK17948"/>
    <mergeCell ref="AI17951:AK17951"/>
    <mergeCell ref="AI17952:AK17952"/>
    <mergeCell ref="AI17925:AK17925"/>
    <mergeCell ref="AI17926:AK17926"/>
    <mergeCell ref="AI17933:AK17933"/>
    <mergeCell ref="AI17934:AK17934"/>
    <mergeCell ref="AI17929:AK17929"/>
    <mergeCell ref="AI17930:AK17930"/>
    <mergeCell ref="AI17927:AK17927"/>
    <mergeCell ref="AI17928:AK17928"/>
    <mergeCell ref="AI17931:AK17931"/>
    <mergeCell ref="AI17932:AK17932"/>
    <mergeCell ref="AI17923:AK17923"/>
    <mergeCell ref="AI17924:AK17924"/>
    <mergeCell ref="AI17935:AK17935"/>
    <mergeCell ref="AI17936:AK17936"/>
    <mergeCell ref="AI17949:AK17949"/>
    <mergeCell ref="AI17950:AK17950"/>
    <mergeCell ref="AI17943:AK17943"/>
    <mergeCell ref="AI17944:AK17944"/>
    <mergeCell ref="AI17945:AK17945"/>
    <mergeCell ref="AI17946:AK17946"/>
    <mergeCell ref="AI17937:AK17937"/>
    <mergeCell ref="AI17938:AK17938"/>
    <mergeCell ref="AI17911:AK17911"/>
    <mergeCell ref="AI17912:AK17912"/>
    <mergeCell ref="AI17913:AK17913"/>
    <mergeCell ref="AI17914:AK17914"/>
    <mergeCell ref="AI17915:AK17915"/>
    <mergeCell ref="AI17916:AK17916"/>
    <mergeCell ref="AI17921:AK17921"/>
    <mergeCell ref="AI17922:AK17922"/>
    <mergeCell ref="AI17909:AK17909"/>
    <mergeCell ref="AI17910:AK17910"/>
    <mergeCell ref="AI17907:AK17907"/>
    <mergeCell ref="AI17908:AK17908"/>
    <mergeCell ref="AI17903:AK17903"/>
    <mergeCell ref="AI17904:AK17904"/>
    <mergeCell ref="AI17893:AK17893"/>
    <mergeCell ref="AI17894:AK17894"/>
    <mergeCell ref="AI17891:AK17891"/>
    <mergeCell ref="AI17892:AK17892"/>
    <mergeCell ref="AI17919:AK17919"/>
    <mergeCell ref="AI17920:AK17920"/>
    <mergeCell ref="AI17917:AK17917"/>
    <mergeCell ref="AI17918:AK17918"/>
    <mergeCell ref="AI17905:AK17905"/>
    <mergeCell ref="AI17906:AK17906"/>
    <mergeCell ref="AI17901:AK17901"/>
    <mergeCell ref="AI17902:AK17902"/>
    <mergeCell ref="AI17897:AK17897"/>
    <mergeCell ref="AI17898:AK17898"/>
    <mergeCell ref="AI17895:AK17895"/>
    <mergeCell ref="AI17896:AK17896"/>
    <mergeCell ref="AI17899:AK17899"/>
    <mergeCell ref="AI17900:AK17900"/>
    <mergeCell ref="AI17889:AK17889"/>
    <mergeCell ref="AI17890:AK17890"/>
    <mergeCell ref="AI17877:AK17877"/>
    <mergeCell ref="AI17878:AK17878"/>
    <mergeCell ref="AI17875:AK17875"/>
    <mergeCell ref="AI17876:AK17876"/>
    <mergeCell ref="AI17883:AK17883"/>
    <mergeCell ref="AI17884:AK17884"/>
    <mergeCell ref="AI17887:AK17887"/>
    <mergeCell ref="AI17888:AK17888"/>
    <mergeCell ref="AI17861:AK17861"/>
    <mergeCell ref="AI17862:AK17862"/>
    <mergeCell ref="AI17869:AK17869"/>
    <mergeCell ref="AI17870:AK17870"/>
    <mergeCell ref="AI17865:AK17865"/>
    <mergeCell ref="AI17866:AK17866"/>
    <mergeCell ref="AI17863:AK17863"/>
    <mergeCell ref="AI17864:AK17864"/>
    <mergeCell ref="AI17867:AK17867"/>
    <mergeCell ref="AI17868:AK17868"/>
    <mergeCell ref="AI17859:AK17859"/>
    <mergeCell ref="AI17860:AK17860"/>
    <mergeCell ref="AI17871:AK17871"/>
    <mergeCell ref="AI17872:AK17872"/>
    <mergeCell ref="AI17885:AK17885"/>
    <mergeCell ref="AI17886:AK17886"/>
    <mergeCell ref="AI17879:AK17879"/>
    <mergeCell ref="AI17880:AK17880"/>
    <mergeCell ref="AI17881:AK17881"/>
    <mergeCell ref="AI17882:AK17882"/>
    <mergeCell ref="AI17873:AK17873"/>
    <mergeCell ref="AI17874:AK17874"/>
    <mergeCell ref="AI17847:AK17847"/>
    <mergeCell ref="AI17848:AK17848"/>
    <mergeCell ref="AI17849:AK17849"/>
    <mergeCell ref="AI17850:AK17850"/>
    <mergeCell ref="AI17851:AK17851"/>
    <mergeCell ref="AI17852:AK17852"/>
    <mergeCell ref="AI17857:AK17857"/>
    <mergeCell ref="AI17858:AK17858"/>
    <mergeCell ref="AI17845:AK17845"/>
    <mergeCell ref="AI17846:AK17846"/>
    <mergeCell ref="AI17843:AK17843"/>
    <mergeCell ref="AI17844:AK17844"/>
    <mergeCell ref="AI17839:AK17839"/>
    <mergeCell ref="AI17840:AK17840"/>
    <mergeCell ref="AI17829:AK17829"/>
    <mergeCell ref="AI17830:AK17830"/>
    <mergeCell ref="AI17827:AK17827"/>
    <mergeCell ref="AI17828:AK17828"/>
    <mergeCell ref="AI17855:AK17855"/>
    <mergeCell ref="AI17856:AK17856"/>
    <mergeCell ref="AI17853:AK17853"/>
    <mergeCell ref="AI17854:AK17854"/>
    <mergeCell ref="AI17841:AK17841"/>
    <mergeCell ref="AI17842:AK17842"/>
    <mergeCell ref="AI17837:AK17837"/>
    <mergeCell ref="AI17838:AK17838"/>
    <mergeCell ref="AI17833:AK17833"/>
    <mergeCell ref="AI17834:AK17834"/>
    <mergeCell ref="AI17831:AK17831"/>
    <mergeCell ref="AI17832:AK17832"/>
    <mergeCell ref="AI17835:AK17835"/>
    <mergeCell ref="AI17836:AK17836"/>
    <mergeCell ref="AI17825:AK17825"/>
    <mergeCell ref="AI17826:AK17826"/>
    <mergeCell ref="AI17813:AK17813"/>
    <mergeCell ref="AI17814:AK17814"/>
    <mergeCell ref="AI17811:AK17811"/>
    <mergeCell ref="AI17812:AK17812"/>
    <mergeCell ref="AI17819:AK17819"/>
    <mergeCell ref="AI17820:AK17820"/>
    <mergeCell ref="AI17823:AK17823"/>
    <mergeCell ref="AI17824:AK17824"/>
    <mergeCell ref="AI17797:AK17797"/>
    <mergeCell ref="AI17798:AK17798"/>
    <mergeCell ref="AI17805:AK17805"/>
    <mergeCell ref="AI17806:AK17806"/>
    <mergeCell ref="AI17801:AK17801"/>
    <mergeCell ref="AI17802:AK17802"/>
    <mergeCell ref="AI17799:AK17799"/>
    <mergeCell ref="AI17800:AK17800"/>
    <mergeCell ref="AI17803:AK17803"/>
    <mergeCell ref="AI17804:AK17804"/>
    <mergeCell ref="AI17795:AK17795"/>
    <mergeCell ref="AI17796:AK17796"/>
    <mergeCell ref="AI17807:AK17807"/>
    <mergeCell ref="AI17808:AK17808"/>
    <mergeCell ref="AI17821:AK17821"/>
    <mergeCell ref="AI17822:AK17822"/>
    <mergeCell ref="AI17815:AK17815"/>
    <mergeCell ref="AI17816:AK17816"/>
    <mergeCell ref="AI17817:AK17817"/>
    <mergeCell ref="AI17818:AK17818"/>
    <mergeCell ref="AI17809:AK17809"/>
    <mergeCell ref="AI17810:AK17810"/>
    <mergeCell ref="AI17783:AK17783"/>
    <mergeCell ref="AI17784:AK17784"/>
    <mergeCell ref="AI17785:AK17785"/>
    <mergeCell ref="AI17786:AK17786"/>
    <mergeCell ref="AI17787:AK17787"/>
    <mergeCell ref="AI17788:AK17788"/>
    <mergeCell ref="AI17793:AK17793"/>
    <mergeCell ref="AI17794:AK17794"/>
    <mergeCell ref="AI17781:AK17781"/>
    <mergeCell ref="AI17782:AK17782"/>
    <mergeCell ref="AI17779:AK17779"/>
    <mergeCell ref="AI17780:AK17780"/>
    <mergeCell ref="AI17775:AK17775"/>
    <mergeCell ref="AI17776:AK17776"/>
    <mergeCell ref="AI17765:AK17765"/>
    <mergeCell ref="AI17766:AK17766"/>
    <mergeCell ref="AI17763:AK17763"/>
    <mergeCell ref="AI17764:AK17764"/>
    <mergeCell ref="AI17791:AK17791"/>
    <mergeCell ref="AI17792:AK17792"/>
    <mergeCell ref="AI17789:AK17789"/>
    <mergeCell ref="AI17790:AK17790"/>
    <mergeCell ref="AI17777:AK17777"/>
    <mergeCell ref="AI17778:AK17778"/>
    <mergeCell ref="AI17773:AK17773"/>
    <mergeCell ref="AI17774:AK17774"/>
    <mergeCell ref="AI17769:AK17769"/>
    <mergeCell ref="AI17770:AK17770"/>
    <mergeCell ref="AI17767:AK17767"/>
    <mergeCell ref="AI17768:AK17768"/>
    <mergeCell ref="AI17771:AK17771"/>
    <mergeCell ref="AI17772:AK17772"/>
    <mergeCell ref="AI17761:AK17761"/>
    <mergeCell ref="AI17762:AK17762"/>
    <mergeCell ref="AI17749:AK17749"/>
    <mergeCell ref="AI17750:AK17750"/>
    <mergeCell ref="AI17747:AK17747"/>
    <mergeCell ref="AI17748:AK17748"/>
    <mergeCell ref="AI17755:AK17755"/>
    <mergeCell ref="AI17756:AK17756"/>
    <mergeCell ref="AI17759:AK17759"/>
    <mergeCell ref="AI17760:AK17760"/>
    <mergeCell ref="AI17733:AK17733"/>
    <mergeCell ref="AI17734:AK17734"/>
    <mergeCell ref="AI17741:AK17741"/>
    <mergeCell ref="AI17742:AK17742"/>
    <mergeCell ref="AI17737:AK17737"/>
    <mergeCell ref="AI17738:AK17738"/>
    <mergeCell ref="AI17735:AK17735"/>
    <mergeCell ref="AI17736:AK17736"/>
    <mergeCell ref="AI17739:AK17739"/>
    <mergeCell ref="AI17740:AK17740"/>
    <mergeCell ref="AI17731:AK17731"/>
    <mergeCell ref="AI17732:AK17732"/>
    <mergeCell ref="AI17743:AK17743"/>
    <mergeCell ref="AI17744:AK17744"/>
    <mergeCell ref="AI17757:AK17757"/>
    <mergeCell ref="AI17758:AK17758"/>
    <mergeCell ref="AI17751:AK17751"/>
    <mergeCell ref="AI17752:AK17752"/>
    <mergeCell ref="AI17753:AK17753"/>
    <mergeCell ref="AI17754:AK17754"/>
    <mergeCell ref="AI17745:AK17745"/>
    <mergeCell ref="AI17746:AK17746"/>
    <mergeCell ref="AI17719:AK17719"/>
    <mergeCell ref="AI17720:AK17720"/>
    <mergeCell ref="AI17721:AK17721"/>
    <mergeCell ref="AI17722:AK17722"/>
    <mergeCell ref="AI17723:AK17723"/>
    <mergeCell ref="AI17724:AK17724"/>
    <mergeCell ref="AI17729:AK17729"/>
    <mergeCell ref="AI17730:AK17730"/>
    <mergeCell ref="AI17717:AK17717"/>
    <mergeCell ref="AI17718:AK17718"/>
    <mergeCell ref="AI17715:AK17715"/>
    <mergeCell ref="AI17716:AK17716"/>
    <mergeCell ref="AI17711:AK17711"/>
    <mergeCell ref="AI17712:AK17712"/>
    <mergeCell ref="AI17701:AK17701"/>
    <mergeCell ref="AI17702:AK17702"/>
    <mergeCell ref="AI17699:AK17699"/>
    <mergeCell ref="AI17700:AK17700"/>
    <mergeCell ref="AI17727:AK17727"/>
    <mergeCell ref="AI17728:AK17728"/>
    <mergeCell ref="AI17725:AK17725"/>
    <mergeCell ref="AI17726:AK17726"/>
    <mergeCell ref="AI17713:AK17713"/>
    <mergeCell ref="AI17714:AK17714"/>
    <mergeCell ref="AI17709:AK17709"/>
    <mergeCell ref="AI17710:AK17710"/>
    <mergeCell ref="AI17705:AK17705"/>
    <mergeCell ref="AI17706:AK17706"/>
    <mergeCell ref="AI17703:AK17703"/>
    <mergeCell ref="AI17704:AK17704"/>
    <mergeCell ref="AI17707:AK17707"/>
    <mergeCell ref="AI17708:AK17708"/>
    <mergeCell ref="AI17697:AK17697"/>
    <mergeCell ref="AI17698:AK17698"/>
    <mergeCell ref="AI17685:AK17685"/>
    <mergeCell ref="AI17686:AK17686"/>
    <mergeCell ref="AI17683:AK17683"/>
    <mergeCell ref="AI17684:AK17684"/>
    <mergeCell ref="AI17691:AK17691"/>
    <mergeCell ref="AI17692:AK17692"/>
    <mergeCell ref="AI17695:AK17695"/>
    <mergeCell ref="AI17696:AK17696"/>
    <mergeCell ref="AI17669:AK17669"/>
    <mergeCell ref="AI17670:AK17670"/>
    <mergeCell ref="AI17677:AK17677"/>
    <mergeCell ref="AI17678:AK17678"/>
    <mergeCell ref="AI17673:AK17673"/>
    <mergeCell ref="AI17674:AK17674"/>
    <mergeCell ref="AI17671:AK17671"/>
    <mergeCell ref="AI17672:AK17672"/>
    <mergeCell ref="AI17675:AK17675"/>
    <mergeCell ref="AI17676:AK17676"/>
    <mergeCell ref="AI17667:AK17667"/>
    <mergeCell ref="AI17668:AK17668"/>
    <mergeCell ref="AI17679:AK17679"/>
    <mergeCell ref="AI17680:AK17680"/>
    <mergeCell ref="AI17693:AK17693"/>
    <mergeCell ref="AI17694:AK17694"/>
    <mergeCell ref="AI17687:AK17687"/>
    <mergeCell ref="AI17688:AK17688"/>
    <mergeCell ref="AI17689:AK17689"/>
    <mergeCell ref="AI17690:AK17690"/>
    <mergeCell ref="AI17681:AK17681"/>
    <mergeCell ref="AI17682:AK17682"/>
    <mergeCell ref="AI17655:AK17655"/>
    <mergeCell ref="AI17656:AK17656"/>
    <mergeCell ref="AI17657:AK17657"/>
    <mergeCell ref="AI17658:AK17658"/>
    <mergeCell ref="AI17659:AK17659"/>
    <mergeCell ref="AI17660:AK17660"/>
    <mergeCell ref="AI17665:AK17665"/>
    <mergeCell ref="AI17666:AK17666"/>
    <mergeCell ref="AI17653:AK17653"/>
    <mergeCell ref="AI17654:AK17654"/>
    <mergeCell ref="AI17651:AK17651"/>
    <mergeCell ref="AI17652:AK17652"/>
    <mergeCell ref="AI17647:AK17647"/>
    <mergeCell ref="AI17648:AK17648"/>
    <mergeCell ref="AI17637:AK17637"/>
    <mergeCell ref="AI17638:AK17638"/>
    <mergeCell ref="AI17635:AK17635"/>
    <mergeCell ref="AI17636:AK17636"/>
    <mergeCell ref="AI17663:AK17663"/>
    <mergeCell ref="AI17664:AK17664"/>
    <mergeCell ref="AI17661:AK17661"/>
    <mergeCell ref="AI17662:AK17662"/>
    <mergeCell ref="AI17649:AK17649"/>
    <mergeCell ref="AI17650:AK17650"/>
    <mergeCell ref="AI17645:AK17645"/>
    <mergeCell ref="AI17646:AK17646"/>
    <mergeCell ref="AI17641:AK17641"/>
    <mergeCell ref="AI17642:AK17642"/>
    <mergeCell ref="AI17639:AK17639"/>
    <mergeCell ref="AI17640:AK17640"/>
    <mergeCell ref="AI17643:AK17643"/>
    <mergeCell ref="AI17644:AK17644"/>
    <mergeCell ref="AI17633:AK17633"/>
    <mergeCell ref="AI17634:AK17634"/>
    <mergeCell ref="AI17621:AK17621"/>
    <mergeCell ref="AI17622:AK17622"/>
    <mergeCell ref="AI17619:AK17619"/>
    <mergeCell ref="AI17620:AK17620"/>
    <mergeCell ref="AI17627:AK17627"/>
    <mergeCell ref="AI17628:AK17628"/>
    <mergeCell ref="AI17631:AK17631"/>
    <mergeCell ref="AI17632:AK17632"/>
    <mergeCell ref="AI17605:AK17605"/>
    <mergeCell ref="AI17606:AK17606"/>
    <mergeCell ref="AI17613:AK17613"/>
    <mergeCell ref="AI17614:AK17614"/>
    <mergeCell ref="AI17609:AK17609"/>
    <mergeCell ref="AI17610:AK17610"/>
    <mergeCell ref="AI17607:AK17607"/>
    <mergeCell ref="AI17608:AK17608"/>
    <mergeCell ref="AI17611:AK17611"/>
    <mergeCell ref="AI17612:AK17612"/>
    <mergeCell ref="AI17603:AK17603"/>
    <mergeCell ref="AI17604:AK17604"/>
    <mergeCell ref="AI17615:AK17615"/>
    <mergeCell ref="AI17616:AK17616"/>
    <mergeCell ref="AI17629:AK17629"/>
    <mergeCell ref="AI17630:AK17630"/>
    <mergeCell ref="AI17623:AK17623"/>
    <mergeCell ref="AI17624:AK17624"/>
    <mergeCell ref="AI17625:AK17625"/>
    <mergeCell ref="AI17626:AK17626"/>
    <mergeCell ref="AI17617:AK17617"/>
    <mergeCell ref="AI17618:AK17618"/>
    <mergeCell ref="AI17591:AK17591"/>
    <mergeCell ref="AI17592:AK17592"/>
    <mergeCell ref="AI17593:AK17593"/>
    <mergeCell ref="AI17594:AK17594"/>
    <mergeCell ref="AI17595:AK17595"/>
    <mergeCell ref="AI17596:AK17596"/>
    <mergeCell ref="AI17601:AK17601"/>
    <mergeCell ref="AI17602:AK17602"/>
    <mergeCell ref="AI17589:AK17589"/>
    <mergeCell ref="AI17590:AK17590"/>
    <mergeCell ref="AI17587:AK17587"/>
    <mergeCell ref="AI17588:AK17588"/>
    <mergeCell ref="AI17583:AK17583"/>
    <mergeCell ref="AI17584:AK17584"/>
    <mergeCell ref="AI17573:AK17573"/>
    <mergeCell ref="AI17574:AK17574"/>
    <mergeCell ref="AI17571:AK17571"/>
    <mergeCell ref="AI17572:AK17572"/>
    <mergeCell ref="AI17599:AK17599"/>
    <mergeCell ref="AI17600:AK17600"/>
    <mergeCell ref="AI17597:AK17597"/>
    <mergeCell ref="AI17598:AK17598"/>
    <mergeCell ref="AI17585:AK17585"/>
    <mergeCell ref="AI17586:AK17586"/>
    <mergeCell ref="AI17581:AK17581"/>
    <mergeCell ref="AI17582:AK17582"/>
    <mergeCell ref="AI17577:AK17577"/>
    <mergeCell ref="AI17578:AK17578"/>
    <mergeCell ref="AI17575:AK17575"/>
    <mergeCell ref="AI17576:AK17576"/>
    <mergeCell ref="AI17579:AK17579"/>
    <mergeCell ref="AI17580:AK17580"/>
    <mergeCell ref="AI17569:AK17569"/>
    <mergeCell ref="AI17570:AK17570"/>
    <mergeCell ref="AI17557:AK17557"/>
    <mergeCell ref="AI17558:AK17558"/>
    <mergeCell ref="AI17555:AK17555"/>
    <mergeCell ref="AI17556:AK17556"/>
    <mergeCell ref="AI17563:AK17563"/>
    <mergeCell ref="AI17564:AK17564"/>
    <mergeCell ref="AI17567:AK17567"/>
    <mergeCell ref="AI17568:AK17568"/>
    <mergeCell ref="AI17541:AK17541"/>
    <mergeCell ref="AI17542:AK17542"/>
    <mergeCell ref="AI17549:AK17549"/>
    <mergeCell ref="AI17550:AK17550"/>
    <mergeCell ref="AI17545:AK17545"/>
    <mergeCell ref="AI17546:AK17546"/>
    <mergeCell ref="AI17543:AK17543"/>
    <mergeCell ref="AI17544:AK17544"/>
    <mergeCell ref="AI17547:AK17547"/>
    <mergeCell ref="AI17548:AK17548"/>
    <mergeCell ref="AI17539:AK17539"/>
    <mergeCell ref="AI17540:AK17540"/>
    <mergeCell ref="AI17551:AK17551"/>
    <mergeCell ref="AI17552:AK17552"/>
    <mergeCell ref="AI17565:AK17565"/>
    <mergeCell ref="AI17566:AK17566"/>
    <mergeCell ref="AI17559:AK17559"/>
    <mergeCell ref="AI17560:AK17560"/>
    <mergeCell ref="AI17561:AK17561"/>
    <mergeCell ref="AI17562:AK17562"/>
    <mergeCell ref="AI17553:AK17553"/>
    <mergeCell ref="AI17554:AK17554"/>
    <mergeCell ref="AI17527:AK17527"/>
    <mergeCell ref="AI17528:AK17528"/>
    <mergeCell ref="AI17529:AK17529"/>
    <mergeCell ref="AI17530:AK17530"/>
    <mergeCell ref="AI17531:AK17531"/>
    <mergeCell ref="AI17532:AK17532"/>
    <mergeCell ref="AI17537:AK17537"/>
    <mergeCell ref="AI17538:AK17538"/>
    <mergeCell ref="AI17525:AK17525"/>
    <mergeCell ref="AI17526:AK17526"/>
    <mergeCell ref="AI17523:AK17523"/>
    <mergeCell ref="AI17524:AK17524"/>
    <mergeCell ref="AI17519:AK17519"/>
    <mergeCell ref="AI17520:AK17520"/>
    <mergeCell ref="AI17509:AK17509"/>
    <mergeCell ref="AI17510:AK17510"/>
    <mergeCell ref="AI17507:AK17507"/>
    <mergeCell ref="AI17508:AK17508"/>
    <mergeCell ref="AI17535:AK17535"/>
    <mergeCell ref="AI17536:AK17536"/>
    <mergeCell ref="AI17533:AK17533"/>
    <mergeCell ref="AI17534:AK17534"/>
    <mergeCell ref="AI17521:AK17521"/>
    <mergeCell ref="AI17522:AK17522"/>
    <mergeCell ref="AI17517:AK17517"/>
    <mergeCell ref="AI17518:AK17518"/>
    <mergeCell ref="AI17513:AK17513"/>
    <mergeCell ref="AI17514:AK17514"/>
    <mergeCell ref="AI17511:AK17511"/>
    <mergeCell ref="AI17512:AK17512"/>
    <mergeCell ref="AI17515:AK17515"/>
    <mergeCell ref="AI17516:AK17516"/>
    <mergeCell ref="AI17505:AK17505"/>
    <mergeCell ref="AI17506:AK17506"/>
    <mergeCell ref="AI17493:AK17493"/>
    <mergeCell ref="AI17494:AK17494"/>
    <mergeCell ref="AI17491:AK17491"/>
    <mergeCell ref="AI17492:AK17492"/>
    <mergeCell ref="AI17499:AK17499"/>
    <mergeCell ref="AI17500:AK17500"/>
    <mergeCell ref="AI17503:AK17503"/>
    <mergeCell ref="AI17504:AK17504"/>
    <mergeCell ref="AI17477:AK17477"/>
    <mergeCell ref="AI17478:AK17478"/>
    <mergeCell ref="AI17485:AK17485"/>
    <mergeCell ref="AI17486:AK17486"/>
    <mergeCell ref="AI17481:AK17481"/>
    <mergeCell ref="AI17482:AK17482"/>
    <mergeCell ref="AI17479:AK17479"/>
    <mergeCell ref="AI17480:AK17480"/>
    <mergeCell ref="AI17483:AK17483"/>
    <mergeCell ref="AI17484:AK17484"/>
    <mergeCell ref="AI17475:AK17475"/>
    <mergeCell ref="AI17476:AK17476"/>
    <mergeCell ref="AI17487:AK17487"/>
    <mergeCell ref="AI17488:AK17488"/>
    <mergeCell ref="AI17501:AK17501"/>
    <mergeCell ref="AI17502:AK17502"/>
    <mergeCell ref="AI17495:AK17495"/>
    <mergeCell ref="AI17496:AK17496"/>
    <mergeCell ref="AI17497:AK17497"/>
    <mergeCell ref="AI17498:AK17498"/>
    <mergeCell ref="AI17489:AK17489"/>
    <mergeCell ref="AI17490:AK17490"/>
    <mergeCell ref="AI17463:AK17463"/>
    <mergeCell ref="AI17464:AK17464"/>
    <mergeCell ref="AI17465:AK17465"/>
    <mergeCell ref="AI17466:AK17466"/>
    <mergeCell ref="AI17467:AK17467"/>
    <mergeCell ref="AI17468:AK17468"/>
    <mergeCell ref="AI17473:AK17473"/>
    <mergeCell ref="AI17474:AK17474"/>
    <mergeCell ref="AI17461:AK17461"/>
    <mergeCell ref="AI17462:AK17462"/>
    <mergeCell ref="AI17459:AK17459"/>
    <mergeCell ref="AI17460:AK17460"/>
    <mergeCell ref="AI17455:AK17455"/>
    <mergeCell ref="AI17456:AK17456"/>
    <mergeCell ref="AI17445:AK17445"/>
    <mergeCell ref="AI17446:AK17446"/>
    <mergeCell ref="AI17443:AK17443"/>
    <mergeCell ref="AI17444:AK17444"/>
    <mergeCell ref="AI17471:AK17471"/>
    <mergeCell ref="AI17472:AK17472"/>
    <mergeCell ref="AI17469:AK17469"/>
    <mergeCell ref="AI17470:AK17470"/>
    <mergeCell ref="AI17457:AK17457"/>
    <mergeCell ref="AI17458:AK17458"/>
    <mergeCell ref="AI17453:AK17453"/>
    <mergeCell ref="AI17454:AK17454"/>
    <mergeCell ref="AI17449:AK17449"/>
    <mergeCell ref="AI17450:AK17450"/>
    <mergeCell ref="AI17447:AK17447"/>
    <mergeCell ref="AI17448:AK17448"/>
    <mergeCell ref="AI17451:AK17451"/>
    <mergeCell ref="AI17452:AK17452"/>
    <mergeCell ref="AI17441:AK17441"/>
    <mergeCell ref="AI17442:AK17442"/>
    <mergeCell ref="AI17429:AK17429"/>
    <mergeCell ref="AI17430:AK17430"/>
    <mergeCell ref="AI17427:AK17427"/>
    <mergeCell ref="AI17428:AK17428"/>
    <mergeCell ref="AI17435:AK17435"/>
    <mergeCell ref="AI17436:AK17436"/>
    <mergeCell ref="AI17439:AK17439"/>
    <mergeCell ref="AI17440:AK17440"/>
    <mergeCell ref="AI17413:AK17413"/>
    <mergeCell ref="AI17414:AK17414"/>
    <mergeCell ref="AI17421:AK17421"/>
    <mergeCell ref="AI17422:AK17422"/>
    <mergeCell ref="AI17417:AK17417"/>
    <mergeCell ref="AI17418:AK17418"/>
    <mergeCell ref="AI17415:AK17415"/>
    <mergeCell ref="AI17416:AK17416"/>
    <mergeCell ref="AI17419:AK17419"/>
    <mergeCell ref="AI17420:AK17420"/>
    <mergeCell ref="AI17411:AK17411"/>
    <mergeCell ref="AI17412:AK17412"/>
    <mergeCell ref="AI17423:AK17423"/>
    <mergeCell ref="AI17424:AK17424"/>
    <mergeCell ref="AI17437:AK17437"/>
    <mergeCell ref="AI17438:AK17438"/>
    <mergeCell ref="AI17431:AK17431"/>
    <mergeCell ref="AI17432:AK17432"/>
    <mergeCell ref="AI17433:AK17433"/>
    <mergeCell ref="AI17434:AK17434"/>
    <mergeCell ref="AI17425:AK17425"/>
    <mergeCell ref="AI17426:AK17426"/>
    <mergeCell ref="AI17399:AK17399"/>
    <mergeCell ref="AI17400:AK17400"/>
    <mergeCell ref="AI17401:AK17401"/>
    <mergeCell ref="AI17402:AK17402"/>
    <mergeCell ref="AI17403:AK17403"/>
    <mergeCell ref="AI17404:AK17404"/>
    <mergeCell ref="AI17409:AK17409"/>
    <mergeCell ref="AI17410:AK17410"/>
    <mergeCell ref="AI17397:AK17397"/>
    <mergeCell ref="AI17398:AK17398"/>
    <mergeCell ref="AI17395:AK17395"/>
    <mergeCell ref="AI17396:AK17396"/>
    <mergeCell ref="AI17391:AK17391"/>
    <mergeCell ref="AI17392:AK17392"/>
    <mergeCell ref="AI17381:AK17381"/>
    <mergeCell ref="AI17382:AK17382"/>
    <mergeCell ref="AI17379:AK17379"/>
    <mergeCell ref="AI17380:AK17380"/>
    <mergeCell ref="AI17407:AK17407"/>
    <mergeCell ref="AI17408:AK17408"/>
    <mergeCell ref="AI17405:AK17405"/>
    <mergeCell ref="AI17406:AK17406"/>
    <mergeCell ref="AI17393:AK17393"/>
    <mergeCell ref="AI17394:AK17394"/>
    <mergeCell ref="AI17389:AK17389"/>
    <mergeCell ref="AI17390:AK17390"/>
    <mergeCell ref="AI17385:AK17385"/>
    <mergeCell ref="AI17386:AK17386"/>
    <mergeCell ref="AI17383:AK17383"/>
    <mergeCell ref="AI17384:AK17384"/>
    <mergeCell ref="AI17387:AK17387"/>
    <mergeCell ref="AI17388:AK17388"/>
    <mergeCell ref="AI17377:AK17377"/>
    <mergeCell ref="AI17378:AK17378"/>
    <mergeCell ref="AI17365:AK17365"/>
    <mergeCell ref="AI17366:AK17366"/>
    <mergeCell ref="AI17363:AK17363"/>
    <mergeCell ref="AI17364:AK17364"/>
    <mergeCell ref="AI17371:AK17371"/>
    <mergeCell ref="AI17372:AK17372"/>
    <mergeCell ref="AI17375:AK17375"/>
    <mergeCell ref="AI17376:AK17376"/>
    <mergeCell ref="AI17349:AK17349"/>
    <mergeCell ref="AI17350:AK17350"/>
    <mergeCell ref="AI17357:AK17357"/>
    <mergeCell ref="AI17358:AK17358"/>
    <mergeCell ref="AI17353:AK17353"/>
    <mergeCell ref="AI17354:AK17354"/>
    <mergeCell ref="AI17351:AK17351"/>
    <mergeCell ref="AI17352:AK17352"/>
    <mergeCell ref="AI17355:AK17355"/>
    <mergeCell ref="AI17356:AK17356"/>
    <mergeCell ref="AI17347:AK17347"/>
    <mergeCell ref="AI17348:AK17348"/>
    <mergeCell ref="AI17359:AK17359"/>
    <mergeCell ref="AI17360:AK17360"/>
    <mergeCell ref="AI17373:AK17373"/>
    <mergeCell ref="AI17374:AK17374"/>
    <mergeCell ref="AI17367:AK17367"/>
    <mergeCell ref="AI17368:AK17368"/>
    <mergeCell ref="AI17369:AK17369"/>
    <mergeCell ref="AI17370:AK17370"/>
    <mergeCell ref="AI17361:AK17361"/>
    <mergeCell ref="AI17362:AK17362"/>
    <mergeCell ref="AI17335:AK17335"/>
    <mergeCell ref="AI17336:AK17336"/>
    <mergeCell ref="AI17337:AK17337"/>
    <mergeCell ref="AI17338:AK17338"/>
    <mergeCell ref="AI17339:AK17339"/>
    <mergeCell ref="AI17340:AK17340"/>
    <mergeCell ref="AI17345:AK17345"/>
    <mergeCell ref="AI17346:AK17346"/>
    <mergeCell ref="AI17333:AK17333"/>
    <mergeCell ref="AI17334:AK17334"/>
    <mergeCell ref="AI17331:AK17331"/>
    <mergeCell ref="AI17332:AK17332"/>
    <mergeCell ref="AI17327:AK17327"/>
    <mergeCell ref="AI17328:AK17328"/>
    <mergeCell ref="AI17317:AK17317"/>
    <mergeCell ref="AI17318:AK17318"/>
    <mergeCell ref="AI17315:AK17315"/>
    <mergeCell ref="AI17316:AK17316"/>
    <mergeCell ref="AI17343:AK17343"/>
    <mergeCell ref="AI17344:AK17344"/>
    <mergeCell ref="AI17341:AK17341"/>
    <mergeCell ref="AI17342:AK17342"/>
    <mergeCell ref="AI17329:AK17329"/>
    <mergeCell ref="AI17330:AK17330"/>
    <mergeCell ref="AI17325:AK17325"/>
    <mergeCell ref="AI17326:AK17326"/>
    <mergeCell ref="AI17321:AK17321"/>
    <mergeCell ref="AI17322:AK17322"/>
    <mergeCell ref="AI17319:AK17319"/>
    <mergeCell ref="AI17320:AK17320"/>
    <mergeCell ref="AI17323:AK17323"/>
    <mergeCell ref="AI17324:AK17324"/>
    <mergeCell ref="AI17313:AK17313"/>
    <mergeCell ref="AI17314:AK17314"/>
    <mergeCell ref="AI17301:AK17301"/>
    <mergeCell ref="AI17302:AK17302"/>
    <mergeCell ref="AI17299:AK17299"/>
    <mergeCell ref="AI17300:AK17300"/>
    <mergeCell ref="AI17307:AK17307"/>
    <mergeCell ref="AI17308:AK17308"/>
    <mergeCell ref="AI17311:AK17311"/>
    <mergeCell ref="AI17312:AK17312"/>
    <mergeCell ref="AI17285:AK17285"/>
    <mergeCell ref="AI17286:AK17286"/>
    <mergeCell ref="AI17293:AK17293"/>
    <mergeCell ref="AI17294:AK17294"/>
    <mergeCell ref="AI17289:AK17289"/>
    <mergeCell ref="AI17290:AK17290"/>
    <mergeCell ref="AI17287:AK17287"/>
    <mergeCell ref="AI17288:AK17288"/>
    <mergeCell ref="AI17291:AK17291"/>
    <mergeCell ref="AI17292:AK17292"/>
    <mergeCell ref="AI17283:AK17283"/>
    <mergeCell ref="AI17284:AK17284"/>
    <mergeCell ref="AI17295:AK17295"/>
    <mergeCell ref="AI17296:AK17296"/>
    <mergeCell ref="AI17309:AK17309"/>
    <mergeCell ref="AI17310:AK17310"/>
    <mergeCell ref="AI17303:AK17303"/>
    <mergeCell ref="AI17304:AK17304"/>
    <mergeCell ref="AI17305:AK17305"/>
    <mergeCell ref="AI17306:AK17306"/>
    <mergeCell ref="AI17297:AK17297"/>
    <mergeCell ref="AI17298:AK17298"/>
    <mergeCell ref="AI17271:AK17271"/>
    <mergeCell ref="AI17272:AK17272"/>
    <mergeCell ref="AI17273:AK17273"/>
    <mergeCell ref="AI17274:AK17274"/>
    <mergeCell ref="AI17275:AK17275"/>
    <mergeCell ref="AI17276:AK17276"/>
    <mergeCell ref="AI17281:AK17281"/>
    <mergeCell ref="AI17282:AK17282"/>
    <mergeCell ref="AI17269:AK17269"/>
    <mergeCell ref="AI17270:AK17270"/>
    <mergeCell ref="AI17267:AK17267"/>
    <mergeCell ref="AI17268:AK17268"/>
    <mergeCell ref="AI17263:AK17263"/>
    <mergeCell ref="AI17264:AK17264"/>
    <mergeCell ref="AI17253:AK17253"/>
    <mergeCell ref="AI17254:AK17254"/>
    <mergeCell ref="AI17251:AK17251"/>
    <mergeCell ref="AI17252:AK17252"/>
    <mergeCell ref="AI17279:AK17279"/>
    <mergeCell ref="AI17280:AK17280"/>
    <mergeCell ref="AI17277:AK17277"/>
    <mergeCell ref="AI17278:AK17278"/>
    <mergeCell ref="AI17265:AK17265"/>
    <mergeCell ref="AI17266:AK17266"/>
    <mergeCell ref="AI17261:AK17261"/>
    <mergeCell ref="AI17262:AK17262"/>
    <mergeCell ref="AI17257:AK17257"/>
    <mergeCell ref="AI17258:AK17258"/>
    <mergeCell ref="AI17255:AK17255"/>
    <mergeCell ref="AI17256:AK17256"/>
    <mergeCell ref="AI17259:AK17259"/>
    <mergeCell ref="AI17260:AK17260"/>
    <mergeCell ref="AI17249:AK17249"/>
    <mergeCell ref="AI17250:AK17250"/>
    <mergeCell ref="AI17237:AK17237"/>
    <mergeCell ref="AI17238:AK17238"/>
    <mergeCell ref="AI17235:AK17235"/>
    <mergeCell ref="AI17236:AK17236"/>
    <mergeCell ref="AI17243:AK17243"/>
    <mergeCell ref="AI17244:AK17244"/>
    <mergeCell ref="AI17247:AK17247"/>
    <mergeCell ref="AI17248:AK17248"/>
    <mergeCell ref="AI17221:AK17221"/>
    <mergeCell ref="AI17222:AK17222"/>
    <mergeCell ref="AI17229:AK17229"/>
    <mergeCell ref="AI17230:AK17230"/>
    <mergeCell ref="AI17225:AK17225"/>
    <mergeCell ref="AI17226:AK17226"/>
    <mergeCell ref="AI17223:AK17223"/>
    <mergeCell ref="AI17224:AK17224"/>
    <mergeCell ref="AI17227:AK17227"/>
    <mergeCell ref="AI17228:AK17228"/>
    <mergeCell ref="AI17219:AK17219"/>
    <mergeCell ref="AI17220:AK17220"/>
    <mergeCell ref="AI17231:AK17231"/>
    <mergeCell ref="AI17232:AK17232"/>
    <mergeCell ref="AI17245:AK17245"/>
    <mergeCell ref="AI17246:AK17246"/>
    <mergeCell ref="AI17239:AK17239"/>
    <mergeCell ref="AI17240:AK17240"/>
    <mergeCell ref="AI17241:AK17241"/>
    <mergeCell ref="AI17242:AK17242"/>
    <mergeCell ref="AI17233:AK17233"/>
    <mergeCell ref="AI17234:AK17234"/>
    <mergeCell ref="AI17207:AK17207"/>
    <mergeCell ref="AI17208:AK17208"/>
    <mergeCell ref="AI17209:AK17209"/>
    <mergeCell ref="AI17210:AK17210"/>
    <mergeCell ref="AI17211:AK17211"/>
    <mergeCell ref="AI17212:AK17212"/>
    <mergeCell ref="AI17217:AK17217"/>
    <mergeCell ref="AI17218:AK17218"/>
    <mergeCell ref="AI17205:AK17205"/>
    <mergeCell ref="AI17206:AK17206"/>
    <mergeCell ref="AI17203:AK17203"/>
    <mergeCell ref="AI17204:AK17204"/>
    <mergeCell ref="AI17199:AK17199"/>
    <mergeCell ref="AI17200:AK17200"/>
    <mergeCell ref="AI17189:AK17189"/>
    <mergeCell ref="AI17190:AK17190"/>
    <mergeCell ref="AI17187:AK17187"/>
    <mergeCell ref="AI17188:AK17188"/>
    <mergeCell ref="AI17215:AK17215"/>
    <mergeCell ref="AI17216:AK17216"/>
    <mergeCell ref="AI17213:AK17213"/>
    <mergeCell ref="AI17214:AK17214"/>
    <mergeCell ref="AI17201:AK17201"/>
    <mergeCell ref="AI17202:AK17202"/>
    <mergeCell ref="AI17197:AK17197"/>
    <mergeCell ref="AI17198:AK17198"/>
    <mergeCell ref="AI17193:AK17193"/>
    <mergeCell ref="AI17194:AK17194"/>
    <mergeCell ref="AI17191:AK17191"/>
    <mergeCell ref="AI17192:AK17192"/>
    <mergeCell ref="AI17195:AK17195"/>
    <mergeCell ref="AI17196:AK17196"/>
    <mergeCell ref="AI17185:AK17185"/>
    <mergeCell ref="AI17186:AK17186"/>
    <mergeCell ref="AI17173:AK17173"/>
    <mergeCell ref="AI17174:AK17174"/>
    <mergeCell ref="AI17171:AK17171"/>
    <mergeCell ref="AI17172:AK17172"/>
    <mergeCell ref="AI17179:AK17179"/>
    <mergeCell ref="AI17180:AK17180"/>
    <mergeCell ref="AI17183:AK17183"/>
    <mergeCell ref="AI17184:AK17184"/>
    <mergeCell ref="AI17157:AK17157"/>
    <mergeCell ref="AI17158:AK17158"/>
    <mergeCell ref="AI17165:AK17165"/>
    <mergeCell ref="AI17166:AK17166"/>
    <mergeCell ref="AI17161:AK17161"/>
    <mergeCell ref="AI17162:AK17162"/>
    <mergeCell ref="AI17159:AK17159"/>
    <mergeCell ref="AI17160:AK17160"/>
    <mergeCell ref="AI17163:AK17163"/>
    <mergeCell ref="AI17164:AK17164"/>
    <mergeCell ref="AI17155:AK17155"/>
    <mergeCell ref="AI17156:AK17156"/>
    <mergeCell ref="AI17167:AK17167"/>
    <mergeCell ref="AI17168:AK17168"/>
    <mergeCell ref="AI17181:AK17181"/>
    <mergeCell ref="AI17182:AK17182"/>
    <mergeCell ref="AI17175:AK17175"/>
    <mergeCell ref="AI17176:AK17176"/>
    <mergeCell ref="AI17177:AK17177"/>
    <mergeCell ref="AI17178:AK17178"/>
    <mergeCell ref="AI17169:AK17169"/>
    <mergeCell ref="AI17170:AK17170"/>
    <mergeCell ref="AI17143:AK17143"/>
    <mergeCell ref="AI17144:AK17144"/>
    <mergeCell ref="AI17145:AK17145"/>
    <mergeCell ref="AI17146:AK17146"/>
    <mergeCell ref="AI17147:AK17147"/>
    <mergeCell ref="AI17148:AK17148"/>
    <mergeCell ref="AI17153:AK17153"/>
    <mergeCell ref="AI17154:AK17154"/>
    <mergeCell ref="AI17141:AK17141"/>
    <mergeCell ref="AI17142:AK17142"/>
    <mergeCell ref="AI17139:AK17139"/>
    <mergeCell ref="AI17140:AK17140"/>
    <mergeCell ref="AI17135:AK17135"/>
    <mergeCell ref="AI17136:AK17136"/>
    <mergeCell ref="AI17125:AK17125"/>
    <mergeCell ref="AI17126:AK17126"/>
    <mergeCell ref="AI17123:AK17123"/>
    <mergeCell ref="AI17124:AK17124"/>
    <mergeCell ref="AI17151:AK17151"/>
    <mergeCell ref="AI17152:AK17152"/>
    <mergeCell ref="AI17149:AK17149"/>
    <mergeCell ref="AI17150:AK17150"/>
    <mergeCell ref="AI17137:AK17137"/>
    <mergeCell ref="AI17138:AK17138"/>
    <mergeCell ref="AI17133:AK17133"/>
    <mergeCell ref="AI17134:AK17134"/>
    <mergeCell ref="AI17129:AK17129"/>
    <mergeCell ref="AI17130:AK17130"/>
    <mergeCell ref="AI17127:AK17127"/>
    <mergeCell ref="AI17128:AK17128"/>
    <mergeCell ref="AI17131:AK17131"/>
    <mergeCell ref="AI17132:AK17132"/>
    <mergeCell ref="AI17121:AK17121"/>
    <mergeCell ref="AI17122:AK17122"/>
    <mergeCell ref="AI17109:AK17109"/>
    <mergeCell ref="AI17110:AK17110"/>
    <mergeCell ref="AI17107:AK17107"/>
    <mergeCell ref="AI17108:AK17108"/>
    <mergeCell ref="AI17115:AK17115"/>
    <mergeCell ref="AI17116:AK17116"/>
    <mergeCell ref="AI17119:AK17119"/>
    <mergeCell ref="AI17120:AK17120"/>
    <mergeCell ref="AI17093:AK17093"/>
    <mergeCell ref="AI17094:AK17094"/>
    <mergeCell ref="AI17101:AK17101"/>
    <mergeCell ref="AI17102:AK17102"/>
    <mergeCell ref="AI17097:AK17097"/>
    <mergeCell ref="AI17098:AK17098"/>
    <mergeCell ref="AI17095:AK17095"/>
    <mergeCell ref="AI17096:AK17096"/>
    <mergeCell ref="AI17099:AK17099"/>
    <mergeCell ref="AI17100:AK17100"/>
    <mergeCell ref="AI17091:AK17091"/>
    <mergeCell ref="AI17092:AK17092"/>
    <mergeCell ref="AI17103:AK17103"/>
    <mergeCell ref="AI17104:AK17104"/>
    <mergeCell ref="AI17117:AK17117"/>
    <mergeCell ref="AI17118:AK17118"/>
    <mergeCell ref="AI17111:AK17111"/>
    <mergeCell ref="AI17112:AK17112"/>
    <mergeCell ref="AI17113:AK17113"/>
    <mergeCell ref="AI17114:AK17114"/>
    <mergeCell ref="AI17105:AK17105"/>
    <mergeCell ref="AI17106:AK17106"/>
    <mergeCell ref="AI17079:AK17079"/>
    <mergeCell ref="AI17080:AK17080"/>
    <mergeCell ref="AI17081:AK17081"/>
    <mergeCell ref="AI17082:AK17082"/>
    <mergeCell ref="AI17083:AK17083"/>
    <mergeCell ref="AI17084:AK17084"/>
    <mergeCell ref="AI17089:AK17089"/>
    <mergeCell ref="AI17090:AK17090"/>
    <mergeCell ref="AI17077:AK17077"/>
    <mergeCell ref="AI17078:AK17078"/>
    <mergeCell ref="AI17075:AK17075"/>
    <mergeCell ref="AI17076:AK17076"/>
    <mergeCell ref="AI17071:AK17071"/>
    <mergeCell ref="AI17072:AK17072"/>
    <mergeCell ref="AI17061:AK17061"/>
    <mergeCell ref="AI17062:AK17062"/>
    <mergeCell ref="AI17059:AK17059"/>
    <mergeCell ref="AI17060:AK17060"/>
    <mergeCell ref="AI17087:AK17087"/>
    <mergeCell ref="AI17088:AK17088"/>
    <mergeCell ref="AI17085:AK17085"/>
    <mergeCell ref="AI17086:AK17086"/>
    <mergeCell ref="AI17073:AK17073"/>
    <mergeCell ref="AI17074:AK17074"/>
    <mergeCell ref="AI17069:AK17069"/>
    <mergeCell ref="AI17070:AK17070"/>
    <mergeCell ref="AI17065:AK17065"/>
    <mergeCell ref="AI17066:AK17066"/>
    <mergeCell ref="AI17063:AK17063"/>
    <mergeCell ref="AI17064:AK17064"/>
    <mergeCell ref="AI17067:AK17067"/>
    <mergeCell ref="AI17068:AK17068"/>
    <mergeCell ref="AI17057:AK17057"/>
    <mergeCell ref="AI17058:AK17058"/>
    <mergeCell ref="AI17045:AK17045"/>
    <mergeCell ref="AI17046:AK17046"/>
    <mergeCell ref="AI17043:AK17043"/>
    <mergeCell ref="AI17044:AK17044"/>
    <mergeCell ref="AI17051:AK17051"/>
    <mergeCell ref="AI17052:AK17052"/>
    <mergeCell ref="AI17055:AK17055"/>
    <mergeCell ref="AI17056:AK17056"/>
    <mergeCell ref="AI17029:AK17029"/>
    <mergeCell ref="AI17030:AK17030"/>
    <mergeCell ref="AI17037:AK17037"/>
    <mergeCell ref="AI17038:AK17038"/>
    <mergeCell ref="AI17033:AK17033"/>
    <mergeCell ref="AI17034:AK17034"/>
    <mergeCell ref="AI17031:AK17031"/>
    <mergeCell ref="AI17032:AK17032"/>
    <mergeCell ref="AI17035:AK17035"/>
    <mergeCell ref="AI17036:AK17036"/>
    <mergeCell ref="AI17027:AK17027"/>
    <mergeCell ref="AI17028:AK17028"/>
    <mergeCell ref="AI17039:AK17039"/>
    <mergeCell ref="AI17040:AK17040"/>
    <mergeCell ref="AI17053:AK17053"/>
    <mergeCell ref="AI17054:AK17054"/>
    <mergeCell ref="AI17047:AK17047"/>
    <mergeCell ref="AI17048:AK17048"/>
    <mergeCell ref="AI17049:AK17049"/>
    <mergeCell ref="AI17050:AK17050"/>
    <mergeCell ref="AI17041:AK17041"/>
    <mergeCell ref="AI17042:AK17042"/>
    <mergeCell ref="AI17015:AK17015"/>
    <mergeCell ref="AI17016:AK17016"/>
    <mergeCell ref="AI17017:AK17017"/>
    <mergeCell ref="AI17018:AK17018"/>
    <mergeCell ref="AI17019:AK17019"/>
    <mergeCell ref="AI17020:AK17020"/>
    <mergeCell ref="AI17025:AK17025"/>
    <mergeCell ref="AI17026:AK17026"/>
    <mergeCell ref="AI17013:AK17013"/>
    <mergeCell ref="AI17014:AK17014"/>
    <mergeCell ref="AI17011:AK17011"/>
    <mergeCell ref="AI17012:AK17012"/>
    <mergeCell ref="AI17007:AK17007"/>
    <mergeCell ref="AI17008:AK17008"/>
    <mergeCell ref="AI16997:AK16997"/>
    <mergeCell ref="AI16998:AK16998"/>
    <mergeCell ref="AI16995:AK16995"/>
    <mergeCell ref="AI16996:AK16996"/>
    <mergeCell ref="AI17023:AK17023"/>
    <mergeCell ref="AI17024:AK17024"/>
    <mergeCell ref="AI17021:AK17021"/>
    <mergeCell ref="AI17022:AK17022"/>
    <mergeCell ref="AI17009:AK17009"/>
    <mergeCell ref="AI17010:AK17010"/>
    <mergeCell ref="AI17005:AK17005"/>
    <mergeCell ref="AI17006:AK17006"/>
    <mergeCell ref="AI17001:AK17001"/>
    <mergeCell ref="AI17002:AK17002"/>
    <mergeCell ref="AI16999:AK16999"/>
    <mergeCell ref="AI17000:AK17000"/>
    <mergeCell ref="AI17003:AK17003"/>
    <mergeCell ref="AI17004:AK17004"/>
    <mergeCell ref="AI16993:AK16993"/>
    <mergeCell ref="AI16994:AK16994"/>
    <mergeCell ref="AI16981:AK16981"/>
    <mergeCell ref="AI16982:AK16982"/>
    <mergeCell ref="AI16979:AK16979"/>
    <mergeCell ref="AI16980:AK16980"/>
    <mergeCell ref="AI16987:AK16987"/>
    <mergeCell ref="AI16988:AK16988"/>
    <mergeCell ref="AI16991:AK16991"/>
    <mergeCell ref="AI16992:AK16992"/>
    <mergeCell ref="AI16965:AK16965"/>
    <mergeCell ref="AI16966:AK16966"/>
    <mergeCell ref="AI16973:AK16973"/>
    <mergeCell ref="AI16974:AK16974"/>
    <mergeCell ref="AI16969:AK16969"/>
    <mergeCell ref="AI16970:AK16970"/>
    <mergeCell ref="AI16967:AK16967"/>
    <mergeCell ref="AI16968:AK16968"/>
    <mergeCell ref="AI16971:AK16971"/>
    <mergeCell ref="AI16972:AK16972"/>
    <mergeCell ref="AI16963:AK16963"/>
    <mergeCell ref="AI16964:AK16964"/>
    <mergeCell ref="AI16975:AK16975"/>
    <mergeCell ref="AI16976:AK16976"/>
    <mergeCell ref="AI16989:AK16989"/>
    <mergeCell ref="AI16990:AK16990"/>
    <mergeCell ref="AI16983:AK16983"/>
    <mergeCell ref="AI16984:AK16984"/>
    <mergeCell ref="AI16985:AK16985"/>
    <mergeCell ref="AI16986:AK16986"/>
    <mergeCell ref="AI16977:AK16977"/>
    <mergeCell ref="AI16978:AK16978"/>
    <mergeCell ref="AI16951:AK16951"/>
    <mergeCell ref="AI16952:AK16952"/>
    <mergeCell ref="AI16953:AK16953"/>
    <mergeCell ref="AI16954:AK16954"/>
    <mergeCell ref="AI16955:AK16955"/>
    <mergeCell ref="AI16956:AK16956"/>
    <mergeCell ref="AI16961:AK16961"/>
    <mergeCell ref="AI16962:AK16962"/>
    <mergeCell ref="AI16949:AK16949"/>
    <mergeCell ref="AI16950:AK16950"/>
    <mergeCell ref="AI16947:AK16947"/>
    <mergeCell ref="AI16948:AK16948"/>
    <mergeCell ref="AI16943:AK16943"/>
    <mergeCell ref="AI16944:AK16944"/>
    <mergeCell ref="AI16933:AK16933"/>
    <mergeCell ref="AI16934:AK16934"/>
    <mergeCell ref="AI16931:AK16931"/>
    <mergeCell ref="AI16932:AK16932"/>
    <mergeCell ref="AI16959:AK16959"/>
    <mergeCell ref="AI16960:AK16960"/>
    <mergeCell ref="AI16957:AK16957"/>
    <mergeCell ref="AI16958:AK16958"/>
    <mergeCell ref="AI16945:AK16945"/>
    <mergeCell ref="AI16946:AK16946"/>
    <mergeCell ref="AI16941:AK16941"/>
    <mergeCell ref="AI16942:AK16942"/>
    <mergeCell ref="AI16937:AK16937"/>
    <mergeCell ref="AI16938:AK16938"/>
    <mergeCell ref="AI16935:AK16935"/>
    <mergeCell ref="AI16936:AK16936"/>
    <mergeCell ref="AI16939:AK16939"/>
    <mergeCell ref="AI16940:AK16940"/>
    <mergeCell ref="AI16929:AK16929"/>
    <mergeCell ref="AI16930:AK16930"/>
    <mergeCell ref="AI16917:AK16917"/>
    <mergeCell ref="AI16918:AK16918"/>
    <mergeCell ref="AI16915:AK16915"/>
    <mergeCell ref="AI16916:AK16916"/>
    <mergeCell ref="AI16923:AK16923"/>
    <mergeCell ref="AI16924:AK16924"/>
    <mergeCell ref="AI16927:AK16927"/>
    <mergeCell ref="AI16928:AK16928"/>
    <mergeCell ref="AI16901:AK16901"/>
    <mergeCell ref="AI16902:AK16902"/>
    <mergeCell ref="AI16909:AK16909"/>
    <mergeCell ref="AI16910:AK16910"/>
    <mergeCell ref="AI16905:AK16905"/>
    <mergeCell ref="AI16906:AK16906"/>
    <mergeCell ref="AI16903:AK16903"/>
    <mergeCell ref="AI16904:AK16904"/>
    <mergeCell ref="AI16907:AK16907"/>
    <mergeCell ref="AI16908:AK16908"/>
    <mergeCell ref="AI16899:AK16899"/>
    <mergeCell ref="AI16900:AK16900"/>
    <mergeCell ref="AI16911:AK16911"/>
    <mergeCell ref="AI16912:AK16912"/>
    <mergeCell ref="AI16925:AK16925"/>
    <mergeCell ref="AI16926:AK16926"/>
    <mergeCell ref="AI16919:AK16919"/>
    <mergeCell ref="AI16920:AK16920"/>
    <mergeCell ref="AI16921:AK16921"/>
    <mergeCell ref="AI16922:AK16922"/>
    <mergeCell ref="AI16913:AK16913"/>
    <mergeCell ref="AI16914:AK16914"/>
    <mergeCell ref="AI16887:AK16887"/>
    <mergeCell ref="AI16888:AK16888"/>
    <mergeCell ref="AI16889:AK16889"/>
    <mergeCell ref="AI16890:AK16890"/>
    <mergeCell ref="AI16891:AK16891"/>
    <mergeCell ref="AI16892:AK16892"/>
    <mergeCell ref="AI16897:AK16897"/>
    <mergeCell ref="AI16898:AK16898"/>
    <mergeCell ref="AI16885:AK16885"/>
    <mergeCell ref="AI16886:AK16886"/>
    <mergeCell ref="AI16883:AK16883"/>
    <mergeCell ref="AI16884:AK16884"/>
    <mergeCell ref="AI16879:AK16879"/>
    <mergeCell ref="AI16880:AK16880"/>
    <mergeCell ref="AI16869:AK16869"/>
    <mergeCell ref="AI16870:AK16870"/>
    <mergeCell ref="AI16867:AK16867"/>
    <mergeCell ref="AI16868:AK16868"/>
    <mergeCell ref="AI16895:AK16895"/>
    <mergeCell ref="AI16896:AK16896"/>
    <mergeCell ref="AI16893:AK16893"/>
    <mergeCell ref="AI16894:AK16894"/>
    <mergeCell ref="AI16881:AK16881"/>
    <mergeCell ref="AI16882:AK16882"/>
    <mergeCell ref="AI16877:AK16877"/>
    <mergeCell ref="AI16878:AK16878"/>
    <mergeCell ref="AI16873:AK16873"/>
    <mergeCell ref="AI16874:AK16874"/>
    <mergeCell ref="AI16871:AK16871"/>
    <mergeCell ref="AI16872:AK16872"/>
    <mergeCell ref="AI16875:AK16875"/>
    <mergeCell ref="AI16876:AK16876"/>
    <mergeCell ref="AI16865:AK16865"/>
    <mergeCell ref="AI16866:AK16866"/>
    <mergeCell ref="AI16853:AK16853"/>
    <mergeCell ref="AI16854:AK16854"/>
    <mergeCell ref="AI16851:AK16851"/>
    <mergeCell ref="AI16852:AK16852"/>
    <mergeCell ref="AI16859:AK16859"/>
    <mergeCell ref="AI16860:AK16860"/>
    <mergeCell ref="AI16863:AK16863"/>
    <mergeCell ref="AI16864:AK16864"/>
    <mergeCell ref="AI16837:AK16837"/>
    <mergeCell ref="AI16838:AK16838"/>
    <mergeCell ref="AI16845:AK16845"/>
    <mergeCell ref="AI16846:AK16846"/>
    <mergeCell ref="AI16841:AK16841"/>
    <mergeCell ref="AI16842:AK16842"/>
    <mergeCell ref="AI16839:AK16839"/>
    <mergeCell ref="AI16840:AK16840"/>
    <mergeCell ref="AI16843:AK16843"/>
    <mergeCell ref="AI16844:AK16844"/>
    <mergeCell ref="AI16835:AK16835"/>
    <mergeCell ref="AI16836:AK16836"/>
    <mergeCell ref="AI16847:AK16847"/>
    <mergeCell ref="AI16848:AK16848"/>
    <mergeCell ref="AI16861:AK16861"/>
    <mergeCell ref="AI16862:AK16862"/>
    <mergeCell ref="AI16855:AK16855"/>
    <mergeCell ref="AI16856:AK16856"/>
    <mergeCell ref="AI16857:AK16857"/>
    <mergeCell ref="AI16858:AK16858"/>
    <mergeCell ref="AI16849:AK16849"/>
    <mergeCell ref="AI16850:AK16850"/>
    <mergeCell ref="AI16823:AK16823"/>
    <mergeCell ref="AI16824:AK16824"/>
    <mergeCell ref="AI16825:AK16825"/>
    <mergeCell ref="AI16826:AK16826"/>
    <mergeCell ref="AI16827:AK16827"/>
    <mergeCell ref="AI16828:AK16828"/>
    <mergeCell ref="AI16833:AK16833"/>
    <mergeCell ref="AI16834:AK16834"/>
    <mergeCell ref="AI16821:AK16821"/>
    <mergeCell ref="AI16822:AK16822"/>
    <mergeCell ref="AI16819:AK16819"/>
    <mergeCell ref="AI16820:AK16820"/>
    <mergeCell ref="AI16815:AK16815"/>
    <mergeCell ref="AI16816:AK16816"/>
    <mergeCell ref="AI16805:AK16805"/>
    <mergeCell ref="AI16806:AK16806"/>
    <mergeCell ref="AI16803:AK16803"/>
    <mergeCell ref="AI16804:AK16804"/>
    <mergeCell ref="AI16831:AK16831"/>
    <mergeCell ref="AI16832:AK16832"/>
    <mergeCell ref="AI16829:AK16829"/>
    <mergeCell ref="AI16830:AK16830"/>
    <mergeCell ref="AI16817:AK16817"/>
    <mergeCell ref="AI16818:AK16818"/>
    <mergeCell ref="AI16813:AK16813"/>
    <mergeCell ref="AI16814:AK16814"/>
    <mergeCell ref="AI16809:AK16809"/>
    <mergeCell ref="AI16810:AK16810"/>
    <mergeCell ref="AI16807:AK16807"/>
    <mergeCell ref="AI16808:AK16808"/>
    <mergeCell ref="AI16811:AK16811"/>
    <mergeCell ref="AI16812:AK16812"/>
    <mergeCell ref="AI16801:AK16801"/>
    <mergeCell ref="AI16802:AK16802"/>
    <mergeCell ref="AI16789:AK16789"/>
    <mergeCell ref="AI16790:AK16790"/>
    <mergeCell ref="AI16787:AK16787"/>
    <mergeCell ref="AI16788:AK16788"/>
    <mergeCell ref="AI16795:AK16795"/>
    <mergeCell ref="AI16796:AK16796"/>
    <mergeCell ref="AI16799:AK16799"/>
    <mergeCell ref="AI16800:AK16800"/>
    <mergeCell ref="AI16773:AK16773"/>
    <mergeCell ref="AI16774:AK16774"/>
    <mergeCell ref="AI16781:AK16781"/>
    <mergeCell ref="AI16782:AK16782"/>
    <mergeCell ref="AI16777:AK16777"/>
    <mergeCell ref="AI16778:AK16778"/>
    <mergeCell ref="AI16775:AK16775"/>
    <mergeCell ref="AI16776:AK16776"/>
    <mergeCell ref="AI16779:AK16779"/>
    <mergeCell ref="AI16780:AK16780"/>
    <mergeCell ref="AI16771:AK16771"/>
    <mergeCell ref="AI16772:AK16772"/>
    <mergeCell ref="AI16783:AK16783"/>
    <mergeCell ref="AI16784:AK16784"/>
    <mergeCell ref="AI16797:AK16797"/>
    <mergeCell ref="AI16798:AK16798"/>
    <mergeCell ref="AI16791:AK16791"/>
    <mergeCell ref="AI16792:AK16792"/>
    <mergeCell ref="AI16793:AK16793"/>
    <mergeCell ref="AI16794:AK16794"/>
    <mergeCell ref="AI16785:AK16785"/>
    <mergeCell ref="AI16786:AK16786"/>
    <mergeCell ref="AI16759:AK16759"/>
    <mergeCell ref="AI16760:AK16760"/>
    <mergeCell ref="AI16761:AK16761"/>
    <mergeCell ref="AI16762:AK16762"/>
    <mergeCell ref="AI16763:AK16763"/>
    <mergeCell ref="AI16764:AK16764"/>
    <mergeCell ref="AI16769:AK16769"/>
    <mergeCell ref="AI16770:AK16770"/>
    <mergeCell ref="AI16757:AK16757"/>
    <mergeCell ref="AI16758:AK16758"/>
    <mergeCell ref="AI16755:AK16755"/>
    <mergeCell ref="AI16756:AK16756"/>
    <mergeCell ref="AI16751:AK16751"/>
    <mergeCell ref="AI16752:AK16752"/>
    <mergeCell ref="AI16741:AK16741"/>
    <mergeCell ref="AI16742:AK16742"/>
    <mergeCell ref="AI16739:AK16739"/>
    <mergeCell ref="AI16740:AK16740"/>
    <mergeCell ref="AI16767:AK16767"/>
    <mergeCell ref="AI16768:AK16768"/>
    <mergeCell ref="AI16765:AK16765"/>
    <mergeCell ref="AI16766:AK16766"/>
    <mergeCell ref="AI16753:AK16753"/>
    <mergeCell ref="AI16754:AK16754"/>
    <mergeCell ref="AI16749:AK16749"/>
    <mergeCell ref="AI16750:AK16750"/>
    <mergeCell ref="AI16745:AK16745"/>
    <mergeCell ref="AI16746:AK16746"/>
    <mergeCell ref="AI16743:AK16743"/>
    <mergeCell ref="AI16744:AK16744"/>
    <mergeCell ref="AI16747:AK16747"/>
    <mergeCell ref="AI16748:AK16748"/>
    <mergeCell ref="AI16737:AK16737"/>
    <mergeCell ref="AI16738:AK16738"/>
    <mergeCell ref="AI16725:AK16725"/>
    <mergeCell ref="AI16726:AK16726"/>
    <mergeCell ref="AI16723:AK16723"/>
    <mergeCell ref="AI16724:AK16724"/>
    <mergeCell ref="AI16731:AK16731"/>
    <mergeCell ref="AI16732:AK16732"/>
    <mergeCell ref="AI16735:AK16735"/>
    <mergeCell ref="AI16736:AK16736"/>
    <mergeCell ref="AI16709:AK16709"/>
    <mergeCell ref="AI16710:AK16710"/>
    <mergeCell ref="AI16717:AK16717"/>
    <mergeCell ref="AI16718:AK16718"/>
    <mergeCell ref="AI16713:AK16713"/>
    <mergeCell ref="AI16714:AK16714"/>
    <mergeCell ref="AI16711:AK16711"/>
    <mergeCell ref="AI16712:AK16712"/>
    <mergeCell ref="AI16715:AK16715"/>
    <mergeCell ref="AI16716:AK16716"/>
    <mergeCell ref="AI16707:AK16707"/>
    <mergeCell ref="AI16708:AK16708"/>
    <mergeCell ref="AI16719:AK16719"/>
    <mergeCell ref="AI16720:AK16720"/>
    <mergeCell ref="AI16733:AK16733"/>
    <mergeCell ref="AI16734:AK16734"/>
    <mergeCell ref="AI16727:AK16727"/>
    <mergeCell ref="AI16728:AK16728"/>
    <mergeCell ref="AI16729:AK16729"/>
    <mergeCell ref="AI16730:AK16730"/>
    <mergeCell ref="AI16721:AK16721"/>
    <mergeCell ref="AI16722:AK16722"/>
    <mergeCell ref="AI16695:AK16695"/>
    <mergeCell ref="AI16696:AK16696"/>
    <mergeCell ref="AI16697:AK16697"/>
    <mergeCell ref="AI16698:AK16698"/>
    <mergeCell ref="AI16699:AK16699"/>
    <mergeCell ref="AI16700:AK16700"/>
    <mergeCell ref="AI16705:AK16705"/>
    <mergeCell ref="AI16706:AK16706"/>
    <mergeCell ref="AI16693:AK16693"/>
    <mergeCell ref="AI16694:AK16694"/>
    <mergeCell ref="AI16691:AK16691"/>
    <mergeCell ref="AI16692:AK16692"/>
    <mergeCell ref="AI16687:AK16687"/>
    <mergeCell ref="AI16688:AK16688"/>
    <mergeCell ref="AI16677:AK16677"/>
    <mergeCell ref="AI16678:AK16678"/>
    <mergeCell ref="AI16675:AK16675"/>
    <mergeCell ref="AI16676:AK16676"/>
    <mergeCell ref="AI16703:AK16703"/>
    <mergeCell ref="AI16704:AK16704"/>
    <mergeCell ref="AI16701:AK16701"/>
    <mergeCell ref="AI16702:AK16702"/>
    <mergeCell ref="AI16689:AK16689"/>
    <mergeCell ref="AI16690:AK16690"/>
    <mergeCell ref="AI16685:AK16685"/>
    <mergeCell ref="AI16686:AK16686"/>
    <mergeCell ref="AI16681:AK16681"/>
    <mergeCell ref="AI16682:AK16682"/>
    <mergeCell ref="AI16679:AK16679"/>
    <mergeCell ref="AI16680:AK16680"/>
    <mergeCell ref="AI16683:AK16683"/>
    <mergeCell ref="AI16684:AK16684"/>
    <mergeCell ref="AI16673:AK16673"/>
    <mergeCell ref="AI16674:AK16674"/>
    <mergeCell ref="AI16661:AK16661"/>
    <mergeCell ref="AI16662:AK16662"/>
    <mergeCell ref="AI16659:AK16659"/>
    <mergeCell ref="AI16660:AK16660"/>
    <mergeCell ref="AI16667:AK16667"/>
    <mergeCell ref="AI16668:AK16668"/>
    <mergeCell ref="AI16671:AK16671"/>
    <mergeCell ref="AI16672:AK16672"/>
    <mergeCell ref="AI16645:AK16645"/>
    <mergeCell ref="AI16646:AK16646"/>
    <mergeCell ref="AI16653:AK16653"/>
    <mergeCell ref="AI16654:AK16654"/>
    <mergeCell ref="AI16649:AK16649"/>
    <mergeCell ref="AI16650:AK16650"/>
    <mergeCell ref="AI16647:AK16647"/>
    <mergeCell ref="AI16648:AK16648"/>
    <mergeCell ref="AI16651:AK16651"/>
    <mergeCell ref="AI16652:AK16652"/>
    <mergeCell ref="AI16643:AK16643"/>
    <mergeCell ref="AI16644:AK16644"/>
    <mergeCell ref="AI16655:AK16655"/>
    <mergeCell ref="AI16656:AK16656"/>
    <mergeCell ref="AI16669:AK16669"/>
    <mergeCell ref="AI16670:AK16670"/>
    <mergeCell ref="AI16663:AK16663"/>
    <mergeCell ref="AI16664:AK16664"/>
    <mergeCell ref="AI16665:AK16665"/>
    <mergeCell ref="AI16666:AK16666"/>
    <mergeCell ref="AI16657:AK16657"/>
    <mergeCell ref="AI16658:AK16658"/>
    <mergeCell ref="AI16631:AK16631"/>
    <mergeCell ref="AI16632:AK16632"/>
    <mergeCell ref="AI16633:AK16633"/>
    <mergeCell ref="AI16634:AK16634"/>
    <mergeCell ref="AI16635:AK16635"/>
    <mergeCell ref="AI16636:AK16636"/>
    <mergeCell ref="AI16641:AK16641"/>
    <mergeCell ref="AI16642:AK16642"/>
    <mergeCell ref="AI16629:AK16629"/>
    <mergeCell ref="AI16630:AK16630"/>
    <mergeCell ref="AI16627:AK16627"/>
    <mergeCell ref="AI16628:AK16628"/>
    <mergeCell ref="AI16623:AK16623"/>
    <mergeCell ref="AI16624:AK16624"/>
    <mergeCell ref="AI16613:AK16613"/>
    <mergeCell ref="AI16614:AK16614"/>
    <mergeCell ref="AI16611:AK16611"/>
    <mergeCell ref="AI16612:AK16612"/>
    <mergeCell ref="AI16639:AK16639"/>
    <mergeCell ref="AI16640:AK16640"/>
    <mergeCell ref="AI16637:AK16637"/>
    <mergeCell ref="AI16638:AK16638"/>
    <mergeCell ref="AI16625:AK16625"/>
    <mergeCell ref="AI16626:AK16626"/>
    <mergeCell ref="AI16621:AK16621"/>
    <mergeCell ref="AI16622:AK16622"/>
    <mergeCell ref="AI16617:AK16617"/>
    <mergeCell ref="AI16618:AK16618"/>
    <mergeCell ref="AI16615:AK16615"/>
    <mergeCell ref="AI16616:AK16616"/>
    <mergeCell ref="AI16619:AK16619"/>
    <mergeCell ref="AI16620:AK16620"/>
    <mergeCell ref="AI16609:AK16609"/>
    <mergeCell ref="AI16610:AK16610"/>
    <mergeCell ref="AI16597:AK16597"/>
    <mergeCell ref="AI16598:AK16598"/>
    <mergeCell ref="AI16595:AK16595"/>
    <mergeCell ref="AI16596:AK16596"/>
    <mergeCell ref="AI16603:AK16603"/>
    <mergeCell ref="AI16604:AK16604"/>
    <mergeCell ref="AI16607:AK16607"/>
    <mergeCell ref="AI16608:AK16608"/>
    <mergeCell ref="AI16581:AK16581"/>
    <mergeCell ref="AI16582:AK16582"/>
    <mergeCell ref="AI16589:AK16589"/>
    <mergeCell ref="AI16590:AK16590"/>
    <mergeCell ref="AI16585:AK16585"/>
    <mergeCell ref="AI16586:AK16586"/>
    <mergeCell ref="AI16583:AK16583"/>
    <mergeCell ref="AI16584:AK16584"/>
    <mergeCell ref="AI16587:AK16587"/>
    <mergeCell ref="AI16588:AK16588"/>
    <mergeCell ref="AI16579:AK16579"/>
    <mergeCell ref="AI16580:AK16580"/>
    <mergeCell ref="AI16591:AK16591"/>
    <mergeCell ref="AI16592:AK16592"/>
    <mergeCell ref="AI16605:AK16605"/>
    <mergeCell ref="AI16606:AK16606"/>
    <mergeCell ref="AI16599:AK16599"/>
    <mergeCell ref="AI16600:AK16600"/>
    <mergeCell ref="AI16601:AK16601"/>
    <mergeCell ref="AI16602:AK16602"/>
    <mergeCell ref="AI16593:AK16593"/>
    <mergeCell ref="AI16594:AK16594"/>
    <mergeCell ref="AI16567:AK16567"/>
    <mergeCell ref="AI16568:AK16568"/>
    <mergeCell ref="AI16569:AK16569"/>
    <mergeCell ref="AI16570:AK16570"/>
    <mergeCell ref="AI16571:AK16571"/>
    <mergeCell ref="AI16572:AK16572"/>
    <mergeCell ref="AI16577:AK16577"/>
    <mergeCell ref="AI16578:AK16578"/>
    <mergeCell ref="AI16565:AK16565"/>
    <mergeCell ref="AI16566:AK16566"/>
    <mergeCell ref="AI16563:AK16563"/>
    <mergeCell ref="AI16564:AK16564"/>
    <mergeCell ref="AI16559:AK16559"/>
    <mergeCell ref="AI16560:AK16560"/>
    <mergeCell ref="AI16549:AK16549"/>
    <mergeCell ref="AI16550:AK16550"/>
    <mergeCell ref="AI16547:AK16547"/>
    <mergeCell ref="AI16548:AK16548"/>
    <mergeCell ref="AI16575:AK16575"/>
    <mergeCell ref="AI16576:AK16576"/>
    <mergeCell ref="AI16573:AK16573"/>
    <mergeCell ref="AI16574:AK16574"/>
    <mergeCell ref="AI16561:AK16561"/>
    <mergeCell ref="AI16562:AK16562"/>
    <mergeCell ref="AI16557:AK16557"/>
    <mergeCell ref="AI16558:AK16558"/>
    <mergeCell ref="AI16553:AK16553"/>
    <mergeCell ref="AI16554:AK16554"/>
    <mergeCell ref="AI16551:AK16551"/>
    <mergeCell ref="AI16552:AK16552"/>
    <mergeCell ref="AI16555:AK16555"/>
    <mergeCell ref="AI16556:AK16556"/>
    <mergeCell ref="AI16545:AK16545"/>
    <mergeCell ref="AI16546:AK16546"/>
    <mergeCell ref="AI16533:AK16533"/>
    <mergeCell ref="AI16534:AK16534"/>
    <mergeCell ref="AI16531:AK16531"/>
    <mergeCell ref="AI16532:AK16532"/>
    <mergeCell ref="AI16539:AK16539"/>
    <mergeCell ref="AI16540:AK16540"/>
    <mergeCell ref="AI16543:AK16543"/>
    <mergeCell ref="AI16544:AK16544"/>
    <mergeCell ref="AI16517:AK16517"/>
    <mergeCell ref="AI16518:AK16518"/>
    <mergeCell ref="AI16525:AK16525"/>
    <mergeCell ref="AI16526:AK16526"/>
    <mergeCell ref="AI16521:AK16521"/>
    <mergeCell ref="AI16522:AK16522"/>
    <mergeCell ref="AI16519:AK16519"/>
    <mergeCell ref="AI16520:AK16520"/>
    <mergeCell ref="AI16523:AK16523"/>
    <mergeCell ref="AI16524:AK16524"/>
    <mergeCell ref="AI16515:AK16515"/>
    <mergeCell ref="AI16516:AK16516"/>
    <mergeCell ref="AI16527:AK16527"/>
    <mergeCell ref="AI16528:AK16528"/>
    <mergeCell ref="AI16541:AK16541"/>
    <mergeCell ref="AI16542:AK16542"/>
    <mergeCell ref="AI16535:AK16535"/>
    <mergeCell ref="AI16536:AK16536"/>
    <mergeCell ref="AI16537:AK16537"/>
    <mergeCell ref="AI16538:AK16538"/>
    <mergeCell ref="AI16529:AK16529"/>
    <mergeCell ref="AI16530:AK16530"/>
    <mergeCell ref="AI16503:AK16503"/>
    <mergeCell ref="AI16504:AK16504"/>
    <mergeCell ref="AI16505:AK16505"/>
    <mergeCell ref="AI16506:AK16506"/>
    <mergeCell ref="AI16507:AK16507"/>
    <mergeCell ref="AI16508:AK16508"/>
    <mergeCell ref="AI16513:AK16513"/>
    <mergeCell ref="AI16514:AK16514"/>
    <mergeCell ref="AI16501:AK16501"/>
    <mergeCell ref="AI16502:AK16502"/>
    <mergeCell ref="AI16499:AK16499"/>
    <mergeCell ref="AI16500:AK16500"/>
    <mergeCell ref="AI16495:AK16495"/>
    <mergeCell ref="AI16496:AK16496"/>
    <mergeCell ref="AI16485:AK16485"/>
    <mergeCell ref="AI16486:AK16486"/>
    <mergeCell ref="AI16483:AK16483"/>
    <mergeCell ref="AI16484:AK16484"/>
    <mergeCell ref="AI16511:AK16511"/>
    <mergeCell ref="AI16512:AK16512"/>
    <mergeCell ref="AI16509:AK16509"/>
    <mergeCell ref="AI16510:AK16510"/>
    <mergeCell ref="AI16497:AK16497"/>
    <mergeCell ref="AI16498:AK16498"/>
    <mergeCell ref="AI16493:AK16493"/>
    <mergeCell ref="AI16494:AK16494"/>
    <mergeCell ref="AI16489:AK16489"/>
    <mergeCell ref="AI16490:AK16490"/>
    <mergeCell ref="AI16487:AK16487"/>
    <mergeCell ref="AI16488:AK16488"/>
    <mergeCell ref="AI16491:AK16491"/>
    <mergeCell ref="AI16492:AK16492"/>
    <mergeCell ref="AI16481:AK16481"/>
    <mergeCell ref="AI16482:AK16482"/>
    <mergeCell ref="AI16469:AK16469"/>
    <mergeCell ref="AI16470:AK16470"/>
    <mergeCell ref="AI16467:AK16467"/>
    <mergeCell ref="AI16468:AK16468"/>
    <mergeCell ref="AI16475:AK16475"/>
    <mergeCell ref="AI16476:AK16476"/>
    <mergeCell ref="AI16479:AK16479"/>
    <mergeCell ref="AI16480:AK16480"/>
    <mergeCell ref="AI16453:AK16453"/>
    <mergeCell ref="AI16454:AK16454"/>
    <mergeCell ref="AI16461:AK16461"/>
    <mergeCell ref="AI16462:AK16462"/>
    <mergeCell ref="AI16457:AK16457"/>
    <mergeCell ref="AI16458:AK16458"/>
    <mergeCell ref="AI16455:AK16455"/>
    <mergeCell ref="AI16456:AK16456"/>
    <mergeCell ref="AI16459:AK16459"/>
    <mergeCell ref="AI16460:AK16460"/>
    <mergeCell ref="AI16451:AK16451"/>
    <mergeCell ref="AI16452:AK16452"/>
    <mergeCell ref="AI16463:AK16463"/>
    <mergeCell ref="AI16464:AK16464"/>
    <mergeCell ref="AI16477:AK16477"/>
    <mergeCell ref="AI16478:AK16478"/>
    <mergeCell ref="AI16471:AK16471"/>
    <mergeCell ref="AI16472:AK16472"/>
    <mergeCell ref="AI16473:AK16473"/>
    <mergeCell ref="AI16474:AK16474"/>
    <mergeCell ref="AI16465:AK16465"/>
    <mergeCell ref="AI16466:AK16466"/>
    <mergeCell ref="AI16439:AK16439"/>
    <mergeCell ref="AI16440:AK16440"/>
    <mergeCell ref="AI16441:AK16441"/>
    <mergeCell ref="AI16442:AK16442"/>
    <mergeCell ref="AI16443:AK16443"/>
    <mergeCell ref="AI16444:AK16444"/>
    <mergeCell ref="AI16449:AK16449"/>
    <mergeCell ref="AI16450:AK16450"/>
    <mergeCell ref="AI16437:AK16437"/>
    <mergeCell ref="AI16438:AK16438"/>
    <mergeCell ref="AI16435:AK16435"/>
    <mergeCell ref="AI16436:AK16436"/>
    <mergeCell ref="AI16431:AK16431"/>
    <mergeCell ref="AI16432:AK16432"/>
    <mergeCell ref="AI16421:AK16421"/>
    <mergeCell ref="AI16422:AK16422"/>
    <mergeCell ref="AI16419:AK16419"/>
    <mergeCell ref="AI16420:AK16420"/>
    <mergeCell ref="AI16447:AK16447"/>
    <mergeCell ref="AI16448:AK16448"/>
    <mergeCell ref="AI16445:AK16445"/>
    <mergeCell ref="AI16446:AK16446"/>
    <mergeCell ref="AI16433:AK16433"/>
    <mergeCell ref="AI16434:AK16434"/>
    <mergeCell ref="AI16429:AK16429"/>
    <mergeCell ref="AI16430:AK16430"/>
    <mergeCell ref="AI16425:AK16425"/>
    <mergeCell ref="AI16426:AK16426"/>
    <mergeCell ref="AI16423:AK16423"/>
    <mergeCell ref="AI16424:AK16424"/>
    <mergeCell ref="AI16427:AK16427"/>
    <mergeCell ref="AI16428:AK16428"/>
    <mergeCell ref="AI16417:AK16417"/>
    <mergeCell ref="AI16418:AK16418"/>
    <mergeCell ref="AI16405:AK16405"/>
    <mergeCell ref="AI16406:AK16406"/>
    <mergeCell ref="AI16403:AK16403"/>
    <mergeCell ref="AI16404:AK16404"/>
    <mergeCell ref="AI16411:AK16411"/>
    <mergeCell ref="AI16412:AK16412"/>
    <mergeCell ref="AI16415:AK16415"/>
    <mergeCell ref="AI16416:AK16416"/>
    <mergeCell ref="AI16389:AK16389"/>
    <mergeCell ref="AI16390:AK16390"/>
    <mergeCell ref="AI16397:AK16397"/>
    <mergeCell ref="AI16398:AK16398"/>
    <mergeCell ref="AI16393:AK16393"/>
    <mergeCell ref="AI16394:AK16394"/>
    <mergeCell ref="AI16391:AK16391"/>
    <mergeCell ref="AI16392:AK16392"/>
    <mergeCell ref="AI16395:AK16395"/>
    <mergeCell ref="AI16396:AK16396"/>
    <mergeCell ref="AI16387:AK16387"/>
    <mergeCell ref="AI16388:AK16388"/>
    <mergeCell ref="AI16399:AK16399"/>
    <mergeCell ref="AI16400:AK16400"/>
    <mergeCell ref="AI16413:AK16413"/>
    <mergeCell ref="AI16414:AK16414"/>
    <mergeCell ref="AI16407:AK16407"/>
    <mergeCell ref="AI16408:AK16408"/>
    <mergeCell ref="AI16409:AK16409"/>
    <mergeCell ref="AI16410:AK16410"/>
    <mergeCell ref="AI16401:AK16401"/>
    <mergeCell ref="AI16402:AK16402"/>
    <mergeCell ref="AI16375:AK16375"/>
    <mergeCell ref="AI16376:AK16376"/>
    <mergeCell ref="AI16377:AK16377"/>
    <mergeCell ref="AI16378:AK16378"/>
    <mergeCell ref="AI16379:AK16379"/>
    <mergeCell ref="AI16380:AK16380"/>
    <mergeCell ref="AI16385:AK16385"/>
    <mergeCell ref="AI16386:AK16386"/>
    <mergeCell ref="AI16373:AK16373"/>
    <mergeCell ref="AI16374:AK16374"/>
    <mergeCell ref="AI16371:AK16371"/>
    <mergeCell ref="AI16372:AK16372"/>
    <mergeCell ref="AI16367:AK16367"/>
    <mergeCell ref="AI16368:AK16368"/>
    <mergeCell ref="AI16357:AK16357"/>
    <mergeCell ref="AI16358:AK16358"/>
    <mergeCell ref="AI16355:AK16355"/>
    <mergeCell ref="AI16356:AK16356"/>
    <mergeCell ref="AI16383:AK16383"/>
    <mergeCell ref="AI16384:AK16384"/>
    <mergeCell ref="AI16381:AK16381"/>
    <mergeCell ref="AI16382:AK16382"/>
    <mergeCell ref="AI16369:AK16369"/>
    <mergeCell ref="AI16370:AK16370"/>
    <mergeCell ref="AI16365:AK16365"/>
    <mergeCell ref="AI16366:AK16366"/>
    <mergeCell ref="AI16361:AK16361"/>
    <mergeCell ref="AI16362:AK16362"/>
    <mergeCell ref="AI16359:AK16359"/>
    <mergeCell ref="AI16360:AK16360"/>
    <mergeCell ref="AI16363:AK16363"/>
    <mergeCell ref="AI16364:AK16364"/>
    <mergeCell ref="AI16353:AK16353"/>
    <mergeCell ref="AI16354:AK16354"/>
    <mergeCell ref="AI16341:AK16341"/>
    <mergeCell ref="AI16342:AK16342"/>
    <mergeCell ref="AI16339:AK16339"/>
    <mergeCell ref="AI16340:AK16340"/>
    <mergeCell ref="AI16347:AK16347"/>
    <mergeCell ref="AI16348:AK16348"/>
    <mergeCell ref="AI16351:AK16351"/>
    <mergeCell ref="AI16352:AK16352"/>
    <mergeCell ref="AI16325:AK16325"/>
    <mergeCell ref="AI16326:AK16326"/>
    <mergeCell ref="AI16333:AK16333"/>
    <mergeCell ref="AI16334:AK16334"/>
    <mergeCell ref="AI16329:AK16329"/>
    <mergeCell ref="AI16330:AK16330"/>
    <mergeCell ref="AI16327:AK16327"/>
    <mergeCell ref="AI16328:AK16328"/>
    <mergeCell ref="AI16331:AK16331"/>
    <mergeCell ref="AI16332:AK16332"/>
    <mergeCell ref="AI16323:AK16323"/>
    <mergeCell ref="AI16324:AK16324"/>
    <mergeCell ref="AI16335:AK16335"/>
    <mergeCell ref="AI16336:AK16336"/>
    <mergeCell ref="AI16349:AK16349"/>
    <mergeCell ref="AI16350:AK16350"/>
    <mergeCell ref="AI16343:AK16343"/>
    <mergeCell ref="AI16344:AK16344"/>
    <mergeCell ref="AI16345:AK16345"/>
    <mergeCell ref="AI16346:AK16346"/>
    <mergeCell ref="AI16337:AK16337"/>
    <mergeCell ref="AI16338:AK16338"/>
    <mergeCell ref="AI16311:AK16311"/>
    <mergeCell ref="AI16312:AK16312"/>
    <mergeCell ref="AI16313:AK16313"/>
    <mergeCell ref="AI16314:AK16314"/>
    <mergeCell ref="AI16315:AK16315"/>
    <mergeCell ref="AI16316:AK16316"/>
    <mergeCell ref="AI16321:AK16321"/>
    <mergeCell ref="AI16322:AK16322"/>
    <mergeCell ref="AI16309:AK16309"/>
    <mergeCell ref="AI16310:AK16310"/>
    <mergeCell ref="AI16307:AK16307"/>
    <mergeCell ref="AI16308:AK16308"/>
    <mergeCell ref="AI16303:AK16303"/>
    <mergeCell ref="AI16304:AK16304"/>
    <mergeCell ref="AI16293:AK16293"/>
    <mergeCell ref="AI16294:AK16294"/>
    <mergeCell ref="AI16291:AK16291"/>
    <mergeCell ref="AI16292:AK16292"/>
    <mergeCell ref="AI16319:AK16319"/>
    <mergeCell ref="AI16320:AK16320"/>
    <mergeCell ref="AI16317:AK16317"/>
    <mergeCell ref="AI16318:AK16318"/>
    <mergeCell ref="AI16305:AK16305"/>
    <mergeCell ref="AI16306:AK16306"/>
    <mergeCell ref="AI16301:AK16301"/>
    <mergeCell ref="AI16302:AK16302"/>
    <mergeCell ref="AI16297:AK16297"/>
    <mergeCell ref="AI16298:AK16298"/>
    <mergeCell ref="AI16295:AK16295"/>
    <mergeCell ref="AI16296:AK16296"/>
    <mergeCell ref="AI16299:AK16299"/>
    <mergeCell ref="AI16300:AK16300"/>
    <mergeCell ref="AI16289:AK16289"/>
    <mergeCell ref="AI16290:AK16290"/>
    <mergeCell ref="AI16277:AK16277"/>
    <mergeCell ref="AI16278:AK16278"/>
    <mergeCell ref="AI16275:AK16275"/>
    <mergeCell ref="AI16276:AK16276"/>
    <mergeCell ref="AI16283:AK16283"/>
    <mergeCell ref="AI16284:AK16284"/>
    <mergeCell ref="AI16287:AK16287"/>
    <mergeCell ref="AI16288:AK16288"/>
    <mergeCell ref="AI16261:AK16261"/>
    <mergeCell ref="AI16262:AK16262"/>
    <mergeCell ref="AI16269:AK16269"/>
    <mergeCell ref="AI16270:AK16270"/>
    <mergeCell ref="AI16265:AK16265"/>
    <mergeCell ref="AI16266:AK16266"/>
    <mergeCell ref="AI16263:AK16263"/>
    <mergeCell ref="AI16264:AK16264"/>
    <mergeCell ref="AI16267:AK16267"/>
    <mergeCell ref="AI16268:AK16268"/>
    <mergeCell ref="AI16259:AK16259"/>
    <mergeCell ref="AI16260:AK16260"/>
    <mergeCell ref="AI16271:AK16271"/>
    <mergeCell ref="AI16272:AK16272"/>
    <mergeCell ref="AI16285:AK16285"/>
    <mergeCell ref="AI16286:AK16286"/>
    <mergeCell ref="AI16279:AK16279"/>
    <mergeCell ref="AI16280:AK16280"/>
    <mergeCell ref="AI16281:AK16281"/>
    <mergeCell ref="AI16282:AK16282"/>
    <mergeCell ref="AI16273:AK16273"/>
    <mergeCell ref="AI16274:AK16274"/>
    <mergeCell ref="AI16247:AK16247"/>
    <mergeCell ref="AI16248:AK16248"/>
    <mergeCell ref="AI16249:AK16249"/>
    <mergeCell ref="AI16250:AK16250"/>
    <mergeCell ref="AI16251:AK16251"/>
    <mergeCell ref="AI16252:AK16252"/>
    <mergeCell ref="AI16257:AK16257"/>
    <mergeCell ref="AI16258:AK16258"/>
    <mergeCell ref="AI16245:AK16245"/>
    <mergeCell ref="AI16246:AK16246"/>
    <mergeCell ref="AI16243:AK16243"/>
    <mergeCell ref="AI16244:AK16244"/>
    <mergeCell ref="AI16239:AK16239"/>
    <mergeCell ref="AI16240:AK16240"/>
    <mergeCell ref="AI16229:AK16229"/>
    <mergeCell ref="AI16230:AK16230"/>
    <mergeCell ref="AI16227:AK16227"/>
    <mergeCell ref="AI16228:AK16228"/>
    <mergeCell ref="AI16255:AK16255"/>
    <mergeCell ref="AI16256:AK16256"/>
    <mergeCell ref="AI16253:AK16253"/>
    <mergeCell ref="AI16254:AK16254"/>
    <mergeCell ref="AI16241:AK16241"/>
    <mergeCell ref="AI16242:AK16242"/>
    <mergeCell ref="AI16237:AK16237"/>
    <mergeCell ref="AI16238:AK16238"/>
    <mergeCell ref="AI16233:AK16233"/>
    <mergeCell ref="AI16234:AK16234"/>
    <mergeCell ref="AI16231:AK16231"/>
    <mergeCell ref="AI16232:AK16232"/>
    <mergeCell ref="AI16235:AK16235"/>
    <mergeCell ref="AI16236:AK16236"/>
    <mergeCell ref="AI16225:AK16225"/>
    <mergeCell ref="AI16226:AK16226"/>
    <mergeCell ref="AI16213:AK16213"/>
    <mergeCell ref="AI16214:AK16214"/>
    <mergeCell ref="AI16211:AK16211"/>
    <mergeCell ref="AI16212:AK16212"/>
    <mergeCell ref="AI16219:AK16219"/>
    <mergeCell ref="AI16220:AK16220"/>
    <mergeCell ref="AI16223:AK16223"/>
    <mergeCell ref="AI16224:AK16224"/>
    <mergeCell ref="AI16197:AK16197"/>
    <mergeCell ref="AI16198:AK16198"/>
    <mergeCell ref="AI16205:AK16205"/>
    <mergeCell ref="AI16206:AK16206"/>
    <mergeCell ref="AI16201:AK16201"/>
    <mergeCell ref="AI16202:AK16202"/>
    <mergeCell ref="AI16199:AK16199"/>
    <mergeCell ref="AI16200:AK16200"/>
    <mergeCell ref="AI16203:AK16203"/>
    <mergeCell ref="AI16204:AK16204"/>
    <mergeCell ref="AI16195:AK16195"/>
    <mergeCell ref="AI16196:AK16196"/>
    <mergeCell ref="AI16207:AK16207"/>
    <mergeCell ref="AI16208:AK16208"/>
    <mergeCell ref="AI16221:AK16221"/>
    <mergeCell ref="AI16222:AK16222"/>
    <mergeCell ref="AI16215:AK16215"/>
    <mergeCell ref="AI16216:AK16216"/>
    <mergeCell ref="AI16217:AK16217"/>
    <mergeCell ref="AI16218:AK16218"/>
    <mergeCell ref="AI16209:AK16209"/>
    <mergeCell ref="AI16210:AK16210"/>
    <mergeCell ref="AI16183:AK16183"/>
    <mergeCell ref="AI16184:AK16184"/>
    <mergeCell ref="AI16185:AK16185"/>
    <mergeCell ref="AI16186:AK16186"/>
    <mergeCell ref="AI16187:AK16187"/>
    <mergeCell ref="AI16188:AK16188"/>
    <mergeCell ref="AI16193:AK16193"/>
    <mergeCell ref="AI16194:AK16194"/>
    <mergeCell ref="AI16181:AK16181"/>
    <mergeCell ref="AI16182:AK16182"/>
    <mergeCell ref="AI16179:AK16179"/>
    <mergeCell ref="AI16180:AK16180"/>
    <mergeCell ref="AI16175:AK16175"/>
    <mergeCell ref="AI16176:AK16176"/>
    <mergeCell ref="AI16165:AK16165"/>
    <mergeCell ref="AI16166:AK16166"/>
    <mergeCell ref="AI16163:AK16163"/>
    <mergeCell ref="AI16164:AK16164"/>
    <mergeCell ref="AI16191:AK16191"/>
    <mergeCell ref="AI16192:AK16192"/>
    <mergeCell ref="AI16189:AK16189"/>
    <mergeCell ref="AI16190:AK16190"/>
    <mergeCell ref="AI16177:AK16177"/>
    <mergeCell ref="AI16178:AK16178"/>
    <mergeCell ref="AI16173:AK16173"/>
    <mergeCell ref="AI16174:AK16174"/>
    <mergeCell ref="AI16169:AK16169"/>
    <mergeCell ref="AI16170:AK16170"/>
    <mergeCell ref="AI16167:AK16167"/>
    <mergeCell ref="AI16168:AK16168"/>
    <mergeCell ref="AI16171:AK16171"/>
    <mergeCell ref="AI16172:AK16172"/>
    <mergeCell ref="AI16161:AK16161"/>
    <mergeCell ref="AI16162:AK16162"/>
    <mergeCell ref="AI16149:AK16149"/>
    <mergeCell ref="AI16150:AK16150"/>
    <mergeCell ref="AI16147:AK16147"/>
    <mergeCell ref="AI16148:AK16148"/>
    <mergeCell ref="AI16155:AK16155"/>
    <mergeCell ref="AI16156:AK16156"/>
    <mergeCell ref="AI16159:AK16159"/>
    <mergeCell ref="AI16160:AK16160"/>
    <mergeCell ref="AI16133:AK16133"/>
    <mergeCell ref="AI16134:AK16134"/>
    <mergeCell ref="AI16141:AK16141"/>
    <mergeCell ref="AI16142:AK16142"/>
    <mergeCell ref="AI16137:AK16137"/>
    <mergeCell ref="AI16138:AK16138"/>
    <mergeCell ref="AI16135:AK16135"/>
    <mergeCell ref="AI16136:AK16136"/>
    <mergeCell ref="AI16139:AK16139"/>
    <mergeCell ref="AI16140:AK16140"/>
    <mergeCell ref="AI16131:AK16131"/>
    <mergeCell ref="AI16132:AK16132"/>
    <mergeCell ref="AI16143:AK16143"/>
    <mergeCell ref="AI16144:AK16144"/>
    <mergeCell ref="AI16157:AK16157"/>
    <mergeCell ref="AI16158:AK16158"/>
    <mergeCell ref="AI16151:AK16151"/>
    <mergeCell ref="AI16152:AK16152"/>
    <mergeCell ref="AI16153:AK16153"/>
    <mergeCell ref="AI16154:AK16154"/>
    <mergeCell ref="AI16145:AK16145"/>
    <mergeCell ref="AI16146:AK16146"/>
    <mergeCell ref="AI16119:AK16119"/>
    <mergeCell ref="AI16120:AK16120"/>
    <mergeCell ref="AI16121:AK16121"/>
    <mergeCell ref="AI16122:AK16122"/>
    <mergeCell ref="AI16123:AK16123"/>
    <mergeCell ref="AI16124:AK16124"/>
    <mergeCell ref="AI16129:AK16129"/>
    <mergeCell ref="AI16130:AK16130"/>
    <mergeCell ref="AI16117:AK16117"/>
    <mergeCell ref="AI16118:AK16118"/>
    <mergeCell ref="AI16115:AK16115"/>
    <mergeCell ref="AI16116:AK16116"/>
    <mergeCell ref="AI16111:AK16111"/>
    <mergeCell ref="AI16112:AK16112"/>
    <mergeCell ref="AI16101:AK16101"/>
    <mergeCell ref="AI16102:AK16102"/>
    <mergeCell ref="AI16099:AK16099"/>
    <mergeCell ref="AI16100:AK16100"/>
    <mergeCell ref="AI16127:AK16127"/>
    <mergeCell ref="AI16128:AK16128"/>
    <mergeCell ref="AI16125:AK16125"/>
    <mergeCell ref="AI16126:AK16126"/>
    <mergeCell ref="AI16113:AK16113"/>
    <mergeCell ref="AI16114:AK16114"/>
    <mergeCell ref="AI16109:AK16109"/>
    <mergeCell ref="AI16110:AK16110"/>
    <mergeCell ref="AI16105:AK16105"/>
    <mergeCell ref="AI16106:AK16106"/>
    <mergeCell ref="AI16103:AK16103"/>
    <mergeCell ref="AI16104:AK16104"/>
    <mergeCell ref="AI16107:AK16107"/>
    <mergeCell ref="AI16108:AK16108"/>
    <mergeCell ref="AI16097:AK16097"/>
    <mergeCell ref="AI16098:AK16098"/>
    <mergeCell ref="AI16085:AK16085"/>
    <mergeCell ref="AI16086:AK16086"/>
    <mergeCell ref="AI16083:AK16083"/>
    <mergeCell ref="AI16084:AK16084"/>
    <mergeCell ref="AI16091:AK16091"/>
    <mergeCell ref="AI16092:AK16092"/>
    <mergeCell ref="AI16095:AK16095"/>
    <mergeCell ref="AI16096:AK16096"/>
    <mergeCell ref="AI16069:AK16069"/>
    <mergeCell ref="AI16070:AK16070"/>
    <mergeCell ref="AI16077:AK16077"/>
    <mergeCell ref="AI16078:AK16078"/>
    <mergeCell ref="AI16073:AK16073"/>
    <mergeCell ref="AI16074:AK16074"/>
    <mergeCell ref="AI16071:AK16071"/>
    <mergeCell ref="AI16072:AK16072"/>
    <mergeCell ref="AI16075:AK16075"/>
    <mergeCell ref="AI16076:AK16076"/>
    <mergeCell ref="AI16067:AK16067"/>
    <mergeCell ref="AI16068:AK16068"/>
    <mergeCell ref="AI16079:AK16079"/>
    <mergeCell ref="AI16080:AK16080"/>
    <mergeCell ref="AI16093:AK16093"/>
    <mergeCell ref="AI16094:AK16094"/>
    <mergeCell ref="AI16087:AK16087"/>
    <mergeCell ref="AI16088:AK16088"/>
    <mergeCell ref="AI16089:AK16089"/>
    <mergeCell ref="AI16090:AK16090"/>
    <mergeCell ref="AI16081:AK16081"/>
    <mergeCell ref="AI16082:AK16082"/>
    <mergeCell ref="AI16055:AK16055"/>
    <mergeCell ref="AI16056:AK16056"/>
    <mergeCell ref="AI16057:AK16057"/>
    <mergeCell ref="AI16058:AK16058"/>
    <mergeCell ref="AI16059:AK16059"/>
    <mergeCell ref="AI16060:AK16060"/>
    <mergeCell ref="AI16065:AK16065"/>
    <mergeCell ref="AI16066:AK16066"/>
    <mergeCell ref="AI16053:AK16053"/>
    <mergeCell ref="AI16054:AK16054"/>
    <mergeCell ref="AI16051:AK16051"/>
    <mergeCell ref="AI16052:AK16052"/>
    <mergeCell ref="AI16047:AK16047"/>
    <mergeCell ref="AI16048:AK16048"/>
    <mergeCell ref="AI16037:AK16037"/>
    <mergeCell ref="AI16038:AK16038"/>
    <mergeCell ref="AI16035:AK16035"/>
    <mergeCell ref="AI16036:AK16036"/>
    <mergeCell ref="AI16063:AK16063"/>
    <mergeCell ref="AI16064:AK16064"/>
    <mergeCell ref="AI16061:AK16061"/>
    <mergeCell ref="AI16062:AK16062"/>
    <mergeCell ref="AI16049:AK16049"/>
    <mergeCell ref="AI16050:AK16050"/>
    <mergeCell ref="AI16045:AK16045"/>
    <mergeCell ref="AI16046:AK16046"/>
    <mergeCell ref="AI16041:AK16041"/>
    <mergeCell ref="AI16042:AK16042"/>
    <mergeCell ref="AI16039:AK16039"/>
    <mergeCell ref="AI16040:AK16040"/>
    <mergeCell ref="AI16043:AK16043"/>
    <mergeCell ref="AI16044:AK16044"/>
    <mergeCell ref="AI16033:AK16033"/>
    <mergeCell ref="AI16034:AK16034"/>
    <mergeCell ref="AI16021:AK16021"/>
    <mergeCell ref="AI16022:AK16022"/>
    <mergeCell ref="AI16019:AK16019"/>
    <mergeCell ref="AI16020:AK16020"/>
    <mergeCell ref="AI16027:AK16027"/>
    <mergeCell ref="AI16028:AK16028"/>
    <mergeCell ref="AI16031:AK16031"/>
    <mergeCell ref="AI16032:AK16032"/>
    <mergeCell ref="AI16009:AK16009"/>
    <mergeCell ref="AI16010:AK16010"/>
    <mergeCell ref="AI16007:AK16007"/>
    <mergeCell ref="AI16008:AK16008"/>
    <mergeCell ref="AI16011:AK16011"/>
    <mergeCell ref="AI16012:AK16012"/>
    <mergeCell ref="AI16013:AK16013"/>
    <mergeCell ref="AI16014:AK16014"/>
    <mergeCell ref="AI16016:AK16016"/>
    <mergeCell ref="AI16029:AK16029"/>
    <mergeCell ref="AI16030:AK16030"/>
    <mergeCell ref="AI16023:AK16023"/>
    <mergeCell ref="AI16024:AK16024"/>
    <mergeCell ref="AI16025:AK16025"/>
    <mergeCell ref="AI16026:AK16026"/>
    <mergeCell ref="AI16018:AK16018"/>
    <mergeCell ref="AI15991:AK15991"/>
    <mergeCell ref="AI15992:AK15992"/>
    <mergeCell ref="AI15993:AK15993"/>
    <mergeCell ref="AI15994:AK15994"/>
    <mergeCell ref="AI15995:AK15995"/>
    <mergeCell ref="AI15996:AK15996"/>
    <mergeCell ref="AI15983:AK15983"/>
    <mergeCell ref="AI15984:AK15984"/>
    <mergeCell ref="AI16017:AK16017"/>
    <mergeCell ref="AI16004:AK16004"/>
    <mergeCell ref="AI16015:AK16015"/>
    <mergeCell ref="AI16005:AK16005"/>
    <mergeCell ref="AI16006:AK16006"/>
    <mergeCell ref="AI16001:AK16001"/>
    <mergeCell ref="AI16002:AK16002"/>
    <mergeCell ref="AI16003:AK16003"/>
    <mergeCell ref="AI15999:AK15999"/>
    <mergeCell ref="AI16000:AK16000"/>
    <mergeCell ref="AI15997:AK15997"/>
    <mergeCell ref="AI15998:AK15998"/>
    <mergeCell ref="AI15985:AK15985"/>
    <mergeCell ref="AI15986:AK15986"/>
    <mergeCell ref="AI15989:AK15989"/>
    <mergeCell ref="AI15990:AK15990"/>
    <mergeCell ref="AI15987:AK15987"/>
    <mergeCell ref="AI15988:AK15988"/>
    <mergeCell ref="AI15981:AK15981"/>
    <mergeCell ref="AI15982:AK15982"/>
    <mergeCell ref="AI15977:AK15977"/>
    <mergeCell ref="AI15978:AK15978"/>
    <mergeCell ref="AI15975:AK15975"/>
    <mergeCell ref="AI15976:AK15976"/>
    <mergeCell ref="AI15979:AK15979"/>
    <mergeCell ref="AI15980:AK15980"/>
    <mergeCell ref="AI15964:AK15964"/>
    <mergeCell ref="AI15957:AK15957"/>
    <mergeCell ref="AI15961:AK15961"/>
    <mergeCell ref="AI15962:AK15962"/>
    <mergeCell ref="AI15963:AK15963"/>
    <mergeCell ref="AI15973:AK15973"/>
    <mergeCell ref="AI15958:AK15958"/>
    <mergeCell ref="AI15969:AK15969"/>
    <mergeCell ref="AI15970:AK15970"/>
    <mergeCell ref="AI15972:AK15972"/>
    <mergeCell ref="AI15974:AK15974"/>
    <mergeCell ref="AI15971:AK15971"/>
    <mergeCell ref="AI15966:AK15966"/>
    <mergeCell ref="AI15967:AK15967"/>
    <mergeCell ref="AI15968:AK15968"/>
    <mergeCell ref="AI15946:AK15946"/>
    <mergeCell ref="AI15965:AK15965"/>
    <mergeCell ref="AI15959:AK15959"/>
    <mergeCell ref="AI15960:AK15960"/>
    <mergeCell ref="AI15953:AK15953"/>
    <mergeCell ref="AI15942:AK15942"/>
    <mergeCell ref="AI15919:AK15919"/>
    <mergeCell ref="AI15920:AK15920"/>
    <mergeCell ref="AI15951:AK15951"/>
    <mergeCell ref="AI15937:AK15937"/>
    <mergeCell ref="AI15938:AK15938"/>
    <mergeCell ref="AI15922:AK15922"/>
    <mergeCell ref="AI15925:AK15925"/>
    <mergeCell ref="AI15926:AK15926"/>
    <mergeCell ref="AI15923:AK15923"/>
    <mergeCell ref="AI15945:AK15945"/>
    <mergeCell ref="AI15952:AK15952"/>
    <mergeCell ref="AI15955:AK15955"/>
    <mergeCell ref="AI15956:AK15956"/>
    <mergeCell ref="AI15947:AK15947"/>
    <mergeCell ref="AI15954:AK15954"/>
    <mergeCell ref="AI15949:AK15949"/>
    <mergeCell ref="AI15948:AK15948"/>
    <mergeCell ref="AI15921:AK15921"/>
    <mergeCell ref="AI15933:AK15933"/>
    <mergeCell ref="AI15924:AK15924"/>
    <mergeCell ref="AI15931:AK15931"/>
    <mergeCell ref="AI15950:AK15950"/>
    <mergeCell ref="AI15934:AK15934"/>
    <mergeCell ref="AI15939:AK15939"/>
    <mergeCell ref="AI15940:AK15940"/>
    <mergeCell ref="AI15935:AK15935"/>
    <mergeCell ref="AI15936:AK15936"/>
    <mergeCell ref="AI15892:AK15892"/>
    <mergeCell ref="AI15893:AK15893"/>
    <mergeCell ref="AI15932:AK15932"/>
    <mergeCell ref="AI15943:AK15943"/>
    <mergeCell ref="AI15944:AK15944"/>
    <mergeCell ref="AI15927:AK15927"/>
    <mergeCell ref="AI15928:AK15928"/>
    <mergeCell ref="AI15929:AK15929"/>
    <mergeCell ref="AI15930:AK15930"/>
    <mergeCell ref="AI15941:AK15941"/>
    <mergeCell ref="AI15917:AK15917"/>
    <mergeCell ref="AI15918:AK15918"/>
    <mergeCell ref="AI15913:AK15913"/>
    <mergeCell ref="AI15914:AK15914"/>
    <mergeCell ref="AI15911:AK15911"/>
    <mergeCell ref="AI15912:AK15912"/>
    <mergeCell ref="AI15915:AK15915"/>
    <mergeCell ref="AI15916:AK15916"/>
    <mergeCell ref="AI15903:AK15903"/>
    <mergeCell ref="AI15904:AK15904"/>
    <mergeCell ref="AI15909:AK15909"/>
    <mergeCell ref="AI15910:AK15910"/>
    <mergeCell ref="AI15907:AK15907"/>
    <mergeCell ref="AI15908:AK15908"/>
    <mergeCell ref="AI15906:AK15906"/>
    <mergeCell ref="AI15905:AK15905"/>
    <mergeCell ref="AI15900:AK15900"/>
    <mergeCell ref="AI15898:AK15898"/>
    <mergeCell ref="AI15899:AK15899"/>
    <mergeCell ref="AI15902:AK15902"/>
    <mergeCell ref="AI15897:AK15897"/>
    <mergeCell ref="AI15889:AK15889"/>
    <mergeCell ref="D155:G155"/>
    <mergeCell ref="W155:Z155"/>
    <mergeCell ref="AI15895:AK15895"/>
    <mergeCell ref="AI15896:AK15896"/>
    <mergeCell ref="AI15894:AK15894"/>
    <mergeCell ref="AI15901:AK15901"/>
    <mergeCell ref="AI15890:AK15890"/>
    <mergeCell ref="AI15887:AK15887"/>
    <mergeCell ref="AI15888:AK15888"/>
    <mergeCell ref="AI15891:AK15891"/>
    <mergeCell ref="A93:A95"/>
    <mergeCell ref="A116:A118"/>
    <mergeCell ref="AI15884:AK15884"/>
    <mergeCell ref="T155:V155"/>
    <mergeCell ref="AI155:AK155"/>
    <mergeCell ref="C123:C124"/>
    <mergeCell ref="A134:A136"/>
    <mergeCell ref="A146:A148"/>
    <mergeCell ref="A119:A121"/>
    <mergeCell ref="A107:A109"/>
    <mergeCell ref="A113:A115"/>
    <mergeCell ref="A110:A112"/>
    <mergeCell ref="C105:C106"/>
    <mergeCell ref="B108:B109"/>
    <mergeCell ref="C108:C109"/>
    <mergeCell ref="C102:C103"/>
    <mergeCell ref="AI15885:AK15885"/>
    <mergeCell ref="AI15886:AK15886"/>
    <mergeCell ref="B156:CZ156"/>
    <mergeCell ref="AT155:AW155"/>
    <mergeCell ref="H155:K155"/>
    <mergeCell ref="AI15883:AK15883"/>
    <mergeCell ref="CT84:CZ84"/>
    <mergeCell ref="CS75:CS76"/>
    <mergeCell ref="A101:A103"/>
    <mergeCell ref="D159:P159"/>
    <mergeCell ref="CT107:CZ109"/>
    <mergeCell ref="CS123:CS124"/>
    <mergeCell ref="CT134:CZ136"/>
    <mergeCell ref="CS132:CS133"/>
    <mergeCell ref="CD155:CF155"/>
    <mergeCell ref="AF159:AR159"/>
    <mergeCell ref="AT159:AX159"/>
    <mergeCell ref="AZ159:BK159"/>
    <mergeCell ref="BM159:BY159"/>
    <mergeCell ref="CA159:CM159"/>
    <mergeCell ref="B135:B136"/>
    <mergeCell ref="C135:C136"/>
    <mergeCell ref="CS91:CS92"/>
    <mergeCell ref="B100:CZ100"/>
    <mergeCell ref="C90:C91"/>
    <mergeCell ref="CT104:CZ106"/>
    <mergeCell ref="CT99:CZ99"/>
    <mergeCell ref="C74:C75"/>
    <mergeCell ref="AX81:AX82"/>
    <mergeCell ref="CS81:CS82"/>
    <mergeCell ref="CT81:CZ82"/>
    <mergeCell ref="AX75:AX76"/>
    <mergeCell ref="B105:B106"/>
    <mergeCell ref="CT94:CZ95"/>
    <mergeCell ref="B81:B82"/>
    <mergeCell ref="B78:B79"/>
    <mergeCell ref="B85:B86"/>
    <mergeCell ref="D162:P162"/>
    <mergeCell ref="AZ158:BK158"/>
    <mergeCell ref="BM158:BY158"/>
    <mergeCell ref="CA158:CM158"/>
    <mergeCell ref="D161:P161"/>
    <mergeCell ref="BV155:BY155"/>
    <mergeCell ref="BG155:BJ155"/>
    <mergeCell ref="C94:C95"/>
    <mergeCell ref="B102:B103"/>
    <mergeCell ref="A122:A124"/>
    <mergeCell ref="CT122:CZ124"/>
    <mergeCell ref="B123:B124"/>
    <mergeCell ref="CS60:CS61"/>
    <mergeCell ref="B66:B67"/>
    <mergeCell ref="CS50:CS51"/>
    <mergeCell ref="CT60:CZ61"/>
    <mergeCell ref="CT71:CZ71"/>
    <mergeCell ref="CT65:CZ65"/>
    <mergeCell ref="CT69:CZ70"/>
    <mergeCell ref="CS69:CS70"/>
    <mergeCell ref="CS72:CS73"/>
    <mergeCell ref="CT62:CZ62"/>
    <mergeCell ref="CT59:CZ59"/>
    <mergeCell ref="C80:C81"/>
    <mergeCell ref="AX63:AX64"/>
    <mergeCell ref="AX78:AX79"/>
    <mergeCell ref="CT88:CZ89"/>
    <mergeCell ref="AX111:AX112"/>
    <mergeCell ref="R159:AD159"/>
    <mergeCell ref="D158:P158"/>
    <mergeCell ref="R158:AD158"/>
    <mergeCell ref="B58:CZ58"/>
    <mergeCell ref="B132:B133"/>
    <mergeCell ref="C132:C133"/>
    <mergeCell ref="A125:A127"/>
    <mergeCell ref="A52:A54"/>
    <mergeCell ref="B52:B53"/>
    <mergeCell ref="C52:C53"/>
    <mergeCell ref="C84:C85"/>
    <mergeCell ref="C59:C60"/>
    <mergeCell ref="B75:B76"/>
    <mergeCell ref="C120:C121"/>
    <mergeCell ref="C114:C115"/>
    <mergeCell ref="B117:B118"/>
    <mergeCell ref="B21:B22"/>
    <mergeCell ref="B23:CZ23"/>
    <mergeCell ref="CS114:CS115"/>
    <mergeCell ref="CS28:CS29"/>
    <mergeCell ref="CS25:CS26"/>
    <mergeCell ref="CT43:CZ43"/>
    <mergeCell ref="AX53:AX54"/>
    <mergeCell ref="A104:A106"/>
    <mergeCell ref="B69:B70"/>
    <mergeCell ref="B72:B73"/>
    <mergeCell ref="B88:B89"/>
    <mergeCell ref="C68:C69"/>
    <mergeCell ref="A96:A98"/>
    <mergeCell ref="B97:B98"/>
    <mergeCell ref="C49:C50"/>
    <mergeCell ref="CT68:CZ68"/>
    <mergeCell ref="A27:A29"/>
    <mergeCell ref="CT24:CZ24"/>
    <mergeCell ref="CT125:CZ127"/>
    <mergeCell ref="B126:B127"/>
    <mergeCell ref="AF158:AR158"/>
    <mergeCell ref="AT158:AX158"/>
    <mergeCell ref="BC3:BF3"/>
    <mergeCell ref="BG4:BJ4"/>
    <mergeCell ref="AP4:AS4"/>
    <mergeCell ref="AI3:AK3"/>
    <mergeCell ref="AX21:AX22"/>
    <mergeCell ref="AX25:AX26"/>
    <mergeCell ref="C14:C15"/>
    <mergeCell ref="AX18:AX19"/>
    <mergeCell ref="AX37:AX38"/>
    <mergeCell ref="W4:Z4"/>
    <mergeCell ref="CO155:CR155"/>
    <mergeCell ref="AX135:AX136"/>
    <mergeCell ref="B49:B50"/>
    <mergeCell ref="B63:B64"/>
    <mergeCell ref="C62:C63"/>
    <mergeCell ref="C65:C66"/>
    <mergeCell ref="B91:B92"/>
    <mergeCell ref="C20:C21"/>
    <mergeCell ref="C43:C44"/>
    <mergeCell ref="C37:C38"/>
    <mergeCell ref="BK4:BN4"/>
    <mergeCell ref="B15:B16"/>
    <mergeCell ref="C34:C35"/>
    <mergeCell ref="B31:B32"/>
    <mergeCell ref="D4:G4"/>
    <mergeCell ref="H4:K4"/>
    <mergeCell ref="L4:O4"/>
    <mergeCell ref="B44:B45"/>
    <mergeCell ref="C25:C26"/>
    <mergeCell ref="B120:B121"/>
    <mergeCell ref="A1:CZ1"/>
    <mergeCell ref="A30:A32"/>
    <mergeCell ref="B6:B7"/>
    <mergeCell ref="B3:C3"/>
    <mergeCell ref="H3:K3"/>
    <mergeCell ref="D3:G3"/>
    <mergeCell ref="AT3:AW3"/>
    <mergeCell ref="AK2:AX2"/>
    <mergeCell ref="CT50:CZ51"/>
    <mergeCell ref="CT47:CZ48"/>
    <mergeCell ref="CT44:CZ45"/>
    <mergeCell ref="BK3:BN3"/>
    <mergeCell ref="CT46:CZ46"/>
    <mergeCell ref="CT15:CZ16"/>
    <mergeCell ref="CT14:CZ14"/>
    <mergeCell ref="CS9:CS10"/>
    <mergeCell ref="AP3:AS3"/>
    <mergeCell ref="AX9:AX10"/>
    <mergeCell ref="P4:S4"/>
    <mergeCell ref="A46:A48"/>
    <mergeCell ref="AA4:AD4"/>
    <mergeCell ref="AE4:AH4"/>
    <mergeCell ref="A5:A7"/>
    <mergeCell ref="A43:A45"/>
    <mergeCell ref="A17:A19"/>
    <mergeCell ref="A33:A35"/>
    <mergeCell ref="A24:A26"/>
    <mergeCell ref="A40:A42"/>
    <mergeCell ref="B9:B10"/>
    <mergeCell ref="A8:A10"/>
    <mergeCell ref="A36:A38"/>
    <mergeCell ref="A14:A16"/>
    <mergeCell ref="B25:B26"/>
    <mergeCell ref="CT25:CZ26"/>
    <mergeCell ref="CT9:CZ10"/>
    <mergeCell ref="CT11:CZ11"/>
    <mergeCell ref="AX12:AX13"/>
    <mergeCell ref="CS12:CS13"/>
    <mergeCell ref="CT12:CZ13"/>
    <mergeCell ref="CT17:CZ17"/>
    <mergeCell ref="C31:C32"/>
    <mergeCell ref="CT27:CZ27"/>
    <mergeCell ref="C17:C18"/>
    <mergeCell ref="A11:A13"/>
    <mergeCell ref="C11:C12"/>
    <mergeCell ref="B12:B13"/>
    <mergeCell ref="B18:B19"/>
    <mergeCell ref="C8:C9"/>
    <mergeCell ref="CT18:CZ19"/>
    <mergeCell ref="CS18:CS19"/>
    <mergeCell ref="CT30:CZ30"/>
    <mergeCell ref="A20:A22"/>
    <mergeCell ref="L3:O3"/>
    <mergeCell ref="AE3:AH3"/>
    <mergeCell ref="BZ3:CC3"/>
    <mergeCell ref="AY3:BB3"/>
    <mergeCell ref="AA3:AD3"/>
    <mergeCell ref="W3:Z3"/>
    <mergeCell ref="T3:V3"/>
    <mergeCell ref="CT2:CZ2"/>
    <mergeCell ref="CD3:CF3"/>
    <mergeCell ref="CO3:CR3"/>
    <mergeCell ref="CK3:CN3"/>
    <mergeCell ref="BG3:BJ3"/>
    <mergeCell ref="AX15:AX16"/>
    <mergeCell ref="CT49:CZ49"/>
    <mergeCell ref="AX47:AX48"/>
    <mergeCell ref="CG3:CJ3"/>
    <mergeCell ref="T4:V4"/>
    <mergeCell ref="CK4:CN4"/>
    <mergeCell ref="CO4:CR4"/>
    <mergeCell ref="BR4:BU4"/>
    <mergeCell ref="AI4:AK4"/>
    <mergeCell ref="AY4:BB4"/>
    <mergeCell ref="CS37:CS38"/>
    <mergeCell ref="CT3:CZ3"/>
    <mergeCell ref="CT4:CZ4"/>
    <mergeCell ref="BC4:BF4"/>
    <mergeCell ref="BO4:BQ4"/>
    <mergeCell ref="BV4:BY4"/>
    <mergeCell ref="AT4:AW4"/>
    <mergeCell ref="AL4:AO4"/>
    <mergeCell ref="CT40:CZ40"/>
    <mergeCell ref="CT36:CZ36"/>
    <mergeCell ref="AY155:BB155"/>
    <mergeCell ref="AE155:AH155"/>
    <mergeCell ref="AL155:AO155"/>
    <mergeCell ref="AA155:AD155"/>
    <mergeCell ref="AX132:AX133"/>
    <mergeCell ref="AE2:AJ2"/>
    <mergeCell ref="T2:AD2"/>
    <mergeCell ref="D2:S2"/>
    <mergeCell ref="P3:S3"/>
    <mergeCell ref="BV3:BY3"/>
    <mergeCell ref="BR3:BU3"/>
    <mergeCell ref="BO3:BQ3"/>
    <mergeCell ref="AY2:BN2"/>
    <mergeCell ref="BO2:BY2"/>
    <mergeCell ref="CG2:CS2"/>
    <mergeCell ref="BZ2:CF2"/>
    <mergeCell ref="CS6:CS7"/>
    <mergeCell ref="AL3:AO3"/>
    <mergeCell ref="BZ4:CC4"/>
    <mergeCell ref="CD4:CF4"/>
    <mergeCell ref="CG4:CJ4"/>
    <mergeCell ref="AX114:AX115"/>
    <mergeCell ref="AX91:AX92"/>
    <mergeCell ref="AX66:AX67"/>
    <mergeCell ref="AX69:AX70"/>
    <mergeCell ref="AX44:AX45"/>
    <mergeCell ref="AX41:AX42"/>
    <mergeCell ref="AX117:AX118"/>
    <mergeCell ref="CS88:CS89"/>
    <mergeCell ref="AX88:AX89"/>
    <mergeCell ref="CS41:CS42"/>
    <mergeCell ref="AX147:AX148"/>
    <mergeCell ref="CT155:CZ155"/>
    <mergeCell ref="BZ155:CC155"/>
    <mergeCell ref="BO155:BQ155"/>
    <mergeCell ref="AX150:AX151"/>
    <mergeCell ref="CS150:CS151"/>
    <mergeCell ref="A152:A154"/>
    <mergeCell ref="CT110:CZ112"/>
    <mergeCell ref="CS117:CS118"/>
    <mergeCell ref="B34:B35"/>
    <mergeCell ref="B41:B42"/>
    <mergeCell ref="C46:C47"/>
    <mergeCell ref="CK155:CN155"/>
    <mergeCell ref="CT87:CZ87"/>
    <mergeCell ref="BR155:BU155"/>
    <mergeCell ref="CT119:CZ121"/>
    <mergeCell ref="CT116:CZ118"/>
    <mergeCell ref="CT113:CZ115"/>
    <mergeCell ref="AP155:AS155"/>
    <mergeCell ref="L155:O155"/>
    <mergeCell ref="BK155:BN155"/>
    <mergeCell ref="CG155:CJ155"/>
    <mergeCell ref="BC155:BF155"/>
    <mergeCell ref="P155:S155"/>
    <mergeCell ref="AX123:AX124"/>
    <mergeCell ref="CS47:CS48"/>
    <mergeCell ref="CS63:CS64"/>
    <mergeCell ref="A131:A133"/>
    <mergeCell ref="CT131:CZ133"/>
    <mergeCell ref="C117:C118"/>
    <mergeCell ref="B111:B112"/>
    <mergeCell ref="C111:C112"/>
    <mergeCell ref="B114:B115"/>
    <mergeCell ref="CT152:CZ154"/>
    <mergeCell ref="B153:B154"/>
    <mergeCell ref="C153:C154"/>
    <mergeCell ref="AX153:AX154"/>
    <mergeCell ref="CS153:CS154"/>
    <mergeCell ref="CS135:CS136"/>
    <mergeCell ref="A143:A145"/>
    <mergeCell ref="CT143:CZ145"/>
    <mergeCell ref="B144:B145"/>
    <mergeCell ref="C144:C145"/>
    <mergeCell ref="AX144:AX145"/>
    <mergeCell ref="CS144:CS145"/>
    <mergeCell ref="A137:A139"/>
    <mergeCell ref="CT137:CZ139"/>
    <mergeCell ref="B138:B139"/>
    <mergeCell ref="C138:C139"/>
    <mergeCell ref="AX138:AX139"/>
    <mergeCell ref="CS138:CS139"/>
    <mergeCell ref="A140:A142"/>
    <mergeCell ref="CT140:CZ142"/>
    <mergeCell ref="B141:B142"/>
    <mergeCell ref="C141:C142"/>
    <mergeCell ref="AX141:AX142"/>
    <mergeCell ref="CS141:CS142"/>
    <mergeCell ref="CT146:CZ148"/>
    <mergeCell ref="B147:B148"/>
    <mergeCell ref="C150:C151"/>
    <mergeCell ref="C147:C148"/>
    <mergeCell ref="CS147:CS148"/>
    <mergeCell ref="A149:A151"/>
    <mergeCell ref="CT149:CZ151"/>
    <mergeCell ref="B150:B151"/>
    <mergeCell ref="C126:C127"/>
    <mergeCell ref="AX126:AX127"/>
    <mergeCell ref="CS126:CS127"/>
    <mergeCell ref="A128:A130"/>
    <mergeCell ref="CT128:CZ130"/>
    <mergeCell ref="B129:B130"/>
    <mergeCell ref="C129:C130"/>
    <mergeCell ref="AX129:AX130"/>
    <mergeCell ref="CS129:CS130"/>
    <mergeCell ref="CS102:CS103"/>
    <mergeCell ref="CS105:CS106"/>
    <mergeCell ref="CS108:CS109"/>
    <mergeCell ref="CS111:CS112"/>
    <mergeCell ref="AX102:AX103"/>
    <mergeCell ref="AX72:AX73"/>
    <mergeCell ref="CT77:CZ77"/>
    <mergeCell ref="A90:A92"/>
    <mergeCell ref="C87:C88"/>
    <mergeCell ref="AX94:AX95"/>
    <mergeCell ref="AX108:AX109"/>
    <mergeCell ref="AX105:AX106"/>
    <mergeCell ref="AX120:AX121"/>
    <mergeCell ref="CT78:CZ79"/>
    <mergeCell ref="CS120:CS121"/>
    <mergeCell ref="CT80:CZ80"/>
    <mergeCell ref="CS85:CS86"/>
    <mergeCell ref="CT85:CZ86"/>
  </mergeCells>
  <phoneticPr fontId="0" type="noConversion"/>
  <pageMargins left="0.44" right="0.5" top="3.937007874015748E-2" bottom="3.937007874015748E-2" header="0.28000000000000003" footer="0.3"/>
  <pageSetup paperSize="8" scale="33" orientation="landscape" verticalDpi="300" r:id="rId2"/>
  <headerFooter alignWithMargins="0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00B050"/>
    <pageSetUpPr fitToPage="1"/>
  </sheetPr>
  <dimension ref="A1:DH74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C2" sqref="C2"/>
    </sheetView>
  </sheetViews>
  <sheetFormatPr defaultRowHeight="12.75" x14ac:dyDescent="0.2"/>
  <cols>
    <col min="1" max="1" width="33.140625" style="1" customWidth="1"/>
    <col min="2" max="2" width="12.5703125" style="1" customWidth="1"/>
    <col min="3" max="3" width="26.42578125" style="1" customWidth="1"/>
    <col min="4" max="50" width="2.7109375" style="1" customWidth="1"/>
    <col min="51" max="51" width="26" style="27" customWidth="1"/>
    <col min="52" max="98" width="2.7109375" style="1" customWidth="1"/>
    <col min="99" max="99" width="23.7109375" style="27" customWidth="1"/>
    <col min="100" max="100" width="32.5703125" style="1" customWidth="1"/>
    <col min="101" max="105" width="9.140625" style="1"/>
    <col min="106" max="112" width="9.140625" style="1" hidden="1" customWidth="1"/>
    <col min="113" max="16384" width="9.140625" style="1"/>
  </cols>
  <sheetData>
    <row r="1" spans="1:107" ht="21" thickBot="1" x14ac:dyDescent="0.35">
      <c r="A1" s="1815" t="s">
        <v>164</v>
      </c>
      <c r="B1" s="1816"/>
      <c r="C1" s="1816"/>
      <c r="D1" s="1816"/>
      <c r="E1" s="1816"/>
      <c r="F1" s="1816"/>
      <c r="G1" s="1816"/>
      <c r="H1" s="1816"/>
      <c r="I1" s="1816"/>
      <c r="J1" s="1816"/>
      <c r="K1" s="1816"/>
      <c r="L1" s="1816"/>
      <c r="M1" s="1816"/>
      <c r="N1" s="1816"/>
      <c r="O1" s="1816"/>
      <c r="P1" s="1816"/>
      <c r="Q1" s="1816"/>
      <c r="R1" s="1816"/>
      <c r="S1" s="1816"/>
      <c r="T1" s="1816"/>
      <c r="U1" s="1816"/>
      <c r="V1" s="1816"/>
      <c r="W1" s="1816"/>
      <c r="X1" s="1816"/>
      <c r="Y1" s="1816"/>
      <c r="Z1" s="1816"/>
      <c r="AA1" s="1816"/>
      <c r="AB1" s="1816"/>
      <c r="AC1" s="1816"/>
      <c r="AD1" s="1816"/>
      <c r="AE1" s="1816"/>
      <c r="AF1" s="1816"/>
      <c r="AG1" s="1816"/>
      <c r="AH1" s="1816"/>
      <c r="AI1" s="1816"/>
      <c r="AJ1" s="1816"/>
      <c r="AK1" s="1816"/>
      <c r="AL1" s="1816"/>
      <c r="AM1" s="1816"/>
      <c r="AN1" s="1816"/>
      <c r="AO1" s="1816"/>
      <c r="AP1" s="1816"/>
      <c r="AQ1" s="1816"/>
      <c r="AR1" s="1816"/>
      <c r="AS1" s="1816"/>
      <c r="AT1" s="1816"/>
      <c r="AU1" s="1816"/>
      <c r="AV1" s="1816"/>
      <c r="AW1" s="1816"/>
      <c r="AX1" s="1816"/>
      <c r="AY1" s="1816"/>
      <c r="AZ1" s="1816"/>
      <c r="BA1" s="1816"/>
      <c r="BB1" s="1816"/>
      <c r="BC1" s="1816"/>
      <c r="BD1" s="1816"/>
      <c r="BE1" s="1816"/>
      <c r="BF1" s="1816"/>
      <c r="BG1" s="1816"/>
      <c r="BH1" s="1816"/>
      <c r="BI1" s="1816"/>
      <c r="BJ1" s="1816"/>
      <c r="BK1" s="1816"/>
      <c r="BL1" s="1816"/>
      <c r="BM1" s="1816"/>
      <c r="BN1" s="1816"/>
      <c r="BO1" s="1816"/>
      <c r="BP1" s="1816"/>
      <c r="BQ1" s="1816"/>
      <c r="BR1" s="1816"/>
      <c r="BS1" s="1816"/>
      <c r="BT1" s="1816"/>
      <c r="BU1" s="1816"/>
      <c r="BV1" s="1816"/>
      <c r="BW1" s="1816"/>
      <c r="BX1" s="1816"/>
      <c r="BY1" s="1816"/>
      <c r="BZ1" s="1816"/>
      <c r="CA1" s="1816"/>
      <c r="CB1" s="1816"/>
      <c r="CC1" s="1816"/>
      <c r="CD1" s="1816"/>
      <c r="CE1" s="1816"/>
      <c r="CF1" s="1816"/>
      <c r="CG1" s="1816"/>
      <c r="CH1" s="1816"/>
      <c r="CI1" s="1816"/>
      <c r="CJ1" s="1816"/>
      <c r="CK1" s="1816"/>
      <c r="CL1" s="1816"/>
      <c r="CM1" s="1816"/>
      <c r="CN1" s="1816"/>
      <c r="CO1" s="1816"/>
      <c r="CP1" s="1816"/>
      <c r="CQ1" s="1816"/>
      <c r="CR1" s="1816"/>
      <c r="CS1" s="1816"/>
      <c r="CT1" s="1816"/>
      <c r="CU1" s="1816"/>
      <c r="CV1" s="1816"/>
      <c r="CW1" s="224"/>
    </row>
    <row r="2" spans="1:107" s="194" customFormat="1" ht="21" thickBot="1" x14ac:dyDescent="0.35">
      <c r="A2" s="565"/>
      <c r="B2" s="566"/>
      <c r="C2" s="689">
        <v>45898</v>
      </c>
      <c r="D2" s="1808" t="s">
        <v>165</v>
      </c>
      <c r="E2" s="1809"/>
      <c r="F2" s="1809"/>
      <c r="G2" s="1809"/>
      <c r="H2" s="1809"/>
      <c r="I2" s="1809"/>
      <c r="J2" s="1809"/>
      <c r="K2" s="1809"/>
      <c r="L2" s="1809"/>
      <c r="M2" s="1809"/>
      <c r="N2" s="1809"/>
      <c r="O2" s="1817"/>
      <c r="P2" s="1808"/>
      <c r="Q2" s="1809"/>
      <c r="R2" s="1809"/>
      <c r="S2" s="1809"/>
      <c r="T2" s="1809"/>
      <c r="U2" s="1809"/>
      <c r="V2" s="1809"/>
      <c r="W2" s="1809"/>
      <c r="X2" s="1809"/>
      <c r="Y2" s="1809"/>
      <c r="Z2" s="1808" t="s">
        <v>71</v>
      </c>
      <c r="AA2" s="1809"/>
      <c r="AB2" s="1809"/>
      <c r="AC2" s="1809"/>
      <c r="AD2" s="1809"/>
      <c r="AE2" s="1809"/>
      <c r="AF2" s="1809"/>
      <c r="AG2" s="1817"/>
      <c r="AH2" s="1808"/>
      <c r="AI2" s="1809"/>
      <c r="AJ2" s="1809"/>
      <c r="AK2" s="1809"/>
      <c r="AL2" s="1809"/>
      <c r="AM2" s="1809"/>
      <c r="AN2" s="1809"/>
      <c r="AO2" s="1809"/>
      <c r="AP2" s="1817"/>
      <c r="AQ2" s="1808" t="s">
        <v>166</v>
      </c>
      <c r="AR2" s="1809"/>
      <c r="AS2" s="1809"/>
      <c r="AT2" s="1809"/>
      <c r="AU2" s="1809"/>
      <c r="AV2" s="1809"/>
      <c r="AW2" s="1809"/>
      <c r="AX2" s="1817"/>
      <c r="AY2" s="567"/>
      <c r="AZ2" s="1808" t="s">
        <v>167</v>
      </c>
      <c r="BA2" s="1809"/>
      <c r="BB2" s="1809"/>
      <c r="BC2" s="1809"/>
      <c r="BD2" s="1809"/>
      <c r="BE2" s="1809"/>
      <c r="BF2" s="1809"/>
      <c r="BG2" s="1809"/>
      <c r="BH2" s="1809"/>
      <c r="BI2" s="1809"/>
      <c r="BJ2" s="1809"/>
      <c r="BK2" s="1809"/>
      <c r="BL2" s="1810"/>
      <c r="BM2" s="1811"/>
      <c r="BN2" s="1811"/>
      <c r="BO2" s="1811"/>
      <c r="BP2" s="1811"/>
      <c r="BQ2" s="1811"/>
      <c r="BR2" s="1811"/>
      <c r="BS2" s="1811"/>
      <c r="BT2" s="1812"/>
      <c r="BU2" s="1808" t="s">
        <v>71</v>
      </c>
      <c r="BV2" s="1809"/>
      <c r="BW2" s="1809"/>
      <c r="BX2" s="1809"/>
      <c r="BY2" s="1809"/>
      <c r="BZ2" s="1817"/>
      <c r="CA2" s="1808"/>
      <c r="CB2" s="1809"/>
      <c r="CC2" s="1809"/>
      <c r="CD2" s="1809"/>
      <c r="CE2" s="1809"/>
      <c r="CF2" s="1809"/>
      <c r="CG2" s="1809"/>
      <c r="CH2" s="1809"/>
      <c r="CI2" s="1809"/>
      <c r="CJ2" s="1817"/>
      <c r="CK2" s="1808" t="s">
        <v>166</v>
      </c>
      <c r="CL2" s="1809"/>
      <c r="CM2" s="1809"/>
      <c r="CN2" s="1809"/>
      <c r="CO2" s="1809"/>
      <c r="CP2" s="1809"/>
      <c r="CQ2" s="1809"/>
      <c r="CR2" s="1809"/>
      <c r="CS2" s="1809"/>
      <c r="CT2" s="1817"/>
      <c r="CU2" s="567"/>
      <c r="CV2" s="568"/>
      <c r="CW2" s="195"/>
    </row>
    <row r="3" spans="1:107" s="574" customFormat="1" ht="39" customHeight="1" thickBot="1" x14ac:dyDescent="0.35">
      <c r="A3" s="569" t="s">
        <v>148</v>
      </c>
      <c r="B3" s="1813" t="s">
        <v>168</v>
      </c>
      <c r="C3" s="1814"/>
      <c r="D3" s="1818" t="s">
        <v>302</v>
      </c>
      <c r="E3" s="1796"/>
      <c r="F3" s="1796"/>
      <c r="G3" s="1797"/>
      <c r="H3" s="1793" t="s">
        <v>303</v>
      </c>
      <c r="I3" s="1791"/>
      <c r="J3" s="1791"/>
      <c r="K3" s="1794"/>
      <c r="L3" s="1793" t="s">
        <v>304</v>
      </c>
      <c r="M3" s="1791"/>
      <c r="N3" s="1791"/>
      <c r="O3" s="1794"/>
      <c r="P3" s="1793" t="s">
        <v>305</v>
      </c>
      <c r="Q3" s="1791"/>
      <c r="R3" s="1791"/>
      <c r="S3" s="1794"/>
      <c r="T3" s="1793" t="s">
        <v>150</v>
      </c>
      <c r="U3" s="1791"/>
      <c r="V3" s="1794"/>
      <c r="W3" s="1793" t="s">
        <v>306</v>
      </c>
      <c r="X3" s="1791"/>
      <c r="Y3" s="1791"/>
      <c r="Z3" s="1794"/>
      <c r="AA3" s="1793" t="s">
        <v>307</v>
      </c>
      <c r="AB3" s="1791"/>
      <c r="AC3" s="1791"/>
      <c r="AD3" s="1794"/>
      <c r="AE3" s="1793" t="s">
        <v>308</v>
      </c>
      <c r="AF3" s="1791"/>
      <c r="AG3" s="1791"/>
      <c r="AH3" s="1794"/>
      <c r="AI3" s="1793" t="s">
        <v>290</v>
      </c>
      <c r="AJ3" s="1791"/>
      <c r="AK3" s="1791"/>
      <c r="AL3" s="1794"/>
      <c r="AM3" s="1793" t="s">
        <v>310</v>
      </c>
      <c r="AN3" s="1791"/>
      <c r="AO3" s="1791"/>
      <c r="AP3" s="1794"/>
      <c r="AQ3" s="1793" t="s">
        <v>311</v>
      </c>
      <c r="AR3" s="1791"/>
      <c r="AS3" s="1791"/>
      <c r="AT3" s="1794"/>
      <c r="AU3" s="1793" t="s">
        <v>312</v>
      </c>
      <c r="AV3" s="1791"/>
      <c r="AW3" s="1791"/>
      <c r="AX3" s="1792"/>
      <c r="AY3" s="570" t="s">
        <v>169</v>
      </c>
      <c r="AZ3" s="1790" t="s">
        <v>291</v>
      </c>
      <c r="BA3" s="1791"/>
      <c r="BB3" s="1791"/>
      <c r="BC3" s="1792"/>
      <c r="BD3" s="1790" t="s">
        <v>292</v>
      </c>
      <c r="BE3" s="1791"/>
      <c r="BF3" s="1791"/>
      <c r="BG3" s="1792"/>
      <c r="BH3" s="1790" t="s">
        <v>293</v>
      </c>
      <c r="BI3" s="1791"/>
      <c r="BJ3" s="1791"/>
      <c r="BK3" s="1792"/>
      <c r="BL3" s="1790" t="s">
        <v>294</v>
      </c>
      <c r="BM3" s="1791"/>
      <c r="BN3" s="1791"/>
      <c r="BO3" s="1794"/>
      <c r="BP3" s="1793" t="s">
        <v>295</v>
      </c>
      <c r="BQ3" s="1791"/>
      <c r="BR3" s="1794"/>
      <c r="BS3" s="1793" t="s">
        <v>296</v>
      </c>
      <c r="BT3" s="1791"/>
      <c r="BU3" s="1791"/>
      <c r="BV3" s="1794"/>
      <c r="BW3" s="1793" t="s">
        <v>297</v>
      </c>
      <c r="BX3" s="1791"/>
      <c r="BY3" s="1791"/>
      <c r="BZ3" s="1794"/>
      <c r="CA3" s="1795" t="s">
        <v>298</v>
      </c>
      <c r="CB3" s="1796"/>
      <c r="CC3" s="1796"/>
      <c r="CD3" s="1797"/>
      <c r="CE3" s="1795" t="s">
        <v>299</v>
      </c>
      <c r="CF3" s="1796"/>
      <c r="CG3" s="1796"/>
      <c r="CH3" s="1797"/>
      <c r="CI3" s="1795" t="s">
        <v>300</v>
      </c>
      <c r="CJ3" s="1796"/>
      <c r="CK3" s="1796"/>
      <c r="CL3" s="1797"/>
      <c r="CM3" s="1795" t="s">
        <v>301</v>
      </c>
      <c r="CN3" s="1796"/>
      <c r="CO3" s="1796"/>
      <c r="CP3" s="1797"/>
      <c r="CQ3" s="1795" t="s">
        <v>289</v>
      </c>
      <c r="CR3" s="1796"/>
      <c r="CS3" s="1796"/>
      <c r="CT3" s="1801"/>
      <c r="CU3" s="571" t="s">
        <v>169</v>
      </c>
      <c r="CV3" s="572" t="s">
        <v>267</v>
      </c>
      <c r="CW3" s="573"/>
    </row>
    <row r="4" spans="1:107" s="194" customFormat="1" ht="15.95" hidden="1" customHeight="1" x14ac:dyDescent="0.3">
      <c r="A4" s="1804" t="s">
        <v>232</v>
      </c>
      <c r="B4" s="225" t="s">
        <v>154</v>
      </c>
      <c r="C4" s="1806"/>
      <c r="D4" s="202"/>
      <c r="E4" s="199"/>
      <c r="F4" s="619"/>
      <c r="G4" s="204"/>
      <c r="H4" s="202"/>
      <c r="I4" s="205"/>
      <c r="J4" s="205"/>
      <c r="K4" s="204"/>
      <c r="L4" s="202"/>
      <c r="M4" s="205"/>
      <c r="N4" s="205"/>
      <c r="O4" s="204"/>
      <c r="P4" s="202"/>
      <c r="Q4" s="205"/>
      <c r="R4" s="205"/>
      <c r="S4" s="204"/>
      <c r="T4" s="206"/>
      <c r="U4" s="383"/>
      <c r="V4" s="204"/>
      <c r="W4" s="202"/>
      <c r="X4" s="205"/>
      <c r="Y4" s="205"/>
      <c r="Z4" s="204"/>
      <c r="AA4" s="202"/>
      <c r="AB4" s="205"/>
      <c r="AC4" s="205"/>
      <c r="AD4" s="204"/>
      <c r="AE4" s="202"/>
      <c r="AF4" s="205"/>
      <c r="AG4" s="205"/>
      <c r="AH4" s="204"/>
      <c r="AI4" s="206"/>
      <c r="AJ4" s="208"/>
      <c r="AK4" s="205"/>
      <c r="AL4" s="204"/>
      <c r="AM4" s="202"/>
      <c r="AN4" s="205"/>
      <c r="AO4" s="205"/>
      <c r="AP4" s="204"/>
      <c r="AQ4" s="202"/>
      <c r="AR4" s="205"/>
      <c r="AS4" s="205"/>
      <c r="AT4" s="204"/>
      <c r="AU4" s="202"/>
      <c r="AV4" s="205"/>
      <c r="AW4" s="205"/>
      <c r="AX4" s="204"/>
      <c r="AY4" s="1778">
        <f>'БелАЗы '!K7</f>
        <v>0</v>
      </c>
      <c r="AZ4" s="202"/>
      <c r="BA4" s="199"/>
      <c r="BB4" s="619"/>
      <c r="BC4" s="204"/>
      <c r="BD4" s="202"/>
      <c r="BE4" s="205"/>
      <c r="BF4" s="205"/>
      <c r="BG4" s="204"/>
      <c r="BH4" s="202"/>
      <c r="BI4" s="205"/>
      <c r="BJ4" s="205"/>
      <c r="BK4" s="204"/>
      <c r="BL4" s="202"/>
      <c r="BM4" s="205"/>
      <c r="BN4" s="205"/>
      <c r="BO4" s="204"/>
      <c r="BP4" s="206"/>
      <c r="BQ4" s="383"/>
      <c r="BR4" s="204"/>
      <c r="BS4" s="202"/>
      <c r="BT4" s="205"/>
      <c r="BU4" s="205"/>
      <c r="BV4" s="204"/>
      <c r="BW4" s="202"/>
      <c r="BX4" s="205"/>
      <c r="BY4" s="205"/>
      <c r="BZ4" s="204"/>
      <c r="CA4" s="202"/>
      <c r="CB4" s="205"/>
      <c r="CC4" s="205"/>
      <c r="CD4" s="204"/>
      <c r="CE4" s="206"/>
      <c r="CF4" s="208"/>
      <c r="CG4" s="205"/>
      <c r="CH4" s="204"/>
      <c r="CI4" s="202"/>
      <c r="CJ4" s="205"/>
      <c r="CK4" s="205"/>
      <c r="CL4" s="204"/>
      <c r="CM4" s="202"/>
      <c r="CN4" s="205"/>
      <c r="CO4" s="205"/>
      <c r="CP4" s="204"/>
      <c r="CQ4" s="202"/>
      <c r="CR4" s="205"/>
      <c r="CS4" s="205"/>
      <c r="CT4" s="204"/>
      <c r="CU4" s="1798">
        <f>'БелАЗы '!K18</f>
        <v>0</v>
      </c>
      <c r="CV4" s="609" t="s">
        <v>433</v>
      </c>
      <c r="CW4" s="196"/>
    </row>
    <row r="5" spans="1:107" s="194" customFormat="1" ht="3" hidden="1" customHeight="1" x14ac:dyDescent="0.3">
      <c r="A5" s="1805"/>
      <c r="B5" s="1802" t="s">
        <v>155</v>
      </c>
      <c r="C5" s="1807"/>
      <c r="D5" s="956"/>
      <c r="E5" s="611"/>
      <c r="F5" s="612"/>
      <c r="G5" s="613"/>
      <c r="H5" s="614"/>
      <c r="I5" s="615"/>
      <c r="J5" s="615"/>
      <c r="K5" s="613"/>
      <c r="L5" s="614"/>
      <c r="M5" s="615"/>
      <c r="N5" s="615"/>
      <c r="O5" s="613"/>
      <c r="P5" s="614"/>
      <c r="Q5" s="615"/>
      <c r="R5" s="615"/>
      <c r="S5" s="616"/>
      <c r="T5" s="216"/>
      <c r="U5" s="617"/>
      <c r="V5" s="613"/>
      <c r="W5" s="614"/>
      <c r="X5" s="615"/>
      <c r="Y5" s="615"/>
      <c r="Z5" s="613"/>
      <c r="AA5" s="614"/>
      <c r="AB5" s="615"/>
      <c r="AC5" s="615"/>
      <c r="AD5" s="613"/>
      <c r="AE5" s="614"/>
      <c r="AF5" s="615"/>
      <c r="AG5" s="615"/>
      <c r="AH5" s="616"/>
      <c r="AI5" s="217"/>
      <c r="AJ5" s="615"/>
      <c r="AK5" s="615"/>
      <c r="AL5" s="613"/>
      <c r="AM5" s="614"/>
      <c r="AN5" s="615"/>
      <c r="AO5" s="615"/>
      <c r="AP5" s="613"/>
      <c r="AQ5" s="614"/>
      <c r="AR5" s="615"/>
      <c r="AS5" s="615"/>
      <c r="AT5" s="613"/>
      <c r="AU5" s="614"/>
      <c r="AV5" s="610"/>
      <c r="AW5" s="610"/>
      <c r="AX5" s="957"/>
      <c r="AY5" s="1779"/>
      <c r="AZ5" s="956"/>
      <c r="BA5" s="611"/>
      <c r="BB5" s="874"/>
      <c r="BC5" s="875"/>
      <c r="BD5" s="876"/>
      <c r="BE5" s="873"/>
      <c r="BF5" s="873"/>
      <c r="BG5" s="875"/>
      <c r="BH5" s="876"/>
      <c r="BI5" s="873"/>
      <c r="BJ5" s="873"/>
      <c r="BK5" s="875"/>
      <c r="BL5" s="876"/>
      <c r="BM5" s="873"/>
      <c r="BN5" s="873"/>
      <c r="BO5" s="877"/>
      <c r="BP5" s="878"/>
      <c r="BQ5" s="879"/>
      <c r="BR5" s="875"/>
      <c r="BS5" s="876"/>
      <c r="BT5" s="873"/>
      <c r="BU5" s="873"/>
      <c r="BV5" s="875"/>
      <c r="BW5" s="876"/>
      <c r="BX5" s="873"/>
      <c r="BY5" s="873"/>
      <c r="BZ5" s="875"/>
      <c r="CA5" s="876"/>
      <c r="CB5" s="873"/>
      <c r="CC5" s="873"/>
      <c r="CD5" s="877"/>
      <c r="CE5" s="880"/>
      <c r="CF5" s="873"/>
      <c r="CG5" s="873"/>
      <c r="CH5" s="875"/>
      <c r="CI5" s="876"/>
      <c r="CJ5" s="873"/>
      <c r="CK5" s="873"/>
      <c r="CL5" s="875"/>
      <c r="CM5" s="876"/>
      <c r="CN5" s="873"/>
      <c r="CO5" s="873"/>
      <c r="CP5" s="875"/>
      <c r="CQ5" s="876"/>
      <c r="CR5" s="610"/>
      <c r="CS5" s="610"/>
      <c r="CT5" s="957"/>
      <c r="CU5" s="1799"/>
      <c r="CV5" s="1774" t="s">
        <v>433</v>
      </c>
      <c r="CW5" s="196"/>
    </row>
    <row r="6" spans="1:107" s="194" customFormat="1" ht="15.95" hidden="1" customHeight="1" thickBot="1" x14ac:dyDescent="0.35">
      <c r="A6" s="1803"/>
      <c r="B6" s="1803"/>
      <c r="C6" s="551"/>
      <c r="D6" s="209"/>
      <c r="E6" s="215"/>
      <c r="F6" s="620"/>
      <c r="G6" s="211"/>
      <c r="H6" s="209"/>
      <c r="I6" s="212"/>
      <c r="J6" s="212"/>
      <c r="K6" s="211"/>
      <c r="L6" s="209"/>
      <c r="M6" s="212"/>
      <c r="N6" s="212"/>
      <c r="O6" s="211"/>
      <c r="P6" s="209"/>
      <c r="Q6" s="212"/>
      <c r="R6" s="212"/>
      <c r="S6" s="211"/>
      <c r="T6" s="213"/>
      <c r="U6" s="618"/>
      <c r="V6" s="211"/>
      <c r="W6" s="209"/>
      <c r="X6" s="212"/>
      <c r="Y6" s="212"/>
      <c r="Z6" s="211"/>
      <c r="AA6" s="209"/>
      <c r="AB6" s="212"/>
      <c r="AC6" s="212"/>
      <c r="AD6" s="211"/>
      <c r="AE6" s="209"/>
      <c r="AF6" s="212"/>
      <c r="AG6" s="212"/>
      <c r="AH6" s="211"/>
      <c r="AI6" s="213"/>
      <c r="AJ6" s="201"/>
      <c r="AK6" s="212"/>
      <c r="AL6" s="211"/>
      <c r="AM6" s="209"/>
      <c r="AN6" s="212"/>
      <c r="AO6" s="212"/>
      <c r="AP6" s="211"/>
      <c r="AQ6" s="209"/>
      <c r="AR6" s="212"/>
      <c r="AS6" s="212"/>
      <c r="AT6" s="211"/>
      <c r="AU6" s="209"/>
      <c r="AV6" s="212"/>
      <c r="AW6" s="212"/>
      <c r="AX6" s="211"/>
      <c r="AY6" s="1779"/>
      <c r="AZ6" s="209"/>
      <c r="BA6" s="215"/>
      <c r="BB6" s="210"/>
      <c r="BC6" s="211"/>
      <c r="BD6" s="209"/>
      <c r="BE6" s="212"/>
      <c r="BF6" s="212"/>
      <c r="BG6" s="211"/>
      <c r="BH6" s="209"/>
      <c r="BI6" s="212"/>
      <c r="BJ6" s="212"/>
      <c r="BK6" s="211"/>
      <c r="BL6" s="209"/>
      <c r="BM6" s="212"/>
      <c r="BN6" s="212"/>
      <c r="BO6" s="211"/>
      <c r="BP6" s="213"/>
      <c r="BQ6" s="618"/>
      <c r="BR6" s="211"/>
      <c r="BS6" s="209"/>
      <c r="BT6" s="212"/>
      <c r="BU6" s="212"/>
      <c r="BV6" s="211"/>
      <c r="BW6" s="209"/>
      <c r="BX6" s="212"/>
      <c r="BY6" s="212"/>
      <c r="BZ6" s="211"/>
      <c r="CA6" s="209"/>
      <c r="CB6" s="212"/>
      <c r="CC6" s="212"/>
      <c r="CD6" s="211"/>
      <c r="CE6" s="213"/>
      <c r="CF6" s="201"/>
      <c r="CG6" s="212"/>
      <c r="CH6" s="211"/>
      <c r="CI6" s="209"/>
      <c r="CJ6" s="212"/>
      <c r="CK6" s="212"/>
      <c r="CL6" s="211"/>
      <c r="CM6" s="209"/>
      <c r="CN6" s="212"/>
      <c r="CO6" s="212"/>
      <c r="CP6" s="211"/>
      <c r="CQ6" s="209"/>
      <c r="CR6" s="212"/>
      <c r="CS6" s="212"/>
      <c r="CT6" s="211"/>
      <c r="CU6" s="1800"/>
      <c r="CV6" s="1775"/>
      <c r="CW6" s="196"/>
    </row>
    <row r="7" spans="1:107" s="194" customFormat="1" ht="15.95" hidden="1" customHeight="1" x14ac:dyDescent="0.3">
      <c r="A7" s="1804" t="s">
        <v>395</v>
      </c>
      <c r="B7" s="225" t="s">
        <v>154</v>
      </c>
      <c r="C7" s="1806"/>
      <c r="D7" s="202"/>
      <c r="E7" s="205"/>
      <c r="F7" s="205"/>
      <c r="G7" s="204"/>
      <c r="H7" s="202"/>
      <c r="I7" s="205"/>
      <c r="J7" s="205"/>
      <c r="K7" s="204"/>
      <c r="L7" s="202"/>
      <c r="M7" s="205"/>
      <c r="N7" s="205"/>
      <c r="O7" s="204"/>
      <c r="P7" s="202"/>
      <c r="Q7" s="205"/>
      <c r="R7" s="205"/>
      <c r="S7" s="204"/>
      <c r="T7" s="206"/>
      <c r="U7" s="383"/>
      <c r="V7" s="204"/>
      <c r="W7" s="202"/>
      <c r="X7" s="205"/>
      <c r="Y7" s="205"/>
      <c r="Z7" s="204"/>
      <c r="AA7" s="202"/>
      <c r="AB7" s="205"/>
      <c r="AC7" s="205"/>
      <c r="AD7" s="204"/>
      <c r="AE7" s="202"/>
      <c r="AF7" s="205"/>
      <c r="AG7" s="205"/>
      <c r="AH7" s="204"/>
      <c r="AI7" s="206"/>
      <c r="AJ7" s="208"/>
      <c r="AK7" s="205"/>
      <c r="AL7" s="204"/>
      <c r="AM7" s="202"/>
      <c r="AN7" s="205"/>
      <c r="AO7" s="205"/>
      <c r="AP7" s="204"/>
      <c r="AQ7" s="202"/>
      <c r="AR7" s="205"/>
      <c r="AS7" s="205"/>
      <c r="AT7" s="204"/>
      <c r="AU7" s="202"/>
      <c r="AV7" s="205"/>
      <c r="AW7" s="205"/>
      <c r="AX7" s="204"/>
      <c r="AY7" s="1778">
        <f>'БелАЗы '!K8</f>
        <v>0</v>
      </c>
      <c r="AZ7" s="202"/>
      <c r="BA7" s="205"/>
      <c r="BB7" s="205"/>
      <c r="BC7" s="204"/>
      <c r="BD7" s="202"/>
      <c r="BE7" s="205"/>
      <c r="BF7" s="205"/>
      <c r="BG7" s="204"/>
      <c r="BH7" s="202"/>
      <c r="BI7" s="205"/>
      <c r="BJ7" s="205"/>
      <c r="BK7" s="204"/>
      <c r="BL7" s="202"/>
      <c r="BM7" s="205"/>
      <c r="BN7" s="205"/>
      <c r="BO7" s="204"/>
      <c r="BP7" s="206"/>
      <c r="BQ7" s="383"/>
      <c r="BR7" s="204"/>
      <c r="BS7" s="202"/>
      <c r="BT7" s="205"/>
      <c r="BU7" s="205"/>
      <c r="BV7" s="204"/>
      <c r="BW7" s="202"/>
      <c r="BX7" s="205"/>
      <c r="BY7" s="205"/>
      <c r="BZ7" s="204"/>
      <c r="CA7" s="202"/>
      <c r="CB7" s="205"/>
      <c r="CC7" s="205"/>
      <c r="CD7" s="204"/>
      <c r="CE7" s="206"/>
      <c r="CF7" s="208"/>
      <c r="CG7" s="205"/>
      <c r="CH7" s="204"/>
      <c r="CI7" s="202"/>
      <c r="CJ7" s="205"/>
      <c r="CK7" s="205"/>
      <c r="CL7" s="204"/>
      <c r="CM7" s="202"/>
      <c r="CN7" s="205"/>
      <c r="CO7" s="205"/>
      <c r="CP7" s="204"/>
      <c r="CQ7" s="202"/>
      <c r="CR7" s="205"/>
      <c r="CS7" s="205"/>
      <c r="CT7" s="204"/>
      <c r="CU7" s="1798">
        <f>'БелАЗы '!K19</f>
        <v>0</v>
      </c>
      <c r="CV7" s="609" t="s">
        <v>433</v>
      </c>
      <c r="CW7" s="196"/>
    </row>
    <row r="8" spans="1:107" s="194" customFormat="1" ht="3" hidden="1" customHeight="1" x14ac:dyDescent="0.3">
      <c r="A8" s="1805"/>
      <c r="B8" s="1802" t="s">
        <v>155</v>
      </c>
      <c r="C8" s="1807"/>
      <c r="D8" s="876"/>
      <c r="E8" s="874"/>
      <c r="F8" s="874"/>
      <c r="G8" s="875"/>
      <c r="H8" s="876"/>
      <c r="I8" s="873"/>
      <c r="J8" s="873"/>
      <c r="K8" s="875"/>
      <c r="L8" s="876"/>
      <c r="M8" s="873"/>
      <c r="N8" s="873"/>
      <c r="O8" s="875"/>
      <c r="P8" s="876"/>
      <c r="Q8" s="873"/>
      <c r="R8" s="873"/>
      <c r="S8" s="877"/>
      <c r="T8" s="878"/>
      <c r="U8" s="879"/>
      <c r="V8" s="875"/>
      <c r="W8" s="876"/>
      <c r="X8" s="873"/>
      <c r="Y8" s="873"/>
      <c r="Z8" s="875"/>
      <c r="AA8" s="876"/>
      <c r="AB8" s="873"/>
      <c r="AC8" s="873"/>
      <c r="AD8" s="875"/>
      <c r="AE8" s="876"/>
      <c r="AF8" s="873"/>
      <c r="AG8" s="873"/>
      <c r="AH8" s="877"/>
      <c r="AI8" s="880"/>
      <c r="AJ8" s="873"/>
      <c r="AK8" s="873"/>
      <c r="AL8" s="875"/>
      <c r="AM8" s="876"/>
      <c r="AN8" s="873"/>
      <c r="AO8" s="873"/>
      <c r="AP8" s="875"/>
      <c r="AQ8" s="876"/>
      <c r="AR8" s="873"/>
      <c r="AS8" s="873"/>
      <c r="AT8" s="875"/>
      <c r="AU8" s="876"/>
      <c r="AV8" s="873"/>
      <c r="AW8" s="873"/>
      <c r="AX8" s="875"/>
      <c r="AY8" s="1779"/>
      <c r="AZ8" s="876"/>
      <c r="BA8" s="874"/>
      <c r="BB8" s="874"/>
      <c r="BC8" s="875"/>
      <c r="BD8" s="876"/>
      <c r="BE8" s="873"/>
      <c r="BF8" s="873"/>
      <c r="BG8" s="875"/>
      <c r="BH8" s="876"/>
      <c r="BI8" s="873"/>
      <c r="BJ8" s="873"/>
      <c r="BK8" s="875"/>
      <c r="BL8" s="876"/>
      <c r="BM8" s="873"/>
      <c r="BN8" s="873"/>
      <c r="BO8" s="877"/>
      <c r="BP8" s="878"/>
      <c r="BQ8" s="879"/>
      <c r="BR8" s="875"/>
      <c r="BS8" s="876"/>
      <c r="BT8" s="873"/>
      <c r="BU8" s="873"/>
      <c r="BV8" s="875"/>
      <c r="BW8" s="876"/>
      <c r="BX8" s="873"/>
      <c r="BY8" s="873"/>
      <c r="BZ8" s="875"/>
      <c r="CA8" s="876"/>
      <c r="CB8" s="873"/>
      <c r="CC8" s="873"/>
      <c r="CD8" s="877"/>
      <c r="CE8" s="880"/>
      <c r="CF8" s="873"/>
      <c r="CG8" s="873"/>
      <c r="CH8" s="875"/>
      <c r="CI8" s="876"/>
      <c r="CJ8" s="873"/>
      <c r="CK8" s="873"/>
      <c r="CL8" s="875"/>
      <c r="CM8" s="876"/>
      <c r="CN8" s="873"/>
      <c r="CO8" s="873"/>
      <c r="CP8" s="875"/>
      <c r="CQ8" s="876"/>
      <c r="CR8" s="873"/>
      <c r="CS8" s="873"/>
      <c r="CT8" s="875"/>
      <c r="CU8" s="1799"/>
      <c r="CV8" s="1774" t="s">
        <v>433</v>
      </c>
      <c r="CW8" s="196"/>
    </row>
    <row r="9" spans="1:107" s="194" customFormat="1" ht="15.95" hidden="1" customHeight="1" thickBot="1" x14ac:dyDescent="0.35">
      <c r="A9" s="1803"/>
      <c r="B9" s="1803"/>
      <c r="C9" s="552"/>
      <c r="D9" s="209"/>
      <c r="E9" s="215"/>
      <c r="F9" s="210"/>
      <c r="G9" s="211"/>
      <c r="H9" s="209"/>
      <c r="I9" s="212"/>
      <c r="J9" s="212"/>
      <c r="K9" s="211"/>
      <c r="L9" s="209"/>
      <c r="M9" s="212"/>
      <c r="N9" s="212"/>
      <c r="O9" s="211"/>
      <c r="P9" s="209"/>
      <c r="Q9" s="212"/>
      <c r="R9" s="212"/>
      <c r="S9" s="211"/>
      <c r="T9" s="213"/>
      <c r="U9" s="618"/>
      <c r="V9" s="211"/>
      <c r="W9" s="209"/>
      <c r="X9" s="212"/>
      <c r="Y9" s="212"/>
      <c r="Z9" s="211"/>
      <c r="AA9" s="209"/>
      <c r="AB9" s="212"/>
      <c r="AC9" s="212"/>
      <c r="AD9" s="211"/>
      <c r="AE9" s="209"/>
      <c r="AF9" s="212"/>
      <c r="AG9" s="212"/>
      <c r="AH9" s="211"/>
      <c r="AI9" s="213"/>
      <c r="AJ9" s="201"/>
      <c r="AK9" s="212"/>
      <c r="AL9" s="211"/>
      <c r="AM9" s="209"/>
      <c r="AN9" s="212"/>
      <c r="AO9" s="212"/>
      <c r="AP9" s="211"/>
      <c r="AQ9" s="209"/>
      <c r="AR9" s="212"/>
      <c r="AS9" s="212"/>
      <c r="AT9" s="211"/>
      <c r="AU9" s="209"/>
      <c r="AV9" s="212"/>
      <c r="AW9" s="212"/>
      <c r="AX9" s="211"/>
      <c r="AY9" s="1780"/>
      <c r="AZ9" s="209"/>
      <c r="BA9" s="215"/>
      <c r="BB9" s="210"/>
      <c r="BC9" s="211"/>
      <c r="BD9" s="209"/>
      <c r="BE9" s="212"/>
      <c r="BF9" s="212"/>
      <c r="BG9" s="211"/>
      <c r="BH9" s="209"/>
      <c r="BI9" s="212"/>
      <c r="BJ9" s="212"/>
      <c r="BK9" s="211"/>
      <c r="BL9" s="209"/>
      <c r="BM9" s="212"/>
      <c r="BN9" s="212"/>
      <c r="BO9" s="211"/>
      <c r="BP9" s="213"/>
      <c r="BQ9" s="618"/>
      <c r="BR9" s="211"/>
      <c r="BS9" s="209"/>
      <c r="BT9" s="212"/>
      <c r="BU9" s="212"/>
      <c r="BV9" s="211"/>
      <c r="BW9" s="209"/>
      <c r="BX9" s="212"/>
      <c r="BY9" s="212"/>
      <c r="BZ9" s="211"/>
      <c r="CA9" s="209"/>
      <c r="CB9" s="212"/>
      <c r="CC9" s="212"/>
      <c r="CD9" s="211"/>
      <c r="CE9" s="213"/>
      <c r="CF9" s="201"/>
      <c r="CG9" s="212"/>
      <c r="CH9" s="211"/>
      <c r="CI9" s="209"/>
      <c r="CJ9" s="212"/>
      <c r="CK9" s="212"/>
      <c r="CL9" s="211"/>
      <c r="CM9" s="209"/>
      <c r="CN9" s="212"/>
      <c r="CO9" s="212"/>
      <c r="CP9" s="211"/>
      <c r="CQ9" s="209"/>
      <c r="CR9" s="212"/>
      <c r="CS9" s="212"/>
      <c r="CT9" s="211"/>
      <c r="CU9" s="1800"/>
      <c r="CV9" s="1775"/>
      <c r="CW9" s="196"/>
    </row>
    <row r="10" spans="1:107" s="194" customFormat="1" ht="15.95" customHeight="1" x14ac:dyDescent="0.3">
      <c r="A10" s="1804" t="s">
        <v>170</v>
      </c>
      <c r="B10" s="225" t="s">
        <v>154</v>
      </c>
      <c r="C10" s="1806"/>
      <c r="D10" s="202"/>
      <c r="E10" s="199"/>
      <c r="F10" s="619"/>
      <c r="G10" s="204"/>
      <c r="H10" s="202"/>
      <c r="I10" s="205"/>
      <c r="J10" s="205"/>
      <c r="K10" s="204"/>
      <c r="L10" s="202"/>
      <c r="M10" s="205"/>
      <c r="N10" s="205"/>
      <c r="O10" s="204"/>
      <c r="P10" s="202"/>
      <c r="Q10" s="205"/>
      <c r="R10" s="205"/>
      <c r="S10" s="204"/>
      <c r="T10" s="206"/>
      <c r="U10" s="383"/>
      <c r="V10" s="204"/>
      <c r="W10" s="202"/>
      <c r="X10" s="205"/>
      <c r="Y10" s="205"/>
      <c r="Z10" s="204"/>
      <c r="AA10" s="202"/>
      <c r="AB10" s="205"/>
      <c r="AC10" s="205"/>
      <c r="AD10" s="204"/>
      <c r="AE10" s="202"/>
      <c r="AF10" s="205"/>
      <c r="AG10" s="205"/>
      <c r="AH10" s="204"/>
      <c r="AI10" s="206"/>
      <c r="AJ10" s="208"/>
      <c r="AK10" s="205"/>
      <c r="AL10" s="204"/>
      <c r="AM10" s="202"/>
      <c r="AN10" s="205"/>
      <c r="AO10" s="205"/>
      <c r="AP10" s="204"/>
      <c r="AQ10" s="202"/>
      <c r="AR10" s="205"/>
      <c r="AS10" s="205"/>
      <c r="AT10" s="204"/>
      <c r="AU10" s="202"/>
      <c r="AV10" s="205"/>
      <c r="AW10" s="205"/>
      <c r="AX10" s="204"/>
      <c r="AY10" s="1778">
        <f>'БелАЗы '!K9</f>
        <v>0</v>
      </c>
      <c r="AZ10" s="202"/>
      <c r="BA10" s="205"/>
      <c r="BB10" s="205"/>
      <c r="BC10" s="204"/>
      <c r="BD10" s="202"/>
      <c r="BE10" s="205"/>
      <c r="BF10" s="205"/>
      <c r="BG10" s="204"/>
      <c r="BH10" s="202"/>
      <c r="BI10" s="205"/>
      <c r="BJ10" s="205"/>
      <c r="BK10" s="204"/>
      <c r="BL10" s="202"/>
      <c r="BM10" s="205"/>
      <c r="BN10" s="205"/>
      <c r="BO10" s="204"/>
      <c r="BP10" s="206"/>
      <c r="BQ10" s="383"/>
      <c r="BR10" s="204"/>
      <c r="BS10" s="202"/>
      <c r="BT10" s="205"/>
      <c r="BU10" s="205"/>
      <c r="BV10" s="204"/>
      <c r="BW10" s="202"/>
      <c r="BX10" s="205"/>
      <c r="BY10" s="205"/>
      <c r="BZ10" s="204"/>
      <c r="CA10" s="202"/>
      <c r="CB10" s="205"/>
      <c r="CC10" s="205"/>
      <c r="CD10" s="204"/>
      <c r="CE10" s="206"/>
      <c r="CF10" s="208"/>
      <c r="CG10" s="205"/>
      <c r="CH10" s="204"/>
      <c r="CI10" s="202"/>
      <c r="CJ10" s="205"/>
      <c r="CK10" s="205"/>
      <c r="CL10" s="204"/>
      <c r="CM10" s="202"/>
      <c r="CN10" s="205"/>
      <c r="CO10" s="205"/>
      <c r="CP10" s="204"/>
      <c r="CQ10" s="202"/>
      <c r="CR10" s="205"/>
      <c r="CS10" s="205"/>
      <c r="CT10" s="204"/>
      <c r="CU10" s="1798">
        <f>'БелАЗы '!K20</f>
        <v>0</v>
      </c>
      <c r="CV10" s="609"/>
      <c r="DB10" s="194" t="e">
        <f>#REF!</f>
        <v>#REF!</v>
      </c>
      <c r="DC10" s="194" t="e">
        <f>#REF!</f>
        <v>#REF!</v>
      </c>
    </row>
    <row r="11" spans="1:107" s="194" customFormat="1" ht="3" customHeight="1" x14ac:dyDescent="0.3">
      <c r="A11" s="1805"/>
      <c r="B11" s="1802" t="s">
        <v>155</v>
      </c>
      <c r="C11" s="1807"/>
      <c r="D11" s="956"/>
      <c r="E11" s="611"/>
      <c r="F11" s="612"/>
      <c r="G11" s="613"/>
      <c r="H11" s="614"/>
      <c r="I11" s="615"/>
      <c r="J11" s="615"/>
      <c r="K11" s="613"/>
      <c r="L11" s="614"/>
      <c r="M11" s="615"/>
      <c r="N11" s="615"/>
      <c r="O11" s="613"/>
      <c r="P11" s="614"/>
      <c r="Q11" s="615"/>
      <c r="R11" s="615"/>
      <c r="S11" s="616"/>
      <c r="T11" s="216"/>
      <c r="U11" s="617"/>
      <c r="V11" s="613"/>
      <c r="W11" s="614"/>
      <c r="X11" s="615"/>
      <c r="Y11" s="615"/>
      <c r="Z11" s="613"/>
      <c r="AA11" s="614"/>
      <c r="AB11" s="615"/>
      <c r="AC11" s="615"/>
      <c r="AD11" s="613"/>
      <c r="AE11" s="614"/>
      <c r="AF11" s="615"/>
      <c r="AG11" s="615"/>
      <c r="AH11" s="616"/>
      <c r="AI11" s="217"/>
      <c r="AJ11" s="615"/>
      <c r="AK11" s="615"/>
      <c r="AL11" s="613"/>
      <c r="AM11" s="614"/>
      <c r="AN11" s="615"/>
      <c r="AO11" s="615"/>
      <c r="AP11" s="613"/>
      <c r="AQ11" s="614"/>
      <c r="AR11" s="615"/>
      <c r="AS11" s="615"/>
      <c r="AT11" s="613"/>
      <c r="AU11" s="614"/>
      <c r="AV11" s="610"/>
      <c r="AW11" s="610"/>
      <c r="AX11" s="957"/>
      <c r="AY11" s="1779"/>
      <c r="AZ11" s="876"/>
      <c r="BA11" s="874"/>
      <c r="BB11" s="874"/>
      <c r="BC11" s="875"/>
      <c r="BD11" s="876"/>
      <c r="BE11" s="873"/>
      <c r="BF11" s="873"/>
      <c r="BG11" s="875"/>
      <c r="BH11" s="876"/>
      <c r="BI11" s="873"/>
      <c r="BJ11" s="873"/>
      <c r="BK11" s="875"/>
      <c r="BL11" s="876"/>
      <c r="BM11" s="873"/>
      <c r="BN11" s="873"/>
      <c r="BO11" s="877"/>
      <c r="BP11" s="878"/>
      <c r="BQ11" s="879"/>
      <c r="BR11" s="875"/>
      <c r="BS11" s="876"/>
      <c r="BT11" s="873"/>
      <c r="BU11" s="873"/>
      <c r="BV11" s="875"/>
      <c r="BW11" s="876"/>
      <c r="BX11" s="873"/>
      <c r="BY11" s="873"/>
      <c r="BZ11" s="875"/>
      <c r="CA11" s="876"/>
      <c r="CB11" s="873"/>
      <c r="CC11" s="873"/>
      <c r="CD11" s="877"/>
      <c r="CE11" s="880"/>
      <c r="CF11" s="873"/>
      <c r="CG11" s="873"/>
      <c r="CH11" s="875"/>
      <c r="CI11" s="876"/>
      <c r="CJ11" s="873"/>
      <c r="CK11" s="873"/>
      <c r="CL11" s="875"/>
      <c r="CM11" s="876"/>
      <c r="CN11" s="873"/>
      <c r="CO11" s="873"/>
      <c r="CP11" s="875"/>
      <c r="CQ11" s="876"/>
      <c r="CR11" s="873"/>
      <c r="CS11" s="873"/>
      <c r="CT11" s="875"/>
      <c r="CU11" s="1799"/>
      <c r="CV11" s="1774" t="s">
        <v>288</v>
      </c>
      <c r="DB11" s="194" t="e">
        <f>#REF!</f>
        <v>#REF!</v>
      </c>
      <c r="DC11" s="194" t="e">
        <f>#REF!</f>
        <v>#REF!</v>
      </c>
    </row>
    <row r="12" spans="1:107" s="194" customFormat="1" ht="15.95" customHeight="1" thickBot="1" x14ac:dyDescent="0.35">
      <c r="A12" s="1803"/>
      <c r="B12" s="1803"/>
      <c r="C12" s="552"/>
      <c r="D12" s="209"/>
      <c r="E12" s="215"/>
      <c r="F12" s="620"/>
      <c r="G12" s="211"/>
      <c r="H12" s="209"/>
      <c r="I12" s="212"/>
      <c r="J12" s="212"/>
      <c r="K12" s="211"/>
      <c r="L12" s="209"/>
      <c r="M12" s="212"/>
      <c r="N12" s="212"/>
      <c r="O12" s="211"/>
      <c r="P12" s="209"/>
      <c r="Q12" s="212"/>
      <c r="R12" s="212"/>
      <c r="S12" s="211"/>
      <c r="T12" s="213"/>
      <c r="U12" s="618"/>
      <c r="V12" s="211"/>
      <c r="W12" s="209"/>
      <c r="X12" s="212"/>
      <c r="Y12" s="212"/>
      <c r="Z12" s="211"/>
      <c r="AA12" s="209"/>
      <c r="AB12" s="212"/>
      <c r="AC12" s="212"/>
      <c r="AD12" s="211"/>
      <c r="AE12" s="209"/>
      <c r="AF12" s="212"/>
      <c r="AG12" s="212"/>
      <c r="AH12" s="211"/>
      <c r="AI12" s="213"/>
      <c r="AJ12" s="201"/>
      <c r="AK12" s="212"/>
      <c r="AL12" s="211"/>
      <c r="AM12" s="209"/>
      <c r="AN12" s="212"/>
      <c r="AO12" s="212"/>
      <c r="AP12" s="211"/>
      <c r="AQ12" s="209"/>
      <c r="AR12" s="212"/>
      <c r="AS12" s="212"/>
      <c r="AT12" s="211"/>
      <c r="AU12" s="209"/>
      <c r="AV12" s="212"/>
      <c r="AW12" s="212"/>
      <c r="AX12" s="211"/>
      <c r="AY12" s="1780"/>
      <c r="AZ12" s="209"/>
      <c r="BA12" s="215"/>
      <c r="BB12" s="210"/>
      <c r="BC12" s="211"/>
      <c r="BD12" s="209"/>
      <c r="BE12" s="212"/>
      <c r="BF12" s="212"/>
      <c r="BG12" s="211"/>
      <c r="BH12" s="209"/>
      <c r="BI12" s="212"/>
      <c r="BJ12" s="212"/>
      <c r="BK12" s="211"/>
      <c r="BL12" s="209"/>
      <c r="BM12" s="212"/>
      <c r="BN12" s="212"/>
      <c r="BO12" s="211"/>
      <c r="BP12" s="213"/>
      <c r="BQ12" s="618"/>
      <c r="BR12" s="211"/>
      <c r="BS12" s="209"/>
      <c r="BT12" s="212"/>
      <c r="BU12" s="212"/>
      <c r="BV12" s="211"/>
      <c r="BW12" s="209"/>
      <c r="BX12" s="212"/>
      <c r="BY12" s="212"/>
      <c r="BZ12" s="211"/>
      <c r="CA12" s="209"/>
      <c r="CB12" s="212"/>
      <c r="CC12" s="212"/>
      <c r="CD12" s="211"/>
      <c r="CE12" s="213"/>
      <c r="CF12" s="201"/>
      <c r="CG12" s="212"/>
      <c r="CH12" s="211"/>
      <c r="CI12" s="209"/>
      <c r="CJ12" s="212"/>
      <c r="CK12" s="212"/>
      <c r="CL12" s="211"/>
      <c r="CM12" s="209"/>
      <c r="CN12" s="212"/>
      <c r="CO12" s="212"/>
      <c r="CP12" s="211"/>
      <c r="CQ12" s="209"/>
      <c r="CR12" s="212"/>
      <c r="CS12" s="212"/>
      <c r="CT12" s="211"/>
      <c r="CU12" s="1800"/>
      <c r="CV12" s="1775"/>
      <c r="DB12" s="194" t="e">
        <f>#REF!</f>
        <v>#REF!</v>
      </c>
      <c r="DC12" s="194" t="e">
        <f>#REF!</f>
        <v>#REF!</v>
      </c>
    </row>
    <row r="13" spans="1:107" s="194" customFormat="1" ht="15.95" hidden="1" customHeight="1" x14ac:dyDescent="0.3">
      <c r="A13" s="1804" t="s">
        <v>171</v>
      </c>
      <c r="B13" s="225" t="s">
        <v>154</v>
      </c>
      <c r="C13" s="1806"/>
      <c r="D13" s="202"/>
      <c r="E13" s="205"/>
      <c r="F13" s="205"/>
      <c r="G13" s="204"/>
      <c r="H13" s="202"/>
      <c r="I13" s="205"/>
      <c r="J13" s="205"/>
      <c r="K13" s="204"/>
      <c r="L13" s="202"/>
      <c r="M13" s="205"/>
      <c r="N13" s="205"/>
      <c r="O13" s="204"/>
      <c r="P13" s="202"/>
      <c r="Q13" s="205"/>
      <c r="R13" s="205"/>
      <c r="S13" s="204"/>
      <c r="T13" s="206"/>
      <c r="U13" s="383"/>
      <c r="V13" s="204"/>
      <c r="W13" s="202"/>
      <c r="X13" s="205"/>
      <c r="Y13" s="205"/>
      <c r="Z13" s="204"/>
      <c r="AA13" s="202"/>
      <c r="AB13" s="205"/>
      <c r="AC13" s="205"/>
      <c r="AD13" s="204"/>
      <c r="AE13" s="202"/>
      <c r="AF13" s="205"/>
      <c r="AG13" s="205"/>
      <c r="AH13" s="204"/>
      <c r="AI13" s="206"/>
      <c r="AJ13" s="208"/>
      <c r="AK13" s="205"/>
      <c r="AL13" s="204"/>
      <c r="AM13" s="202"/>
      <c r="AN13" s="205"/>
      <c r="AO13" s="205"/>
      <c r="AP13" s="204"/>
      <c r="AQ13" s="202"/>
      <c r="AR13" s="205"/>
      <c r="AS13" s="205"/>
      <c r="AT13" s="204"/>
      <c r="AU13" s="202"/>
      <c r="AV13" s="205"/>
      <c r="AW13" s="205"/>
      <c r="AX13" s="204"/>
      <c r="AY13" s="1778" t="e">
        <f>'БелАЗы '!#REF!</f>
        <v>#REF!</v>
      </c>
      <c r="AZ13" s="202"/>
      <c r="BA13" s="205"/>
      <c r="BB13" s="205"/>
      <c r="BC13" s="204"/>
      <c r="BD13" s="202"/>
      <c r="BE13" s="205"/>
      <c r="BF13" s="205"/>
      <c r="BG13" s="204"/>
      <c r="BH13" s="202"/>
      <c r="BI13" s="205"/>
      <c r="BJ13" s="205"/>
      <c r="BK13" s="204"/>
      <c r="BL13" s="202"/>
      <c r="BM13" s="205"/>
      <c r="BN13" s="205"/>
      <c r="BO13" s="204"/>
      <c r="BP13" s="206"/>
      <c r="BQ13" s="383"/>
      <c r="BR13" s="204"/>
      <c r="BS13" s="202"/>
      <c r="BT13" s="205"/>
      <c r="BU13" s="205"/>
      <c r="BV13" s="204"/>
      <c r="BW13" s="202"/>
      <c r="BX13" s="205"/>
      <c r="BY13" s="205"/>
      <c r="BZ13" s="204"/>
      <c r="CA13" s="202"/>
      <c r="CB13" s="205"/>
      <c r="CC13" s="205"/>
      <c r="CD13" s="204"/>
      <c r="CE13" s="206"/>
      <c r="CF13" s="208"/>
      <c r="CG13" s="205"/>
      <c r="CH13" s="204"/>
      <c r="CI13" s="202"/>
      <c r="CJ13" s="205"/>
      <c r="CK13" s="205"/>
      <c r="CL13" s="204"/>
      <c r="CM13" s="202"/>
      <c r="CN13" s="205"/>
      <c r="CO13" s="205"/>
      <c r="CP13" s="204"/>
      <c r="CQ13" s="202"/>
      <c r="CR13" s="205"/>
      <c r="CS13" s="205"/>
      <c r="CT13" s="204"/>
      <c r="CU13" s="1798" t="e">
        <f>'БелАЗы '!#REF!</f>
        <v>#REF!</v>
      </c>
      <c r="CV13" s="609" t="s">
        <v>288</v>
      </c>
      <c r="DB13" s="194" t="e">
        <f>#REF!</f>
        <v>#REF!</v>
      </c>
    </row>
    <row r="14" spans="1:107" s="194" customFormat="1" ht="3" hidden="1" customHeight="1" x14ac:dyDescent="0.3">
      <c r="A14" s="1805"/>
      <c r="B14" s="1802" t="s">
        <v>155</v>
      </c>
      <c r="C14" s="1807"/>
      <c r="D14" s="876"/>
      <c r="E14" s="874"/>
      <c r="F14" s="874"/>
      <c r="G14" s="875"/>
      <c r="H14" s="876"/>
      <c r="I14" s="873"/>
      <c r="J14" s="873"/>
      <c r="K14" s="875"/>
      <c r="L14" s="876"/>
      <c r="M14" s="873"/>
      <c r="N14" s="873"/>
      <c r="O14" s="875"/>
      <c r="P14" s="876"/>
      <c r="Q14" s="873"/>
      <c r="R14" s="873"/>
      <c r="S14" s="877"/>
      <c r="T14" s="878"/>
      <c r="U14" s="879"/>
      <c r="V14" s="875"/>
      <c r="W14" s="876"/>
      <c r="X14" s="873"/>
      <c r="Y14" s="873"/>
      <c r="Z14" s="875"/>
      <c r="AA14" s="876"/>
      <c r="AB14" s="873"/>
      <c r="AC14" s="873"/>
      <c r="AD14" s="875"/>
      <c r="AE14" s="876"/>
      <c r="AF14" s="873"/>
      <c r="AG14" s="873"/>
      <c r="AH14" s="877"/>
      <c r="AI14" s="880"/>
      <c r="AJ14" s="873"/>
      <c r="AK14" s="873"/>
      <c r="AL14" s="875"/>
      <c r="AM14" s="876"/>
      <c r="AN14" s="873"/>
      <c r="AO14" s="873"/>
      <c r="AP14" s="875"/>
      <c r="AQ14" s="876"/>
      <c r="AR14" s="873"/>
      <c r="AS14" s="873"/>
      <c r="AT14" s="875"/>
      <c r="AU14" s="876"/>
      <c r="AV14" s="873"/>
      <c r="AW14" s="873"/>
      <c r="AX14" s="875"/>
      <c r="AY14" s="1779"/>
      <c r="AZ14" s="876"/>
      <c r="BA14" s="874"/>
      <c r="BB14" s="874"/>
      <c r="BC14" s="875"/>
      <c r="BD14" s="876"/>
      <c r="BE14" s="873"/>
      <c r="BF14" s="873"/>
      <c r="BG14" s="875"/>
      <c r="BH14" s="876"/>
      <c r="BI14" s="873"/>
      <c r="BJ14" s="873"/>
      <c r="BK14" s="875"/>
      <c r="BL14" s="876"/>
      <c r="BM14" s="873"/>
      <c r="BN14" s="873"/>
      <c r="BO14" s="877"/>
      <c r="BP14" s="878"/>
      <c r="BQ14" s="879"/>
      <c r="BR14" s="875"/>
      <c r="BS14" s="876"/>
      <c r="BT14" s="873"/>
      <c r="BU14" s="873"/>
      <c r="BV14" s="875"/>
      <c r="BW14" s="876"/>
      <c r="BX14" s="873"/>
      <c r="BY14" s="873"/>
      <c r="BZ14" s="875"/>
      <c r="CA14" s="876"/>
      <c r="CB14" s="873"/>
      <c r="CC14" s="873"/>
      <c r="CD14" s="877"/>
      <c r="CE14" s="880"/>
      <c r="CF14" s="873"/>
      <c r="CG14" s="873"/>
      <c r="CH14" s="875"/>
      <c r="CI14" s="876"/>
      <c r="CJ14" s="873"/>
      <c r="CK14" s="873"/>
      <c r="CL14" s="875"/>
      <c r="CM14" s="876"/>
      <c r="CN14" s="873"/>
      <c r="CO14" s="873"/>
      <c r="CP14" s="875"/>
      <c r="CQ14" s="876"/>
      <c r="CR14" s="873"/>
      <c r="CS14" s="873"/>
      <c r="CT14" s="875"/>
      <c r="CU14" s="1799"/>
      <c r="CV14" s="1774" t="s">
        <v>288</v>
      </c>
      <c r="DB14" s="194" t="e">
        <f>#REF!</f>
        <v>#REF!</v>
      </c>
    </row>
    <row r="15" spans="1:107" s="194" customFormat="1" ht="15.95" hidden="1" customHeight="1" thickBot="1" x14ac:dyDescent="0.35">
      <c r="A15" s="1803"/>
      <c r="B15" s="1803"/>
      <c r="C15" s="552"/>
      <c r="D15" s="209"/>
      <c r="E15" s="215"/>
      <c r="F15" s="210"/>
      <c r="G15" s="211"/>
      <c r="H15" s="209"/>
      <c r="I15" s="212"/>
      <c r="J15" s="212"/>
      <c r="K15" s="211"/>
      <c r="L15" s="209"/>
      <c r="M15" s="212"/>
      <c r="N15" s="212"/>
      <c r="O15" s="211"/>
      <c r="P15" s="209"/>
      <c r="Q15" s="212"/>
      <c r="R15" s="212"/>
      <c r="S15" s="211"/>
      <c r="T15" s="213"/>
      <c r="U15" s="618"/>
      <c r="V15" s="211"/>
      <c r="W15" s="209"/>
      <c r="X15" s="212"/>
      <c r="Y15" s="212"/>
      <c r="Z15" s="211"/>
      <c r="AA15" s="209"/>
      <c r="AB15" s="212"/>
      <c r="AC15" s="212"/>
      <c r="AD15" s="211"/>
      <c r="AE15" s="209"/>
      <c r="AF15" s="212"/>
      <c r="AG15" s="212"/>
      <c r="AH15" s="211"/>
      <c r="AI15" s="213"/>
      <c r="AJ15" s="201"/>
      <c r="AK15" s="212"/>
      <c r="AL15" s="211"/>
      <c r="AM15" s="209"/>
      <c r="AN15" s="212"/>
      <c r="AO15" s="212"/>
      <c r="AP15" s="211"/>
      <c r="AQ15" s="209"/>
      <c r="AR15" s="212"/>
      <c r="AS15" s="212"/>
      <c r="AT15" s="211"/>
      <c r="AU15" s="209"/>
      <c r="AV15" s="212"/>
      <c r="AW15" s="212"/>
      <c r="AX15" s="211"/>
      <c r="AY15" s="1780"/>
      <c r="AZ15" s="209"/>
      <c r="BA15" s="215"/>
      <c r="BB15" s="210"/>
      <c r="BC15" s="211"/>
      <c r="BD15" s="209"/>
      <c r="BE15" s="212"/>
      <c r="BF15" s="212"/>
      <c r="BG15" s="211"/>
      <c r="BH15" s="209"/>
      <c r="BI15" s="212"/>
      <c r="BJ15" s="212"/>
      <c r="BK15" s="211"/>
      <c r="BL15" s="209"/>
      <c r="BM15" s="212"/>
      <c r="BN15" s="212"/>
      <c r="BO15" s="211"/>
      <c r="BP15" s="213"/>
      <c r="BQ15" s="618"/>
      <c r="BR15" s="211"/>
      <c r="BS15" s="209"/>
      <c r="BT15" s="212"/>
      <c r="BU15" s="212"/>
      <c r="BV15" s="211"/>
      <c r="BW15" s="209"/>
      <c r="BX15" s="212"/>
      <c r="BY15" s="212"/>
      <c r="BZ15" s="211"/>
      <c r="CA15" s="209"/>
      <c r="CB15" s="212"/>
      <c r="CC15" s="212"/>
      <c r="CD15" s="211"/>
      <c r="CE15" s="213"/>
      <c r="CF15" s="201"/>
      <c r="CG15" s="212"/>
      <c r="CH15" s="211"/>
      <c r="CI15" s="209"/>
      <c r="CJ15" s="212"/>
      <c r="CK15" s="212"/>
      <c r="CL15" s="211"/>
      <c r="CM15" s="209"/>
      <c r="CN15" s="212"/>
      <c r="CO15" s="212"/>
      <c r="CP15" s="211"/>
      <c r="CQ15" s="209"/>
      <c r="CR15" s="212"/>
      <c r="CS15" s="212"/>
      <c r="CT15" s="211"/>
      <c r="CU15" s="1800"/>
      <c r="CV15" s="1775"/>
      <c r="DB15" s="194" t="e">
        <f>#REF!</f>
        <v>#REF!</v>
      </c>
    </row>
    <row r="16" spans="1:107" s="194" customFormat="1" ht="15.95" hidden="1" customHeight="1" x14ac:dyDescent="0.3">
      <c r="A16" s="1804" t="s">
        <v>172</v>
      </c>
      <c r="B16" s="225" t="s">
        <v>154</v>
      </c>
      <c r="C16" s="1822"/>
      <c r="D16" s="202"/>
      <c r="E16" s="205"/>
      <c r="F16" s="205"/>
      <c r="G16" s="204"/>
      <c r="H16" s="202"/>
      <c r="I16" s="205"/>
      <c r="J16" s="205"/>
      <c r="K16" s="204"/>
      <c r="L16" s="202"/>
      <c r="M16" s="205"/>
      <c r="N16" s="205"/>
      <c r="O16" s="204"/>
      <c r="P16" s="202"/>
      <c r="Q16" s="205"/>
      <c r="R16" s="205"/>
      <c r="S16" s="204"/>
      <c r="T16" s="206"/>
      <c r="U16" s="383"/>
      <c r="V16" s="204"/>
      <c r="W16" s="202"/>
      <c r="X16" s="205"/>
      <c r="Y16" s="205"/>
      <c r="Z16" s="204"/>
      <c r="AA16" s="202"/>
      <c r="AB16" s="205"/>
      <c r="AC16" s="205"/>
      <c r="AD16" s="204"/>
      <c r="AE16" s="202"/>
      <c r="AF16" s="205"/>
      <c r="AG16" s="205"/>
      <c r="AH16" s="204"/>
      <c r="AI16" s="206"/>
      <c r="AJ16" s="208"/>
      <c r="AK16" s="205"/>
      <c r="AL16" s="204"/>
      <c r="AM16" s="202"/>
      <c r="AN16" s="205"/>
      <c r="AO16" s="205"/>
      <c r="AP16" s="204"/>
      <c r="AQ16" s="202"/>
      <c r="AR16" s="205"/>
      <c r="AS16" s="205"/>
      <c r="AT16" s="204"/>
      <c r="AU16" s="202"/>
      <c r="AV16" s="205"/>
      <c r="AW16" s="205"/>
      <c r="AX16" s="204"/>
      <c r="AY16" s="1778" t="e">
        <f>'БелАЗы '!#REF!</f>
        <v>#REF!</v>
      </c>
      <c r="AZ16" s="202"/>
      <c r="BA16" s="205"/>
      <c r="BB16" s="205"/>
      <c r="BC16" s="204"/>
      <c r="BD16" s="202"/>
      <c r="BE16" s="205"/>
      <c r="BF16" s="205"/>
      <c r="BG16" s="204"/>
      <c r="BH16" s="202"/>
      <c r="BI16" s="205"/>
      <c r="BJ16" s="205"/>
      <c r="BK16" s="204"/>
      <c r="BL16" s="202"/>
      <c r="BM16" s="205"/>
      <c r="BN16" s="205"/>
      <c r="BO16" s="204"/>
      <c r="BP16" s="206"/>
      <c r="BQ16" s="383"/>
      <c r="BR16" s="204"/>
      <c r="BS16" s="202"/>
      <c r="BT16" s="205"/>
      <c r="BU16" s="205"/>
      <c r="BV16" s="204"/>
      <c r="BW16" s="202"/>
      <c r="BX16" s="205"/>
      <c r="BY16" s="205"/>
      <c r="BZ16" s="204"/>
      <c r="CA16" s="202"/>
      <c r="CB16" s="205"/>
      <c r="CC16" s="205"/>
      <c r="CD16" s="204"/>
      <c r="CE16" s="206"/>
      <c r="CF16" s="208"/>
      <c r="CG16" s="205"/>
      <c r="CH16" s="204"/>
      <c r="CI16" s="202"/>
      <c r="CJ16" s="205"/>
      <c r="CK16" s="205"/>
      <c r="CL16" s="204"/>
      <c r="CM16" s="202"/>
      <c r="CN16" s="205"/>
      <c r="CO16" s="205"/>
      <c r="CP16" s="204"/>
      <c r="CQ16" s="202"/>
      <c r="CR16" s="205"/>
      <c r="CS16" s="205"/>
      <c r="CT16" s="204"/>
      <c r="CU16" s="1798" t="e">
        <f>'БелАЗы '!#REF!</f>
        <v>#REF!</v>
      </c>
      <c r="CV16" s="609" t="s">
        <v>288</v>
      </c>
      <c r="DB16" s="194" t="e">
        <f>#REF!</f>
        <v>#REF!</v>
      </c>
    </row>
    <row r="17" spans="1:106" s="194" customFormat="1" ht="3" hidden="1" customHeight="1" x14ac:dyDescent="0.3">
      <c r="A17" s="1805"/>
      <c r="B17" s="1802" t="s">
        <v>155</v>
      </c>
      <c r="C17" s="1807"/>
      <c r="D17" s="876"/>
      <c r="E17" s="874"/>
      <c r="F17" s="874"/>
      <c r="G17" s="875"/>
      <c r="H17" s="876"/>
      <c r="I17" s="873"/>
      <c r="J17" s="873"/>
      <c r="K17" s="875"/>
      <c r="L17" s="876"/>
      <c r="M17" s="873"/>
      <c r="N17" s="873"/>
      <c r="O17" s="875"/>
      <c r="P17" s="876"/>
      <c r="Q17" s="873"/>
      <c r="R17" s="873"/>
      <c r="S17" s="877"/>
      <c r="T17" s="878"/>
      <c r="U17" s="879"/>
      <c r="V17" s="875"/>
      <c r="W17" s="876"/>
      <c r="X17" s="873"/>
      <c r="Y17" s="873"/>
      <c r="Z17" s="875"/>
      <c r="AA17" s="876"/>
      <c r="AB17" s="873"/>
      <c r="AC17" s="873"/>
      <c r="AD17" s="875"/>
      <c r="AE17" s="876"/>
      <c r="AF17" s="873"/>
      <c r="AG17" s="873"/>
      <c r="AH17" s="877"/>
      <c r="AI17" s="880"/>
      <c r="AJ17" s="873"/>
      <c r="AK17" s="873"/>
      <c r="AL17" s="875"/>
      <c r="AM17" s="876"/>
      <c r="AN17" s="873"/>
      <c r="AO17" s="873"/>
      <c r="AP17" s="875"/>
      <c r="AQ17" s="876"/>
      <c r="AR17" s="873"/>
      <c r="AS17" s="873"/>
      <c r="AT17" s="875"/>
      <c r="AU17" s="876"/>
      <c r="AV17" s="873"/>
      <c r="AW17" s="873"/>
      <c r="AX17" s="875"/>
      <c r="AY17" s="1779"/>
      <c r="AZ17" s="876"/>
      <c r="BA17" s="874"/>
      <c r="BB17" s="874"/>
      <c r="BC17" s="875"/>
      <c r="BD17" s="876"/>
      <c r="BE17" s="873"/>
      <c r="BF17" s="873"/>
      <c r="BG17" s="875"/>
      <c r="BH17" s="876"/>
      <c r="BI17" s="873"/>
      <c r="BJ17" s="873"/>
      <c r="BK17" s="875"/>
      <c r="BL17" s="876"/>
      <c r="BM17" s="873"/>
      <c r="BN17" s="873"/>
      <c r="BO17" s="877"/>
      <c r="BP17" s="878"/>
      <c r="BQ17" s="879"/>
      <c r="BR17" s="875"/>
      <c r="BS17" s="876"/>
      <c r="BT17" s="873"/>
      <c r="BU17" s="873"/>
      <c r="BV17" s="875"/>
      <c r="BW17" s="876"/>
      <c r="BX17" s="873"/>
      <c r="BY17" s="873"/>
      <c r="BZ17" s="875"/>
      <c r="CA17" s="876"/>
      <c r="CB17" s="873"/>
      <c r="CC17" s="873"/>
      <c r="CD17" s="877"/>
      <c r="CE17" s="880"/>
      <c r="CF17" s="873"/>
      <c r="CG17" s="873"/>
      <c r="CH17" s="875"/>
      <c r="CI17" s="876"/>
      <c r="CJ17" s="873"/>
      <c r="CK17" s="873"/>
      <c r="CL17" s="875"/>
      <c r="CM17" s="876"/>
      <c r="CN17" s="873"/>
      <c r="CO17" s="873"/>
      <c r="CP17" s="875"/>
      <c r="CQ17" s="876"/>
      <c r="CR17" s="873"/>
      <c r="CS17" s="873"/>
      <c r="CT17" s="875"/>
      <c r="CU17" s="1799"/>
      <c r="CV17" s="1774" t="s">
        <v>288</v>
      </c>
      <c r="DB17" s="194" t="e">
        <f>#REF!</f>
        <v>#REF!</v>
      </c>
    </row>
    <row r="18" spans="1:106" s="194" customFormat="1" ht="15.95" hidden="1" customHeight="1" thickBot="1" x14ac:dyDescent="0.35">
      <c r="A18" s="1803"/>
      <c r="B18" s="1803"/>
      <c r="C18" s="551"/>
      <c r="D18" s="209"/>
      <c r="E18" s="215"/>
      <c r="F18" s="210"/>
      <c r="G18" s="211"/>
      <c r="H18" s="209"/>
      <c r="I18" s="212"/>
      <c r="J18" s="212"/>
      <c r="K18" s="211"/>
      <c r="L18" s="209"/>
      <c r="M18" s="212"/>
      <c r="N18" s="212"/>
      <c r="O18" s="211"/>
      <c r="P18" s="209"/>
      <c r="Q18" s="212"/>
      <c r="R18" s="212"/>
      <c r="S18" s="211"/>
      <c r="T18" s="213"/>
      <c r="U18" s="618"/>
      <c r="V18" s="211"/>
      <c r="W18" s="209"/>
      <c r="X18" s="212"/>
      <c r="Y18" s="212"/>
      <c r="Z18" s="211"/>
      <c r="AA18" s="209"/>
      <c r="AB18" s="212"/>
      <c r="AC18" s="212"/>
      <c r="AD18" s="211"/>
      <c r="AE18" s="209"/>
      <c r="AF18" s="212"/>
      <c r="AG18" s="212"/>
      <c r="AH18" s="211"/>
      <c r="AI18" s="213"/>
      <c r="AJ18" s="201"/>
      <c r="AK18" s="212"/>
      <c r="AL18" s="211"/>
      <c r="AM18" s="209"/>
      <c r="AN18" s="212"/>
      <c r="AO18" s="212"/>
      <c r="AP18" s="211"/>
      <c r="AQ18" s="209"/>
      <c r="AR18" s="212"/>
      <c r="AS18" s="212"/>
      <c r="AT18" s="211"/>
      <c r="AU18" s="209"/>
      <c r="AV18" s="212"/>
      <c r="AW18" s="212"/>
      <c r="AX18" s="211"/>
      <c r="AY18" s="1780"/>
      <c r="AZ18" s="209"/>
      <c r="BA18" s="215"/>
      <c r="BB18" s="210"/>
      <c r="BC18" s="211"/>
      <c r="BD18" s="209"/>
      <c r="BE18" s="212"/>
      <c r="BF18" s="212"/>
      <c r="BG18" s="211"/>
      <c r="BH18" s="209"/>
      <c r="BI18" s="212"/>
      <c r="BJ18" s="212"/>
      <c r="BK18" s="211"/>
      <c r="BL18" s="209"/>
      <c r="BM18" s="212"/>
      <c r="BN18" s="212"/>
      <c r="BO18" s="211"/>
      <c r="BP18" s="213"/>
      <c r="BQ18" s="618"/>
      <c r="BR18" s="211"/>
      <c r="BS18" s="209"/>
      <c r="BT18" s="212"/>
      <c r="BU18" s="212"/>
      <c r="BV18" s="211"/>
      <c r="BW18" s="209"/>
      <c r="BX18" s="212"/>
      <c r="BY18" s="212"/>
      <c r="BZ18" s="211"/>
      <c r="CA18" s="209"/>
      <c r="CB18" s="212"/>
      <c r="CC18" s="212"/>
      <c r="CD18" s="211"/>
      <c r="CE18" s="213"/>
      <c r="CF18" s="201"/>
      <c r="CG18" s="212"/>
      <c r="CH18" s="211"/>
      <c r="CI18" s="209"/>
      <c r="CJ18" s="212"/>
      <c r="CK18" s="212"/>
      <c r="CL18" s="211"/>
      <c r="CM18" s="209"/>
      <c r="CN18" s="212"/>
      <c r="CO18" s="212"/>
      <c r="CP18" s="211"/>
      <c r="CQ18" s="209"/>
      <c r="CR18" s="212"/>
      <c r="CS18" s="212"/>
      <c r="CT18" s="211"/>
      <c r="CU18" s="1800"/>
      <c r="CV18" s="1775"/>
      <c r="DB18" s="194" t="e">
        <f>#REF!</f>
        <v>#REF!</v>
      </c>
    </row>
    <row r="19" spans="1:106" s="194" customFormat="1" ht="15.95" hidden="1" customHeight="1" x14ac:dyDescent="0.3">
      <c r="A19" s="1804" t="s">
        <v>178</v>
      </c>
      <c r="B19" s="225" t="s">
        <v>154</v>
      </c>
      <c r="C19" s="1806"/>
      <c r="D19" s="202"/>
      <c r="E19" s="205"/>
      <c r="F19" s="205"/>
      <c r="G19" s="204"/>
      <c r="H19" s="202"/>
      <c r="I19" s="205"/>
      <c r="J19" s="205"/>
      <c r="K19" s="204"/>
      <c r="L19" s="202"/>
      <c r="M19" s="205"/>
      <c r="N19" s="205"/>
      <c r="O19" s="204"/>
      <c r="P19" s="202"/>
      <c r="Q19" s="205"/>
      <c r="R19" s="205"/>
      <c r="S19" s="204"/>
      <c r="T19" s="206"/>
      <c r="U19" s="383"/>
      <c r="V19" s="204"/>
      <c r="W19" s="202"/>
      <c r="X19" s="205"/>
      <c r="Y19" s="205"/>
      <c r="Z19" s="204"/>
      <c r="AA19" s="202"/>
      <c r="AB19" s="205"/>
      <c r="AC19" s="205"/>
      <c r="AD19" s="204"/>
      <c r="AE19" s="202"/>
      <c r="AF19" s="205"/>
      <c r="AG19" s="205"/>
      <c r="AH19" s="204"/>
      <c r="AI19" s="206"/>
      <c r="AJ19" s="208"/>
      <c r="AK19" s="205"/>
      <c r="AL19" s="204"/>
      <c r="AM19" s="202"/>
      <c r="AN19" s="205"/>
      <c r="AO19" s="205"/>
      <c r="AP19" s="204"/>
      <c r="AQ19" s="202"/>
      <c r="AR19" s="205"/>
      <c r="AS19" s="205"/>
      <c r="AT19" s="204"/>
      <c r="AU19" s="202"/>
      <c r="AV19" s="205"/>
      <c r="AW19" s="205"/>
      <c r="AX19" s="204"/>
      <c r="AY19" s="1778" t="e">
        <f>'БелАЗы '!#REF!</f>
        <v>#REF!</v>
      </c>
      <c r="AZ19" s="202"/>
      <c r="BA19" s="205"/>
      <c r="BB19" s="205"/>
      <c r="BC19" s="204"/>
      <c r="BD19" s="202"/>
      <c r="BE19" s="205"/>
      <c r="BF19" s="205"/>
      <c r="BG19" s="204"/>
      <c r="BH19" s="202"/>
      <c r="BI19" s="205"/>
      <c r="BJ19" s="205"/>
      <c r="BK19" s="204"/>
      <c r="BL19" s="202"/>
      <c r="BM19" s="205"/>
      <c r="BN19" s="205"/>
      <c r="BO19" s="204"/>
      <c r="BP19" s="206"/>
      <c r="BQ19" s="383"/>
      <c r="BR19" s="204"/>
      <c r="BS19" s="202"/>
      <c r="BT19" s="205"/>
      <c r="BU19" s="205"/>
      <c r="BV19" s="204"/>
      <c r="BW19" s="202"/>
      <c r="BX19" s="205"/>
      <c r="BY19" s="205"/>
      <c r="BZ19" s="204"/>
      <c r="CA19" s="202"/>
      <c r="CB19" s="205"/>
      <c r="CC19" s="205"/>
      <c r="CD19" s="204"/>
      <c r="CE19" s="206"/>
      <c r="CF19" s="208"/>
      <c r="CG19" s="205"/>
      <c r="CH19" s="204"/>
      <c r="CI19" s="202"/>
      <c r="CJ19" s="205"/>
      <c r="CK19" s="205"/>
      <c r="CL19" s="204"/>
      <c r="CM19" s="202"/>
      <c r="CN19" s="205"/>
      <c r="CO19" s="205"/>
      <c r="CP19" s="204"/>
      <c r="CQ19" s="202"/>
      <c r="CR19" s="205"/>
      <c r="CS19" s="205"/>
      <c r="CT19" s="204"/>
      <c r="CU19" s="1798" t="e">
        <f>'БелАЗы '!#REF!</f>
        <v>#REF!</v>
      </c>
      <c r="CV19" s="609" t="s">
        <v>288</v>
      </c>
      <c r="DB19" s="194" t="e">
        <f>#REF!</f>
        <v>#REF!</v>
      </c>
    </row>
    <row r="20" spans="1:106" s="194" customFormat="1" ht="3" hidden="1" customHeight="1" x14ac:dyDescent="0.3">
      <c r="A20" s="1805"/>
      <c r="B20" s="1802" t="s">
        <v>155</v>
      </c>
      <c r="C20" s="1807"/>
      <c r="D20" s="876"/>
      <c r="E20" s="874"/>
      <c r="F20" s="874"/>
      <c r="G20" s="875"/>
      <c r="H20" s="876"/>
      <c r="I20" s="873"/>
      <c r="J20" s="873"/>
      <c r="K20" s="875"/>
      <c r="L20" s="876"/>
      <c r="M20" s="873"/>
      <c r="N20" s="873"/>
      <c r="O20" s="875"/>
      <c r="P20" s="876"/>
      <c r="Q20" s="873"/>
      <c r="R20" s="873"/>
      <c r="S20" s="877"/>
      <c r="T20" s="878"/>
      <c r="U20" s="879"/>
      <c r="V20" s="875"/>
      <c r="W20" s="876"/>
      <c r="X20" s="873"/>
      <c r="Y20" s="873"/>
      <c r="Z20" s="875"/>
      <c r="AA20" s="876"/>
      <c r="AB20" s="873"/>
      <c r="AC20" s="873"/>
      <c r="AD20" s="875"/>
      <c r="AE20" s="876"/>
      <c r="AF20" s="873"/>
      <c r="AG20" s="873"/>
      <c r="AH20" s="877"/>
      <c r="AI20" s="880"/>
      <c r="AJ20" s="873"/>
      <c r="AK20" s="873"/>
      <c r="AL20" s="875"/>
      <c r="AM20" s="876"/>
      <c r="AN20" s="873"/>
      <c r="AO20" s="873"/>
      <c r="AP20" s="875"/>
      <c r="AQ20" s="876"/>
      <c r="AR20" s="873"/>
      <c r="AS20" s="873"/>
      <c r="AT20" s="875"/>
      <c r="AU20" s="876"/>
      <c r="AV20" s="873"/>
      <c r="AW20" s="873"/>
      <c r="AX20" s="875"/>
      <c r="AY20" s="1779"/>
      <c r="AZ20" s="876"/>
      <c r="BA20" s="874"/>
      <c r="BB20" s="874"/>
      <c r="BC20" s="875"/>
      <c r="BD20" s="876"/>
      <c r="BE20" s="873"/>
      <c r="BF20" s="873"/>
      <c r="BG20" s="875"/>
      <c r="BH20" s="876"/>
      <c r="BI20" s="873"/>
      <c r="BJ20" s="873"/>
      <c r="BK20" s="875"/>
      <c r="BL20" s="876"/>
      <c r="BM20" s="873"/>
      <c r="BN20" s="873"/>
      <c r="BO20" s="877"/>
      <c r="BP20" s="878"/>
      <c r="BQ20" s="879"/>
      <c r="BR20" s="875"/>
      <c r="BS20" s="876"/>
      <c r="BT20" s="873"/>
      <c r="BU20" s="873"/>
      <c r="BV20" s="875"/>
      <c r="BW20" s="876"/>
      <c r="BX20" s="873"/>
      <c r="BY20" s="873"/>
      <c r="BZ20" s="875"/>
      <c r="CA20" s="876"/>
      <c r="CB20" s="873"/>
      <c r="CC20" s="873"/>
      <c r="CD20" s="877"/>
      <c r="CE20" s="880"/>
      <c r="CF20" s="873"/>
      <c r="CG20" s="873"/>
      <c r="CH20" s="875"/>
      <c r="CI20" s="876"/>
      <c r="CJ20" s="873"/>
      <c r="CK20" s="873"/>
      <c r="CL20" s="875"/>
      <c r="CM20" s="876"/>
      <c r="CN20" s="873"/>
      <c r="CO20" s="873"/>
      <c r="CP20" s="875"/>
      <c r="CQ20" s="876"/>
      <c r="CR20" s="873"/>
      <c r="CS20" s="873"/>
      <c r="CT20" s="875"/>
      <c r="CU20" s="1799"/>
      <c r="CV20" s="1774" t="s">
        <v>288</v>
      </c>
      <c r="DB20" s="194" t="e">
        <f>#REF!</f>
        <v>#REF!</v>
      </c>
    </row>
    <row r="21" spans="1:106" s="194" customFormat="1" ht="15.95" hidden="1" customHeight="1" thickBot="1" x14ac:dyDescent="0.35">
      <c r="A21" s="1803"/>
      <c r="B21" s="1803"/>
      <c r="C21" s="552"/>
      <c r="D21" s="209"/>
      <c r="E21" s="215"/>
      <c r="F21" s="210"/>
      <c r="G21" s="211"/>
      <c r="H21" s="209"/>
      <c r="I21" s="212"/>
      <c r="J21" s="212"/>
      <c r="K21" s="211"/>
      <c r="L21" s="209"/>
      <c r="M21" s="212"/>
      <c r="N21" s="212"/>
      <c r="O21" s="211"/>
      <c r="P21" s="209"/>
      <c r="Q21" s="212"/>
      <c r="R21" s="212"/>
      <c r="S21" s="211"/>
      <c r="T21" s="213"/>
      <c r="U21" s="618"/>
      <c r="V21" s="211"/>
      <c r="W21" s="209"/>
      <c r="X21" s="212"/>
      <c r="Y21" s="212"/>
      <c r="Z21" s="211"/>
      <c r="AA21" s="209"/>
      <c r="AB21" s="212"/>
      <c r="AC21" s="212"/>
      <c r="AD21" s="211"/>
      <c r="AE21" s="209"/>
      <c r="AF21" s="212"/>
      <c r="AG21" s="212"/>
      <c r="AH21" s="211"/>
      <c r="AI21" s="213"/>
      <c r="AJ21" s="201"/>
      <c r="AK21" s="212"/>
      <c r="AL21" s="211"/>
      <c r="AM21" s="209"/>
      <c r="AN21" s="212"/>
      <c r="AO21" s="212"/>
      <c r="AP21" s="211"/>
      <c r="AQ21" s="209"/>
      <c r="AR21" s="212"/>
      <c r="AS21" s="212"/>
      <c r="AT21" s="211"/>
      <c r="AU21" s="209"/>
      <c r="AV21" s="212"/>
      <c r="AW21" s="212"/>
      <c r="AX21" s="211"/>
      <c r="AY21" s="1780"/>
      <c r="AZ21" s="209"/>
      <c r="BA21" s="215"/>
      <c r="BB21" s="210"/>
      <c r="BC21" s="211"/>
      <c r="BD21" s="209"/>
      <c r="BE21" s="212"/>
      <c r="BF21" s="212"/>
      <c r="BG21" s="211"/>
      <c r="BH21" s="209"/>
      <c r="BI21" s="212"/>
      <c r="BJ21" s="212"/>
      <c r="BK21" s="211"/>
      <c r="BL21" s="209"/>
      <c r="BM21" s="212"/>
      <c r="BN21" s="212"/>
      <c r="BO21" s="211"/>
      <c r="BP21" s="213"/>
      <c r="BQ21" s="618"/>
      <c r="BR21" s="211"/>
      <c r="BS21" s="209"/>
      <c r="BT21" s="212"/>
      <c r="BU21" s="212"/>
      <c r="BV21" s="211"/>
      <c r="BW21" s="209"/>
      <c r="BX21" s="212"/>
      <c r="BY21" s="212"/>
      <c r="BZ21" s="211"/>
      <c r="CA21" s="209"/>
      <c r="CB21" s="212"/>
      <c r="CC21" s="212"/>
      <c r="CD21" s="211"/>
      <c r="CE21" s="213"/>
      <c r="CF21" s="201"/>
      <c r="CG21" s="212"/>
      <c r="CH21" s="211"/>
      <c r="CI21" s="209"/>
      <c r="CJ21" s="212"/>
      <c r="CK21" s="212"/>
      <c r="CL21" s="211"/>
      <c r="CM21" s="209"/>
      <c r="CN21" s="212"/>
      <c r="CO21" s="212"/>
      <c r="CP21" s="211"/>
      <c r="CQ21" s="209"/>
      <c r="CR21" s="212"/>
      <c r="CS21" s="212"/>
      <c r="CT21" s="211"/>
      <c r="CU21" s="1800"/>
      <c r="CV21" s="1775"/>
      <c r="DB21" s="194" t="e">
        <f>#REF!</f>
        <v>#REF!</v>
      </c>
    </row>
    <row r="22" spans="1:106" s="194" customFormat="1" ht="15.95" hidden="1" customHeight="1" x14ac:dyDescent="0.3">
      <c r="A22" s="1804" t="s">
        <v>176</v>
      </c>
      <c r="B22" s="225" t="s">
        <v>154</v>
      </c>
      <c r="C22" s="1822"/>
      <c r="D22" s="202"/>
      <c r="E22" s="205"/>
      <c r="F22" s="205"/>
      <c r="G22" s="204"/>
      <c r="H22" s="202"/>
      <c r="I22" s="205"/>
      <c r="J22" s="205"/>
      <c r="K22" s="204"/>
      <c r="L22" s="202"/>
      <c r="M22" s="205"/>
      <c r="N22" s="205"/>
      <c r="O22" s="204"/>
      <c r="P22" s="202"/>
      <c r="Q22" s="205"/>
      <c r="R22" s="205"/>
      <c r="S22" s="204"/>
      <c r="T22" s="206"/>
      <c r="U22" s="383"/>
      <c r="V22" s="204"/>
      <c r="W22" s="202"/>
      <c r="X22" s="205"/>
      <c r="Y22" s="205"/>
      <c r="Z22" s="204"/>
      <c r="AA22" s="202"/>
      <c r="AB22" s="205"/>
      <c r="AC22" s="205"/>
      <c r="AD22" s="204"/>
      <c r="AE22" s="202"/>
      <c r="AF22" s="205"/>
      <c r="AG22" s="205"/>
      <c r="AH22" s="204"/>
      <c r="AI22" s="206"/>
      <c r="AJ22" s="208"/>
      <c r="AK22" s="205"/>
      <c r="AL22" s="204"/>
      <c r="AM22" s="202"/>
      <c r="AN22" s="205"/>
      <c r="AO22" s="205"/>
      <c r="AP22" s="204"/>
      <c r="AQ22" s="202"/>
      <c r="AR22" s="205"/>
      <c r="AS22" s="205"/>
      <c r="AT22" s="204"/>
      <c r="AU22" s="202"/>
      <c r="AV22" s="205"/>
      <c r="AW22" s="205"/>
      <c r="AX22" s="204"/>
      <c r="AY22" s="1778" t="e">
        <f>'БелАЗы '!#REF!</f>
        <v>#REF!</v>
      </c>
      <c r="AZ22" s="202"/>
      <c r="BA22" s="205"/>
      <c r="BB22" s="205"/>
      <c r="BC22" s="204"/>
      <c r="BD22" s="202"/>
      <c r="BE22" s="205"/>
      <c r="BF22" s="205"/>
      <c r="BG22" s="204"/>
      <c r="BH22" s="202"/>
      <c r="BI22" s="205"/>
      <c r="BJ22" s="205"/>
      <c r="BK22" s="204"/>
      <c r="BL22" s="202"/>
      <c r="BM22" s="205"/>
      <c r="BN22" s="205"/>
      <c r="BO22" s="204"/>
      <c r="BP22" s="206"/>
      <c r="BQ22" s="383"/>
      <c r="BR22" s="204"/>
      <c r="BS22" s="202"/>
      <c r="BT22" s="205"/>
      <c r="BU22" s="205"/>
      <c r="BV22" s="204"/>
      <c r="BW22" s="202"/>
      <c r="BX22" s="205"/>
      <c r="BY22" s="205"/>
      <c r="BZ22" s="204"/>
      <c r="CA22" s="202"/>
      <c r="CB22" s="205"/>
      <c r="CC22" s="205"/>
      <c r="CD22" s="204"/>
      <c r="CE22" s="206"/>
      <c r="CF22" s="208"/>
      <c r="CG22" s="205"/>
      <c r="CH22" s="204"/>
      <c r="CI22" s="202"/>
      <c r="CJ22" s="205"/>
      <c r="CK22" s="205"/>
      <c r="CL22" s="204"/>
      <c r="CM22" s="202"/>
      <c r="CN22" s="205"/>
      <c r="CO22" s="205"/>
      <c r="CP22" s="204"/>
      <c r="CQ22" s="202"/>
      <c r="CR22" s="205"/>
      <c r="CS22" s="205"/>
      <c r="CT22" s="204"/>
      <c r="CU22" s="1798" t="e">
        <f>'БелАЗы '!#REF!</f>
        <v>#REF!</v>
      </c>
      <c r="CV22" s="609" t="s">
        <v>288</v>
      </c>
      <c r="DB22" s="194" t="e">
        <f>#REF!</f>
        <v>#REF!</v>
      </c>
    </row>
    <row r="23" spans="1:106" s="194" customFormat="1" ht="3" hidden="1" customHeight="1" x14ac:dyDescent="0.3">
      <c r="A23" s="1805"/>
      <c r="B23" s="1802" t="s">
        <v>155</v>
      </c>
      <c r="C23" s="1807"/>
      <c r="D23" s="876"/>
      <c r="E23" s="874"/>
      <c r="F23" s="874"/>
      <c r="G23" s="875"/>
      <c r="H23" s="876"/>
      <c r="I23" s="873"/>
      <c r="J23" s="873"/>
      <c r="K23" s="875"/>
      <c r="L23" s="876"/>
      <c r="M23" s="873"/>
      <c r="N23" s="873"/>
      <c r="O23" s="875"/>
      <c r="P23" s="876"/>
      <c r="Q23" s="873"/>
      <c r="R23" s="873"/>
      <c r="S23" s="877"/>
      <c r="T23" s="878"/>
      <c r="U23" s="879"/>
      <c r="V23" s="875"/>
      <c r="W23" s="876"/>
      <c r="X23" s="873"/>
      <c r="Y23" s="873"/>
      <c r="Z23" s="875"/>
      <c r="AA23" s="876"/>
      <c r="AB23" s="873"/>
      <c r="AC23" s="873"/>
      <c r="AD23" s="875"/>
      <c r="AE23" s="876"/>
      <c r="AF23" s="873"/>
      <c r="AG23" s="873"/>
      <c r="AH23" s="877"/>
      <c r="AI23" s="880"/>
      <c r="AJ23" s="873"/>
      <c r="AK23" s="873"/>
      <c r="AL23" s="875"/>
      <c r="AM23" s="876"/>
      <c r="AN23" s="873"/>
      <c r="AO23" s="873"/>
      <c r="AP23" s="875"/>
      <c r="AQ23" s="876"/>
      <c r="AR23" s="873"/>
      <c r="AS23" s="873"/>
      <c r="AT23" s="875"/>
      <c r="AU23" s="876"/>
      <c r="AV23" s="873"/>
      <c r="AW23" s="873"/>
      <c r="AX23" s="875"/>
      <c r="AY23" s="1779"/>
      <c r="AZ23" s="876"/>
      <c r="BA23" s="874"/>
      <c r="BB23" s="874"/>
      <c r="BC23" s="875"/>
      <c r="BD23" s="876"/>
      <c r="BE23" s="873"/>
      <c r="BF23" s="873"/>
      <c r="BG23" s="875"/>
      <c r="BH23" s="876"/>
      <c r="BI23" s="873"/>
      <c r="BJ23" s="873"/>
      <c r="BK23" s="875"/>
      <c r="BL23" s="876"/>
      <c r="BM23" s="873"/>
      <c r="BN23" s="873"/>
      <c r="BO23" s="877"/>
      <c r="BP23" s="878"/>
      <c r="BQ23" s="879"/>
      <c r="BR23" s="875"/>
      <c r="BS23" s="876"/>
      <c r="BT23" s="873"/>
      <c r="BU23" s="873"/>
      <c r="BV23" s="875"/>
      <c r="BW23" s="876"/>
      <c r="BX23" s="873"/>
      <c r="BY23" s="873"/>
      <c r="BZ23" s="875"/>
      <c r="CA23" s="876"/>
      <c r="CB23" s="873"/>
      <c r="CC23" s="873"/>
      <c r="CD23" s="877"/>
      <c r="CE23" s="880"/>
      <c r="CF23" s="873"/>
      <c r="CG23" s="873"/>
      <c r="CH23" s="875"/>
      <c r="CI23" s="876"/>
      <c r="CJ23" s="873"/>
      <c r="CK23" s="873"/>
      <c r="CL23" s="875"/>
      <c r="CM23" s="876"/>
      <c r="CN23" s="873"/>
      <c r="CO23" s="873"/>
      <c r="CP23" s="875"/>
      <c r="CQ23" s="876"/>
      <c r="CR23" s="873"/>
      <c r="CS23" s="873"/>
      <c r="CT23" s="875"/>
      <c r="CU23" s="1799"/>
      <c r="CV23" s="1774" t="s">
        <v>288</v>
      </c>
      <c r="DB23" s="194" t="e">
        <f>#REF!</f>
        <v>#REF!</v>
      </c>
    </row>
    <row r="24" spans="1:106" s="194" customFormat="1" ht="15.95" hidden="1" customHeight="1" thickBot="1" x14ac:dyDescent="0.35">
      <c r="A24" s="1803"/>
      <c r="B24" s="1803"/>
      <c r="C24" s="551"/>
      <c r="D24" s="209"/>
      <c r="E24" s="215"/>
      <c r="F24" s="210"/>
      <c r="G24" s="211"/>
      <c r="H24" s="209"/>
      <c r="I24" s="212"/>
      <c r="J24" s="212"/>
      <c r="K24" s="211"/>
      <c r="L24" s="209"/>
      <c r="M24" s="212"/>
      <c r="N24" s="212"/>
      <c r="O24" s="211"/>
      <c r="P24" s="209"/>
      <c r="Q24" s="212"/>
      <c r="R24" s="212"/>
      <c r="S24" s="211"/>
      <c r="T24" s="213"/>
      <c r="U24" s="618"/>
      <c r="V24" s="211"/>
      <c r="W24" s="209"/>
      <c r="X24" s="212"/>
      <c r="Y24" s="212"/>
      <c r="Z24" s="211"/>
      <c r="AA24" s="209"/>
      <c r="AB24" s="212"/>
      <c r="AC24" s="212"/>
      <c r="AD24" s="211"/>
      <c r="AE24" s="209"/>
      <c r="AF24" s="212"/>
      <c r="AG24" s="212"/>
      <c r="AH24" s="211"/>
      <c r="AI24" s="213"/>
      <c r="AJ24" s="201"/>
      <c r="AK24" s="212"/>
      <c r="AL24" s="211"/>
      <c r="AM24" s="209"/>
      <c r="AN24" s="212"/>
      <c r="AO24" s="212"/>
      <c r="AP24" s="211"/>
      <c r="AQ24" s="209"/>
      <c r="AR24" s="212"/>
      <c r="AS24" s="212"/>
      <c r="AT24" s="211"/>
      <c r="AU24" s="209"/>
      <c r="AV24" s="212"/>
      <c r="AW24" s="212"/>
      <c r="AX24" s="211"/>
      <c r="AY24" s="1780"/>
      <c r="AZ24" s="209"/>
      <c r="BA24" s="215"/>
      <c r="BB24" s="210"/>
      <c r="BC24" s="211"/>
      <c r="BD24" s="209"/>
      <c r="BE24" s="212"/>
      <c r="BF24" s="212"/>
      <c r="BG24" s="211"/>
      <c r="BH24" s="209"/>
      <c r="BI24" s="212"/>
      <c r="BJ24" s="212"/>
      <c r="BK24" s="211"/>
      <c r="BL24" s="209"/>
      <c r="BM24" s="212"/>
      <c r="BN24" s="212"/>
      <c r="BO24" s="211"/>
      <c r="BP24" s="213"/>
      <c r="BQ24" s="618"/>
      <c r="BR24" s="211"/>
      <c r="BS24" s="209"/>
      <c r="BT24" s="212"/>
      <c r="BU24" s="212"/>
      <c r="BV24" s="211"/>
      <c r="BW24" s="209"/>
      <c r="BX24" s="212"/>
      <c r="BY24" s="212"/>
      <c r="BZ24" s="211"/>
      <c r="CA24" s="209"/>
      <c r="CB24" s="212"/>
      <c r="CC24" s="212"/>
      <c r="CD24" s="211"/>
      <c r="CE24" s="213"/>
      <c r="CF24" s="201"/>
      <c r="CG24" s="212"/>
      <c r="CH24" s="211"/>
      <c r="CI24" s="209"/>
      <c r="CJ24" s="212"/>
      <c r="CK24" s="212"/>
      <c r="CL24" s="211"/>
      <c r="CM24" s="209"/>
      <c r="CN24" s="212"/>
      <c r="CO24" s="212"/>
      <c r="CP24" s="211"/>
      <c r="CQ24" s="209"/>
      <c r="CR24" s="212"/>
      <c r="CS24" s="212"/>
      <c r="CT24" s="211"/>
      <c r="CU24" s="1800"/>
      <c r="CV24" s="1775"/>
      <c r="DB24" s="194" t="e">
        <f>#REF!</f>
        <v>#REF!</v>
      </c>
    </row>
    <row r="25" spans="1:106" s="194" customFormat="1" ht="15.95" hidden="1" customHeight="1" x14ac:dyDescent="0.3">
      <c r="A25" s="1804" t="s">
        <v>174</v>
      </c>
      <c r="B25" s="225" t="s">
        <v>154</v>
      </c>
      <c r="C25" s="1806"/>
      <c r="D25" s="202"/>
      <c r="E25" s="205"/>
      <c r="F25" s="205"/>
      <c r="G25" s="204"/>
      <c r="H25" s="202"/>
      <c r="I25" s="205"/>
      <c r="J25" s="205"/>
      <c r="K25" s="204"/>
      <c r="L25" s="202"/>
      <c r="M25" s="205"/>
      <c r="N25" s="205"/>
      <c r="O25" s="204"/>
      <c r="P25" s="202"/>
      <c r="Q25" s="205"/>
      <c r="R25" s="205"/>
      <c r="S25" s="204"/>
      <c r="T25" s="206"/>
      <c r="U25" s="383"/>
      <c r="V25" s="204"/>
      <c r="W25" s="202"/>
      <c r="X25" s="205"/>
      <c r="Y25" s="205"/>
      <c r="Z25" s="204"/>
      <c r="AA25" s="202"/>
      <c r="AB25" s="205"/>
      <c r="AC25" s="205"/>
      <c r="AD25" s="204"/>
      <c r="AE25" s="202"/>
      <c r="AF25" s="205"/>
      <c r="AG25" s="205"/>
      <c r="AH25" s="204"/>
      <c r="AI25" s="206"/>
      <c r="AJ25" s="208"/>
      <c r="AK25" s="205"/>
      <c r="AL25" s="204"/>
      <c r="AM25" s="202"/>
      <c r="AN25" s="205"/>
      <c r="AO25" s="205"/>
      <c r="AP25" s="204"/>
      <c r="AQ25" s="202"/>
      <c r="AR25" s="205"/>
      <c r="AS25" s="205"/>
      <c r="AT25" s="204"/>
      <c r="AU25" s="202"/>
      <c r="AV25" s="205"/>
      <c r="AW25" s="205"/>
      <c r="AX25" s="204"/>
      <c r="AY25" s="1778" t="e">
        <f>'БелАЗы '!#REF!</f>
        <v>#REF!</v>
      </c>
      <c r="AZ25" s="202"/>
      <c r="BA25" s="205"/>
      <c r="BB25" s="205"/>
      <c r="BC25" s="204"/>
      <c r="BD25" s="202"/>
      <c r="BE25" s="205"/>
      <c r="BF25" s="205"/>
      <c r="BG25" s="204"/>
      <c r="BH25" s="202"/>
      <c r="BI25" s="205"/>
      <c r="BJ25" s="205"/>
      <c r="BK25" s="204"/>
      <c r="BL25" s="202"/>
      <c r="BM25" s="205"/>
      <c r="BN25" s="205"/>
      <c r="BO25" s="204"/>
      <c r="BP25" s="206"/>
      <c r="BQ25" s="383"/>
      <c r="BR25" s="204"/>
      <c r="BS25" s="202"/>
      <c r="BT25" s="205"/>
      <c r="BU25" s="205"/>
      <c r="BV25" s="204"/>
      <c r="BW25" s="202"/>
      <c r="BX25" s="205"/>
      <c r="BY25" s="205"/>
      <c r="BZ25" s="204"/>
      <c r="CA25" s="202"/>
      <c r="CB25" s="205"/>
      <c r="CC25" s="205"/>
      <c r="CD25" s="204"/>
      <c r="CE25" s="206"/>
      <c r="CF25" s="208"/>
      <c r="CG25" s="205"/>
      <c r="CH25" s="204"/>
      <c r="CI25" s="202"/>
      <c r="CJ25" s="205"/>
      <c r="CK25" s="205"/>
      <c r="CL25" s="204"/>
      <c r="CM25" s="202"/>
      <c r="CN25" s="205"/>
      <c r="CO25" s="205"/>
      <c r="CP25" s="204"/>
      <c r="CQ25" s="202"/>
      <c r="CR25" s="205"/>
      <c r="CS25" s="205"/>
      <c r="CT25" s="204"/>
      <c r="CU25" s="1798" t="e">
        <f>'БелАЗы '!#REF!</f>
        <v>#REF!</v>
      </c>
      <c r="CV25" s="609"/>
      <c r="DB25" s="194" t="e">
        <f>#REF!</f>
        <v>#REF!</v>
      </c>
    </row>
    <row r="26" spans="1:106" s="194" customFormat="1" ht="3" hidden="1" customHeight="1" x14ac:dyDescent="0.3">
      <c r="A26" s="1805"/>
      <c r="B26" s="1802" t="s">
        <v>155</v>
      </c>
      <c r="C26" s="1807"/>
      <c r="D26" s="876"/>
      <c r="E26" s="874"/>
      <c r="F26" s="874"/>
      <c r="G26" s="875"/>
      <c r="H26" s="876"/>
      <c r="I26" s="873"/>
      <c r="J26" s="873"/>
      <c r="K26" s="875"/>
      <c r="L26" s="876"/>
      <c r="M26" s="873"/>
      <c r="N26" s="873"/>
      <c r="O26" s="875"/>
      <c r="P26" s="876"/>
      <c r="Q26" s="873"/>
      <c r="R26" s="873"/>
      <c r="S26" s="877"/>
      <c r="T26" s="878"/>
      <c r="U26" s="879"/>
      <c r="V26" s="875"/>
      <c r="W26" s="876"/>
      <c r="X26" s="873"/>
      <c r="Y26" s="873"/>
      <c r="Z26" s="875"/>
      <c r="AA26" s="876"/>
      <c r="AB26" s="873"/>
      <c r="AC26" s="873"/>
      <c r="AD26" s="875"/>
      <c r="AE26" s="876"/>
      <c r="AF26" s="873"/>
      <c r="AG26" s="873"/>
      <c r="AH26" s="877"/>
      <c r="AI26" s="880"/>
      <c r="AJ26" s="873"/>
      <c r="AK26" s="873"/>
      <c r="AL26" s="875"/>
      <c r="AM26" s="876"/>
      <c r="AN26" s="873"/>
      <c r="AO26" s="873"/>
      <c r="AP26" s="875"/>
      <c r="AQ26" s="876"/>
      <c r="AR26" s="873"/>
      <c r="AS26" s="873"/>
      <c r="AT26" s="875"/>
      <c r="AU26" s="876"/>
      <c r="AV26" s="873"/>
      <c r="AW26" s="873"/>
      <c r="AX26" s="875"/>
      <c r="AY26" s="1779"/>
      <c r="AZ26" s="876"/>
      <c r="BA26" s="874"/>
      <c r="BB26" s="874"/>
      <c r="BC26" s="875"/>
      <c r="BD26" s="876"/>
      <c r="BE26" s="873"/>
      <c r="BF26" s="873"/>
      <c r="BG26" s="875"/>
      <c r="BH26" s="876"/>
      <c r="BI26" s="873"/>
      <c r="BJ26" s="873"/>
      <c r="BK26" s="875"/>
      <c r="BL26" s="876"/>
      <c r="BM26" s="873"/>
      <c r="BN26" s="873"/>
      <c r="BO26" s="877"/>
      <c r="BP26" s="878"/>
      <c r="BQ26" s="879"/>
      <c r="BR26" s="875"/>
      <c r="BS26" s="876"/>
      <c r="BT26" s="873"/>
      <c r="BU26" s="873"/>
      <c r="BV26" s="875"/>
      <c r="BW26" s="876"/>
      <c r="BX26" s="873"/>
      <c r="BY26" s="873"/>
      <c r="BZ26" s="875"/>
      <c r="CA26" s="876"/>
      <c r="CB26" s="873"/>
      <c r="CC26" s="873"/>
      <c r="CD26" s="877"/>
      <c r="CE26" s="880"/>
      <c r="CF26" s="873"/>
      <c r="CG26" s="873"/>
      <c r="CH26" s="875"/>
      <c r="CI26" s="876"/>
      <c r="CJ26" s="873"/>
      <c r="CK26" s="873"/>
      <c r="CL26" s="875"/>
      <c r="CM26" s="876"/>
      <c r="CN26" s="873"/>
      <c r="CO26" s="873"/>
      <c r="CP26" s="875"/>
      <c r="CQ26" s="876"/>
      <c r="CR26" s="873"/>
      <c r="CS26" s="873"/>
      <c r="CT26" s="875"/>
      <c r="CU26" s="1799"/>
      <c r="CV26" s="1774"/>
      <c r="DB26" s="194" t="e">
        <f>#REF!</f>
        <v>#REF!</v>
      </c>
    </row>
    <row r="27" spans="1:106" s="194" customFormat="1" ht="15.95" hidden="1" customHeight="1" thickBot="1" x14ac:dyDescent="0.35">
      <c r="A27" s="1803"/>
      <c r="B27" s="1803"/>
      <c r="C27" s="552"/>
      <c r="D27" s="209"/>
      <c r="E27" s="215"/>
      <c r="F27" s="210"/>
      <c r="G27" s="211"/>
      <c r="H27" s="209"/>
      <c r="I27" s="212"/>
      <c r="J27" s="212"/>
      <c r="K27" s="211"/>
      <c r="L27" s="209"/>
      <c r="M27" s="212"/>
      <c r="N27" s="212"/>
      <c r="O27" s="211"/>
      <c r="P27" s="209"/>
      <c r="Q27" s="212"/>
      <c r="R27" s="212"/>
      <c r="S27" s="211"/>
      <c r="T27" s="213"/>
      <c r="U27" s="618"/>
      <c r="V27" s="211"/>
      <c r="W27" s="209"/>
      <c r="X27" s="212"/>
      <c r="Y27" s="212"/>
      <c r="Z27" s="211"/>
      <c r="AA27" s="209"/>
      <c r="AB27" s="212"/>
      <c r="AC27" s="212"/>
      <c r="AD27" s="211"/>
      <c r="AE27" s="209"/>
      <c r="AF27" s="212"/>
      <c r="AG27" s="212"/>
      <c r="AH27" s="211"/>
      <c r="AI27" s="213"/>
      <c r="AJ27" s="201"/>
      <c r="AK27" s="212"/>
      <c r="AL27" s="211"/>
      <c r="AM27" s="209"/>
      <c r="AN27" s="212"/>
      <c r="AO27" s="212"/>
      <c r="AP27" s="211"/>
      <c r="AQ27" s="209"/>
      <c r="AR27" s="212"/>
      <c r="AS27" s="212"/>
      <c r="AT27" s="211"/>
      <c r="AU27" s="209"/>
      <c r="AV27" s="212"/>
      <c r="AW27" s="212"/>
      <c r="AX27" s="211"/>
      <c r="AY27" s="1780"/>
      <c r="AZ27" s="209"/>
      <c r="BA27" s="215"/>
      <c r="BB27" s="210"/>
      <c r="BC27" s="211"/>
      <c r="BD27" s="209"/>
      <c r="BE27" s="212"/>
      <c r="BF27" s="212"/>
      <c r="BG27" s="211"/>
      <c r="BH27" s="209"/>
      <c r="BI27" s="212"/>
      <c r="BJ27" s="212"/>
      <c r="BK27" s="211"/>
      <c r="BL27" s="209"/>
      <c r="BM27" s="212"/>
      <c r="BN27" s="212"/>
      <c r="BO27" s="211"/>
      <c r="BP27" s="213"/>
      <c r="BQ27" s="618"/>
      <c r="BR27" s="211"/>
      <c r="BS27" s="209"/>
      <c r="BT27" s="212"/>
      <c r="BU27" s="212"/>
      <c r="BV27" s="211"/>
      <c r="BW27" s="209"/>
      <c r="BX27" s="212"/>
      <c r="BY27" s="212"/>
      <c r="BZ27" s="211"/>
      <c r="CA27" s="209"/>
      <c r="CB27" s="212"/>
      <c r="CC27" s="212"/>
      <c r="CD27" s="211"/>
      <c r="CE27" s="213"/>
      <c r="CF27" s="201"/>
      <c r="CG27" s="212"/>
      <c r="CH27" s="211"/>
      <c r="CI27" s="209"/>
      <c r="CJ27" s="212"/>
      <c r="CK27" s="212"/>
      <c r="CL27" s="211"/>
      <c r="CM27" s="209"/>
      <c r="CN27" s="212"/>
      <c r="CO27" s="212"/>
      <c r="CP27" s="211"/>
      <c r="CQ27" s="209"/>
      <c r="CR27" s="212"/>
      <c r="CS27" s="212"/>
      <c r="CT27" s="211"/>
      <c r="CU27" s="1800"/>
      <c r="CV27" s="1775"/>
      <c r="DB27" s="194" t="e">
        <f>#REF!</f>
        <v>#REF!</v>
      </c>
    </row>
    <row r="28" spans="1:106" s="194" customFormat="1" ht="15.95" hidden="1" customHeight="1" x14ac:dyDescent="0.3">
      <c r="A28" s="1804" t="s">
        <v>173</v>
      </c>
      <c r="B28" s="225" t="s">
        <v>154</v>
      </c>
      <c r="C28" s="1822"/>
      <c r="D28" s="202"/>
      <c r="E28" s="205"/>
      <c r="F28" s="205"/>
      <c r="G28" s="204"/>
      <c r="H28" s="202"/>
      <c r="I28" s="205"/>
      <c r="J28" s="205"/>
      <c r="K28" s="204"/>
      <c r="L28" s="202"/>
      <c r="M28" s="205"/>
      <c r="N28" s="205"/>
      <c r="O28" s="204"/>
      <c r="P28" s="202"/>
      <c r="Q28" s="205"/>
      <c r="R28" s="205"/>
      <c r="S28" s="204"/>
      <c r="T28" s="206"/>
      <c r="U28" s="383"/>
      <c r="V28" s="204"/>
      <c r="W28" s="202"/>
      <c r="X28" s="205"/>
      <c r="Y28" s="205"/>
      <c r="Z28" s="204"/>
      <c r="AA28" s="202"/>
      <c r="AB28" s="205"/>
      <c r="AC28" s="205"/>
      <c r="AD28" s="204"/>
      <c r="AE28" s="202"/>
      <c r="AF28" s="205"/>
      <c r="AG28" s="205"/>
      <c r="AH28" s="204"/>
      <c r="AI28" s="206"/>
      <c r="AJ28" s="208"/>
      <c r="AK28" s="205"/>
      <c r="AL28" s="204"/>
      <c r="AM28" s="202"/>
      <c r="AN28" s="205"/>
      <c r="AO28" s="205"/>
      <c r="AP28" s="204"/>
      <c r="AQ28" s="202"/>
      <c r="AR28" s="205"/>
      <c r="AS28" s="205"/>
      <c r="AT28" s="204"/>
      <c r="AU28" s="202"/>
      <c r="AV28" s="205"/>
      <c r="AW28" s="205"/>
      <c r="AX28" s="204"/>
      <c r="AY28" s="1778" t="e">
        <f>'БелАЗы '!#REF!</f>
        <v>#REF!</v>
      </c>
      <c r="AZ28" s="202"/>
      <c r="BA28" s="205"/>
      <c r="BB28" s="205"/>
      <c r="BC28" s="204"/>
      <c r="BD28" s="202"/>
      <c r="BE28" s="205"/>
      <c r="BF28" s="205"/>
      <c r="BG28" s="204"/>
      <c r="BH28" s="202"/>
      <c r="BI28" s="205"/>
      <c r="BJ28" s="205"/>
      <c r="BK28" s="204"/>
      <c r="BL28" s="202"/>
      <c r="BM28" s="205"/>
      <c r="BN28" s="205"/>
      <c r="BO28" s="204"/>
      <c r="BP28" s="206"/>
      <c r="BQ28" s="383"/>
      <c r="BR28" s="204"/>
      <c r="BS28" s="202"/>
      <c r="BT28" s="205"/>
      <c r="BU28" s="205"/>
      <c r="BV28" s="204"/>
      <c r="BW28" s="202"/>
      <c r="BX28" s="205"/>
      <c r="BY28" s="205"/>
      <c r="BZ28" s="204"/>
      <c r="CA28" s="202"/>
      <c r="CB28" s="205"/>
      <c r="CC28" s="205"/>
      <c r="CD28" s="204"/>
      <c r="CE28" s="206"/>
      <c r="CF28" s="208"/>
      <c r="CG28" s="205"/>
      <c r="CH28" s="204"/>
      <c r="CI28" s="202"/>
      <c r="CJ28" s="205"/>
      <c r="CK28" s="205"/>
      <c r="CL28" s="204"/>
      <c r="CM28" s="202"/>
      <c r="CN28" s="205"/>
      <c r="CO28" s="205"/>
      <c r="CP28" s="204"/>
      <c r="CQ28" s="202"/>
      <c r="CR28" s="205"/>
      <c r="CS28" s="205"/>
      <c r="CT28" s="204"/>
      <c r="CU28" s="1798" t="e">
        <f>'БелАЗы '!#REF!</f>
        <v>#REF!</v>
      </c>
      <c r="CV28" s="609"/>
    </row>
    <row r="29" spans="1:106" s="194" customFormat="1" ht="3" hidden="1" customHeight="1" x14ac:dyDescent="0.3">
      <c r="A29" s="1805"/>
      <c r="B29" s="1802" t="s">
        <v>155</v>
      </c>
      <c r="C29" s="1807"/>
      <c r="D29" s="876"/>
      <c r="E29" s="874"/>
      <c r="F29" s="874"/>
      <c r="G29" s="875"/>
      <c r="H29" s="876"/>
      <c r="I29" s="873"/>
      <c r="J29" s="873"/>
      <c r="K29" s="875"/>
      <c r="L29" s="876"/>
      <c r="M29" s="873"/>
      <c r="N29" s="873"/>
      <c r="O29" s="875"/>
      <c r="P29" s="876"/>
      <c r="Q29" s="873"/>
      <c r="R29" s="873"/>
      <c r="S29" s="877"/>
      <c r="T29" s="878"/>
      <c r="U29" s="879"/>
      <c r="V29" s="875"/>
      <c r="W29" s="876"/>
      <c r="X29" s="873"/>
      <c r="Y29" s="873"/>
      <c r="Z29" s="875"/>
      <c r="AA29" s="876"/>
      <c r="AB29" s="873"/>
      <c r="AC29" s="873"/>
      <c r="AD29" s="875"/>
      <c r="AE29" s="876"/>
      <c r="AF29" s="873"/>
      <c r="AG29" s="873"/>
      <c r="AH29" s="877"/>
      <c r="AI29" s="880"/>
      <c r="AJ29" s="873"/>
      <c r="AK29" s="873"/>
      <c r="AL29" s="875"/>
      <c r="AM29" s="876"/>
      <c r="AN29" s="873"/>
      <c r="AO29" s="873"/>
      <c r="AP29" s="875"/>
      <c r="AQ29" s="876"/>
      <c r="AR29" s="873"/>
      <c r="AS29" s="873"/>
      <c r="AT29" s="875"/>
      <c r="AU29" s="876"/>
      <c r="AV29" s="873"/>
      <c r="AW29" s="873"/>
      <c r="AX29" s="875"/>
      <c r="AY29" s="1779"/>
      <c r="AZ29" s="876"/>
      <c r="BA29" s="874"/>
      <c r="BB29" s="874"/>
      <c r="BC29" s="875"/>
      <c r="BD29" s="876"/>
      <c r="BE29" s="873"/>
      <c r="BF29" s="873"/>
      <c r="BG29" s="875"/>
      <c r="BH29" s="876"/>
      <c r="BI29" s="873"/>
      <c r="BJ29" s="873"/>
      <c r="BK29" s="875"/>
      <c r="BL29" s="876"/>
      <c r="BM29" s="873"/>
      <c r="BN29" s="873"/>
      <c r="BO29" s="877"/>
      <c r="BP29" s="878"/>
      <c r="BQ29" s="879"/>
      <c r="BR29" s="875"/>
      <c r="BS29" s="876"/>
      <c r="BT29" s="873"/>
      <c r="BU29" s="873"/>
      <c r="BV29" s="875"/>
      <c r="BW29" s="876"/>
      <c r="BX29" s="873"/>
      <c r="BY29" s="873"/>
      <c r="BZ29" s="875"/>
      <c r="CA29" s="876"/>
      <c r="CB29" s="873"/>
      <c r="CC29" s="873"/>
      <c r="CD29" s="877"/>
      <c r="CE29" s="880"/>
      <c r="CF29" s="873"/>
      <c r="CG29" s="873"/>
      <c r="CH29" s="875"/>
      <c r="CI29" s="876"/>
      <c r="CJ29" s="873"/>
      <c r="CK29" s="873"/>
      <c r="CL29" s="875"/>
      <c r="CM29" s="876"/>
      <c r="CN29" s="873"/>
      <c r="CO29" s="873"/>
      <c r="CP29" s="875"/>
      <c r="CQ29" s="876"/>
      <c r="CR29" s="873"/>
      <c r="CS29" s="873"/>
      <c r="CT29" s="875"/>
      <c r="CU29" s="1799"/>
      <c r="CV29" s="1774"/>
    </row>
    <row r="30" spans="1:106" s="194" customFormat="1" ht="15.95" hidden="1" customHeight="1" thickBot="1" x14ac:dyDescent="0.35">
      <c r="A30" s="1803"/>
      <c r="B30" s="1803"/>
      <c r="C30" s="551"/>
      <c r="D30" s="209"/>
      <c r="E30" s="215"/>
      <c r="F30" s="210"/>
      <c r="G30" s="211"/>
      <c r="H30" s="209"/>
      <c r="I30" s="212"/>
      <c r="J30" s="212"/>
      <c r="K30" s="211"/>
      <c r="L30" s="209"/>
      <c r="M30" s="212"/>
      <c r="N30" s="212"/>
      <c r="O30" s="211"/>
      <c r="P30" s="209"/>
      <c r="Q30" s="212"/>
      <c r="R30" s="212"/>
      <c r="S30" s="211"/>
      <c r="T30" s="213"/>
      <c r="U30" s="618"/>
      <c r="V30" s="211"/>
      <c r="W30" s="209"/>
      <c r="X30" s="212"/>
      <c r="Y30" s="212"/>
      <c r="Z30" s="211"/>
      <c r="AA30" s="209"/>
      <c r="AB30" s="212"/>
      <c r="AC30" s="212"/>
      <c r="AD30" s="211"/>
      <c r="AE30" s="209"/>
      <c r="AF30" s="212"/>
      <c r="AG30" s="212"/>
      <c r="AH30" s="211"/>
      <c r="AI30" s="213"/>
      <c r="AJ30" s="201"/>
      <c r="AK30" s="212"/>
      <c r="AL30" s="211"/>
      <c r="AM30" s="209"/>
      <c r="AN30" s="212"/>
      <c r="AO30" s="212"/>
      <c r="AP30" s="211"/>
      <c r="AQ30" s="209"/>
      <c r="AR30" s="212"/>
      <c r="AS30" s="212"/>
      <c r="AT30" s="211"/>
      <c r="AU30" s="209"/>
      <c r="AV30" s="212"/>
      <c r="AW30" s="212"/>
      <c r="AX30" s="211"/>
      <c r="AY30" s="1780"/>
      <c r="AZ30" s="209"/>
      <c r="BA30" s="215"/>
      <c r="BB30" s="210"/>
      <c r="BC30" s="211"/>
      <c r="BD30" s="209"/>
      <c r="BE30" s="212"/>
      <c r="BF30" s="212"/>
      <c r="BG30" s="211"/>
      <c r="BH30" s="209"/>
      <c r="BI30" s="212"/>
      <c r="BJ30" s="212"/>
      <c r="BK30" s="211"/>
      <c r="BL30" s="209"/>
      <c r="BM30" s="212"/>
      <c r="BN30" s="212"/>
      <c r="BO30" s="211"/>
      <c r="BP30" s="213"/>
      <c r="BQ30" s="618"/>
      <c r="BR30" s="211"/>
      <c r="BS30" s="209"/>
      <c r="BT30" s="212"/>
      <c r="BU30" s="212"/>
      <c r="BV30" s="211"/>
      <c r="BW30" s="209"/>
      <c r="BX30" s="212"/>
      <c r="BY30" s="212"/>
      <c r="BZ30" s="211"/>
      <c r="CA30" s="209"/>
      <c r="CB30" s="212"/>
      <c r="CC30" s="212"/>
      <c r="CD30" s="211"/>
      <c r="CE30" s="213"/>
      <c r="CF30" s="201"/>
      <c r="CG30" s="212"/>
      <c r="CH30" s="211"/>
      <c r="CI30" s="209"/>
      <c r="CJ30" s="212"/>
      <c r="CK30" s="212"/>
      <c r="CL30" s="211"/>
      <c r="CM30" s="209"/>
      <c r="CN30" s="212"/>
      <c r="CO30" s="212"/>
      <c r="CP30" s="211"/>
      <c r="CQ30" s="209"/>
      <c r="CR30" s="212"/>
      <c r="CS30" s="212"/>
      <c r="CT30" s="211"/>
      <c r="CU30" s="1800"/>
      <c r="CV30" s="1775"/>
    </row>
    <row r="31" spans="1:106" s="194" customFormat="1" ht="15.95" hidden="1" customHeight="1" x14ac:dyDescent="0.3">
      <c r="A31" s="1804" t="s">
        <v>175</v>
      </c>
      <c r="B31" s="225" t="s">
        <v>154</v>
      </c>
      <c r="C31" s="1806"/>
      <c r="D31" s="202"/>
      <c r="E31" s="619"/>
      <c r="F31" s="205"/>
      <c r="G31" s="204"/>
      <c r="H31" s="202"/>
      <c r="I31" s="205"/>
      <c r="J31" s="205"/>
      <c r="K31" s="204"/>
      <c r="L31" s="364"/>
      <c r="M31" s="205"/>
      <c r="N31" s="205"/>
      <c r="O31" s="204"/>
      <c r="P31" s="202"/>
      <c r="Q31" s="205"/>
      <c r="R31" s="205"/>
      <c r="S31" s="204"/>
      <c r="T31" s="206"/>
      <c r="U31" s="207"/>
      <c r="V31" s="204"/>
      <c r="W31" s="202"/>
      <c r="X31" s="205"/>
      <c r="Y31" s="205"/>
      <c r="Z31" s="204"/>
      <c r="AA31" s="202"/>
      <c r="AB31" s="205"/>
      <c r="AC31" s="205"/>
      <c r="AD31" s="204"/>
      <c r="AE31" s="202"/>
      <c r="AF31" s="205"/>
      <c r="AG31" s="205"/>
      <c r="AH31" s="204"/>
      <c r="AI31" s="206"/>
      <c r="AJ31" s="208"/>
      <c r="AK31" s="205"/>
      <c r="AL31" s="204"/>
      <c r="AM31" s="202"/>
      <c r="AN31" s="205"/>
      <c r="AO31" s="205"/>
      <c r="AP31" s="204"/>
      <c r="AQ31" s="202"/>
      <c r="AR31" s="205"/>
      <c r="AS31" s="205"/>
      <c r="AT31" s="204"/>
      <c r="AU31" s="202"/>
      <c r="AV31" s="205"/>
      <c r="AW31" s="205"/>
      <c r="AX31" s="204"/>
      <c r="AY31" s="1778" t="e">
        <f>'БелАЗы '!#REF!</f>
        <v>#REF!</v>
      </c>
      <c r="AZ31" s="202"/>
      <c r="BA31" s="619"/>
      <c r="BB31" s="205"/>
      <c r="BC31" s="204"/>
      <c r="BD31" s="202"/>
      <c r="BE31" s="205"/>
      <c r="BF31" s="205"/>
      <c r="BG31" s="204"/>
      <c r="BH31" s="202"/>
      <c r="BI31" s="205"/>
      <c r="BJ31" s="205"/>
      <c r="BK31" s="204"/>
      <c r="BL31" s="202"/>
      <c r="BM31" s="205"/>
      <c r="BN31" s="205"/>
      <c r="BO31" s="204"/>
      <c r="BP31" s="206"/>
      <c r="BQ31" s="207"/>
      <c r="BR31" s="204"/>
      <c r="BS31" s="202"/>
      <c r="BT31" s="205"/>
      <c r="BU31" s="205"/>
      <c r="BV31" s="204"/>
      <c r="BW31" s="202"/>
      <c r="BX31" s="205"/>
      <c r="BY31" s="205"/>
      <c r="BZ31" s="204"/>
      <c r="CA31" s="202"/>
      <c r="CB31" s="205"/>
      <c r="CC31" s="205"/>
      <c r="CD31" s="204"/>
      <c r="CE31" s="206"/>
      <c r="CF31" s="208"/>
      <c r="CG31" s="205"/>
      <c r="CH31" s="204"/>
      <c r="CI31" s="202"/>
      <c r="CJ31" s="205"/>
      <c r="CK31" s="205"/>
      <c r="CL31" s="204"/>
      <c r="CM31" s="202"/>
      <c r="CN31" s="205"/>
      <c r="CO31" s="205"/>
      <c r="CP31" s="204"/>
      <c r="CQ31" s="202"/>
      <c r="CR31" s="205"/>
      <c r="CS31" s="205"/>
      <c r="CT31" s="204"/>
      <c r="CU31" s="1798" t="e">
        <f>'БелАЗы '!#REF!</f>
        <v>#REF!</v>
      </c>
      <c r="CV31" s="609"/>
    </row>
    <row r="32" spans="1:106" s="194" customFormat="1" ht="3" hidden="1" customHeight="1" x14ac:dyDescent="0.3">
      <c r="A32" s="1805"/>
      <c r="B32" s="1802" t="s">
        <v>155</v>
      </c>
      <c r="C32" s="1807"/>
      <c r="D32" s="956"/>
      <c r="E32" s="611"/>
      <c r="F32" s="612"/>
      <c r="G32" s="613"/>
      <c r="H32" s="614"/>
      <c r="I32" s="615"/>
      <c r="J32" s="615"/>
      <c r="K32" s="613"/>
      <c r="L32" s="614"/>
      <c r="M32" s="615"/>
      <c r="N32" s="615"/>
      <c r="O32" s="613"/>
      <c r="P32" s="614"/>
      <c r="Q32" s="615"/>
      <c r="R32" s="615"/>
      <c r="S32" s="616"/>
      <c r="T32" s="216"/>
      <c r="U32" s="617"/>
      <c r="V32" s="613"/>
      <c r="W32" s="614"/>
      <c r="X32" s="615"/>
      <c r="Y32" s="615"/>
      <c r="Z32" s="613"/>
      <c r="AA32" s="614"/>
      <c r="AB32" s="615"/>
      <c r="AC32" s="615"/>
      <c r="AD32" s="613"/>
      <c r="AE32" s="614"/>
      <c r="AF32" s="615"/>
      <c r="AG32" s="615"/>
      <c r="AH32" s="616"/>
      <c r="AI32" s="217"/>
      <c r="AJ32" s="615"/>
      <c r="AK32" s="615"/>
      <c r="AL32" s="613"/>
      <c r="AM32" s="614"/>
      <c r="AN32" s="615"/>
      <c r="AO32" s="615"/>
      <c r="AP32" s="613"/>
      <c r="AQ32" s="614"/>
      <c r="AR32" s="615"/>
      <c r="AS32" s="615"/>
      <c r="AT32" s="613"/>
      <c r="AU32" s="614"/>
      <c r="AV32" s="610"/>
      <c r="AW32" s="610"/>
      <c r="AX32" s="957"/>
      <c r="AY32" s="1779"/>
      <c r="AZ32" s="956"/>
      <c r="BA32" s="611"/>
      <c r="BB32" s="612"/>
      <c r="BC32" s="613"/>
      <c r="BD32" s="614"/>
      <c r="BE32" s="615"/>
      <c r="BF32" s="615"/>
      <c r="BG32" s="613"/>
      <c r="BH32" s="614"/>
      <c r="BI32" s="615"/>
      <c r="BJ32" s="615"/>
      <c r="BK32" s="613"/>
      <c r="BL32" s="614"/>
      <c r="BM32" s="615"/>
      <c r="BN32" s="615"/>
      <c r="BO32" s="616"/>
      <c r="BP32" s="216"/>
      <c r="BQ32" s="617"/>
      <c r="BR32" s="613"/>
      <c r="BS32" s="614"/>
      <c r="BT32" s="615"/>
      <c r="BU32" s="615"/>
      <c r="BV32" s="613"/>
      <c r="BW32" s="614"/>
      <c r="BX32" s="615"/>
      <c r="BY32" s="615"/>
      <c r="BZ32" s="613"/>
      <c r="CA32" s="614"/>
      <c r="CB32" s="615"/>
      <c r="CC32" s="615"/>
      <c r="CD32" s="616"/>
      <c r="CE32" s="217"/>
      <c r="CF32" s="615"/>
      <c r="CG32" s="615"/>
      <c r="CH32" s="613"/>
      <c r="CI32" s="614"/>
      <c r="CJ32" s="615"/>
      <c r="CK32" s="615"/>
      <c r="CL32" s="613"/>
      <c r="CM32" s="614"/>
      <c r="CN32" s="615"/>
      <c r="CO32" s="615"/>
      <c r="CP32" s="613"/>
      <c r="CQ32" s="614"/>
      <c r="CR32" s="610"/>
      <c r="CS32" s="610"/>
      <c r="CT32" s="957"/>
      <c r="CU32" s="1799"/>
      <c r="CV32" s="1774"/>
    </row>
    <row r="33" spans="1:106" s="194" customFormat="1" ht="15.95" hidden="1" customHeight="1" thickBot="1" x14ac:dyDescent="0.35">
      <c r="A33" s="1803"/>
      <c r="B33" s="1803"/>
      <c r="C33" s="552"/>
      <c r="D33" s="209"/>
      <c r="E33" s="620"/>
      <c r="F33" s="212"/>
      <c r="G33" s="211"/>
      <c r="H33" s="209"/>
      <c r="I33" s="212"/>
      <c r="J33" s="212"/>
      <c r="K33" s="211"/>
      <c r="L33" s="209"/>
      <c r="M33" s="212"/>
      <c r="N33" s="212"/>
      <c r="O33" s="211"/>
      <c r="P33" s="209"/>
      <c r="Q33" s="212"/>
      <c r="R33" s="212"/>
      <c r="S33" s="211"/>
      <c r="T33" s="213"/>
      <c r="U33" s="214"/>
      <c r="V33" s="211"/>
      <c r="W33" s="209"/>
      <c r="X33" s="212"/>
      <c r="Y33" s="212"/>
      <c r="Z33" s="211"/>
      <c r="AA33" s="209"/>
      <c r="AB33" s="212"/>
      <c r="AC33" s="212"/>
      <c r="AD33" s="211"/>
      <c r="AE33" s="209"/>
      <c r="AF33" s="212"/>
      <c r="AG33" s="212"/>
      <c r="AH33" s="211"/>
      <c r="AI33" s="213"/>
      <c r="AJ33" s="201"/>
      <c r="AK33" s="212"/>
      <c r="AL33" s="211"/>
      <c r="AM33" s="209"/>
      <c r="AN33" s="212"/>
      <c r="AO33" s="212"/>
      <c r="AP33" s="211"/>
      <c r="AQ33" s="209"/>
      <c r="AR33" s="212"/>
      <c r="AS33" s="212"/>
      <c r="AT33" s="211"/>
      <c r="AU33" s="209"/>
      <c r="AV33" s="212"/>
      <c r="AW33" s="212"/>
      <c r="AX33" s="211"/>
      <c r="AY33" s="1780"/>
      <c r="AZ33" s="209"/>
      <c r="BA33" s="620"/>
      <c r="BB33" s="212"/>
      <c r="BC33" s="211"/>
      <c r="BD33" s="209"/>
      <c r="BE33" s="212"/>
      <c r="BF33" s="212"/>
      <c r="BG33" s="211"/>
      <c r="BH33" s="209"/>
      <c r="BI33" s="212"/>
      <c r="BJ33" s="212"/>
      <c r="BK33" s="211"/>
      <c r="BL33" s="209"/>
      <c r="BM33" s="212"/>
      <c r="BN33" s="212"/>
      <c r="BO33" s="211"/>
      <c r="BP33" s="213"/>
      <c r="BQ33" s="214"/>
      <c r="BR33" s="211"/>
      <c r="BS33" s="209"/>
      <c r="BT33" s="212"/>
      <c r="BU33" s="212"/>
      <c r="BV33" s="211"/>
      <c r="BW33" s="209"/>
      <c r="BX33" s="212"/>
      <c r="BY33" s="212"/>
      <c r="BZ33" s="211"/>
      <c r="CA33" s="209"/>
      <c r="CB33" s="212"/>
      <c r="CC33" s="212"/>
      <c r="CD33" s="211"/>
      <c r="CE33" s="213"/>
      <c r="CF33" s="201"/>
      <c r="CG33" s="212"/>
      <c r="CH33" s="211"/>
      <c r="CI33" s="209"/>
      <c r="CJ33" s="212"/>
      <c r="CK33" s="212"/>
      <c r="CL33" s="211"/>
      <c r="CM33" s="209"/>
      <c r="CN33" s="212"/>
      <c r="CO33" s="212"/>
      <c r="CP33" s="211"/>
      <c r="CQ33" s="209"/>
      <c r="CR33" s="212"/>
      <c r="CS33" s="212"/>
      <c r="CT33" s="211"/>
      <c r="CU33" s="1800"/>
      <c r="CV33" s="1775"/>
    </row>
    <row r="34" spans="1:106" s="194" customFormat="1" ht="15.95" hidden="1" customHeight="1" x14ac:dyDescent="0.3">
      <c r="A34" s="1804" t="s">
        <v>177</v>
      </c>
      <c r="B34" s="225" t="s">
        <v>154</v>
      </c>
      <c r="C34" s="1822"/>
      <c r="D34" s="202"/>
      <c r="E34" s="619"/>
      <c r="F34" s="205"/>
      <c r="G34" s="204"/>
      <c r="H34" s="202"/>
      <c r="I34" s="205"/>
      <c r="J34" s="205"/>
      <c r="K34" s="204"/>
      <c r="L34" s="202"/>
      <c r="M34" s="205"/>
      <c r="N34" s="205"/>
      <c r="O34" s="204"/>
      <c r="P34" s="202"/>
      <c r="Q34" s="205"/>
      <c r="R34" s="205"/>
      <c r="S34" s="204"/>
      <c r="T34" s="206"/>
      <c r="U34" s="207"/>
      <c r="V34" s="204"/>
      <c r="W34" s="202"/>
      <c r="X34" s="205"/>
      <c r="Y34" s="205"/>
      <c r="Z34" s="204"/>
      <c r="AA34" s="202"/>
      <c r="AB34" s="205"/>
      <c r="AC34" s="205"/>
      <c r="AD34" s="204"/>
      <c r="AE34" s="202"/>
      <c r="AF34" s="205"/>
      <c r="AG34" s="205"/>
      <c r="AH34" s="204"/>
      <c r="AI34" s="206"/>
      <c r="AJ34" s="208"/>
      <c r="AK34" s="205"/>
      <c r="AL34" s="204"/>
      <c r="AM34" s="202"/>
      <c r="AN34" s="205"/>
      <c r="AO34" s="205"/>
      <c r="AP34" s="204"/>
      <c r="AQ34" s="202"/>
      <c r="AR34" s="205"/>
      <c r="AS34" s="205"/>
      <c r="AT34" s="204"/>
      <c r="AU34" s="202"/>
      <c r="AV34" s="205"/>
      <c r="AW34" s="205"/>
      <c r="AX34" s="204"/>
      <c r="AY34" s="1778" t="e">
        <f>'БелАЗы '!#REF!</f>
        <v>#REF!</v>
      </c>
      <c r="AZ34" s="202"/>
      <c r="BA34" s="619"/>
      <c r="BB34" s="205"/>
      <c r="BC34" s="204"/>
      <c r="BD34" s="202"/>
      <c r="BE34" s="205"/>
      <c r="BF34" s="205"/>
      <c r="BG34" s="204"/>
      <c r="BH34" s="202"/>
      <c r="BI34" s="205"/>
      <c r="BJ34" s="205"/>
      <c r="BK34" s="204"/>
      <c r="BL34" s="202"/>
      <c r="BM34" s="205"/>
      <c r="BN34" s="205"/>
      <c r="BO34" s="204"/>
      <c r="BP34" s="206"/>
      <c r="BQ34" s="207"/>
      <c r="BR34" s="204"/>
      <c r="BS34" s="202"/>
      <c r="BT34" s="205"/>
      <c r="BU34" s="205"/>
      <c r="BV34" s="204"/>
      <c r="BW34" s="202"/>
      <c r="BX34" s="205"/>
      <c r="BY34" s="205"/>
      <c r="BZ34" s="204"/>
      <c r="CA34" s="202"/>
      <c r="CB34" s="205"/>
      <c r="CC34" s="205"/>
      <c r="CD34" s="204"/>
      <c r="CE34" s="206"/>
      <c r="CF34" s="208"/>
      <c r="CG34" s="205"/>
      <c r="CH34" s="204"/>
      <c r="CI34" s="202"/>
      <c r="CJ34" s="205"/>
      <c r="CK34" s="205"/>
      <c r="CL34" s="204"/>
      <c r="CM34" s="202"/>
      <c r="CN34" s="205"/>
      <c r="CO34" s="205"/>
      <c r="CP34" s="204"/>
      <c r="CQ34" s="202"/>
      <c r="CR34" s="205"/>
      <c r="CS34" s="205"/>
      <c r="CT34" s="204"/>
      <c r="CU34" s="1798" t="e">
        <f>'БелАЗы '!#REF!</f>
        <v>#REF!</v>
      </c>
      <c r="CV34" s="609"/>
    </row>
    <row r="35" spans="1:106" s="194" customFormat="1" ht="3" hidden="1" customHeight="1" x14ac:dyDescent="0.3">
      <c r="A35" s="1805"/>
      <c r="B35" s="1802" t="s">
        <v>155</v>
      </c>
      <c r="C35" s="1807"/>
      <c r="D35" s="956"/>
      <c r="E35" s="611"/>
      <c r="F35" s="612"/>
      <c r="G35" s="613"/>
      <c r="H35" s="614"/>
      <c r="I35" s="615"/>
      <c r="J35" s="615"/>
      <c r="K35" s="613"/>
      <c r="L35" s="614"/>
      <c r="M35" s="615"/>
      <c r="N35" s="615"/>
      <c r="O35" s="613"/>
      <c r="P35" s="614"/>
      <c r="Q35" s="615"/>
      <c r="R35" s="615"/>
      <c r="S35" s="616"/>
      <c r="T35" s="216"/>
      <c r="U35" s="617"/>
      <c r="V35" s="613"/>
      <c r="W35" s="614"/>
      <c r="X35" s="615"/>
      <c r="Y35" s="615"/>
      <c r="Z35" s="613"/>
      <c r="AA35" s="614"/>
      <c r="AB35" s="615"/>
      <c r="AC35" s="615"/>
      <c r="AD35" s="613"/>
      <c r="AE35" s="614"/>
      <c r="AF35" s="615"/>
      <c r="AG35" s="615"/>
      <c r="AH35" s="616"/>
      <c r="AI35" s="217"/>
      <c r="AJ35" s="615"/>
      <c r="AK35" s="615"/>
      <c r="AL35" s="613"/>
      <c r="AM35" s="614"/>
      <c r="AN35" s="615"/>
      <c r="AO35" s="615"/>
      <c r="AP35" s="613"/>
      <c r="AQ35" s="614"/>
      <c r="AR35" s="615"/>
      <c r="AS35" s="615"/>
      <c r="AT35" s="613"/>
      <c r="AU35" s="614"/>
      <c r="AV35" s="610"/>
      <c r="AW35" s="610"/>
      <c r="AX35" s="957"/>
      <c r="AY35" s="1779"/>
      <c r="AZ35" s="956"/>
      <c r="BA35" s="611"/>
      <c r="BB35" s="612"/>
      <c r="BC35" s="613"/>
      <c r="BD35" s="614"/>
      <c r="BE35" s="615"/>
      <c r="BF35" s="615"/>
      <c r="BG35" s="613"/>
      <c r="BH35" s="614"/>
      <c r="BI35" s="615"/>
      <c r="BJ35" s="615"/>
      <c r="BK35" s="613"/>
      <c r="BL35" s="614"/>
      <c r="BM35" s="615"/>
      <c r="BN35" s="615"/>
      <c r="BO35" s="616"/>
      <c r="BP35" s="216"/>
      <c r="BQ35" s="617"/>
      <c r="BR35" s="613"/>
      <c r="BS35" s="614"/>
      <c r="BT35" s="615"/>
      <c r="BU35" s="615"/>
      <c r="BV35" s="613"/>
      <c r="BW35" s="614"/>
      <c r="BX35" s="615"/>
      <c r="BY35" s="615"/>
      <c r="BZ35" s="613"/>
      <c r="CA35" s="614"/>
      <c r="CB35" s="615"/>
      <c r="CC35" s="615"/>
      <c r="CD35" s="616"/>
      <c r="CE35" s="217"/>
      <c r="CF35" s="615"/>
      <c r="CG35" s="615"/>
      <c r="CH35" s="613"/>
      <c r="CI35" s="614"/>
      <c r="CJ35" s="615"/>
      <c r="CK35" s="615"/>
      <c r="CL35" s="613"/>
      <c r="CM35" s="614"/>
      <c r="CN35" s="615"/>
      <c r="CO35" s="615"/>
      <c r="CP35" s="613"/>
      <c r="CQ35" s="614"/>
      <c r="CR35" s="610"/>
      <c r="CS35" s="610"/>
      <c r="CT35" s="957"/>
      <c r="CU35" s="1799"/>
      <c r="CV35" s="1774"/>
    </row>
    <row r="36" spans="1:106" s="194" customFormat="1" ht="15.95" hidden="1" customHeight="1" thickBot="1" x14ac:dyDescent="0.35">
      <c r="A36" s="1803"/>
      <c r="B36" s="1803"/>
      <c r="C36" s="551"/>
      <c r="D36" s="209"/>
      <c r="E36" s="620"/>
      <c r="F36" s="212"/>
      <c r="G36" s="211"/>
      <c r="H36" s="209"/>
      <c r="I36" s="212"/>
      <c r="J36" s="212"/>
      <c r="K36" s="211"/>
      <c r="L36" s="209"/>
      <c r="M36" s="212"/>
      <c r="N36" s="212"/>
      <c r="O36" s="211"/>
      <c r="P36" s="209"/>
      <c r="Q36" s="212"/>
      <c r="R36" s="212"/>
      <c r="S36" s="211"/>
      <c r="T36" s="213"/>
      <c r="U36" s="214"/>
      <c r="V36" s="211"/>
      <c r="W36" s="209"/>
      <c r="X36" s="212"/>
      <c r="Y36" s="212"/>
      <c r="Z36" s="211"/>
      <c r="AA36" s="209"/>
      <c r="AB36" s="212"/>
      <c r="AC36" s="212"/>
      <c r="AD36" s="211"/>
      <c r="AE36" s="209"/>
      <c r="AF36" s="212"/>
      <c r="AG36" s="949"/>
      <c r="AH36" s="211"/>
      <c r="AI36" s="213"/>
      <c r="AJ36" s="201"/>
      <c r="AK36" s="212"/>
      <c r="AL36" s="211"/>
      <c r="AM36" s="209"/>
      <c r="AN36" s="212"/>
      <c r="AO36" s="212"/>
      <c r="AP36" s="211"/>
      <c r="AQ36" s="209"/>
      <c r="AR36" s="212"/>
      <c r="AS36" s="212"/>
      <c r="AT36" s="211"/>
      <c r="AU36" s="209"/>
      <c r="AV36" s="212"/>
      <c r="AW36" s="212"/>
      <c r="AX36" s="211"/>
      <c r="AY36" s="1780"/>
      <c r="AZ36" s="209"/>
      <c r="BA36" s="620"/>
      <c r="BB36" s="212"/>
      <c r="BC36" s="211"/>
      <c r="BD36" s="209"/>
      <c r="BE36" s="212"/>
      <c r="BF36" s="212"/>
      <c r="BG36" s="211"/>
      <c r="BH36" s="209"/>
      <c r="BI36" s="212"/>
      <c r="BJ36" s="212"/>
      <c r="BK36" s="211"/>
      <c r="BL36" s="209"/>
      <c r="BM36" s="212"/>
      <c r="BN36" s="212"/>
      <c r="BO36" s="211"/>
      <c r="BP36" s="213"/>
      <c r="BQ36" s="214"/>
      <c r="BR36" s="211"/>
      <c r="BS36" s="209"/>
      <c r="BT36" s="212"/>
      <c r="BU36" s="212"/>
      <c r="BV36" s="211"/>
      <c r="BW36" s="209"/>
      <c r="BX36" s="212"/>
      <c r="BY36" s="212"/>
      <c r="BZ36" s="211"/>
      <c r="CA36" s="209"/>
      <c r="CB36" s="212"/>
      <c r="CC36" s="212"/>
      <c r="CD36" s="211"/>
      <c r="CE36" s="213"/>
      <c r="CF36" s="201"/>
      <c r="CG36" s="212"/>
      <c r="CH36" s="211"/>
      <c r="CI36" s="209"/>
      <c r="CJ36" s="212"/>
      <c r="CK36" s="212"/>
      <c r="CL36" s="211"/>
      <c r="CM36" s="209"/>
      <c r="CN36" s="212"/>
      <c r="CO36" s="212"/>
      <c r="CP36" s="211"/>
      <c r="CQ36" s="209"/>
      <c r="CR36" s="212"/>
      <c r="CS36" s="212"/>
      <c r="CT36" s="211"/>
      <c r="CU36" s="1800"/>
      <c r="CV36" s="1775"/>
    </row>
    <row r="37" spans="1:106" s="194" customFormat="1" ht="15.95" hidden="1" customHeight="1" x14ac:dyDescent="0.3">
      <c r="A37" s="1804" t="s">
        <v>190</v>
      </c>
      <c r="B37" s="225" t="s">
        <v>154</v>
      </c>
      <c r="C37" s="1806"/>
      <c r="D37" s="202"/>
      <c r="E37" s="619"/>
      <c r="F37" s="205"/>
      <c r="G37" s="204"/>
      <c r="H37" s="202"/>
      <c r="I37" s="205"/>
      <c r="J37" s="205"/>
      <c r="K37" s="204"/>
      <c r="L37" s="202"/>
      <c r="M37" s="205"/>
      <c r="N37" s="205"/>
      <c r="O37" s="204"/>
      <c r="P37" s="202"/>
      <c r="Q37" s="205"/>
      <c r="R37" s="205"/>
      <c r="S37" s="204"/>
      <c r="T37" s="206"/>
      <c r="U37" s="207"/>
      <c r="V37" s="204"/>
      <c r="W37" s="202"/>
      <c r="X37" s="205"/>
      <c r="Y37" s="205"/>
      <c r="Z37" s="204"/>
      <c r="AA37" s="202"/>
      <c r="AB37" s="205"/>
      <c r="AC37" s="205"/>
      <c r="AD37" s="204"/>
      <c r="AE37" s="202"/>
      <c r="AF37" s="205"/>
      <c r="AG37" s="205"/>
      <c r="AH37" s="204"/>
      <c r="AI37" s="206"/>
      <c r="AJ37" s="208"/>
      <c r="AK37" s="205"/>
      <c r="AL37" s="204"/>
      <c r="AM37" s="202"/>
      <c r="AN37" s="205"/>
      <c r="AO37" s="205"/>
      <c r="AP37" s="204"/>
      <c r="AQ37" s="202"/>
      <c r="AR37" s="205"/>
      <c r="AS37" s="205"/>
      <c r="AT37" s="204"/>
      <c r="AU37" s="202"/>
      <c r="AV37" s="205"/>
      <c r="AW37" s="205"/>
      <c r="AX37" s="204"/>
      <c r="AY37" s="1778" t="e">
        <f>'БелАЗы '!#REF!</f>
        <v>#REF!</v>
      </c>
      <c r="AZ37" s="202"/>
      <c r="BA37" s="619"/>
      <c r="BB37" s="205"/>
      <c r="BC37" s="204"/>
      <c r="BD37" s="202"/>
      <c r="BE37" s="205"/>
      <c r="BF37" s="205"/>
      <c r="BG37" s="204"/>
      <c r="BH37" s="202"/>
      <c r="BI37" s="205"/>
      <c r="BJ37" s="205"/>
      <c r="BK37" s="204"/>
      <c r="BL37" s="202"/>
      <c r="BM37" s="205"/>
      <c r="BN37" s="205"/>
      <c r="BO37" s="204"/>
      <c r="BP37" s="206"/>
      <c r="BQ37" s="207"/>
      <c r="BR37" s="204"/>
      <c r="BS37" s="202"/>
      <c r="BT37" s="205"/>
      <c r="BU37" s="205"/>
      <c r="BV37" s="204"/>
      <c r="BW37" s="202"/>
      <c r="BX37" s="205"/>
      <c r="BY37" s="205"/>
      <c r="BZ37" s="204"/>
      <c r="CA37" s="202"/>
      <c r="CB37" s="205"/>
      <c r="CC37" s="205"/>
      <c r="CD37" s="204"/>
      <c r="CE37" s="206"/>
      <c r="CF37" s="208"/>
      <c r="CG37" s="205"/>
      <c r="CH37" s="204"/>
      <c r="CI37" s="202"/>
      <c r="CJ37" s="205"/>
      <c r="CK37" s="205"/>
      <c r="CL37" s="204"/>
      <c r="CM37" s="202"/>
      <c r="CN37" s="205"/>
      <c r="CO37" s="205"/>
      <c r="CP37" s="204"/>
      <c r="CQ37" s="202"/>
      <c r="CR37" s="205"/>
      <c r="CS37" s="205"/>
      <c r="CT37" s="204"/>
      <c r="CU37" s="1798" t="e">
        <f>'БелАЗы '!#REF!</f>
        <v>#REF!</v>
      </c>
      <c r="CV37" s="609"/>
    </row>
    <row r="38" spans="1:106" s="194" customFormat="1" ht="3" hidden="1" customHeight="1" x14ac:dyDescent="0.3">
      <c r="A38" s="1805"/>
      <c r="B38" s="1802" t="s">
        <v>155</v>
      </c>
      <c r="C38" s="1807"/>
      <c r="D38" s="956"/>
      <c r="E38" s="611"/>
      <c r="F38" s="612"/>
      <c r="G38" s="613"/>
      <c r="H38" s="614"/>
      <c r="I38" s="615"/>
      <c r="J38" s="615"/>
      <c r="K38" s="613"/>
      <c r="L38" s="614"/>
      <c r="M38" s="615"/>
      <c r="N38" s="615"/>
      <c r="O38" s="613"/>
      <c r="P38" s="614"/>
      <c r="Q38" s="615"/>
      <c r="R38" s="615"/>
      <c r="S38" s="616"/>
      <c r="T38" s="216"/>
      <c r="U38" s="617"/>
      <c r="V38" s="613"/>
      <c r="W38" s="614"/>
      <c r="X38" s="615"/>
      <c r="Y38" s="615"/>
      <c r="Z38" s="613"/>
      <c r="AA38" s="614"/>
      <c r="AB38" s="615"/>
      <c r="AC38" s="615"/>
      <c r="AD38" s="613"/>
      <c r="AE38" s="614"/>
      <c r="AF38" s="615"/>
      <c r="AG38" s="615"/>
      <c r="AH38" s="616"/>
      <c r="AI38" s="217"/>
      <c r="AJ38" s="615"/>
      <c r="AK38" s="615"/>
      <c r="AL38" s="613"/>
      <c r="AM38" s="614"/>
      <c r="AN38" s="615"/>
      <c r="AO38" s="615"/>
      <c r="AP38" s="613"/>
      <c r="AQ38" s="614"/>
      <c r="AR38" s="615"/>
      <c r="AS38" s="615"/>
      <c r="AT38" s="613"/>
      <c r="AU38" s="614"/>
      <c r="AV38" s="610"/>
      <c r="AW38" s="610"/>
      <c r="AX38" s="957"/>
      <c r="AY38" s="1779"/>
      <c r="AZ38" s="956"/>
      <c r="BA38" s="611"/>
      <c r="BB38" s="612"/>
      <c r="BC38" s="613"/>
      <c r="BD38" s="614"/>
      <c r="BE38" s="615"/>
      <c r="BF38" s="615"/>
      <c r="BG38" s="613"/>
      <c r="BH38" s="614"/>
      <c r="BI38" s="615"/>
      <c r="BJ38" s="615"/>
      <c r="BK38" s="613"/>
      <c r="BL38" s="614"/>
      <c r="BM38" s="615"/>
      <c r="BN38" s="615"/>
      <c r="BO38" s="616"/>
      <c r="BP38" s="216"/>
      <c r="BQ38" s="617"/>
      <c r="BR38" s="613"/>
      <c r="BS38" s="614"/>
      <c r="BT38" s="615"/>
      <c r="BU38" s="615"/>
      <c r="BV38" s="613"/>
      <c r="BW38" s="614"/>
      <c r="BX38" s="615"/>
      <c r="BY38" s="615"/>
      <c r="BZ38" s="613"/>
      <c r="CA38" s="614"/>
      <c r="CB38" s="615"/>
      <c r="CC38" s="615"/>
      <c r="CD38" s="616"/>
      <c r="CE38" s="217"/>
      <c r="CF38" s="615"/>
      <c r="CG38" s="615"/>
      <c r="CH38" s="613"/>
      <c r="CI38" s="614"/>
      <c r="CJ38" s="615"/>
      <c r="CK38" s="615"/>
      <c r="CL38" s="613"/>
      <c r="CM38" s="614"/>
      <c r="CN38" s="615"/>
      <c r="CO38" s="615"/>
      <c r="CP38" s="613"/>
      <c r="CQ38" s="614"/>
      <c r="CR38" s="610"/>
      <c r="CS38" s="610"/>
      <c r="CT38" s="957"/>
      <c r="CU38" s="1799"/>
      <c r="CV38" s="1774"/>
    </row>
    <row r="39" spans="1:106" s="194" customFormat="1" ht="15.95" hidden="1" customHeight="1" thickBot="1" x14ac:dyDescent="0.35">
      <c r="A39" s="1803"/>
      <c r="B39" s="1803"/>
      <c r="C39" s="552"/>
      <c r="D39" s="209"/>
      <c r="E39" s="620"/>
      <c r="F39" s="212"/>
      <c r="G39" s="211"/>
      <c r="H39" s="209"/>
      <c r="I39" s="212"/>
      <c r="J39" s="949"/>
      <c r="K39" s="211"/>
      <c r="L39" s="209"/>
      <c r="M39" s="212"/>
      <c r="N39" s="212"/>
      <c r="O39" s="211"/>
      <c r="P39" s="209"/>
      <c r="Q39" s="212"/>
      <c r="R39" s="212"/>
      <c r="S39" s="211"/>
      <c r="T39" s="213"/>
      <c r="U39" s="214"/>
      <c r="V39" s="211"/>
      <c r="W39" s="209"/>
      <c r="X39" s="212"/>
      <c r="Y39" s="212"/>
      <c r="Z39" s="211"/>
      <c r="AA39" s="209"/>
      <c r="AB39" s="212"/>
      <c r="AC39" s="212"/>
      <c r="AD39" s="211"/>
      <c r="AE39" s="209"/>
      <c r="AF39" s="212"/>
      <c r="AG39" s="212"/>
      <c r="AH39" s="211"/>
      <c r="AI39" s="213"/>
      <c r="AJ39" s="201"/>
      <c r="AK39" s="212"/>
      <c r="AL39" s="211"/>
      <c r="AM39" s="209"/>
      <c r="AN39" s="212"/>
      <c r="AO39" s="212"/>
      <c r="AP39" s="211"/>
      <c r="AQ39" s="209"/>
      <c r="AR39" s="212"/>
      <c r="AS39" s="212"/>
      <c r="AT39" s="211"/>
      <c r="AU39" s="209"/>
      <c r="AV39" s="212"/>
      <c r="AW39" s="212"/>
      <c r="AX39" s="211"/>
      <c r="AY39" s="1780"/>
      <c r="AZ39" s="209"/>
      <c r="BA39" s="620"/>
      <c r="BB39" s="212"/>
      <c r="BC39" s="211"/>
      <c r="BD39" s="209"/>
      <c r="BE39" s="212"/>
      <c r="BF39" s="212"/>
      <c r="BG39" s="211"/>
      <c r="BH39" s="209"/>
      <c r="BI39" s="212"/>
      <c r="BJ39" s="212"/>
      <c r="BK39" s="211"/>
      <c r="BL39" s="209"/>
      <c r="BM39" s="212"/>
      <c r="BN39" s="212"/>
      <c r="BO39" s="211"/>
      <c r="BP39" s="213"/>
      <c r="BQ39" s="214"/>
      <c r="BR39" s="211"/>
      <c r="BS39" s="209"/>
      <c r="BT39" s="212"/>
      <c r="BU39" s="212"/>
      <c r="BV39" s="211"/>
      <c r="BW39" s="209"/>
      <c r="BX39" s="212"/>
      <c r="BY39" s="212"/>
      <c r="BZ39" s="211"/>
      <c r="CA39" s="209"/>
      <c r="CB39" s="212"/>
      <c r="CC39" s="212"/>
      <c r="CD39" s="211"/>
      <c r="CE39" s="213"/>
      <c r="CF39" s="201"/>
      <c r="CG39" s="212"/>
      <c r="CH39" s="211"/>
      <c r="CI39" s="209"/>
      <c r="CJ39" s="212"/>
      <c r="CK39" s="212"/>
      <c r="CL39" s="211"/>
      <c r="CM39" s="209"/>
      <c r="CN39" s="212"/>
      <c r="CO39" s="212"/>
      <c r="CP39" s="211"/>
      <c r="CQ39" s="209"/>
      <c r="CR39" s="212"/>
      <c r="CS39" s="212"/>
      <c r="CT39" s="211"/>
      <c r="CU39" s="1800"/>
      <c r="CV39" s="1775"/>
      <c r="DA39" s="196"/>
    </row>
    <row r="40" spans="1:106" s="194" customFormat="1" ht="15.95" hidden="1" customHeight="1" x14ac:dyDescent="0.3">
      <c r="A40" s="1804" t="s">
        <v>191</v>
      </c>
      <c r="B40" s="225" t="s">
        <v>154</v>
      </c>
      <c r="C40" s="1822"/>
      <c r="D40" s="202"/>
      <c r="E40" s="619"/>
      <c r="F40" s="205"/>
      <c r="G40" s="204"/>
      <c r="H40" s="202"/>
      <c r="I40" s="205"/>
      <c r="J40" s="205"/>
      <c r="K40" s="204"/>
      <c r="L40" s="202"/>
      <c r="M40" s="205"/>
      <c r="N40" s="205"/>
      <c r="O40" s="204"/>
      <c r="P40" s="202"/>
      <c r="Q40" s="205"/>
      <c r="R40" s="205"/>
      <c r="S40" s="204"/>
      <c r="T40" s="206"/>
      <c r="U40" s="207"/>
      <c r="V40" s="204"/>
      <c r="W40" s="202"/>
      <c r="X40" s="205"/>
      <c r="Y40" s="205"/>
      <c r="Z40" s="204"/>
      <c r="AA40" s="202"/>
      <c r="AB40" s="205"/>
      <c r="AC40" s="367"/>
      <c r="AD40" s="204"/>
      <c r="AE40" s="202"/>
      <c r="AF40" s="205"/>
      <c r="AG40" s="205"/>
      <c r="AH40" s="204"/>
      <c r="AI40" s="206"/>
      <c r="AJ40" s="208"/>
      <c r="AK40" s="205"/>
      <c r="AL40" s="204"/>
      <c r="AM40" s="202"/>
      <c r="AN40" s="205"/>
      <c r="AO40" s="205"/>
      <c r="AP40" s="204"/>
      <c r="AQ40" s="202"/>
      <c r="AR40" s="205"/>
      <c r="AS40" s="205"/>
      <c r="AT40" s="204"/>
      <c r="AU40" s="202"/>
      <c r="AV40" s="205"/>
      <c r="AW40" s="205"/>
      <c r="AX40" s="204"/>
      <c r="AY40" s="1778">
        <f>'БелАЗы '!K11</f>
        <v>0</v>
      </c>
      <c r="AZ40" s="202"/>
      <c r="BA40" s="619"/>
      <c r="BB40" s="205"/>
      <c r="BC40" s="204"/>
      <c r="BD40" s="202"/>
      <c r="BE40" s="205"/>
      <c r="BF40" s="205"/>
      <c r="BG40" s="204"/>
      <c r="BH40" s="202"/>
      <c r="BI40" s="205"/>
      <c r="BJ40" s="205"/>
      <c r="BK40" s="204"/>
      <c r="BL40" s="202"/>
      <c r="BM40" s="205"/>
      <c r="BN40" s="205"/>
      <c r="BO40" s="204"/>
      <c r="BP40" s="206"/>
      <c r="BQ40" s="207"/>
      <c r="BR40" s="204"/>
      <c r="BS40" s="202"/>
      <c r="BT40" s="205"/>
      <c r="BU40" s="205"/>
      <c r="BV40" s="204"/>
      <c r="BW40" s="202"/>
      <c r="BX40" s="205"/>
      <c r="BY40" s="205"/>
      <c r="BZ40" s="204"/>
      <c r="CA40" s="202"/>
      <c r="CB40" s="205"/>
      <c r="CC40" s="205"/>
      <c r="CD40" s="204"/>
      <c r="CE40" s="206"/>
      <c r="CF40" s="208"/>
      <c r="CG40" s="205"/>
      <c r="CH40" s="204"/>
      <c r="CI40" s="202"/>
      <c r="CJ40" s="205"/>
      <c r="CK40" s="205"/>
      <c r="CL40" s="204"/>
      <c r="CM40" s="202"/>
      <c r="CN40" s="205"/>
      <c r="CO40" s="205"/>
      <c r="CP40" s="204"/>
      <c r="CQ40" s="202"/>
      <c r="CR40" s="205"/>
      <c r="CS40" s="205"/>
      <c r="CT40" s="204"/>
      <c r="CU40" s="1798">
        <f>'БелАЗы '!K22</f>
        <v>0</v>
      </c>
      <c r="CV40" s="609"/>
      <c r="DA40" s="196"/>
    </row>
    <row r="41" spans="1:106" s="194" customFormat="1" ht="3" hidden="1" customHeight="1" x14ac:dyDescent="0.3">
      <c r="A41" s="1805"/>
      <c r="B41" s="1802" t="s">
        <v>155</v>
      </c>
      <c r="C41" s="1807"/>
      <c r="D41" s="956"/>
      <c r="E41" s="611"/>
      <c r="F41" s="612"/>
      <c r="G41" s="613"/>
      <c r="H41" s="614"/>
      <c r="I41" s="615"/>
      <c r="J41" s="615"/>
      <c r="K41" s="613"/>
      <c r="L41" s="614"/>
      <c r="M41" s="615"/>
      <c r="N41" s="615"/>
      <c r="O41" s="613"/>
      <c r="P41" s="614"/>
      <c r="Q41" s="615"/>
      <c r="R41" s="615"/>
      <c r="S41" s="616"/>
      <c r="T41" s="216"/>
      <c r="U41" s="617"/>
      <c r="V41" s="613"/>
      <c r="W41" s="614"/>
      <c r="X41" s="615"/>
      <c r="Y41" s="615"/>
      <c r="Z41" s="613"/>
      <c r="AA41" s="614"/>
      <c r="AB41" s="615"/>
      <c r="AC41" s="615"/>
      <c r="AD41" s="613"/>
      <c r="AE41" s="614"/>
      <c r="AF41" s="615"/>
      <c r="AG41" s="615"/>
      <c r="AH41" s="616"/>
      <c r="AI41" s="217"/>
      <c r="AJ41" s="615"/>
      <c r="AK41" s="615"/>
      <c r="AL41" s="613"/>
      <c r="AM41" s="614"/>
      <c r="AN41" s="615"/>
      <c r="AO41" s="615"/>
      <c r="AP41" s="613"/>
      <c r="AQ41" s="614"/>
      <c r="AR41" s="615"/>
      <c r="AS41" s="615"/>
      <c r="AT41" s="613"/>
      <c r="AU41" s="614"/>
      <c r="AV41" s="610"/>
      <c r="AW41" s="610"/>
      <c r="AX41" s="957"/>
      <c r="AY41" s="1779"/>
      <c r="AZ41" s="956"/>
      <c r="BA41" s="611"/>
      <c r="BB41" s="612"/>
      <c r="BC41" s="613"/>
      <c r="BD41" s="614"/>
      <c r="BE41" s="615"/>
      <c r="BF41" s="615"/>
      <c r="BG41" s="613"/>
      <c r="BH41" s="614"/>
      <c r="BI41" s="615"/>
      <c r="BJ41" s="615"/>
      <c r="BK41" s="613"/>
      <c r="BL41" s="614"/>
      <c r="BM41" s="615"/>
      <c r="BN41" s="615"/>
      <c r="BO41" s="616"/>
      <c r="BP41" s="216"/>
      <c r="BQ41" s="617"/>
      <c r="BR41" s="613"/>
      <c r="BS41" s="614"/>
      <c r="BT41" s="615"/>
      <c r="BU41" s="615"/>
      <c r="BV41" s="613"/>
      <c r="BW41" s="614"/>
      <c r="BX41" s="615"/>
      <c r="BY41" s="615"/>
      <c r="BZ41" s="613"/>
      <c r="CA41" s="614"/>
      <c r="CB41" s="615"/>
      <c r="CC41" s="615"/>
      <c r="CD41" s="616"/>
      <c r="CE41" s="217"/>
      <c r="CF41" s="615"/>
      <c r="CG41" s="615"/>
      <c r="CH41" s="613"/>
      <c r="CI41" s="614"/>
      <c r="CJ41" s="615"/>
      <c r="CK41" s="615"/>
      <c r="CL41" s="613"/>
      <c r="CM41" s="614"/>
      <c r="CN41" s="615"/>
      <c r="CO41" s="615"/>
      <c r="CP41" s="613"/>
      <c r="CQ41" s="614"/>
      <c r="CR41" s="610"/>
      <c r="CS41" s="610"/>
      <c r="CT41" s="957"/>
      <c r="CU41" s="1799"/>
      <c r="CV41" s="1774"/>
      <c r="DA41" s="196"/>
      <c r="DB41" s="194" t="e">
        <f>#REF!</f>
        <v>#REF!</v>
      </c>
    </row>
    <row r="42" spans="1:106" s="194" customFormat="1" ht="15.95" hidden="1" customHeight="1" thickBot="1" x14ac:dyDescent="0.35">
      <c r="A42" s="1803"/>
      <c r="B42" s="1803"/>
      <c r="C42" s="551"/>
      <c r="D42" s="209"/>
      <c r="E42" s="620"/>
      <c r="F42" s="212"/>
      <c r="G42" s="211"/>
      <c r="H42" s="209"/>
      <c r="I42" s="212"/>
      <c r="J42" s="212"/>
      <c r="K42" s="211"/>
      <c r="L42" s="209"/>
      <c r="M42" s="212"/>
      <c r="N42" s="949"/>
      <c r="O42" s="211"/>
      <c r="P42" s="209"/>
      <c r="Q42" s="212"/>
      <c r="R42" s="212"/>
      <c r="S42" s="211"/>
      <c r="T42" s="213"/>
      <c r="U42" s="214"/>
      <c r="V42" s="211"/>
      <c r="W42" s="209"/>
      <c r="X42" s="212"/>
      <c r="Y42" s="212"/>
      <c r="Z42" s="211"/>
      <c r="AA42" s="209"/>
      <c r="AB42" s="212"/>
      <c r="AC42" s="212"/>
      <c r="AD42" s="211"/>
      <c r="AE42" s="209"/>
      <c r="AF42" s="212"/>
      <c r="AG42" s="212"/>
      <c r="AH42" s="211"/>
      <c r="AI42" s="213"/>
      <c r="AJ42" s="201"/>
      <c r="AK42" s="212"/>
      <c r="AL42" s="211"/>
      <c r="AM42" s="209"/>
      <c r="AN42" s="212"/>
      <c r="AO42" s="212"/>
      <c r="AP42" s="949"/>
      <c r="AQ42" s="209"/>
      <c r="AR42" s="212"/>
      <c r="AS42" s="212"/>
      <c r="AT42" s="211"/>
      <c r="AU42" s="209"/>
      <c r="AV42" s="212"/>
      <c r="AW42" s="212"/>
      <c r="AX42" s="211"/>
      <c r="AY42" s="1780"/>
      <c r="AZ42" s="209"/>
      <c r="BA42" s="620"/>
      <c r="BB42" s="212"/>
      <c r="BC42" s="211"/>
      <c r="BD42" s="209"/>
      <c r="BE42" s="212"/>
      <c r="BF42" s="212"/>
      <c r="BG42" s="211"/>
      <c r="BH42" s="209"/>
      <c r="BI42" s="212"/>
      <c r="BJ42" s="212"/>
      <c r="BK42" s="211"/>
      <c r="BL42" s="209"/>
      <c r="BM42" s="212"/>
      <c r="BN42" s="212"/>
      <c r="BO42" s="211"/>
      <c r="BP42" s="213"/>
      <c r="BQ42" s="214"/>
      <c r="BR42" s="211"/>
      <c r="BS42" s="209"/>
      <c r="BT42" s="212"/>
      <c r="BU42" s="212"/>
      <c r="BV42" s="211"/>
      <c r="BW42" s="209"/>
      <c r="BX42" s="212"/>
      <c r="BY42" s="212"/>
      <c r="BZ42" s="211"/>
      <c r="CA42" s="209"/>
      <c r="CB42" s="212"/>
      <c r="CC42" s="212"/>
      <c r="CD42" s="211"/>
      <c r="CE42" s="213"/>
      <c r="CF42" s="201"/>
      <c r="CG42" s="212"/>
      <c r="CH42" s="211"/>
      <c r="CI42" s="209"/>
      <c r="CJ42" s="212"/>
      <c r="CK42" s="212"/>
      <c r="CL42" s="211"/>
      <c r="CM42" s="209"/>
      <c r="CN42" s="212"/>
      <c r="CO42" s="212"/>
      <c r="CP42" s="211"/>
      <c r="CQ42" s="209"/>
      <c r="CR42" s="212"/>
      <c r="CS42" s="212"/>
      <c r="CT42" s="211"/>
      <c r="CU42" s="1800"/>
      <c r="CV42" s="1775"/>
      <c r="DA42" s="196"/>
      <c r="DB42" s="196"/>
    </row>
    <row r="43" spans="1:106" s="194" customFormat="1" ht="15.95" hidden="1" customHeight="1" x14ac:dyDescent="0.3">
      <c r="A43" s="1804" t="s">
        <v>192</v>
      </c>
      <c r="B43" s="225" t="s">
        <v>154</v>
      </c>
      <c r="C43" s="1806"/>
      <c r="D43" s="202"/>
      <c r="E43" s="619"/>
      <c r="F43" s="205"/>
      <c r="G43" s="204"/>
      <c r="H43" s="202"/>
      <c r="I43" s="205"/>
      <c r="J43" s="205"/>
      <c r="K43" s="204"/>
      <c r="L43" s="202"/>
      <c r="M43" s="205"/>
      <c r="N43" s="205"/>
      <c r="O43" s="204"/>
      <c r="P43" s="202"/>
      <c r="Q43" s="205"/>
      <c r="R43" s="205"/>
      <c r="S43" s="204"/>
      <c r="T43" s="206"/>
      <c r="U43" s="207"/>
      <c r="V43" s="204"/>
      <c r="W43" s="202"/>
      <c r="X43" s="205"/>
      <c r="Y43" s="205"/>
      <c r="Z43" s="204"/>
      <c r="AA43" s="202"/>
      <c r="AB43" s="205"/>
      <c r="AC43" s="205"/>
      <c r="AD43" s="204"/>
      <c r="AE43" s="202"/>
      <c r="AF43" s="205"/>
      <c r="AG43" s="205"/>
      <c r="AH43" s="204"/>
      <c r="AI43" s="206"/>
      <c r="AJ43" s="208"/>
      <c r="AK43" s="205"/>
      <c r="AL43" s="204"/>
      <c r="AM43" s="202"/>
      <c r="AN43" s="205"/>
      <c r="AO43" s="205"/>
      <c r="AP43" s="204"/>
      <c r="AQ43" s="202"/>
      <c r="AR43" s="205"/>
      <c r="AS43" s="205"/>
      <c r="AT43" s="204"/>
      <c r="AU43" s="202"/>
      <c r="AV43" s="205"/>
      <c r="AW43" s="205"/>
      <c r="AX43" s="204"/>
      <c r="AY43" s="1778">
        <f>'БелАЗы '!K12</f>
        <v>0</v>
      </c>
      <c r="AZ43" s="202"/>
      <c r="BA43" s="619"/>
      <c r="BB43" s="205"/>
      <c r="BC43" s="204"/>
      <c r="BD43" s="202"/>
      <c r="BE43" s="205"/>
      <c r="BF43" s="205"/>
      <c r="BG43" s="204"/>
      <c r="BH43" s="202"/>
      <c r="BI43" s="205"/>
      <c r="BJ43" s="205"/>
      <c r="BK43" s="204"/>
      <c r="BL43" s="202"/>
      <c r="BM43" s="205"/>
      <c r="BN43" s="205"/>
      <c r="BO43" s="204"/>
      <c r="BP43" s="206"/>
      <c r="BQ43" s="207"/>
      <c r="BR43" s="204"/>
      <c r="BS43" s="202"/>
      <c r="BT43" s="205"/>
      <c r="BU43" s="205"/>
      <c r="BV43" s="204"/>
      <c r="BW43" s="202"/>
      <c r="BX43" s="205"/>
      <c r="BY43" s="205"/>
      <c r="BZ43" s="204"/>
      <c r="CA43" s="202"/>
      <c r="CB43" s="205"/>
      <c r="CC43" s="205"/>
      <c r="CD43" s="204"/>
      <c r="CE43" s="206"/>
      <c r="CF43" s="208"/>
      <c r="CG43" s="205"/>
      <c r="CH43" s="204"/>
      <c r="CI43" s="202"/>
      <c r="CJ43" s="205"/>
      <c r="CK43" s="205"/>
      <c r="CL43" s="204"/>
      <c r="CM43" s="202"/>
      <c r="CN43" s="205"/>
      <c r="CO43" s="205"/>
      <c r="CP43" s="204"/>
      <c r="CQ43" s="202"/>
      <c r="CR43" s="205"/>
      <c r="CS43" s="205"/>
      <c r="CT43" s="204"/>
      <c r="CU43" s="1798">
        <f>'БелАЗы '!K23</f>
        <v>0</v>
      </c>
      <c r="CV43" s="609"/>
      <c r="DA43" s="196"/>
      <c r="DB43" s="196"/>
    </row>
    <row r="44" spans="1:106" s="194" customFormat="1" ht="3" hidden="1" customHeight="1" x14ac:dyDescent="0.3">
      <c r="A44" s="1805"/>
      <c r="B44" s="1802" t="s">
        <v>155</v>
      </c>
      <c r="C44" s="1807"/>
      <c r="D44" s="956"/>
      <c r="E44" s="611"/>
      <c r="F44" s="612"/>
      <c r="G44" s="613"/>
      <c r="H44" s="614"/>
      <c r="I44" s="615"/>
      <c r="J44" s="615"/>
      <c r="K44" s="613"/>
      <c r="L44" s="614"/>
      <c r="M44" s="615"/>
      <c r="N44" s="615"/>
      <c r="O44" s="613"/>
      <c r="P44" s="614"/>
      <c r="Q44" s="615"/>
      <c r="R44" s="615"/>
      <c r="S44" s="616"/>
      <c r="T44" s="216"/>
      <c r="U44" s="617"/>
      <c r="V44" s="613"/>
      <c r="W44" s="614"/>
      <c r="X44" s="615"/>
      <c r="Y44" s="615"/>
      <c r="Z44" s="613"/>
      <c r="AA44" s="614"/>
      <c r="AB44" s="615"/>
      <c r="AC44" s="615"/>
      <c r="AD44" s="613"/>
      <c r="AE44" s="614"/>
      <c r="AF44" s="615"/>
      <c r="AG44" s="615"/>
      <c r="AH44" s="616"/>
      <c r="AI44" s="217"/>
      <c r="AJ44" s="615"/>
      <c r="AK44" s="615"/>
      <c r="AL44" s="613"/>
      <c r="AM44" s="614"/>
      <c r="AN44" s="615"/>
      <c r="AO44" s="615"/>
      <c r="AP44" s="613"/>
      <c r="AQ44" s="614"/>
      <c r="AR44" s="615"/>
      <c r="AS44" s="615"/>
      <c r="AT44" s="613"/>
      <c r="AU44" s="614"/>
      <c r="AV44" s="610"/>
      <c r="AW44" s="610"/>
      <c r="AX44" s="957"/>
      <c r="AY44" s="1779"/>
      <c r="AZ44" s="956"/>
      <c r="BA44" s="611"/>
      <c r="BB44" s="612"/>
      <c r="BC44" s="613"/>
      <c r="BD44" s="614"/>
      <c r="BE44" s="615"/>
      <c r="BF44" s="615"/>
      <c r="BG44" s="613"/>
      <c r="BH44" s="614"/>
      <c r="BI44" s="615"/>
      <c r="BJ44" s="615"/>
      <c r="BK44" s="613"/>
      <c r="BL44" s="614"/>
      <c r="BM44" s="615"/>
      <c r="BN44" s="615"/>
      <c r="BO44" s="616"/>
      <c r="BP44" s="216"/>
      <c r="BQ44" s="617"/>
      <c r="BR44" s="613"/>
      <c r="BS44" s="614"/>
      <c r="BT44" s="615"/>
      <c r="BU44" s="615"/>
      <c r="BV44" s="613"/>
      <c r="BW44" s="614"/>
      <c r="BX44" s="615"/>
      <c r="BY44" s="615"/>
      <c r="BZ44" s="613"/>
      <c r="CA44" s="614"/>
      <c r="CB44" s="615"/>
      <c r="CC44" s="615"/>
      <c r="CD44" s="616"/>
      <c r="CE44" s="217"/>
      <c r="CF44" s="615"/>
      <c r="CG44" s="615"/>
      <c r="CH44" s="613"/>
      <c r="CI44" s="614"/>
      <c r="CJ44" s="615"/>
      <c r="CK44" s="615"/>
      <c r="CL44" s="613"/>
      <c r="CM44" s="614"/>
      <c r="CN44" s="615"/>
      <c r="CO44" s="615"/>
      <c r="CP44" s="613"/>
      <c r="CQ44" s="614"/>
      <c r="CR44" s="610"/>
      <c r="CS44" s="610"/>
      <c r="CT44" s="957"/>
      <c r="CU44" s="1799"/>
      <c r="CV44" s="1774"/>
      <c r="DA44" s="196"/>
      <c r="DB44" s="196"/>
    </row>
    <row r="45" spans="1:106" s="194" customFormat="1" ht="15.95" hidden="1" customHeight="1" thickBot="1" x14ac:dyDescent="0.35">
      <c r="A45" s="1803"/>
      <c r="B45" s="1803"/>
      <c r="C45" s="552"/>
      <c r="D45" s="209"/>
      <c r="E45" s="620"/>
      <c r="F45" s="212"/>
      <c r="G45" s="211"/>
      <c r="H45" s="209"/>
      <c r="I45" s="212"/>
      <c r="J45" s="212"/>
      <c r="K45" s="211"/>
      <c r="L45" s="209"/>
      <c r="M45" s="212"/>
      <c r="N45" s="212"/>
      <c r="O45" s="211"/>
      <c r="P45" s="209"/>
      <c r="Q45" s="212"/>
      <c r="R45" s="212"/>
      <c r="S45" s="211"/>
      <c r="T45" s="213"/>
      <c r="U45" s="214"/>
      <c r="V45" s="211"/>
      <c r="W45" s="209"/>
      <c r="X45" s="212"/>
      <c r="Y45" s="212"/>
      <c r="Z45" s="211"/>
      <c r="AA45" s="209"/>
      <c r="AB45" s="212"/>
      <c r="AC45" s="212"/>
      <c r="AD45" s="211"/>
      <c r="AE45" s="209"/>
      <c r="AF45" s="212"/>
      <c r="AG45" s="212"/>
      <c r="AH45" s="211"/>
      <c r="AI45" s="213"/>
      <c r="AJ45" s="201"/>
      <c r="AK45" s="212"/>
      <c r="AL45" s="211"/>
      <c r="AM45" s="209"/>
      <c r="AN45" s="212"/>
      <c r="AO45" s="212"/>
      <c r="AP45" s="211"/>
      <c r="AQ45" s="209"/>
      <c r="AR45" s="212"/>
      <c r="AS45" s="212"/>
      <c r="AT45" s="211"/>
      <c r="AU45" s="209"/>
      <c r="AV45" s="212"/>
      <c r="AW45" s="212"/>
      <c r="AX45" s="211"/>
      <c r="AY45" s="1780"/>
      <c r="AZ45" s="209"/>
      <c r="BA45" s="620"/>
      <c r="BB45" s="212"/>
      <c r="BC45" s="211"/>
      <c r="BD45" s="209"/>
      <c r="BE45" s="212"/>
      <c r="BF45" s="212"/>
      <c r="BG45" s="211"/>
      <c r="BH45" s="209"/>
      <c r="BI45" s="212"/>
      <c r="BJ45" s="212"/>
      <c r="BK45" s="211"/>
      <c r="BL45" s="209"/>
      <c r="BM45" s="212"/>
      <c r="BN45" s="212"/>
      <c r="BO45" s="211"/>
      <c r="BP45" s="213"/>
      <c r="BQ45" s="214"/>
      <c r="BR45" s="211"/>
      <c r="BS45" s="209"/>
      <c r="BT45" s="212"/>
      <c r="BU45" s="212"/>
      <c r="BV45" s="211"/>
      <c r="BW45" s="209"/>
      <c r="BX45" s="212"/>
      <c r="BY45" s="212"/>
      <c r="BZ45" s="211"/>
      <c r="CA45" s="209"/>
      <c r="CB45" s="212"/>
      <c r="CC45" s="212"/>
      <c r="CD45" s="211"/>
      <c r="CE45" s="213"/>
      <c r="CF45" s="201"/>
      <c r="CG45" s="212"/>
      <c r="CH45" s="211"/>
      <c r="CI45" s="209"/>
      <c r="CJ45" s="212"/>
      <c r="CK45" s="212"/>
      <c r="CL45" s="211"/>
      <c r="CM45" s="209"/>
      <c r="CN45" s="212"/>
      <c r="CO45" s="212"/>
      <c r="CP45" s="211"/>
      <c r="CQ45" s="209"/>
      <c r="CR45" s="212"/>
      <c r="CS45" s="212"/>
      <c r="CT45" s="211"/>
      <c r="CU45" s="1800"/>
      <c r="CV45" s="1775"/>
      <c r="DA45" s="196"/>
      <c r="DB45" s="196"/>
    </row>
    <row r="46" spans="1:106" s="194" customFormat="1" ht="15.95" hidden="1" customHeight="1" x14ac:dyDescent="0.3">
      <c r="A46" s="1804" t="s">
        <v>193</v>
      </c>
      <c r="B46" s="225" t="s">
        <v>154</v>
      </c>
      <c r="C46" s="1822"/>
      <c r="D46" s="202"/>
      <c r="E46" s="619"/>
      <c r="F46" s="205"/>
      <c r="G46" s="204"/>
      <c r="H46" s="202"/>
      <c r="I46" s="205"/>
      <c r="J46" s="205"/>
      <c r="K46" s="204"/>
      <c r="L46" s="202"/>
      <c r="M46" s="952"/>
      <c r="N46" s="205"/>
      <c r="O46" s="204"/>
      <c r="P46" s="202"/>
      <c r="Q46" s="205"/>
      <c r="R46" s="205"/>
      <c r="S46" s="204"/>
      <c r="T46" s="206"/>
      <c r="U46" s="207"/>
      <c r="V46" s="204"/>
      <c r="W46" s="202"/>
      <c r="X46" s="205"/>
      <c r="Y46" s="205"/>
      <c r="Z46" s="204"/>
      <c r="AA46" s="202"/>
      <c r="AB46" s="205"/>
      <c r="AC46" s="364"/>
      <c r="AD46" s="204"/>
      <c r="AE46" s="202"/>
      <c r="AF46" s="205"/>
      <c r="AG46" s="205"/>
      <c r="AH46" s="204"/>
      <c r="AI46" s="206"/>
      <c r="AJ46" s="208"/>
      <c r="AK46" s="205"/>
      <c r="AL46" s="204"/>
      <c r="AM46" s="202"/>
      <c r="AN46" s="205"/>
      <c r="AO46" s="205"/>
      <c r="AP46" s="204"/>
      <c r="AQ46" s="202"/>
      <c r="AR46" s="205"/>
      <c r="AS46" s="205"/>
      <c r="AT46" s="204"/>
      <c r="AU46" s="202"/>
      <c r="AV46" s="205"/>
      <c r="AW46" s="205"/>
      <c r="AX46" s="204"/>
      <c r="AY46" s="1778">
        <f>'БелАЗы '!K13</f>
        <v>0</v>
      </c>
      <c r="AZ46" s="202"/>
      <c r="BA46" s="619"/>
      <c r="BB46" s="205"/>
      <c r="BC46" s="204"/>
      <c r="BD46" s="202"/>
      <c r="BE46" s="205"/>
      <c r="BF46" s="205"/>
      <c r="BG46" s="204"/>
      <c r="BH46" s="202"/>
      <c r="BI46" s="205"/>
      <c r="BJ46" s="205"/>
      <c r="BK46" s="204"/>
      <c r="BL46" s="202"/>
      <c r="BM46" s="205"/>
      <c r="BN46" s="205"/>
      <c r="BO46" s="204"/>
      <c r="BP46" s="206"/>
      <c r="BQ46" s="207"/>
      <c r="BR46" s="204"/>
      <c r="BS46" s="202"/>
      <c r="BT46" s="205"/>
      <c r="BU46" s="205"/>
      <c r="BV46" s="204"/>
      <c r="BW46" s="202"/>
      <c r="BX46" s="205"/>
      <c r="BY46" s="205"/>
      <c r="BZ46" s="204"/>
      <c r="CA46" s="202"/>
      <c r="CB46" s="205"/>
      <c r="CC46" s="205"/>
      <c r="CD46" s="204"/>
      <c r="CE46" s="206"/>
      <c r="CF46" s="208"/>
      <c r="CG46" s="205"/>
      <c r="CH46" s="204"/>
      <c r="CI46" s="202"/>
      <c r="CJ46" s="205"/>
      <c r="CK46" s="205"/>
      <c r="CL46" s="204"/>
      <c r="CM46" s="202"/>
      <c r="CN46" s="205"/>
      <c r="CO46" s="205"/>
      <c r="CP46" s="204"/>
      <c r="CQ46" s="202"/>
      <c r="CR46" s="205"/>
      <c r="CS46" s="205"/>
      <c r="CT46" s="204"/>
      <c r="CU46" s="1798">
        <f>'БелАЗы '!K24</f>
        <v>0</v>
      </c>
      <c r="CV46" s="609"/>
    </row>
    <row r="47" spans="1:106" s="194" customFormat="1" ht="3" hidden="1" customHeight="1" x14ac:dyDescent="0.3">
      <c r="A47" s="1805"/>
      <c r="B47" s="1802" t="s">
        <v>155</v>
      </c>
      <c r="C47" s="1807"/>
      <c r="D47" s="956"/>
      <c r="E47" s="611"/>
      <c r="F47" s="612"/>
      <c r="G47" s="613"/>
      <c r="H47" s="614"/>
      <c r="I47" s="615"/>
      <c r="J47" s="615"/>
      <c r="K47" s="613"/>
      <c r="L47" s="614"/>
      <c r="M47" s="615"/>
      <c r="N47" s="615"/>
      <c r="O47" s="613"/>
      <c r="P47" s="614"/>
      <c r="Q47" s="615"/>
      <c r="R47" s="615"/>
      <c r="S47" s="616"/>
      <c r="T47" s="216"/>
      <c r="U47" s="617"/>
      <c r="V47" s="613"/>
      <c r="W47" s="614"/>
      <c r="X47" s="615"/>
      <c r="Y47" s="615"/>
      <c r="Z47" s="613"/>
      <c r="AA47" s="614"/>
      <c r="AB47" s="615"/>
      <c r="AC47" s="615"/>
      <c r="AD47" s="613"/>
      <c r="AE47" s="614"/>
      <c r="AF47" s="615"/>
      <c r="AG47" s="615"/>
      <c r="AH47" s="616"/>
      <c r="AI47" s="217"/>
      <c r="AJ47" s="615"/>
      <c r="AK47" s="615"/>
      <c r="AL47" s="613"/>
      <c r="AM47" s="614"/>
      <c r="AN47" s="615"/>
      <c r="AO47" s="615"/>
      <c r="AP47" s="613"/>
      <c r="AQ47" s="614"/>
      <c r="AR47" s="615"/>
      <c r="AS47" s="615"/>
      <c r="AT47" s="613"/>
      <c r="AU47" s="614"/>
      <c r="AV47" s="610"/>
      <c r="AW47" s="610"/>
      <c r="AX47" s="957"/>
      <c r="AY47" s="1779"/>
      <c r="AZ47" s="956"/>
      <c r="BA47" s="611"/>
      <c r="BB47" s="612"/>
      <c r="BC47" s="613"/>
      <c r="BD47" s="614"/>
      <c r="BE47" s="615"/>
      <c r="BF47" s="615"/>
      <c r="BG47" s="613"/>
      <c r="BH47" s="614"/>
      <c r="BI47" s="615"/>
      <c r="BJ47" s="615"/>
      <c r="BK47" s="613"/>
      <c r="BL47" s="614"/>
      <c r="BM47" s="615"/>
      <c r="BN47" s="615"/>
      <c r="BO47" s="616"/>
      <c r="BP47" s="216"/>
      <c r="BQ47" s="617"/>
      <c r="BR47" s="613"/>
      <c r="BS47" s="614"/>
      <c r="BT47" s="615"/>
      <c r="BU47" s="615"/>
      <c r="BV47" s="613"/>
      <c r="BW47" s="614"/>
      <c r="BX47" s="615"/>
      <c r="BY47" s="615"/>
      <c r="BZ47" s="613"/>
      <c r="CA47" s="614"/>
      <c r="CB47" s="615"/>
      <c r="CC47" s="615"/>
      <c r="CD47" s="616"/>
      <c r="CE47" s="217"/>
      <c r="CF47" s="615"/>
      <c r="CG47" s="615"/>
      <c r="CH47" s="613"/>
      <c r="CI47" s="614"/>
      <c r="CJ47" s="615"/>
      <c r="CK47" s="615"/>
      <c r="CL47" s="613"/>
      <c r="CM47" s="614"/>
      <c r="CN47" s="615"/>
      <c r="CO47" s="615"/>
      <c r="CP47" s="613"/>
      <c r="CQ47" s="614"/>
      <c r="CR47" s="610"/>
      <c r="CS47" s="610"/>
      <c r="CT47" s="957"/>
      <c r="CU47" s="1799"/>
      <c r="CV47" s="1774"/>
    </row>
    <row r="48" spans="1:106" s="194" customFormat="1" ht="15.95" hidden="1" customHeight="1" thickBot="1" x14ac:dyDescent="0.35">
      <c r="A48" s="1803"/>
      <c r="B48" s="1803"/>
      <c r="C48" s="551"/>
      <c r="D48" s="209"/>
      <c r="E48" s="620"/>
      <c r="F48" s="212"/>
      <c r="G48" s="211"/>
      <c r="H48" s="209"/>
      <c r="I48" s="212"/>
      <c r="J48" s="212"/>
      <c r="K48" s="211"/>
      <c r="L48" s="209"/>
      <c r="M48" s="212"/>
      <c r="N48" s="212"/>
      <c r="O48" s="211"/>
      <c r="P48" s="209"/>
      <c r="Q48" s="212"/>
      <c r="R48" s="212"/>
      <c r="S48" s="211"/>
      <c r="T48" s="213"/>
      <c r="U48" s="214"/>
      <c r="V48" s="211"/>
      <c r="W48" s="209"/>
      <c r="X48" s="212"/>
      <c r="Y48" s="212"/>
      <c r="Z48" s="211"/>
      <c r="AA48" s="209"/>
      <c r="AB48" s="212"/>
      <c r="AC48" s="212"/>
      <c r="AD48" s="211"/>
      <c r="AE48" s="209"/>
      <c r="AF48" s="212"/>
      <c r="AG48" s="212"/>
      <c r="AH48" s="211"/>
      <c r="AI48" s="213"/>
      <c r="AJ48" s="201"/>
      <c r="AK48" s="212"/>
      <c r="AL48" s="211"/>
      <c r="AM48" s="209"/>
      <c r="AN48" s="212"/>
      <c r="AO48" s="212"/>
      <c r="AP48" s="211"/>
      <c r="AQ48" s="209"/>
      <c r="AR48" s="212"/>
      <c r="AS48" s="212"/>
      <c r="AT48" s="211"/>
      <c r="AU48" s="209"/>
      <c r="AV48" s="212"/>
      <c r="AW48" s="212"/>
      <c r="AX48" s="211"/>
      <c r="AY48" s="1780"/>
      <c r="AZ48" s="209"/>
      <c r="BA48" s="620"/>
      <c r="BB48" s="212"/>
      <c r="BC48" s="211"/>
      <c r="BD48" s="209"/>
      <c r="BE48" s="212"/>
      <c r="BF48" s="212"/>
      <c r="BG48" s="211"/>
      <c r="BH48" s="209"/>
      <c r="BI48" s="212"/>
      <c r="BJ48" s="212"/>
      <c r="BK48" s="211"/>
      <c r="BL48" s="209"/>
      <c r="BM48" s="212"/>
      <c r="BN48" s="212"/>
      <c r="BO48" s="211"/>
      <c r="BP48" s="213"/>
      <c r="BQ48" s="214"/>
      <c r="BR48" s="211"/>
      <c r="BS48" s="209"/>
      <c r="BT48" s="212"/>
      <c r="BU48" s="212"/>
      <c r="BV48" s="211"/>
      <c r="BW48" s="209"/>
      <c r="BX48" s="212"/>
      <c r="BY48" s="212"/>
      <c r="BZ48" s="211"/>
      <c r="CA48" s="209"/>
      <c r="CB48" s="212"/>
      <c r="CC48" s="212"/>
      <c r="CD48" s="211"/>
      <c r="CE48" s="213"/>
      <c r="CF48" s="201"/>
      <c r="CG48" s="212"/>
      <c r="CH48" s="211"/>
      <c r="CI48" s="209"/>
      <c r="CJ48" s="212"/>
      <c r="CK48" s="212"/>
      <c r="CL48" s="211"/>
      <c r="CM48" s="209"/>
      <c r="CN48" s="212"/>
      <c r="CO48" s="212"/>
      <c r="CP48" s="211"/>
      <c r="CQ48" s="209"/>
      <c r="CR48" s="212"/>
      <c r="CS48" s="212"/>
      <c r="CT48" s="211"/>
      <c r="CU48" s="1800"/>
      <c r="CV48" s="1775"/>
    </row>
    <row r="49" spans="1:100" s="194" customFormat="1" ht="15.95" hidden="1" customHeight="1" x14ac:dyDescent="0.3">
      <c r="A49" s="1804" t="s">
        <v>282</v>
      </c>
      <c r="B49" s="225" t="s">
        <v>154</v>
      </c>
      <c r="C49" s="1806"/>
      <c r="D49" s="202"/>
      <c r="E49" s="619"/>
      <c r="F49" s="205"/>
      <c r="G49" s="204"/>
      <c r="H49" s="202"/>
      <c r="I49" s="205"/>
      <c r="J49" s="205"/>
      <c r="K49" s="204"/>
      <c r="L49" s="202"/>
      <c r="M49" s="205"/>
      <c r="N49" s="949"/>
      <c r="O49" s="204"/>
      <c r="P49" s="202"/>
      <c r="Q49" s="205"/>
      <c r="R49" s="205"/>
      <c r="S49" s="204"/>
      <c r="T49" s="206"/>
      <c r="U49" s="207"/>
      <c r="V49" s="204"/>
      <c r="W49" s="202"/>
      <c r="X49" s="205"/>
      <c r="Y49" s="205"/>
      <c r="Z49" s="204"/>
      <c r="AA49" s="202"/>
      <c r="AB49" s="205"/>
      <c r="AC49" s="205"/>
      <c r="AD49" s="204"/>
      <c r="AE49" s="202"/>
      <c r="AF49" s="205"/>
      <c r="AG49" s="205"/>
      <c r="AH49" s="204"/>
      <c r="AI49" s="206"/>
      <c r="AJ49" s="208"/>
      <c r="AK49" s="205"/>
      <c r="AL49" s="204"/>
      <c r="AM49" s="202"/>
      <c r="AN49" s="205"/>
      <c r="AO49" s="205"/>
      <c r="AP49" s="204"/>
      <c r="AQ49" s="202"/>
      <c r="AR49" s="205"/>
      <c r="AS49" s="205"/>
      <c r="AT49" s="204"/>
      <c r="AU49" s="202"/>
      <c r="AV49" s="205"/>
      <c r="AW49" s="205"/>
      <c r="AX49" s="204"/>
      <c r="AY49" s="1778">
        <f>'БелАЗы '!K14</f>
        <v>0</v>
      </c>
      <c r="AZ49" s="202"/>
      <c r="BA49" s="619"/>
      <c r="BB49" s="205"/>
      <c r="BC49" s="204"/>
      <c r="BD49" s="202"/>
      <c r="BE49" s="205"/>
      <c r="BF49" s="205"/>
      <c r="BG49" s="204"/>
      <c r="BH49" s="202"/>
      <c r="BI49" s="205"/>
      <c r="BJ49" s="205"/>
      <c r="BK49" s="204"/>
      <c r="BL49" s="202"/>
      <c r="BM49" s="205"/>
      <c r="BN49" s="205"/>
      <c r="BO49" s="204"/>
      <c r="BP49" s="206"/>
      <c r="BQ49" s="207"/>
      <c r="BR49" s="204"/>
      <c r="BS49" s="202"/>
      <c r="BT49" s="205"/>
      <c r="BU49" s="205"/>
      <c r="BV49" s="204"/>
      <c r="BW49" s="202"/>
      <c r="BX49" s="205"/>
      <c r="BY49" s="205"/>
      <c r="BZ49" s="204"/>
      <c r="CA49" s="202"/>
      <c r="CB49" s="205"/>
      <c r="CC49" s="205"/>
      <c r="CD49" s="204"/>
      <c r="CE49" s="206"/>
      <c r="CF49" s="208"/>
      <c r="CG49" s="205"/>
      <c r="CH49" s="204"/>
      <c r="CI49" s="202"/>
      <c r="CJ49" s="205"/>
      <c r="CK49" s="205"/>
      <c r="CL49" s="204"/>
      <c r="CM49" s="202"/>
      <c r="CN49" s="205"/>
      <c r="CO49" s="205"/>
      <c r="CP49" s="204"/>
      <c r="CQ49" s="202"/>
      <c r="CR49" s="205"/>
      <c r="CS49" s="205"/>
      <c r="CT49" s="204"/>
      <c r="CU49" s="1798">
        <f>'БелАЗы '!K25</f>
        <v>0</v>
      </c>
      <c r="CV49" s="609"/>
    </row>
    <row r="50" spans="1:100" s="194" customFormat="1" ht="3" hidden="1" customHeight="1" x14ac:dyDescent="0.3">
      <c r="A50" s="1805"/>
      <c r="B50" s="1802" t="s">
        <v>155</v>
      </c>
      <c r="C50" s="1807"/>
      <c r="D50" s="956"/>
      <c r="E50" s="611"/>
      <c r="F50" s="612"/>
      <c r="G50" s="613"/>
      <c r="H50" s="614"/>
      <c r="I50" s="615"/>
      <c r="J50" s="615"/>
      <c r="K50" s="613"/>
      <c r="L50" s="614"/>
      <c r="M50" s="615"/>
      <c r="N50" s="615"/>
      <c r="O50" s="613"/>
      <c r="P50" s="614"/>
      <c r="Q50" s="615"/>
      <c r="R50" s="615"/>
      <c r="S50" s="616"/>
      <c r="T50" s="216"/>
      <c r="U50" s="617"/>
      <c r="V50" s="613"/>
      <c r="W50" s="614"/>
      <c r="X50" s="615"/>
      <c r="Y50" s="615"/>
      <c r="Z50" s="613"/>
      <c r="AA50" s="614"/>
      <c r="AB50" s="615"/>
      <c r="AC50" s="615"/>
      <c r="AD50" s="613"/>
      <c r="AE50" s="614"/>
      <c r="AF50" s="615"/>
      <c r="AG50" s="615"/>
      <c r="AH50" s="616"/>
      <c r="AI50" s="217"/>
      <c r="AJ50" s="615"/>
      <c r="AK50" s="615"/>
      <c r="AL50" s="613"/>
      <c r="AM50" s="614"/>
      <c r="AN50" s="615"/>
      <c r="AO50" s="615"/>
      <c r="AP50" s="613"/>
      <c r="AQ50" s="614"/>
      <c r="AR50" s="615"/>
      <c r="AS50" s="615"/>
      <c r="AT50" s="613"/>
      <c r="AU50" s="614"/>
      <c r="AV50" s="610"/>
      <c r="AW50" s="610"/>
      <c r="AX50" s="957"/>
      <c r="AY50" s="1779"/>
      <c r="AZ50" s="956"/>
      <c r="BA50" s="611"/>
      <c r="BB50" s="612"/>
      <c r="BC50" s="613"/>
      <c r="BD50" s="614"/>
      <c r="BE50" s="615"/>
      <c r="BF50" s="615"/>
      <c r="BG50" s="613"/>
      <c r="BH50" s="614"/>
      <c r="BI50" s="615"/>
      <c r="BJ50" s="615"/>
      <c r="BK50" s="613"/>
      <c r="BL50" s="614"/>
      <c r="BM50" s="615"/>
      <c r="BN50" s="615"/>
      <c r="BO50" s="616"/>
      <c r="BP50" s="216"/>
      <c r="BQ50" s="617"/>
      <c r="BR50" s="613"/>
      <c r="BS50" s="614"/>
      <c r="BT50" s="615"/>
      <c r="BU50" s="615"/>
      <c r="BV50" s="613"/>
      <c r="BW50" s="614"/>
      <c r="BX50" s="615"/>
      <c r="BY50" s="615"/>
      <c r="BZ50" s="613"/>
      <c r="CA50" s="614"/>
      <c r="CB50" s="615"/>
      <c r="CC50" s="615"/>
      <c r="CD50" s="616"/>
      <c r="CE50" s="217"/>
      <c r="CF50" s="615"/>
      <c r="CG50" s="615"/>
      <c r="CH50" s="613"/>
      <c r="CI50" s="614"/>
      <c r="CJ50" s="615"/>
      <c r="CK50" s="615"/>
      <c r="CL50" s="613"/>
      <c r="CM50" s="614"/>
      <c r="CN50" s="615"/>
      <c r="CO50" s="615"/>
      <c r="CP50" s="613"/>
      <c r="CQ50" s="614"/>
      <c r="CR50" s="610"/>
      <c r="CS50" s="610"/>
      <c r="CT50" s="957"/>
      <c r="CU50" s="1799"/>
      <c r="CV50" s="1774"/>
    </row>
    <row r="51" spans="1:100" s="194" customFormat="1" ht="15.95" hidden="1" customHeight="1" thickBot="1" x14ac:dyDescent="0.35">
      <c r="A51" s="1803"/>
      <c r="B51" s="1803"/>
      <c r="C51" s="552"/>
      <c r="D51" s="209"/>
      <c r="E51" s="620"/>
      <c r="F51" s="212"/>
      <c r="G51" s="211"/>
      <c r="H51" s="209"/>
      <c r="I51" s="212"/>
      <c r="J51" s="212"/>
      <c r="K51" s="211"/>
      <c r="L51" s="209"/>
      <c r="M51" s="212"/>
      <c r="N51" s="212"/>
      <c r="O51" s="211"/>
      <c r="P51" s="209"/>
      <c r="Q51" s="212"/>
      <c r="R51" s="212"/>
      <c r="S51" s="211"/>
      <c r="T51" s="213"/>
      <c r="U51" s="214"/>
      <c r="V51" s="211"/>
      <c r="W51" s="209"/>
      <c r="X51" s="212"/>
      <c r="Y51" s="212"/>
      <c r="Z51" s="211"/>
      <c r="AA51" s="209"/>
      <c r="AB51" s="212"/>
      <c r="AC51" s="212"/>
      <c r="AD51" s="211"/>
      <c r="AE51" s="209"/>
      <c r="AF51" s="212"/>
      <c r="AG51" s="212"/>
      <c r="AH51" s="211"/>
      <c r="AI51" s="213"/>
      <c r="AJ51" s="201"/>
      <c r="AK51" s="212"/>
      <c r="AL51" s="211"/>
      <c r="AM51" s="209"/>
      <c r="AN51" s="212"/>
      <c r="AO51" s="212"/>
      <c r="AP51" s="211"/>
      <c r="AQ51" s="209"/>
      <c r="AR51" s="212"/>
      <c r="AS51" s="212"/>
      <c r="AT51" s="211"/>
      <c r="AU51" s="209"/>
      <c r="AV51" s="212"/>
      <c r="AW51" s="212"/>
      <c r="AX51" s="211"/>
      <c r="AY51" s="1780"/>
      <c r="AZ51" s="209"/>
      <c r="BA51" s="620"/>
      <c r="BB51" s="212"/>
      <c r="BC51" s="211"/>
      <c r="BD51" s="209"/>
      <c r="BE51" s="212"/>
      <c r="BF51" s="212"/>
      <c r="BG51" s="211"/>
      <c r="BH51" s="209"/>
      <c r="BI51" s="212"/>
      <c r="BJ51" s="212"/>
      <c r="BK51" s="211"/>
      <c r="BL51" s="209"/>
      <c r="BM51" s="212"/>
      <c r="BN51" s="212"/>
      <c r="BO51" s="211"/>
      <c r="BP51" s="213"/>
      <c r="BQ51" s="214"/>
      <c r="BR51" s="211"/>
      <c r="BS51" s="209"/>
      <c r="BT51" s="212"/>
      <c r="BU51" s="212"/>
      <c r="BV51" s="211"/>
      <c r="BW51" s="209"/>
      <c r="BX51" s="212"/>
      <c r="BY51" s="212"/>
      <c r="BZ51" s="211"/>
      <c r="CA51" s="209"/>
      <c r="CB51" s="212"/>
      <c r="CC51" s="212"/>
      <c r="CD51" s="211"/>
      <c r="CE51" s="213"/>
      <c r="CF51" s="201"/>
      <c r="CG51" s="212"/>
      <c r="CH51" s="211"/>
      <c r="CI51" s="209"/>
      <c r="CJ51" s="212"/>
      <c r="CK51" s="212"/>
      <c r="CL51" s="211"/>
      <c r="CM51" s="209"/>
      <c r="CN51" s="212"/>
      <c r="CO51" s="212"/>
      <c r="CP51" s="211"/>
      <c r="CQ51" s="209"/>
      <c r="CR51" s="212"/>
      <c r="CS51" s="212"/>
      <c r="CT51" s="211"/>
      <c r="CU51" s="1800"/>
      <c r="CV51" s="1775"/>
    </row>
    <row r="52" spans="1:100" s="194" customFormat="1" ht="15.95" hidden="1" customHeight="1" x14ac:dyDescent="0.3">
      <c r="A52" s="1804" t="s">
        <v>283</v>
      </c>
      <c r="B52" s="225" t="s">
        <v>154</v>
      </c>
      <c r="C52" s="1822"/>
      <c r="D52" s="202"/>
      <c r="E52" s="619"/>
      <c r="F52" s="205"/>
      <c r="G52" s="204"/>
      <c r="H52" s="202"/>
      <c r="I52" s="205"/>
      <c r="J52" s="205"/>
      <c r="K52" s="204"/>
      <c r="L52" s="202"/>
      <c r="M52" s="205"/>
      <c r="N52" s="205"/>
      <c r="O52" s="204"/>
      <c r="P52" s="202"/>
      <c r="Q52" s="205"/>
      <c r="R52" s="205"/>
      <c r="S52" s="204"/>
      <c r="T52" s="206"/>
      <c r="U52" s="207"/>
      <c r="V52" s="204"/>
      <c r="W52" s="202"/>
      <c r="X52" s="205"/>
      <c r="Y52" s="205"/>
      <c r="Z52" s="204"/>
      <c r="AA52" s="202"/>
      <c r="AB52" s="205"/>
      <c r="AC52" s="205"/>
      <c r="AD52" s="204"/>
      <c r="AE52" s="202"/>
      <c r="AF52" s="205"/>
      <c r="AG52" s="205"/>
      <c r="AH52" s="204"/>
      <c r="AI52" s="206"/>
      <c r="AJ52" s="208"/>
      <c r="AK52" s="205"/>
      <c r="AL52" s="204"/>
      <c r="AM52" s="202"/>
      <c r="AN52" s="205"/>
      <c r="AO52" s="205"/>
      <c r="AP52" s="204"/>
      <c r="AQ52" s="202"/>
      <c r="AR52" s="205"/>
      <c r="AS52" s="205"/>
      <c r="AT52" s="204"/>
      <c r="AU52" s="202"/>
      <c r="AV52" s="205"/>
      <c r="AW52" s="205"/>
      <c r="AX52" s="204"/>
      <c r="AY52" s="1778">
        <f>'БелАЗы '!K15</f>
        <v>0</v>
      </c>
      <c r="AZ52" s="202"/>
      <c r="BA52" s="619"/>
      <c r="BB52" s="205"/>
      <c r="BC52" s="204"/>
      <c r="BD52" s="202"/>
      <c r="BE52" s="205"/>
      <c r="BF52" s="205"/>
      <c r="BG52" s="204"/>
      <c r="BH52" s="202"/>
      <c r="BI52" s="205"/>
      <c r="BJ52" s="205"/>
      <c r="BK52" s="204"/>
      <c r="BL52" s="202"/>
      <c r="BM52" s="205"/>
      <c r="BN52" s="205"/>
      <c r="BO52" s="204"/>
      <c r="BP52" s="206"/>
      <c r="BQ52" s="207"/>
      <c r="BR52" s="204"/>
      <c r="BS52" s="202"/>
      <c r="BT52" s="205"/>
      <c r="BU52" s="205"/>
      <c r="BV52" s="204"/>
      <c r="BW52" s="202"/>
      <c r="BX52" s="205"/>
      <c r="BY52" s="205"/>
      <c r="BZ52" s="204"/>
      <c r="CA52" s="202"/>
      <c r="CB52" s="205"/>
      <c r="CC52" s="205"/>
      <c r="CD52" s="204"/>
      <c r="CE52" s="206"/>
      <c r="CF52" s="208"/>
      <c r="CG52" s="205"/>
      <c r="CH52" s="204"/>
      <c r="CI52" s="202"/>
      <c r="CJ52" s="205"/>
      <c r="CK52" s="205"/>
      <c r="CL52" s="204"/>
      <c r="CM52" s="202"/>
      <c r="CN52" s="205"/>
      <c r="CO52" s="205"/>
      <c r="CP52" s="204"/>
      <c r="CQ52" s="202"/>
      <c r="CR52" s="205"/>
      <c r="CS52" s="205"/>
      <c r="CT52" s="204"/>
      <c r="CU52" s="1798">
        <f>'БелАЗы '!K26</f>
        <v>0</v>
      </c>
      <c r="CV52" s="609"/>
    </row>
    <row r="53" spans="1:100" s="194" customFormat="1" ht="3" hidden="1" customHeight="1" x14ac:dyDescent="0.3">
      <c r="A53" s="1805"/>
      <c r="B53" s="1802" t="s">
        <v>155</v>
      </c>
      <c r="C53" s="1807"/>
      <c r="D53" s="956"/>
      <c r="E53" s="611"/>
      <c r="F53" s="612"/>
      <c r="G53" s="613"/>
      <c r="H53" s="614"/>
      <c r="I53" s="615"/>
      <c r="J53" s="615"/>
      <c r="K53" s="613"/>
      <c r="L53" s="614"/>
      <c r="M53" s="615"/>
      <c r="N53" s="615"/>
      <c r="O53" s="613"/>
      <c r="P53" s="614"/>
      <c r="Q53" s="615"/>
      <c r="R53" s="615"/>
      <c r="S53" s="616"/>
      <c r="T53" s="216"/>
      <c r="U53" s="617"/>
      <c r="V53" s="613"/>
      <c r="W53" s="614"/>
      <c r="X53" s="615"/>
      <c r="Y53" s="615"/>
      <c r="Z53" s="613"/>
      <c r="AA53" s="614"/>
      <c r="AB53" s="615"/>
      <c r="AC53" s="615"/>
      <c r="AD53" s="613"/>
      <c r="AE53" s="614"/>
      <c r="AF53" s="615"/>
      <c r="AG53" s="615"/>
      <c r="AH53" s="616"/>
      <c r="AI53" s="217"/>
      <c r="AJ53" s="615"/>
      <c r="AK53" s="615"/>
      <c r="AL53" s="613"/>
      <c r="AM53" s="614"/>
      <c r="AN53" s="615"/>
      <c r="AO53" s="615"/>
      <c r="AP53" s="613"/>
      <c r="AQ53" s="614"/>
      <c r="AR53" s="615"/>
      <c r="AS53" s="615"/>
      <c r="AT53" s="613"/>
      <c r="AU53" s="614"/>
      <c r="AV53" s="610"/>
      <c r="AW53" s="610"/>
      <c r="AX53" s="957"/>
      <c r="AY53" s="1779"/>
      <c r="AZ53" s="956"/>
      <c r="BA53" s="611"/>
      <c r="BB53" s="612"/>
      <c r="BC53" s="613"/>
      <c r="BD53" s="614"/>
      <c r="BE53" s="615"/>
      <c r="BF53" s="615"/>
      <c r="BG53" s="613"/>
      <c r="BH53" s="614"/>
      <c r="BI53" s="615"/>
      <c r="BJ53" s="615"/>
      <c r="BK53" s="613"/>
      <c r="BL53" s="614"/>
      <c r="BM53" s="615"/>
      <c r="BN53" s="615"/>
      <c r="BO53" s="616"/>
      <c r="BP53" s="216"/>
      <c r="BQ53" s="617"/>
      <c r="BR53" s="613"/>
      <c r="BS53" s="614"/>
      <c r="BT53" s="615"/>
      <c r="BU53" s="615"/>
      <c r="BV53" s="613"/>
      <c r="BW53" s="614"/>
      <c r="BX53" s="615"/>
      <c r="BY53" s="615"/>
      <c r="BZ53" s="613"/>
      <c r="CA53" s="614"/>
      <c r="CB53" s="615"/>
      <c r="CC53" s="615"/>
      <c r="CD53" s="616"/>
      <c r="CE53" s="217"/>
      <c r="CF53" s="615"/>
      <c r="CG53" s="615"/>
      <c r="CH53" s="613"/>
      <c r="CI53" s="614"/>
      <c r="CJ53" s="615"/>
      <c r="CK53" s="615"/>
      <c r="CL53" s="613"/>
      <c r="CM53" s="614"/>
      <c r="CN53" s="615"/>
      <c r="CO53" s="615"/>
      <c r="CP53" s="613"/>
      <c r="CQ53" s="614"/>
      <c r="CR53" s="610"/>
      <c r="CS53" s="610"/>
      <c r="CT53" s="957"/>
      <c r="CU53" s="1799"/>
      <c r="CV53" s="1774"/>
    </row>
    <row r="54" spans="1:100" s="194" customFormat="1" ht="15.95" hidden="1" customHeight="1" thickBot="1" x14ac:dyDescent="0.35">
      <c r="A54" s="1803"/>
      <c r="B54" s="1803"/>
      <c r="C54" s="552"/>
      <c r="D54" s="209"/>
      <c r="E54" s="620"/>
      <c r="F54" s="212"/>
      <c r="G54" s="211"/>
      <c r="H54" s="209"/>
      <c r="I54" s="212"/>
      <c r="J54" s="212"/>
      <c r="K54" s="211"/>
      <c r="L54" s="209"/>
      <c r="M54" s="212"/>
      <c r="N54" s="212"/>
      <c r="O54" s="211"/>
      <c r="P54" s="209"/>
      <c r="Q54" s="212"/>
      <c r="R54" s="212"/>
      <c r="S54" s="211"/>
      <c r="T54" s="213"/>
      <c r="U54" s="214"/>
      <c r="V54" s="211"/>
      <c r="W54" s="209"/>
      <c r="X54" s="212"/>
      <c r="Y54" s="212"/>
      <c r="Z54" s="211"/>
      <c r="AA54" s="209"/>
      <c r="AB54" s="212"/>
      <c r="AC54" s="212"/>
      <c r="AD54" s="211"/>
      <c r="AE54" s="209"/>
      <c r="AF54" s="212"/>
      <c r="AG54" s="212"/>
      <c r="AH54" s="211"/>
      <c r="AI54" s="213"/>
      <c r="AJ54" s="201"/>
      <c r="AK54" s="212"/>
      <c r="AL54" s="211"/>
      <c r="AM54" s="209"/>
      <c r="AN54" s="212"/>
      <c r="AO54" s="212"/>
      <c r="AP54" s="211"/>
      <c r="AQ54" s="209"/>
      <c r="AR54" s="212"/>
      <c r="AS54" s="212"/>
      <c r="AT54" s="211"/>
      <c r="AU54" s="209"/>
      <c r="AV54" s="212"/>
      <c r="AW54" s="212"/>
      <c r="AX54" s="211"/>
      <c r="AY54" s="1780"/>
      <c r="AZ54" s="209"/>
      <c r="BA54" s="620"/>
      <c r="BB54" s="212"/>
      <c r="BC54" s="211"/>
      <c r="BD54" s="209"/>
      <c r="BE54" s="212"/>
      <c r="BF54" s="212"/>
      <c r="BG54" s="211"/>
      <c r="BH54" s="209"/>
      <c r="BI54" s="212"/>
      <c r="BJ54" s="212"/>
      <c r="BK54" s="211"/>
      <c r="BL54" s="209"/>
      <c r="BM54" s="212"/>
      <c r="BN54" s="212"/>
      <c r="BO54" s="211"/>
      <c r="BP54" s="213"/>
      <c r="BQ54" s="214"/>
      <c r="BR54" s="211"/>
      <c r="BS54" s="209"/>
      <c r="BT54" s="212"/>
      <c r="BU54" s="212"/>
      <c r="BV54" s="211"/>
      <c r="BW54" s="209"/>
      <c r="BX54" s="212"/>
      <c r="BY54" s="212"/>
      <c r="BZ54" s="211"/>
      <c r="CA54" s="209"/>
      <c r="CB54" s="212"/>
      <c r="CC54" s="212"/>
      <c r="CD54" s="211"/>
      <c r="CE54" s="213"/>
      <c r="CF54" s="201"/>
      <c r="CG54" s="212"/>
      <c r="CH54" s="211"/>
      <c r="CI54" s="209"/>
      <c r="CJ54" s="212"/>
      <c r="CK54" s="212"/>
      <c r="CL54" s="211"/>
      <c r="CM54" s="209"/>
      <c r="CN54" s="212"/>
      <c r="CO54" s="212"/>
      <c r="CP54" s="211"/>
      <c r="CQ54" s="209"/>
      <c r="CR54" s="212"/>
      <c r="CS54" s="212"/>
      <c r="CT54" s="211"/>
      <c r="CU54" s="1800"/>
      <c r="CV54" s="1775"/>
    </row>
    <row r="55" spans="1:100" s="194" customFormat="1" ht="20.100000000000001" customHeight="1" thickBot="1" x14ac:dyDescent="0.35">
      <c r="A55" s="1804"/>
      <c r="B55" s="225"/>
      <c r="C55" s="1823"/>
      <c r="D55" s="947"/>
      <c r="E55" s="948"/>
      <c r="F55" s="949"/>
      <c r="G55" s="950"/>
      <c r="H55" s="951"/>
      <c r="I55" s="948" t="s">
        <v>507</v>
      </c>
      <c r="J55" s="952"/>
      <c r="K55" s="950"/>
      <c r="L55" s="951"/>
      <c r="M55" s="948"/>
      <c r="N55" s="949"/>
      <c r="O55" s="950"/>
      <c r="P55" s="951"/>
      <c r="Q55" s="952"/>
      <c r="R55" s="952"/>
      <c r="S55" s="950"/>
      <c r="T55" s="953"/>
      <c r="U55" s="953"/>
      <c r="V55" s="950"/>
      <c r="W55" s="951"/>
      <c r="X55" s="949" t="s">
        <v>432</v>
      </c>
      <c r="Y55" s="952"/>
      <c r="Z55" s="950"/>
      <c r="AA55" s="951"/>
      <c r="AB55" s="952"/>
      <c r="AC55" s="952"/>
      <c r="AD55" s="950"/>
      <c r="AE55" s="951"/>
      <c r="AF55" s="952"/>
      <c r="AG55" s="952"/>
      <c r="AH55" s="950"/>
      <c r="AI55" s="954"/>
      <c r="AJ55" s="949"/>
      <c r="AK55" s="948" t="s">
        <v>491</v>
      </c>
      <c r="AL55" s="950"/>
      <c r="AM55" s="951"/>
      <c r="AN55" s="952"/>
      <c r="AO55" s="952"/>
      <c r="AP55" s="950"/>
      <c r="AQ55" s="951"/>
      <c r="AR55" s="952"/>
      <c r="AS55" s="363"/>
      <c r="AT55" s="950"/>
      <c r="AU55" s="951"/>
      <c r="AV55" s="952"/>
      <c r="AW55" s="952"/>
      <c r="AX55" s="955"/>
      <c r="AY55" s="1778"/>
      <c r="AZ55" s="202"/>
      <c r="BA55" s="199"/>
      <c r="BB55" s="203"/>
      <c r="BC55" s="204"/>
      <c r="BD55" s="202"/>
      <c r="BE55" s="948" t="s">
        <v>507</v>
      </c>
      <c r="BF55" s="205"/>
      <c r="BG55" s="204"/>
      <c r="BH55" s="202"/>
      <c r="BI55" s="205"/>
      <c r="BJ55" s="205"/>
      <c r="BK55" s="204"/>
      <c r="BL55" s="202"/>
      <c r="BM55" s="205"/>
      <c r="BN55" s="205"/>
      <c r="BO55" s="204"/>
      <c r="BP55" s="206"/>
      <c r="BQ55" s="207"/>
      <c r="BR55" s="204"/>
      <c r="BS55" s="202"/>
      <c r="BT55" s="949" t="s">
        <v>432</v>
      </c>
      <c r="BU55" s="952"/>
      <c r="BV55" s="950"/>
      <c r="BW55" s="951"/>
      <c r="BX55" s="952"/>
      <c r="BY55" s="952"/>
      <c r="BZ55" s="950"/>
      <c r="CA55" s="951"/>
      <c r="CB55" s="952"/>
      <c r="CC55" s="952"/>
      <c r="CD55" s="950"/>
      <c r="CE55" s="954"/>
      <c r="CF55" s="949"/>
      <c r="CG55" s="948" t="s">
        <v>491</v>
      </c>
      <c r="CH55" s="950"/>
      <c r="CI55" s="951"/>
      <c r="CJ55" s="952"/>
      <c r="CK55" s="952"/>
      <c r="CL55" s="950"/>
      <c r="CM55" s="951"/>
      <c r="CN55" s="952"/>
      <c r="CO55" s="363"/>
      <c r="CP55" s="204"/>
      <c r="CQ55" s="202"/>
      <c r="CR55" s="205"/>
      <c r="CS55" s="205"/>
      <c r="CT55" s="204"/>
      <c r="CU55" s="1798"/>
      <c r="CV55" s="621"/>
    </row>
    <row r="56" spans="1:100" s="194" customFormat="1" ht="20.100000000000001" customHeight="1" thickBot="1" x14ac:dyDescent="0.35">
      <c r="A56" s="1803"/>
      <c r="B56" s="225"/>
      <c r="C56" s="1824"/>
      <c r="D56" s="945"/>
      <c r="E56" s="364"/>
      <c r="F56" s="364"/>
      <c r="G56" s="365"/>
      <c r="H56" s="366"/>
      <c r="I56" s="948" t="s">
        <v>523</v>
      </c>
      <c r="J56" s="367"/>
      <c r="K56" s="365"/>
      <c r="L56" s="366"/>
      <c r="M56" s="948"/>
      <c r="N56" s="952"/>
      <c r="O56" s="365"/>
      <c r="P56" s="366"/>
      <c r="Q56" s="367"/>
      <c r="R56" s="367"/>
      <c r="S56" s="365"/>
      <c r="T56" s="381"/>
      <c r="U56" s="381"/>
      <c r="V56" s="365"/>
      <c r="W56" s="366"/>
      <c r="X56" s="952" t="s">
        <v>428</v>
      </c>
      <c r="Y56" s="367"/>
      <c r="Z56" s="365"/>
      <c r="AA56" s="366"/>
      <c r="AB56" s="367"/>
      <c r="AD56" s="367" t="s">
        <v>429</v>
      </c>
      <c r="AE56" s="366"/>
      <c r="AF56" s="367"/>
      <c r="AG56" s="367"/>
      <c r="AH56" s="365"/>
      <c r="AI56" s="380"/>
      <c r="AJ56" s="364"/>
      <c r="AK56" s="363" t="s">
        <v>430</v>
      </c>
      <c r="AL56" s="365"/>
      <c r="AM56" s="366"/>
      <c r="AN56" s="367"/>
      <c r="AO56" s="367"/>
      <c r="AP56" s="365"/>
      <c r="AQ56" s="366"/>
      <c r="AR56" s="367"/>
      <c r="AS56" s="363" t="s">
        <v>431</v>
      </c>
      <c r="AT56" s="365"/>
      <c r="AU56" s="366"/>
      <c r="AV56" s="367"/>
      <c r="AW56" s="367"/>
      <c r="AX56" s="946"/>
      <c r="AY56" s="1780"/>
      <c r="AZ56" s="209"/>
      <c r="BA56" s="215"/>
      <c r="BB56" s="210"/>
      <c r="BC56" s="211"/>
      <c r="BD56" s="209"/>
      <c r="BE56" s="948" t="s">
        <v>523</v>
      </c>
      <c r="BF56" s="212"/>
      <c r="BG56" s="211"/>
      <c r="BH56" s="209"/>
      <c r="BI56" s="212"/>
      <c r="BJ56" s="212"/>
      <c r="BK56" s="211"/>
      <c r="BL56" s="209"/>
      <c r="BM56" s="212"/>
      <c r="BN56" s="212"/>
      <c r="BO56" s="211"/>
      <c r="BP56" s="213"/>
      <c r="BQ56" s="214"/>
      <c r="BR56" s="211"/>
      <c r="BS56" s="209"/>
      <c r="BT56" s="952" t="s">
        <v>428</v>
      </c>
      <c r="BU56" s="367"/>
      <c r="BV56" s="365"/>
      <c r="BW56" s="366"/>
      <c r="BX56" s="367"/>
      <c r="BZ56" s="367" t="s">
        <v>429</v>
      </c>
      <c r="CA56" s="366"/>
      <c r="CB56" s="367"/>
      <c r="CC56" s="367"/>
      <c r="CD56" s="365"/>
      <c r="CE56" s="380"/>
      <c r="CF56" s="364"/>
      <c r="CG56" s="363" t="s">
        <v>430</v>
      </c>
      <c r="CH56" s="365"/>
      <c r="CI56" s="366"/>
      <c r="CJ56" s="367"/>
      <c r="CK56" s="367"/>
      <c r="CL56" s="365"/>
      <c r="CM56" s="366"/>
      <c r="CN56" s="367"/>
      <c r="CO56" s="363" t="s">
        <v>431</v>
      </c>
      <c r="CP56" s="211"/>
      <c r="CQ56" s="209"/>
      <c r="CR56" s="212"/>
      <c r="CS56" s="212"/>
      <c r="CT56" s="211"/>
      <c r="CU56" s="1800"/>
      <c r="CV56" s="621"/>
    </row>
    <row r="57" spans="1:100" s="194" customFormat="1" ht="20.100000000000001" customHeight="1" thickBot="1" x14ac:dyDescent="0.35">
      <c r="A57" s="226" t="s">
        <v>179</v>
      </c>
      <c r="B57" s="227"/>
      <c r="C57" s="228"/>
      <c r="D57" s="209"/>
      <c r="E57" s="215"/>
      <c r="F57" s="210"/>
      <c r="G57" s="211"/>
      <c r="H57" s="209"/>
      <c r="I57" s="212"/>
      <c r="J57" s="212"/>
      <c r="K57" s="211"/>
      <c r="L57" s="209"/>
      <c r="M57" s="212"/>
      <c r="N57" s="212"/>
      <c r="O57" s="211"/>
      <c r="P57" s="209"/>
      <c r="Q57" s="212"/>
      <c r="R57" s="212"/>
      <c r="S57" s="211"/>
      <c r="T57" s="213"/>
      <c r="U57" s="214"/>
      <c r="V57" s="211"/>
      <c r="W57" s="209"/>
      <c r="X57" s="952"/>
      <c r="Y57" s="212"/>
      <c r="Z57" s="211"/>
      <c r="AA57" s="209"/>
      <c r="AB57" s="212"/>
      <c r="AC57" s="212"/>
      <c r="AD57" s="211"/>
      <c r="AE57" s="209"/>
      <c r="AF57" s="212"/>
      <c r="AG57" s="212"/>
      <c r="AH57" s="211"/>
      <c r="AI57" s="213"/>
      <c r="AJ57" s="201"/>
      <c r="AK57" s="622"/>
      <c r="AL57" s="211"/>
      <c r="AM57" s="209"/>
      <c r="AN57" s="212"/>
      <c r="AO57" s="212"/>
      <c r="AP57" s="211"/>
      <c r="AQ57" s="209"/>
      <c r="AR57" s="212"/>
      <c r="AS57" s="212"/>
      <c r="AT57" s="211"/>
      <c r="AU57" s="209"/>
      <c r="AV57" s="212"/>
      <c r="AW57" s="212"/>
      <c r="AX57" s="211"/>
      <c r="AY57" s="623"/>
      <c r="AZ57" s="209"/>
      <c r="BA57" s="215"/>
      <c r="BB57" s="210"/>
      <c r="BC57" s="211"/>
      <c r="BD57" s="209"/>
      <c r="BE57" s="212"/>
      <c r="BF57" s="212"/>
      <c r="BG57" s="211"/>
      <c r="BH57" s="209"/>
      <c r="BI57" s="212"/>
      <c r="BJ57" s="212"/>
      <c r="BK57" s="211"/>
      <c r="BL57" s="209"/>
      <c r="BM57" s="212"/>
      <c r="BN57" s="212"/>
      <c r="BO57" s="211"/>
      <c r="BP57" s="213"/>
      <c r="BQ57" s="214"/>
      <c r="BR57" s="211"/>
      <c r="BS57" s="209"/>
      <c r="BT57" s="212"/>
      <c r="BU57" s="212"/>
      <c r="BV57" s="211"/>
      <c r="BW57" s="209"/>
      <c r="BX57" s="212"/>
      <c r="BY57" s="212"/>
      <c r="BZ57" s="211"/>
      <c r="CA57" s="209"/>
      <c r="CB57" s="212"/>
      <c r="CC57" s="212"/>
      <c r="CD57" s="211"/>
      <c r="CE57" s="213"/>
      <c r="CF57" s="201"/>
      <c r="CG57" s="622"/>
      <c r="CH57" s="211"/>
      <c r="CI57" s="209"/>
      <c r="CJ57" s="212"/>
      <c r="CK57" s="212"/>
      <c r="CL57" s="211"/>
      <c r="CM57" s="209"/>
      <c r="CN57" s="212"/>
      <c r="CO57" s="212"/>
      <c r="CP57" s="211"/>
      <c r="CQ57" s="209"/>
      <c r="CR57" s="212"/>
      <c r="CS57" s="212"/>
      <c r="CT57" s="211"/>
      <c r="CU57" s="624"/>
      <c r="CV57" s="625"/>
    </row>
    <row r="58" spans="1:100" ht="19.5" customHeight="1" thickBot="1" x14ac:dyDescent="0.35">
      <c r="A58" s="320" t="s">
        <v>161</v>
      </c>
      <c r="B58" s="1819"/>
      <c r="C58" s="1820"/>
      <c r="D58" s="1820"/>
      <c r="E58" s="1820"/>
      <c r="F58" s="1820"/>
      <c r="G58" s="1820"/>
      <c r="H58" s="1820"/>
      <c r="I58" s="1820"/>
      <c r="J58" s="1820"/>
      <c r="K58" s="1820"/>
      <c r="L58" s="1820"/>
      <c r="M58" s="1820"/>
      <c r="N58" s="1820"/>
      <c r="O58" s="1820"/>
      <c r="P58" s="1820"/>
      <c r="Q58" s="1820"/>
      <c r="R58" s="1820"/>
      <c r="S58" s="1820"/>
      <c r="T58" s="1820"/>
      <c r="U58" s="1820"/>
      <c r="V58" s="1820"/>
      <c r="W58" s="1820"/>
      <c r="X58" s="1820"/>
      <c r="Y58" s="1820"/>
      <c r="Z58" s="1820"/>
      <c r="AA58" s="1820"/>
      <c r="AB58" s="1820"/>
      <c r="AC58" s="1820"/>
      <c r="AD58" s="1820"/>
      <c r="AE58" s="1820"/>
      <c r="AF58" s="1820"/>
      <c r="AG58" s="1820"/>
      <c r="AH58" s="1820"/>
      <c r="AI58" s="1820"/>
      <c r="AJ58" s="1820"/>
      <c r="AK58" s="1820"/>
      <c r="AL58" s="1820"/>
      <c r="AM58" s="1820"/>
      <c r="AN58" s="1820"/>
      <c r="AO58" s="1820"/>
      <c r="AP58" s="1820"/>
      <c r="AQ58" s="1820"/>
      <c r="AR58" s="1820"/>
      <c r="AS58" s="1820"/>
      <c r="AT58" s="1820"/>
      <c r="AU58" s="1820"/>
      <c r="AV58" s="1820"/>
      <c r="AW58" s="1820"/>
      <c r="AX58" s="1820"/>
      <c r="AY58" s="1820"/>
      <c r="AZ58" s="1820"/>
      <c r="BA58" s="1820"/>
      <c r="BB58" s="1820"/>
      <c r="BC58" s="1820"/>
      <c r="BD58" s="1820"/>
      <c r="BE58" s="1820"/>
      <c r="BF58" s="1820"/>
      <c r="BG58" s="1820"/>
      <c r="BH58" s="1820"/>
      <c r="BI58" s="1820"/>
      <c r="BJ58" s="1820"/>
      <c r="BK58" s="1820"/>
      <c r="BL58" s="1820"/>
      <c r="BM58" s="1820"/>
      <c r="BN58" s="1820"/>
      <c r="BO58" s="1820"/>
      <c r="BP58" s="1820"/>
      <c r="BQ58" s="1820"/>
      <c r="BR58" s="1820"/>
      <c r="BS58" s="1820"/>
      <c r="BT58" s="1820"/>
      <c r="BU58" s="1820"/>
      <c r="BV58" s="1820"/>
      <c r="BW58" s="1820"/>
      <c r="BX58" s="1820"/>
      <c r="BY58" s="1820"/>
      <c r="BZ58" s="1820"/>
      <c r="CA58" s="1820"/>
      <c r="CB58" s="1820"/>
      <c r="CC58" s="1820"/>
      <c r="CD58" s="1820"/>
      <c r="CE58" s="1820"/>
      <c r="CF58" s="1820"/>
      <c r="CG58" s="1820"/>
      <c r="CH58" s="1820"/>
      <c r="CI58" s="1820"/>
      <c r="CJ58" s="1820"/>
      <c r="CK58" s="1820"/>
      <c r="CL58" s="1820"/>
      <c r="CM58" s="1820"/>
      <c r="CN58" s="1820"/>
      <c r="CO58" s="1820"/>
      <c r="CP58" s="1820"/>
      <c r="CQ58" s="1820"/>
      <c r="CR58" s="1820"/>
      <c r="CS58" s="1820"/>
      <c r="CT58" s="1820"/>
      <c r="CU58" s="1820"/>
      <c r="CV58" s="1821"/>
    </row>
    <row r="60" spans="1:100" ht="18.75" x14ac:dyDescent="0.3">
      <c r="A60" s="315"/>
      <c r="B60" s="315"/>
      <c r="C60" s="315"/>
      <c r="D60" s="1773" t="s">
        <v>268</v>
      </c>
      <c r="E60" s="1773"/>
      <c r="F60" s="1773"/>
      <c r="G60" s="1773"/>
      <c r="H60" s="1773"/>
      <c r="I60" s="1773"/>
      <c r="J60" s="1773"/>
      <c r="K60" s="1773"/>
      <c r="L60" s="1773"/>
      <c r="M60" s="1773"/>
      <c r="N60" s="1773"/>
      <c r="O60" s="1773"/>
      <c r="P60" s="1773"/>
      <c r="Q60" s="313"/>
      <c r="R60" s="1773" t="s">
        <v>269</v>
      </c>
      <c r="S60" s="1773"/>
      <c r="T60" s="1773"/>
      <c r="U60" s="1773"/>
      <c r="V60" s="1773"/>
      <c r="W60" s="1773"/>
      <c r="X60" s="1773"/>
      <c r="Y60" s="1773"/>
      <c r="Z60" s="1773"/>
      <c r="AA60" s="1773"/>
      <c r="AB60" s="1773"/>
      <c r="AC60" s="1773"/>
      <c r="AD60" s="1773"/>
      <c r="AE60" s="316"/>
      <c r="AF60" s="1773" t="s">
        <v>162</v>
      </c>
      <c r="AG60" s="1773"/>
      <c r="AH60" s="1773"/>
      <c r="AI60" s="1773"/>
      <c r="AJ60" s="1773"/>
      <c r="AK60" s="1773"/>
      <c r="AL60" s="1773"/>
      <c r="AM60" s="1773"/>
      <c r="AN60" s="1773"/>
      <c r="AO60" s="1773"/>
      <c r="AP60" s="1773"/>
      <c r="AQ60" s="1773"/>
      <c r="AR60" s="1773"/>
      <c r="AS60" s="1773"/>
      <c r="AT60" s="316"/>
      <c r="AU60" s="1786" t="s">
        <v>271</v>
      </c>
      <c r="AV60" s="1786"/>
      <c r="AW60" s="1786"/>
      <c r="AX60" s="1786"/>
      <c r="AY60" s="1786"/>
      <c r="AZ60" s="319"/>
      <c r="BA60" s="1773" t="s">
        <v>81</v>
      </c>
      <c r="BB60" s="1773"/>
      <c r="BC60" s="1773"/>
      <c r="BD60" s="1773"/>
      <c r="BE60" s="1773"/>
      <c r="BF60" s="1773"/>
      <c r="BG60" s="1773"/>
      <c r="BH60" s="1773"/>
      <c r="BI60" s="1773"/>
      <c r="BJ60" s="1773"/>
      <c r="BK60" s="1773"/>
      <c r="BL60" s="1773"/>
      <c r="BN60" s="1773" t="s">
        <v>163</v>
      </c>
      <c r="BO60" s="1773"/>
      <c r="BP60" s="1773"/>
      <c r="BQ60" s="1773"/>
      <c r="BR60" s="1773"/>
      <c r="BS60" s="1773"/>
      <c r="BT60" s="1773"/>
      <c r="BU60" s="1773"/>
      <c r="BV60" s="1773"/>
      <c r="BW60" s="1773"/>
      <c r="BX60" s="1773"/>
      <c r="BY60" s="1773"/>
      <c r="BZ60" s="1773"/>
      <c r="CB60" s="1773" t="s">
        <v>270</v>
      </c>
      <c r="CC60" s="1773"/>
      <c r="CD60" s="1773"/>
      <c r="CE60" s="1773"/>
      <c r="CF60" s="1773"/>
      <c r="CG60" s="1773"/>
      <c r="CH60" s="1773"/>
      <c r="CI60" s="1773"/>
      <c r="CJ60" s="1773"/>
      <c r="CK60" s="1773"/>
      <c r="CL60" s="1773"/>
      <c r="CM60" s="1773"/>
      <c r="CN60" s="1773"/>
      <c r="CO60" s="1773"/>
      <c r="CV60" s="944" t="s">
        <v>265</v>
      </c>
    </row>
    <row r="61" spans="1:100" ht="10.5" customHeight="1" x14ac:dyDescent="0.3">
      <c r="A61" s="314"/>
      <c r="B61" s="313"/>
      <c r="C61" s="313"/>
      <c r="D61" s="1782"/>
      <c r="E61" s="1782"/>
      <c r="F61" s="1782"/>
      <c r="G61" s="1782"/>
      <c r="H61" s="1782"/>
      <c r="I61" s="1782"/>
      <c r="J61" s="1782"/>
      <c r="K61" s="1782"/>
      <c r="L61" s="1782"/>
      <c r="M61" s="1782"/>
      <c r="N61" s="1782"/>
      <c r="O61" s="1782"/>
      <c r="P61" s="1782"/>
      <c r="Q61" s="313"/>
      <c r="R61" s="1776"/>
      <c r="S61" s="1776"/>
      <c r="T61" s="1776"/>
      <c r="U61" s="1776"/>
      <c r="V61" s="1776"/>
      <c r="W61" s="1776"/>
      <c r="X61" s="1776"/>
      <c r="Y61" s="1776"/>
      <c r="Z61" s="1776"/>
      <c r="AA61" s="1776"/>
      <c r="AB61" s="1776"/>
      <c r="AC61" s="1776"/>
      <c r="AD61" s="1776"/>
      <c r="AE61" s="316"/>
      <c r="AF61" s="1777"/>
      <c r="AG61" s="1777"/>
      <c r="AH61" s="1777"/>
      <c r="AI61" s="1777"/>
      <c r="AJ61" s="1777"/>
      <c r="AK61" s="1777"/>
      <c r="AL61" s="1777"/>
      <c r="AM61" s="1777"/>
      <c r="AN61" s="1777"/>
      <c r="AO61" s="1777"/>
      <c r="AP61" s="1777"/>
      <c r="AQ61" s="1777"/>
      <c r="AR61" s="1777"/>
      <c r="AS61" s="1777"/>
      <c r="AT61" s="316"/>
      <c r="AU61" s="1785"/>
      <c r="AV61" s="1785"/>
      <c r="AW61" s="1785"/>
      <c r="AX61" s="1785"/>
      <c r="AY61" s="1785"/>
      <c r="AZ61" s="318"/>
      <c r="BA61" s="1784"/>
      <c r="BB61" s="1784"/>
      <c r="BC61" s="1784"/>
      <c r="BD61" s="1784"/>
      <c r="BE61" s="1784"/>
      <c r="BF61" s="1784"/>
      <c r="BG61" s="1784"/>
      <c r="BH61" s="1784"/>
      <c r="BI61" s="1784"/>
      <c r="BJ61" s="1784"/>
      <c r="BK61" s="1784"/>
      <c r="BL61" s="1784"/>
      <c r="BN61" s="1783"/>
      <c r="BO61" s="1783"/>
      <c r="BP61" s="1783"/>
      <c r="BQ61" s="1783"/>
      <c r="BR61" s="1783"/>
      <c r="BS61" s="1783"/>
      <c r="BT61" s="1783"/>
      <c r="BU61" s="1783"/>
      <c r="BV61" s="1783"/>
      <c r="BW61" s="1783"/>
      <c r="BX61" s="1783"/>
      <c r="BY61" s="1783"/>
      <c r="BZ61" s="1783"/>
      <c r="CB61" s="1787"/>
      <c r="CC61" s="1788"/>
      <c r="CD61" s="1788"/>
      <c r="CE61" s="1788"/>
      <c r="CF61" s="1788"/>
      <c r="CG61" s="1788"/>
      <c r="CH61" s="1788"/>
      <c r="CI61" s="1788"/>
      <c r="CJ61" s="1788"/>
      <c r="CK61" s="1788"/>
      <c r="CL61" s="1788"/>
      <c r="CM61" s="1788"/>
      <c r="CN61" s="1788"/>
      <c r="CO61" s="1789"/>
      <c r="CV61" s="194"/>
    </row>
    <row r="62" spans="1:100" s="194" customFormat="1" ht="20.25" customHeight="1" x14ac:dyDescent="0.3">
      <c r="A62" s="311"/>
      <c r="B62" s="311"/>
      <c r="C62" s="311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221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382"/>
      <c r="CG62" s="382"/>
      <c r="CH62" s="197"/>
      <c r="CI62" s="197"/>
      <c r="CJ62" s="197"/>
      <c r="CK62" s="197"/>
      <c r="CL62" s="197"/>
      <c r="CM62" s="197"/>
      <c r="CN62" s="197"/>
      <c r="CO62" s="197"/>
      <c r="CU62" s="229"/>
    </row>
    <row r="63" spans="1:100" ht="18.75" x14ac:dyDescent="0.3">
      <c r="D63" s="1773" t="s">
        <v>288</v>
      </c>
      <c r="E63" s="1773"/>
      <c r="F63" s="1773"/>
      <c r="G63" s="1773"/>
      <c r="H63" s="1773"/>
      <c r="I63" s="1773"/>
      <c r="J63" s="1773"/>
      <c r="K63" s="1773"/>
      <c r="L63" s="1773"/>
      <c r="M63" s="1773"/>
      <c r="N63" s="1773"/>
      <c r="O63" s="1773"/>
      <c r="P63" s="1773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221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382"/>
      <c r="CG63" s="382"/>
      <c r="CH63" s="197"/>
      <c r="CI63" s="197"/>
      <c r="CJ63" s="197"/>
      <c r="CK63" s="197"/>
      <c r="CL63" s="197"/>
      <c r="CM63" s="197"/>
      <c r="CN63" s="197"/>
      <c r="CO63" s="197"/>
    </row>
    <row r="64" spans="1:100" ht="9.75" customHeight="1" x14ac:dyDescent="0.3">
      <c r="D64" s="1781"/>
      <c r="E64" s="1781"/>
      <c r="F64" s="1781"/>
      <c r="G64" s="1781"/>
      <c r="H64" s="1781"/>
      <c r="I64" s="1781"/>
      <c r="J64" s="1781"/>
      <c r="K64" s="1781"/>
      <c r="L64" s="1781"/>
      <c r="M64" s="1781"/>
      <c r="N64" s="1781"/>
      <c r="O64" s="1781"/>
      <c r="P64" s="1781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221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97"/>
      <c r="CE64" s="197"/>
      <c r="CF64" s="382"/>
      <c r="CG64" s="382"/>
      <c r="CH64" s="197"/>
      <c r="CI64" s="197"/>
      <c r="CJ64" s="197"/>
      <c r="CK64" s="197"/>
      <c r="CL64" s="197"/>
      <c r="CM64" s="197"/>
      <c r="CN64" s="197"/>
      <c r="CO64" s="197"/>
    </row>
    <row r="65" spans="7:81" x14ac:dyDescent="0.2">
      <c r="R65" s="316"/>
      <c r="S65" s="316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BJ65" s="310"/>
      <c r="BK65" s="310"/>
      <c r="BL65" s="310"/>
      <c r="BM65" s="310"/>
      <c r="BN65" s="310"/>
      <c r="BO65" s="310"/>
      <c r="BP65" s="310"/>
      <c r="BQ65" s="310"/>
      <c r="BR65" s="310"/>
      <c r="BS65" s="310"/>
      <c r="BT65" s="310"/>
      <c r="BU65" s="310"/>
      <c r="BV65" s="310"/>
      <c r="BW65" s="310"/>
      <c r="BX65" s="310"/>
      <c r="BY65" s="310"/>
      <c r="BZ65" s="310"/>
      <c r="CA65" s="310"/>
      <c r="CB65" s="310"/>
      <c r="CC65" s="310"/>
    </row>
    <row r="66" spans="7:81" x14ac:dyDescent="0.2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7:81" ht="20.25" x14ac:dyDescent="0.3">
      <c r="G67" s="309"/>
      <c r="H67" s="309"/>
      <c r="I67" s="309"/>
      <c r="J67" s="309"/>
      <c r="K67" s="309"/>
      <c r="L67" s="309"/>
      <c r="M67" s="309"/>
      <c r="N67" s="309"/>
      <c r="O67" s="2"/>
      <c r="P67" s="2"/>
      <c r="Q67" s="2"/>
      <c r="R67" s="2"/>
    </row>
    <row r="68" spans="7:81" x14ac:dyDescent="0.2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7:81" ht="20.25" x14ac:dyDescent="0.3">
      <c r="G69" s="2"/>
      <c r="H69" s="309"/>
      <c r="I69" s="309"/>
      <c r="J69" s="317"/>
      <c r="K69" s="317"/>
      <c r="L69" s="317"/>
      <c r="M69" s="317"/>
      <c r="N69" s="317"/>
      <c r="O69" s="317"/>
      <c r="P69" s="312"/>
      <c r="Q69" s="312"/>
      <c r="R69" s="312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310"/>
      <c r="AF69" s="310"/>
    </row>
    <row r="70" spans="7:81" x14ac:dyDescent="0.2">
      <c r="G70" s="2"/>
      <c r="H70" s="2"/>
      <c r="I70" s="2"/>
      <c r="J70" s="312"/>
      <c r="K70" s="312"/>
      <c r="L70" s="312"/>
      <c r="M70" s="312"/>
      <c r="N70" s="312"/>
      <c r="O70" s="312"/>
      <c r="P70" s="312"/>
      <c r="Q70" s="312"/>
      <c r="R70" s="312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310"/>
      <c r="AF70" s="310"/>
    </row>
    <row r="71" spans="7:81" ht="20.25" x14ac:dyDescent="0.3">
      <c r="G71" s="2"/>
      <c r="H71" s="309"/>
      <c r="I71" s="309"/>
      <c r="J71" s="314"/>
      <c r="K71" s="1771"/>
      <c r="L71" s="1771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  <c r="AA71" s="1772"/>
      <c r="AB71" s="1772"/>
      <c r="AC71" s="1772"/>
      <c r="AD71" s="1772"/>
      <c r="AE71" s="310"/>
      <c r="AF71" s="310"/>
    </row>
    <row r="72" spans="7:81" x14ac:dyDescent="0.2">
      <c r="G72" s="2"/>
      <c r="H72" s="2"/>
      <c r="I72" s="2"/>
      <c r="J72" s="314"/>
      <c r="K72" s="314"/>
      <c r="L72" s="314"/>
      <c r="M72" s="314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  <c r="AA72" s="313"/>
      <c r="AB72" s="313"/>
      <c r="AC72" s="313"/>
      <c r="AD72" s="313"/>
      <c r="AE72" s="310"/>
      <c r="AF72" s="310"/>
    </row>
    <row r="73" spans="7:81" ht="20.25" x14ac:dyDescent="0.3"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  <c r="AF73" s="311"/>
    </row>
    <row r="74" spans="7:81" x14ac:dyDescent="0.2"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310"/>
      <c r="AF74" s="310"/>
    </row>
  </sheetData>
  <customSheetViews>
    <customSheetView guid="{3F312A0E-DF4A-4A92-9F0F-6B2059264CC1}" scale="55" showPageBreaks="1" fitToPage="1" printArea="1" hiddenRows="1" showRuler="0">
      <pane xSplit="2" ySplit="31" topLeftCell="BW53" activePane="bottomRight" state="frozen"/>
      <selection pane="bottomRight" activeCell="BZ35" sqref="BZ35"/>
      <pageMargins left="0.28000000000000003" right="3.937007874015748E-2" top="3.937007874015748E-2" bottom="3.937007874015748E-2" header="0.51181102362204722" footer="0.51181102362204722"/>
      <pageSetup paperSize="8" scale="50" orientation="landscape" verticalDpi="300" r:id="rId1"/>
      <headerFooter alignWithMargins="0"/>
    </customSheetView>
  </customSheetViews>
  <mergeCells count="161">
    <mergeCell ref="CV53:CV54"/>
    <mergeCell ref="AY16:AY18"/>
    <mergeCell ref="CU16:CU18"/>
    <mergeCell ref="CU19:CU21"/>
    <mergeCell ref="C19:C20"/>
    <mergeCell ref="CV17:CV18"/>
    <mergeCell ref="CV20:CV21"/>
    <mergeCell ref="CU22:CU24"/>
    <mergeCell ref="CV50:CV51"/>
    <mergeCell ref="CV44:CV45"/>
    <mergeCell ref="CU46:CU48"/>
    <mergeCell ref="AY37:AY39"/>
    <mergeCell ref="AY40:AY42"/>
    <mergeCell ref="C37:C38"/>
    <mergeCell ref="C34:C35"/>
    <mergeCell ref="AY25:AY27"/>
    <mergeCell ref="C40:C41"/>
    <mergeCell ref="L3:O3"/>
    <mergeCell ref="AA3:AD3"/>
    <mergeCell ref="AI3:AL3"/>
    <mergeCell ref="AZ3:BC3"/>
    <mergeCell ref="A49:A51"/>
    <mergeCell ref="CU49:CU51"/>
    <mergeCell ref="C52:C53"/>
    <mergeCell ref="C49:C50"/>
    <mergeCell ref="B50:B51"/>
    <mergeCell ref="A52:A54"/>
    <mergeCell ref="CU52:CU54"/>
    <mergeCell ref="B53:B54"/>
    <mergeCell ref="A7:A9"/>
    <mergeCell ref="C7:C8"/>
    <mergeCell ref="AY7:AY9"/>
    <mergeCell ref="CU7:CU9"/>
    <mergeCell ref="B8:B9"/>
    <mergeCell ref="C16:C17"/>
    <mergeCell ref="C43:C44"/>
    <mergeCell ref="AY19:AY21"/>
    <mergeCell ref="A22:A24"/>
    <mergeCell ref="AY28:AY30"/>
    <mergeCell ref="C13:C14"/>
    <mergeCell ref="B41:B42"/>
    <mergeCell ref="B58:CV58"/>
    <mergeCell ref="AY31:AY33"/>
    <mergeCell ref="AY34:AY36"/>
    <mergeCell ref="AY55:AY56"/>
    <mergeCell ref="CU40:CU42"/>
    <mergeCell ref="CU43:CU45"/>
    <mergeCell ref="CU55:CU56"/>
    <mergeCell ref="C28:C29"/>
    <mergeCell ref="C22:C23"/>
    <mergeCell ref="CV47:CV48"/>
    <mergeCell ref="C55:C56"/>
    <mergeCell ref="C46:C47"/>
    <mergeCell ref="C31:C32"/>
    <mergeCell ref="CU28:CU30"/>
    <mergeCell ref="CU25:CU27"/>
    <mergeCell ref="B26:B27"/>
    <mergeCell ref="CV23:CV24"/>
    <mergeCell ref="CV26:CV27"/>
    <mergeCell ref="CV29:CV30"/>
    <mergeCell ref="CV41:CV42"/>
    <mergeCell ref="CV32:CV33"/>
    <mergeCell ref="CU31:CU33"/>
    <mergeCell ref="CU37:CU39"/>
    <mergeCell ref="CU34:CU36"/>
    <mergeCell ref="A1:CV1"/>
    <mergeCell ref="CK2:CT2"/>
    <mergeCell ref="P2:Y2"/>
    <mergeCell ref="Z2:AG2"/>
    <mergeCell ref="AQ2:AX2"/>
    <mergeCell ref="D2:O2"/>
    <mergeCell ref="CA2:CJ2"/>
    <mergeCell ref="B11:B12"/>
    <mergeCell ref="A4:A6"/>
    <mergeCell ref="BU2:BZ2"/>
    <mergeCell ref="D3:G3"/>
    <mergeCell ref="AH2:AP2"/>
    <mergeCell ref="AQ3:AT3"/>
    <mergeCell ref="AM3:AP3"/>
    <mergeCell ref="P3:S3"/>
    <mergeCell ref="W3:Z3"/>
    <mergeCell ref="T3:V3"/>
    <mergeCell ref="BD3:BG3"/>
    <mergeCell ref="H3:K3"/>
    <mergeCell ref="CV8:CV9"/>
    <mergeCell ref="B5:B6"/>
    <mergeCell ref="C4:C5"/>
    <mergeCell ref="CU4:CU6"/>
    <mergeCell ref="C10:C11"/>
    <mergeCell ref="AZ2:BK2"/>
    <mergeCell ref="BL2:BT2"/>
    <mergeCell ref="B3:C3"/>
    <mergeCell ref="AY10:AY12"/>
    <mergeCell ref="AY4:AY6"/>
    <mergeCell ref="A55:A56"/>
    <mergeCell ref="A25:A27"/>
    <mergeCell ref="A28:A30"/>
    <mergeCell ref="A31:A33"/>
    <mergeCell ref="A34:A36"/>
    <mergeCell ref="A37:A39"/>
    <mergeCell ref="A46:A48"/>
    <mergeCell ref="B35:B36"/>
    <mergeCell ref="B47:B48"/>
    <mergeCell ref="B44:B45"/>
    <mergeCell ref="A43:A45"/>
    <mergeCell ref="A13:A15"/>
    <mergeCell ref="B14:B15"/>
    <mergeCell ref="B17:B18"/>
    <mergeCell ref="A40:A42"/>
    <mergeCell ref="B29:B30"/>
    <mergeCell ref="B38:B39"/>
    <mergeCell ref="AE3:AH3"/>
    <mergeCell ref="AU3:AX3"/>
    <mergeCell ref="B20:B21"/>
    <mergeCell ref="B23:B24"/>
    <mergeCell ref="B32:B33"/>
    <mergeCell ref="A16:A18"/>
    <mergeCell ref="CV5:CV6"/>
    <mergeCell ref="CV11:CV12"/>
    <mergeCell ref="CV14:CV15"/>
    <mergeCell ref="A19:A21"/>
    <mergeCell ref="C25:C26"/>
    <mergeCell ref="AY22:AY24"/>
    <mergeCell ref="AY13:AY15"/>
    <mergeCell ref="A10:A12"/>
    <mergeCell ref="BH3:BK3"/>
    <mergeCell ref="BP3:BR3"/>
    <mergeCell ref="BL3:BO3"/>
    <mergeCell ref="CM3:CP3"/>
    <mergeCell ref="BS3:BV3"/>
    <mergeCell ref="BW3:BZ3"/>
    <mergeCell ref="CA3:CD3"/>
    <mergeCell ref="CI3:CL3"/>
    <mergeCell ref="CU13:CU15"/>
    <mergeCell ref="CE3:CH3"/>
    <mergeCell ref="CQ3:CT3"/>
    <mergeCell ref="CU10:CU12"/>
    <mergeCell ref="K71:L71"/>
    <mergeCell ref="AA71:AD71"/>
    <mergeCell ref="D60:P60"/>
    <mergeCell ref="R60:AD60"/>
    <mergeCell ref="CV35:CV36"/>
    <mergeCell ref="CV38:CV39"/>
    <mergeCell ref="R61:AD61"/>
    <mergeCell ref="AF61:AS61"/>
    <mergeCell ref="BN60:BZ60"/>
    <mergeCell ref="D63:P63"/>
    <mergeCell ref="AY49:AY51"/>
    <mergeCell ref="AY43:AY45"/>
    <mergeCell ref="AY46:AY48"/>
    <mergeCell ref="AF60:AS60"/>
    <mergeCell ref="AY52:AY54"/>
    <mergeCell ref="D64:P64"/>
    <mergeCell ref="CB60:CO60"/>
    <mergeCell ref="D61:P61"/>
    <mergeCell ref="BN61:BZ61"/>
    <mergeCell ref="BA61:BL61"/>
    <mergeCell ref="AU61:AY61"/>
    <mergeCell ref="AU60:AY60"/>
    <mergeCell ref="BA60:BL60"/>
    <mergeCell ref="CB61:CO61"/>
  </mergeCells>
  <phoneticPr fontId="0" type="noConversion"/>
  <pageMargins left="0.28000000000000003" right="3.937007874015748E-2" top="3.937007874015748E-2" bottom="3.937007874015748E-2" header="0.51181102362204722" footer="0.51181102362204722"/>
  <pageSetup paperSize="8" scale="52" orientation="landscape" verticalDpi="3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C9"/>
  <sheetViews>
    <sheetView workbookViewId="0">
      <selection sqref="A1:A2"/>
    </sheetView>
  </sheetViews>
  <sheetFormatPr defaultRowHeight="12.75" x14ac:dyDescent="0.2"/>
  <cols>
    <col min="1" max="1" width="21.5703125" customWidth="1"/>
    <col min="2" max="2" width="35.5703125" customWidth="1"/>
    <col min="3" max="3" width="19" customWidth="1"/>
  </cols>
  <sheetData>
    <row r="1" spans="1:3" ht="15" customHeight="1" x14ac:dyDescent="0.2">
      <c r="A1" s="1622" t="s">
        <v>500</v>
      </c>
      <c r="B1" s="1622" t="s">
        <v>401</v>
      </c>
      <c r="C1" s="1622" t="s">
        <v>402</v>
      </c>
    </row>
    <row r="2" spans="1:3" ht="15.75" customHeight="1" thickBot="1" x14ac:dyDescent="0.25">
      <c r="A2" s="1623"/>
      <c r="B2" s="1623"/>
      <c r="C2" s="1623"/>
    </row>
    <row r="3" spans="1:3" ht="15" x14ac:dyDescent="0.25">
      <c r="A3" s="1186" t="s">
        <v>528</v>
      </c>
      <c r="B3" s="1223" t="s">
        <v>474</v>
      </c>
      <c r="C3" s="1226" t="s">
        <v>496</v>
      </c>
    </row>
    <row r="4" spans="1:3" ht="15" x14ac:dyDescent="0.25">
      <c r="A4" s="1187"/>
      <c r="B4" s="1224" t="s">
        <v>475</v>
      </c>
      <c r="C4" s="1227" t="s">
        <v>476</v>
      </c>
    </row>
    <row r="5" spans="1:3" ht="15" x14ac:dyDescent="0.25">
      <c r="A5" s="1188"/>
      <c r="B5" s="1224" t="s">
        <v>477</v>
      </c>
      <c r="C5" s="1227" t="s">
        <v>497</v>
      </c>
    </row>
    <row r="6" spans="1:3" ht="15" x14ac:dyDescent="0.25">
      <c r="A6" s="1189"/>
      <c r="B6" s="1225" t="s">
        <v>501</v>
      </c>
      <c r="C6" s="1190" t="s">
        <v>506</v>
      </c>
    </row>
    <row r="7" spans="1:3" ht="15.75" thickBot="1" x14ac:dyDescent="0.3">
      <c r="A7" s="1185"/>
      <c r="B7" s="1222" t="s">
        <v>499</v>
      </c>
      <c r="C7" s="1190" t="s">
        <v>526</v>
      </c>
    </row>
    <row r="8" spans="1:3" ht="15.75" thickBot="1" x14ac:dyDescent="0.3">
      <c r="B8" s="1184"/>
      <c r="C8" s="1228" t="s">
        <v>527</v>
      </c>
    </row>
    <row r="9" spans="1:3" ht="15" x14ac:dyDescent="0.25">
      <c r="A9" s="132"/>
    </row>
  </sheetData>
  <mergeCells count="3">
    <mergeCell ref="B1:B2"/>
    <mergeCell ref="C1:C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3</vt:i4>
      </vt:variant>
    </vt:vector>
  </HeadingPairs>
  <TitlesOfParts>
    <vt:vector size="14" baseType="lpstr">
      <vt:lpstr>Техника new</vt:lpstr>
      <vt:lpstr>Техника</vt:lpstr>
      <vt:lpstr>рапорт по руде</vt:lpstr>
      <vt:lpstr>БелАЗы </vt:lpstr>
      <vt:lpstr>Бульдозеры</vt:lpstr>
      <vt:lpstr>Экскаваторы</vt:lpstr>
      <vt:lpstr>Бурение</vt:lpstr>
      <vt:lpstr>Сводка внутр.</vt:lpstr>
      <vt:lpstr>Суточный рапорт</vt:lpstr>
      <vt:lpstr>рапорт БелАЗ</vt:lpstr>
      <vt:lpstr>данные по маст. и дисп.</vt:lpstr>
      <vt:lpstr>'рапорт БелАЗ'!Область_печати</vt:lpstr>
      <vt:lpstr>'Сводка внутр.'!Область_печати</vt:lpstr>
      <vt:lpstr>'Суточный рапорт'!Область_печати</vt:lpstr>
    </vt:vector>
  </TitlesOfParts>
  <Company>ZSU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lastModifiedBy>it_Кузнецов Иван Андреевич</cp:lastModifiedBy>
  <cp:lastPrinted>2012-02-02T09:56:44Z</cp:lastPrinted>
  <dcterms:created xsi:type="dcterms:W3CDTF">2005-11-22T11:21:48Z</dcterms:created>
  <dcterms:modified xsi:type="dcterms:W3CDTF">2026-03-23T08:12:10Z</dcterms:modified>
</cp:coreProperties>
</file>