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t_kuznecovia\Documents\ProjectsDjango\webASD\po6\static\"/>
    </mc:Choice>
  </mc:AlternateContent>
  <bookViews>
    <workbookView xWindow="0" yWindow="0" windowWidth="28800" windowHeight="13950" tabRatio="614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й квартал" sheetId="13" r:id="rId13"/>
    <sheet name="2й квартал" sheetId="14" r:id="rId14"/>
    <sheet name="3й квартал" sheetId="15" r:id="rId15"/>
    <sheet name="4й квартал" sheetId="16" r:id="rId16"/>
    <sheet name="2е полугодие" sheetId="33" r:id="rId17"/>
    <sheet name="1е полугодие" sheetId="32" r:id="rId18"/>
    <sheet name="Годовой" sheetId="34" r:id="rId19"/>
    <sheet name="Графики" sheetId="35" r:id="rId20"/>
  </sheets>
  <calcPr calcId="162913"/>
</workbook>
</file>

<file path=xl/calcChain.xml><?xml version="1.0" encoding="utf-8"?>
<calcChain xmlns="http://schemas.openxmlformats.org/spreadsheetml/2006/main">
  <c r="F60" i="34" l="1"/>
  <c r="G60" i="34"/>
  <c r="H60" i="34"/>
  <c r="I60" i="34"/>
  <c r="K60" i="34"/>
  <c r="L60" i="34"/>
  <c r="M60" i="34"/>
  <c r="N60" i="34"/>
  <c r="AR60" i="34" s="1"/>
  <c r="O60" i="34"/>
  <c r="AQ60" i="34" s="1"/>
  <c r="P60" i="34"/>
  <c r="Q60" i="34"/>
  <c r="R60" i="34"/>
  <c r="S60" i="34"/>
  <c r="T60" i="34"/>
  <c r="U60" i="34"/>
  <c r="V60" i="34"/>
  <c r="W60" i="34"/>
  <c r="X60" i="34"/>
  <c r="Y60" i="34"/>
  <c r="Z60" i="34"/>
  <c r="AA60" i="34"/>
  <c r="AB60" i="34"/>
  <c r="AC60" i="34"/>
  <c r="AD60" i="34"/>
  <c r="AE60" i="34"/>
  <c r="AF60" i="34"/>
  <c r="AG60" i="34"/>
  <c r="AH60" i="34"/>
  <c r="AI60" i="34"/>
  <c r="AJ60" i="34"/>
  <c r="AK60" i="34"/>
  <c r="AL60" i="34"/>
  <c r="AM60" i="34"/>
  <c r="AN60" i="34"/>
  <c r="AO60" i="34"/>
  <c r="AP60" i="34"/>
  <c r="AT60" i="34"/>
  <c r="F61" i="34"/>
  <c r="G61" i="34"/>
  <c r="H61" i="34"/>
  <c r="I61" i="34"/>
  <c r="K61" i="34"/>
  <c r="L61" i="34"/>
  <c r="M61" i="34"/>
  <c r="AQ61" i="34" s="1"/>
  <c r="N61" i="34"/>
  <c r="AR61" i="34" s="1"/>
  <c r="O61" i="34"/>
  <c r="P61" i="34"/>
  <c r="Q61" i="34"/>
  <c r="R61" i="34"/>
  <c r="S61" i="34"/>
  <c r="T61" i="34"/>
  <c r="U61" i="34"/>
  <c r="V61" i="34"/>
  <c r="W61" i="34"/>
  <c r="X61" i="34"/>
  <c r="Y61" i="34"/>
  <c r="Z61" i="34"/>
  <c r="AA61" i="34"/>
  <c r="AB61" i="34"/>
  <c r="AC61" i="34"/>
  <c r="AD61" i="34"/>
  <c r="AE61" i="34"/>
  <c r="AF61" i="34"/>
  <c r="AG61" i="34"/>
  <c r="AH61" i="34"/>
  <c r="AI61" i="34"/>
  <c r="AJ61" i="34"/>
  <c r="AK61" i="34"/>
  <c r="AL61" i="34"/>
  <c r="AM61" i="34"/>
  <c r="AN61" i="34"/>
  <c r="AO61" i="34"/>
  <c r="AP61" i="34"/>
  <c r="AT61" i="34"/>
  <c r="F60" i="32"/>
  <c r="G60" i="32"/>
  <c r="H60" i="32"/>
  <c r="I60" i="32"/>
  <c r="K60" i="32"/>
  <c r="L60" i="32"/>
  <c r="M60" i="32"/>
  <c r="AQ60" i="32" s="1"/>
  <c r="AU60" i="32" s="1"/>
  <c r="AW60" i="32" s="1"/>
  <c r="N60" i="32"/>
  <c r="AR60" i="32" s="1"/>
  <c r="O60" i="32"/>
  <c r="P60" i="32"/>
  <c r="Q60" i="32"/>
  <c r="R60" i="32"/>
  <c r="S60" i="32"/>
  <c r="T60" i="32"/>
  <c r="U60" i="32"/>
  <c r="V60" i="32"/>
  <c r="W60" i="32"/>
  <c r="X60" i="32"/>
  <c r="Y60" i="32"/>
  <c r="Z60" i="32"/>
  <c r="AA60" i="32"/>
  <c r="AB60" i="32"/>
  <c r="AC60" i="32"/>
  <c r="AD60" i="32"/>
  <c r="AE60" i="32"/>
  <c r="AF60" i="32"/>
  <c r="AG60" i="32"/>
  <c r="AH60" i="32"/>
  <c r="AI60" i="32"/>
  <c r="AJ60" i="32"/>
  <c r="AK60" i="32"/>
  <c r="AL60" i="32"/>
  <c r="AM60" i="32"/>
  <c r="AN60" i="32"/>
  <c r="AO60" i="32"/>
  <c r="AP60" i="32"/>
  <c r="AT60" i="32"/>
  <c r="D60" i="32" s="1"/>
  <c r="AY60" i="32" s="1"/>
  <c r="AV60" i="32"/>
  <c r="AX60" i="32"/>
  <c r="F61" i="32"/>
  <c r="G61" i="32"/>
  <c r="H61" i="32"/>
  <c r="I61" i="32"/>
  <c r="K61" i="32"/>
  <c r="L61" i="32"/>
  <c r="M61" i="32"/>
  <c r="AQ61" i="32" s="1"/>
  <c r="N61" i="32"/>
  <c r="AR61" i="32" s="1"/>
  <c r="O61" i="32"/>
  <c r="P61" i="32"/>
  <c r="Q61" i="32"/>
  <c r="R61" i="32"/>
  <c r="S61" i="32"/>
  <c r="T61" i="32"/>
  <c r="U61" i="32"/>
  <c r="V61" i="32"/>
  <c r="W61" i="32"/>
  <c r="X61" i="32"/>
  <c r="Y61" i="32"/>
  <c r="Z61" i="32"/>
  <c r="AA61" i="32"/>
  <c r="AB61" i="32"/>
  <c r="AC61" i="32"/>
  <c r="AD61" i="32"/>
  <c r="AE61" i="32"/>
  <c r="AF61" i="32"/>
  <c r="AG61" i="32"/>
  <c r="AH61" i="32"/>
  <c r="AI61" i="32"/>
  <c r="AJ61" i="32"/>
  <c r="AK61" i="32"/>
  <c r="AL61" i="32"/>
  <c r="AM61" i="32"/>
  <c r="AN61" i="32"/>
  <c r="AO61" i="32"/>
  <c r="AP61" i="32"/>
  <c r="AT61" i="32"/>
  <c r="F60" i="33"/>
  <c r="G60" i="33"/>
  <c r="H60" i="33"/>
  <c r="I60" i="33"/>
  <c r="K60" i="33"/>
  <c r="L60" i="33"/>
  <c r="M60" i="33"/>
  <c r="AQ60" i="33" s="1"/>
  <c r="AU60" i="33" s="1"/>
  <c r="AW60" i="33" s="1"/>
  <c r="N60" i="33"/>
  <c r="AR60" i="33" s="1"/>
  <c r="O60" i="33"/>
  <c r="P60" i="33"/>
  <c r="Q60" i="33"/>
  <c r="R60" i="33"/>
  <c r="S60" i="33"/>
  <c r="T60" i="33"/>
  <c r="U60" i="33"/>
  <c r="V60" i="33"/>
  <c r="W60" i="33"/>
  <c r="X60" i="33"/>
  <c r="Y60" i="33"/>
  <c r="Z60" i="33"/>
  <c r="AA60" i="33"/>
  <c r="AB60" i="33"/>
  <c r="AC60" i="33"/>
  <c r="AD60" i="33"/>
  <c r="AE60" i="33"/>
  <c r="AF60" i="33"/>
  <c r="AG60" i="33"/>
  <c r="AH60" i="33"/>
  <c r="AI60" i="33"/>
  <c r="AJ60" i="33"/>
  <c r="AK60" i="33"/>
  <c r="AL60" i="33"/>
  <c r="AM60" i="33"/>
  <c r="AN60" i="33"/>
  <c r="AO60" i="33"/>
  <c r="AP60" i="33"/>
  <c r="AS60" i="33"/>
  <c r="AT60" i="33"/>
  <c r="AV60" i="33"/>
  <c r="AX60" i="33"/>
  <c r="F61" i="33"/>
  <c r="G61" i="33"/>
  <c r="H61" i="33"/>
  <c r="I61" i="33"/>
  <c r="K61" i="33"/>
  <c r="L61" i="33"/>
  <c r="M61" i="33"/>
  <c r="AQ61" i="33" s="1"/>
  <c r="N61" i="33"/>
  <c r="AR61" i="33" s="1"/>
  <c r="O61" i="33"/>
  <c r="P61" i="33"/>
  <c r="Q61" i="33"/>
  <c r="R61" i="33"/>
  <c r="S61" i="33"/>
  <c r="T61" i="33"/>
  <c r="U61" i="33"/>
  <c r="V61" i="33"/>
  <c r="W61" i="33"/>
  <c r="X61" i="33"/>
  <c r="Y61" i="33"/>
  <c r="Z61" i="33"/>
  <c r="AA61" i="33"/>
  <c r="AB61" i="33"/>
  <c r="AC61" i="33"/>
  <c r="AD61" i="33"/>
  <c r="AE61" i="33"/>
  <c r="AF61" i="33"/>
  <c r="AG61" i="33"/>
  <c r="AH61" i="33"/>
  <c r="AI61" i="33"/>
  <c r="AJ61" i="33"/>
  <c r="AK61" i="33"/>
  <c r="AL61" i="33"/>
  <c r="AM61" i="33"/>
  <c r="AN61" i="33"/>
  <c r="AO61" i="33"/>
  <c r="AP61" i="33"/>
  <c r="AT61" i="33"/>
  <c r="F60" i="16"/>
  <c r="G60" i="16"/>
  <c r="H60" i="16"/>
  <c r="I60" i="16"/>
  <c r="K60" i="16"/>
  <c r="L60" i="16"/>
  <c r="M60" i="16"/>
  <c r="N60" i="16"/>
  <c r="O60" i="16"/>
  <c r="AQ60" i="16" s="1"/>
  <c r="AU60" i="16" s="1"/>
  <c r="AW60" i="16" s="1"/>
  <c r="P60" i="16"/>
  <c r="Q60" i="16"/>
  <c r="R60" i="16"/>
  <c r="S60" i="16"/>
  <c r="T60" i="16"/>
  <c r="U60" i="16"/>
  <c r="V60" i="16"/>
  <c r="W60" i="16"/>
  <c r="X60" i="16"/>
  <c r="Y60" i="16"/>
  <c r="Z60" i="16"/>
  <c r="AA60" i="16"/>
  <c r="AB60" i="16"/>
  <c r="AC60" i="16"/>
  <c r="AD60" i="16"/>
  <c r="AE60" i="16"/>
  <c r="AR60" i="16" s="1"/>
  <c r="AF60" i="16"/>
  <c r="AG60" i="16"/>
  <c r="AH60" i="16"/>
  <c r="AI60" i="16"/>
  <c r="AJ60" i="16"/>
  <c r="AK60" i="16"/>
  <c r="AL60" i="16"/>
  <c r="AM60" i="16"/>
  <c r="AN60" i="16"/>
  <c r="AO60" i="16"/>
  <c r="AP60" i="16"/>
  <c r="AS60" i="16"/>
  <c r="AT60" i="16"/>
  <c r="AV60" i="16"/>
  <c r="AX60" i="16" s="1"/>
  <c r="F61" i="16"/>
  <c r="G61" i="16"/>
  <c r="H61" i="16"/>
  <c r="I61" i="16"/>
  <c r="K61" i="16"/>
  <c r="L61" i="16"/>
  <c r="M61" i="16"/>
  <c r="N61" i="16"/>
  <c r="AR61" i="16" s="1"/>
  <c r="O61" i="16"/>
  <c r="P61" i="16"/>
  <c r="Q61" i="16"/>
  <c r="R61" i="16"/>
  <c r="S61" i="16"/>
  <c r="T61" i="16"/>
  <c r="U61" i="16"/>
  <c r="V61" i="16"/>
  <c r="W61" i="16"/>
  <c r="X61" i="16"/>
  <c r="Y61" i="16"/>
  <c r="Z61" i="16"/>
  <c r="AA61" i="16"/>
  <c r="AB61" i="16"/>
  <c r="AC61" i="16"/>
  <c r="AD61" i="16"/>
  <c r="AE61" i="16"/>
  <c r="AF61" i="16"/>
  <c r="AG61" i="16"/>
  <c r="AH61" i="16"/>
  <c r="AI61" i="16"/>
  <c r="AJ61" i="16"/>
  <c r="AK61" i="16"/>
  <c r="AL61" i="16"/>
  <c r="AM61" i="16"/>
  <c r="AN61" i="16"/>
  <c r="AO61" i="16"/>
  <c r="AP61" i="16"/>
  <c r="AQ61" i="16"/>
  <c r="AT61" i="16"/>
  <c r="F59" i="15"/>
  <c r="G59" i="15"/>
  <c r="H59" i="15"/>
  <c r="I59" i="15"/>
  <c r="K59" i="15"/>
  <c r="L59" i="15"/>
  <c r="M59" i="15"/>
  <c r="AQ59" i="15" s="1"/>
  <c r="AU59" i="15" s="1"/>
  <c r="AW59" i="15" s="1"/>
  <c r="N59" i="15"/>
  <c r="AR59" i="15" s="1"/>
  <c r="O59" i="15"/>
  <c r="P59" i="15"/>
  <c r="Q59" i="15"/>
  <c r="R59" i="15"/>
  <c r="S59" i="15"/>
  <c r="T59" i="15"/>
  <c r="U59" i="15"/>
  <c r="V59" i="15"/>
  <c r="W59" i="15"/>
  <c r="X59" i="15"/>
  <c r="Y59" i="15"/>
  <c r="Z59" i="15"/>
  <c r="AA59" i="15"/>
  <c r="AB59" i="15"/>
  <c r="AC59" i="15"/>
  <c r="AD59" i="15"/>
  <c r="AE59" i="15"/>
  <c r="AF59" i="15"/>
  <c r="AG59" i="15"/>
  <c r="AH59" i="15"/>
  <c r="AI59" i="15"/>
  <c r="AJ59" i="15"/>
  <c r="AK59" i="15"/>
  <c r="AL59" i="15"/>
  <c r="AM59" i="15"/>
  <c r="AN59" i="15"/>
  <c r="AO59" i="15"/>
  <c r="AP59" i="15"/>
  <c r="AS59" i="15"/>
  <c r="AT59" i="15"/>
  <c r="AV59" i="15"/>
  <c r="AX59" i="15"/>
  <c r="F60" i="15"/>
  <c r="G60" i="15"/>
  <c r="H60" i="15"/>
  <c r="I60" i="15"/>
  <c r="K60" i="15"/>
  <c r="L60" i="15"/>
  <c r="M60" i="15"/>
  <c r="AQ60" i="15" s="1"/>
  <c r="AU60" i="15" s="1"/>
  <c r="AW60" i="15" s="1"/>
  <c r="N60" i="15"/>
  <c r="AR60" i="15" s="1"/>
  <c r="O60" i="15"/>
  <c r="P60" i="15"/>
  <c r="Q60" i="15"/>
  <c r="R60" i="15"/>
  <c r="S60" i="15"/>
  <c r="T60" i="15"/>
  <c r="U60" i="15"/>
  <c r="V60" i="15"/>
  <c r="W60" i="15"/>
  <c r="X60" i="15"/>
  <c r="Y60" i="15"/>
  <c r="Z60" i="15"/>
  <c r="AA60" i="15"/>
  <c r="AB60" i="15"/>
  <c r="AC60" i="15"/>
  <c r="AD60" i="15"/>
  <c r="AE60" i="15"/>
  <c r="AF60" i="15"/>
  <c r="AG60" i="15"/>
  <c r="AH60" i="15"/>
  <c r="AI60" i="15"/>
  <c r="AJ60" i="15"/>
  <c r="AK60" i="15"/>
  <c r="AL60" i="15"/>
  <c r="AM60" i="15"/>
  <c r="AN60" i="15"/>
  <c r="AO60" i="15"/>
  <c r="AP60" i="15"/>
  <c r="AT60" i="15"/>
  <c r="F61" i="15"/>
  <c r="G61" i="15"/>
  <c r="H61" i="15"/>
  <c r="I61" i="15"/>
  <c r="K61" i="15"/>
  <c r="L61" i="15"/>
  <c r="M61" i="15"/>
  <c r="AQ61" i="15" s="1"/>
  <c r="N61" i="15"/>
  <c r="AR61" i="15" s="1"/>
  <c r="O61" i="15"/>
  <c r="P61" i="15"/>
  <c r="Q61" i="15"/>
  <c r="R61" i="15"/>
  <c r="S61" i="15"/>
  <c r="T61" i="15"/>
  <c r="U61" i="15"/>
  <c r="V61" i="15"/>
  <c r="W61" i="15"/>
  <c r="X61" i="15"/>
  <c r="Y61" i="15"/>
  <c r="Z61" i="15"/>
  <c r="AA61" i="15"/>
  <c r="AB61" i="15"/>
  <c r="AC61" i="15"/>
  <c r="AD61" i="15"/>
  <c r="AE61" i="15"/>
  <c r="AF61" i="15"/>
  <c r="AG61" i="15"/>
  <c r="AH61" i="15"/>
  <c r="AI61" i="15"/>
  <c r="AJ61" i="15"/>
  <c r="AK61" i="15"/>
  <c r="AL61" i="15"/>
  <c r="AM61" i="15"/>
  <c r="AN61" i="15"/>
  <c r="AO61" i="15"/>
  <c r="AP61" i="15"/>
  <c r="AT61" i="15"/>
  <c r="AV61" i="15"/>
  <c r="AX61" i="15"/>
  <c r="F60" i="14"/>
  <c r="G60" i="14"/>
  <c r="H60" i="14"/>
  <c r="I60" i="14"/>
  <c r="K60" i="14"/>
  <c r="L60" i="14"/>
  <c r="M60" i="14"/>
  <c r="AQ60" i="14" s="1"/>
  <c r="AU60" i="14" s="1"/>
  <c r="AW60" i="14" s="1"/>
  <c r="N60" i="14"/>
  <c r="AR60" i="14" s="1"/>
  <c r="O60" i="14"/>
  <c r="P60" i="14"/>
  <c r="Q60" i="14"/>
  <c r="R60" i="14"/>
  <c r="S60" i="14"/>
  <c r="T60" i="14"/>
  <c r="U60" i="14"/>
  <c r="V60" i="14"/>
  <c r="W60" i="14"/>
  <c r="X60" i="14"/>
  <c r="Y60" i="14"/>
  <c r="Z60" i="14"/>
  <c r="AA60" i="14"/>
  <c r="AB60" i="14"/>
  <c r="AC60" i="14"/>
  <c r="AD60" i="14"/>
  <c r="AE60" i="14"/>
  <c r="AF60" i="14"/>
  <c r="AG60" i="14"/>
  <c r="AH60" i="14"/>
  <c r="AI60" i="14"/>
  <c r="AJ60" i="14"/>
  <c r="AK60" i="14"/>
  <c r="AL60" i="14"/>
  <c r="AM60" i="14"/>
  <c r="AN60" i="14"/>
  <c r="AO60" i="14"/>
  <c r="AP60" i="14"/>
  <c r="AS60" i="14"/>
  <c r="AT60" i="14"/>
  <c r="AV60" i="14"/>
  <c r="AX60" i="14"/>
  <c r="F61" i="14"/>
  <c r="G61" i="14"/>
  <c r="H61" i="14"/>
  <c r="I61" i="14"/>
  <c r="K61" i="14"/>
  <c r="L61" i="14"/>
  <c r="M61" i="14"/>
  <c r="AQ61" i="14" s="1"/>
  <c r="N61" i="14"/>
  <c r="AR61" i="14" s="1"/>
  <c r="O61" i="14"/>
  <c r="P61" i="14"/>
  <c r="Q61" i="14"/>
  <c r="R61" i="14"/>
  <c r="S61" i="14"/>
  <c r="T61" i="14"/>
  <c r="U61" i="14"/>
  <c r="V61" i="14"/>
  <c r="W61" i="14"/>
  <c r="X61" i="14"/>
  <c r="Y61" i="14"/>
  <c r="Z61" i="14"/>
  <c r="AA61" i="14"/>
  <c r="AB61" i="14"/>
  <c r="AC61" i="14"/>
  <c r="AD61" i="14"/>
  <c r="AE61" i="14"/>
  <c r="AF61" i="14"/>
  <c r="AG61" i="14"/>
  <c r="AH61" i="14"/>
  <c r="AI61" i="14"/>
  <c r="AJ61" i="14"/>
  <c r="AK61" i="14"/>
  <c r="AL61" i="14"/>
  <c r="AM61" i="14"/>
  <c r="AN61" i="14"/>
  <c r="AO61" i="14"/>
  <c r="AP61" i="14"/>
  <c r="AT61" i="14"/>
  <c r="AV61" i="14"/>
  <c r="AX61" i="14"/>
  <c r="F60" i="13"/>
  <c r="G60" i="13"/>
  <c r="H60" i="13"/>
  <c r="I60" i="13"/>
  <c r="K60" i="13"/>
  <c r="L60" i="13"/>
  <c r="M60" i="13"/>
  <c r="AQ60" i="13" s="1"/>
  <c r="AU60" i="13" s="1"/>
  <c r="AW60" i="13" s="1"/>
  <c r="N60" i="13"/>
  <c r="AR60" i="13" s="1"/>
  <c r="O60" i="13"/>
  <c r="P60" i="13"/>
  <c r="Q60" i="13"/>
  <c r="R60" i="13"/>
  <c r="S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AJ60" i="13"/>
  <c r="AK60" i="13"/>
  <c r="AL60" i="13"/>
  <c r="AM60" i="13"/>
  <c r="AN60" i="13"/>
  <c r="AO60" i="13"/>
  <c r="AP60" i="13"/>
  <c r="AT60" i="13"/>
  <c r="AV60" i="13"/>
  <c r="AX60" i="13"/>
  <c r="F61" i="13"/>
  <c r="G61" i="13"/>
  <c r="H61" i="13"/>
  <c r="I61" i="13"/>
  <c r="K61" i="13"/>
  <c r="L61" i="13"/>
  <c r="M61" i="13"/>
  <c r="AQ61" i="13" s="1"/>
  <c r="AU61" i="13" s="1"/>
  <c r="AW61" i="13" s="1"/>
  <c r="N61" i="13"/>
  <c r="AR61" i="13" s="1"/>
  <c r="O61" i="13"/>
  <c r="P61" i="13"/>
  <c r="Q61" i="13"/>
  <c r="R61" i="13"/>
  <c r="S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AJ61" i="13"/>
  <c r="AK61" i="13"/>
  <c r="AL61" i="13"/>
  <c r="AM61" i="13"/>
  <c r="AN61" i="13"/>
  <c r="AO61" i="13"/>
  <c r="AP61" i="13"/>
  <c r="AT61" i="13"/>
  <c r="AV61" i="13"/>
  <c r="AX61" i="13"/>
  <c r="AV61" i="12"/>
  <c r="AX61" i="12" s="1"/>
  <c r="AR61" i="12"/>
  <c r="AQ61" i="12"/>
  <c r="AU61" i="12" s="1"/>
  <c r="AV60" i="12"/>
  <c r="AX60" i="12" s="1"/>
  <c r="E60" i="12" s="1"/>
  <c r="AU60" i="12"/>
  <c r="AW60" i="12" s="1"/>
  <c r="AR60" i="12"/>
  <c r="AQ60" i="12"/>
  <c r="AX59" i="12"/>
  <c r="AV59" i="12"/>
  <c r="E59" i="12" s="1"/>
  <c r="AU59" i="12"/>
  <c r="AW59" i="12" s="1"/>
  <c r="AR59" i="12"/>
  <c r="AQ59" i="12"/>
  <c r="AV58" i="12"/>
  <c r="AX58" i="12" s="1"/>
  <c r="AR58" i="12"/>
  <c r="AQ58" i="12"/>
  <c r="AU58" i="12" s="1"/>
  <c r="AX57" i="12"/>
  <c r="AV57" i="12"/>
  <c r="E57" i="12" s="1"/>
  <c r="AR57" i="12"/>
  <c r="AQ57" i="12"/>
  <c r="AU57" i="12" s="1"/>
  <c r="AW56" i="12"/>
  <c r="AV56" i="12"/>
  <c r="AX56" i="12" s="1"/>
  <c r="E56" i="12" s="1"/>
  <c r="AU56" i="12"/>
  <c r="D56" i="12" s="1"/>
  <c r="AR56" i="12"/>
  <c r="AQ56" i="12"/>
  <c r="AV55" i="12"/>
  <c r="AT55" i="12"/>
  <c r="AP55" i="12"/>
  <c r="AO55" i="12"/>
  <c r="AN55" i="12"/>
  <c r="AM55" i="12"/>
  <c r="AL55" i="12"/>
  <c r="AK55" i="12"/>
  <c r="AJ55" i="12"/>
  <c r="AI55" i="12"/>
  <c r="AH55" i="12"/>
  <c r="AG55" i="12"/>
  <c r="AF55" i="12"/>
  <c r="AE55" i="12"/>
  <c r="AD55" i="12"/>
  <c r="AC55" i="12"/>
  <c r="AB55" i="12"/>
  <c r="AA55" i="12"/>
  <c r="Z55" i="12"/>
  <c r="Y55" i="12"/>
  <c r="X55" i="12"/>
  <c r="W55" i="12"/>
  <c r="V55" i="12"/>
  <c r="U55" i="12"/>
  <c r="T55" i="12"/>
  <c r="S55" i="12"/>
  <c r="AQ55" i="12" s="1"/>
  <c r="R55" i="12"/>
  <c r="Q55" i="12"/>
  <c r="P55" i="12"/>
  <c r="O55" i="12"/>
  <c r="N55" i="12"/>
  <c r="AR55" i="12" s="1"/>
  <c r="M55" i="12"/>
  <c r="F55" i="12"/>
  <c r="AX54" i="12"/>
  <c r="E54" i="12" s="1"/>
  <c r="AV54" i="12"/>
  <c r="AR54" i="12"/>
  <c r="AQ54" i="12"/>
  <c r="AU54" i="12" s="1"/>
  <c r="AV53" i="12"/>
  <c r="AX53" i="12" s="1"/>
  <c r="AR53" i="12"/>
  <c r="AQ53" i="12"/>
  <c r="AU53" i="12" s="1"/>
  <c r="AV52" i="12"/>
  <c r="AX52" i="12" s="1"/>
  <c r="AT52" i="12"/>
  <c r="AP52" i="12"/>
  <c r="AO52" i="12"/>
  <c r="AN52" i="12"/>
  <c r="AM52" i="12"/>
  <c r="AL52" i="12"/>
  <c r="AK52" i="12"/>
  <c r="AJ52" i="12"/>
  <c r="AI52" i="12"/>
  <c r="AH52" i="12"/>
  <c r="AG52" i="12"/>
  <c r="AF52" i="12"/>
  <c r="AE52" i="12"/>
  <c r="AD52" i="12"/>
  <c r="AC52" i="12"/>
  <c r="AB52" i="12"/>
  <c r="AA52" i="12"/>
  <c r="Z52" i="12"/>
  <c r="Y52" i="12"/>
  <c r="X52" i="12"/>
  <c r="W52" i="12"/>
  <c r="V52" i="12"/>
  <c r="U52" i="12"/>
  <c r="T52" i="12"/>
  <c r="S52" i="12"/>
  <c r="AQ52" i="12" s="1"/>
  <c r="AU52" i="12" s="1"/>
  <c r="AW52" i="12" s="1"/>
  <c r="R52" i="12"/>
  <c r="Q52" i="12"/>
  <c r="P52" i="12"/>
  <c r="O52" i="12"/>
  <c r="N52" i="12"/>
  <c r="AR52" i="12" s="1"/>
  <c r="M52" i="12"/>
  <c r="I52" i="12"/>
  <c r="H52" i="12"/>
  <c r="F52" i="12"/>
  <c r="AX51" i="12"/>
  <c r="AV51" i="12"/>
  <c r="E51" i="12" s="1"/>
  <c r="AR51" i="12"/>
  <c r="AQ51" i="12"/>
  <c r="AU51" i="12" s="1"/>
  <c r="AW51" i="12" s="1"/>
  <c r="D51" i="12" s="1"/>
  <c r="AY51" i="12" s="1"/>
  <c r="AW50" i="12"/>
  <c r="D50" i="12" s="1"/>
  <c r="AY50" i="12" s="1"/>
  <c r="AV50" i="12"/>
  <c r="AX50" i="12" s="1"/>
  <c r="E50" i="12" s="1"/>
  <c r="AU50" i="12"/>
  <c r="AR50" i="12"/>
  <c r="AQ50" i="12"/>
  <c r="AV49" i="12"/>
  <c r="AR49" i="12"/>
  <c r="AQ49" i="12"/>
  <c r="AU49" i="12" s="1"/>
  <c r="AW49" i="12" s="1"/>
  <c r="D49" i="12" s="1"/>
  <c r="AY49" i="12" s="1"/>
  <c r="AX48" i="12"/>
  <c r="E48" i="12" s="1"/>
  <c r="AV48" i="12"/>
  <c r="AU48" i="12"/>
  <c r="AR48" i="12"/>
  <c r="AQ48" i="12"/>
  <c r="AV47" i="12"/>
  <c r="AX47" i="12" s="1"/>
  <c r="E47" i="12" s="1"/>
  <c r="AR47" i="12"/>
  <c r="AQ47" i="12"/>
  <c r="AU47" i="12" s="1"/>
  <c r="AV46" i="12"/>
  <c r="AT46" i="12"/>
  <c r="AX46" i="12" s="1"/>
  <c r="AR46" i="12"/>
  <c r="AP46" i="12"/>
  <c r="AO46" i="12"/>
  <c r="AN46" i="12"/>
  <c r="AM46" i="12"/>
  <c r="AL46" i="12"/>
  <c r="AK46" i="12"/>
  <c r="AJ46" i="12"/>
  <c r="AI46" i="12"/>
  <c r="AH46" i="12"/>
  <c r="AG46" i="12"/>
  <c r="AF46" i="12"/>
  <c r="AE46" i="12"/>
  <c r="AD46" i="12"/>
  <c r="AC46" i="12"/>
  <c r="AB46" i="12"/>
  <c r="AA46" i="12"/>
  <c r="Z46" i="12"/>
  <c r="Y46" i="12"/>
  <c r="X46" i="12"/>
  <c r="W46" i="12"/>
  <c r="V46" i="12"/>
  <c r="U46" i="12"/>
  <c r="T46" i="12"/>
  <c r="S46" i="12"/>
  <c r="R46" i="12"/>
  <c r="Q46" i="12"/>
  <c r="P46" i="12"/>
  <c r="O46" i="12"/>
  <c r="N46" i="12"/>
  <c r="M46" i="12"/>
  <c r="AQ46" i="12" s="1"/>
  <c r="I46" i="12"/>
  <c r="H46" i="12"/>
  <c r="F46" i="12"/>
  <c r="AV45" i="12"/>
  <c r="AX45" i="12" s="1"/>
  <c r="AR45" i="12"/>
  <c r="AQ45" i="12"/>
  <c r="AU45" i="12" s="1"/>
  <c r="AV44" i="12"/>
  <c r="AX44" i="12" s="1"/>
  <c r="E44" i="12" s="1"/>
  <c r="AU44" i="12"/>
  <c r="AW44" i="12" s="1"/>
  <c r="AR44" i="12"/>
  <c r="AQ44" i="12"/>
  <c r="AX43" i="12"/>
  <c r="AV43" i="12"/>
  <c r="E43" i="12" s="1"/>
  <c r="AU43" i="12"/>
  <c r="AW43" i="12" s="1"/>
  <c r="AR43" i="12"/>
  <c r="AQ43" i="12"/>
  <c r="AT42" i="12"/>
  <c r="AP42" i="12"/>
  <c r="AO42" i="12"/>
  <c r="AN42" i="12"/>
  <c r="AM42" i="12"/>
  <c r="AL42" i="12"/>
  <c r="AK42" i="12"/>
  <c r="AJ42" i="12"/>
  <c r="AI42" i="12"/>
  <c r="AH42" i="12"/>
  <c r="AG42" i="12"/>
  <c r="AF42" i="12"/>
  <c r="AE42" i="12"/>
  <c r="AD42" i="12"/>
  <c r="AC42" i="12"/>
  <c r="AB42" i="12"/>
  <c r="AA42" i="12"/>
  <c r="Z42" i="12"/>
  <c r="Y42" i="12"/>
  <c r="X42" i="12"/>
  <c r="W42" i="12"/>
  <c r="V42" i="12"/>
  <c r="U42" i="12"/>
  <c r="T42" i="12"/>
  <c r="S42" i="12"/>
  <c r="AQ42" i="12" s="1"/>
  <c r="R42" i="12"/>
  <c r="Q42" i="12"/>
  <c r="P42" i="12"/>
  <c r="O42" i="12"/>
  <c r="N42" i="12"/>
  <c r="AR42" i="12" s="1"/>
  <c r="M42" i="12"/>
  <c r="I42" i="12"/>
  <c r="H42" i="12"/>
  <c r="F42" i="12"/>
  <c r="AV41" i="12"/>
  <c r="AR41" i="12"/>
  <c r="AQ41" i="12"/>
  <c r="AU41" i="12" s="1"/>
  <c r="AX40" i="12"/>
  <c r="E40" i="12" s="1"/>
  <c r="AV40" i="12"/>
  <c r="AU40" i="12"/>
  <c r="AR40" i="12"/>
  <c r="AQ40" i="12"/>
  <c r="AV39" i="12"/>
  <c r="AX39" i="12" s="1"/>
  <c r="E39" i="12" s="1"/>
  <c r="AR39" i="12"/>
  <c r="AQ39" i="12"/>
  <c r="AU39" i="12" s="1"/>
  <c r="AV38" i="12"/>
  <c r="AR38" i="12"/>
  <c r="AQ38" i="12"/>
  <c r="AU38" i="12" s="1"/>
  <c r="AX37" i="12"/>
  <c r="AV37" i="12"/>
  <c r="AU37" i="12"/>
  <c r="AR37" i="12"/>
  <c r="AQ37" i="12"/>
  <c r="E37" i="12"/>
  <c r="BA37" i="12" s="1"/>
  <c r="AX36" i="12"/>
  <c r="E36" i="12" s="1"/>
  <c r="AV36" i="12"/>
  <c r="AR36" i="12"/>
  <c r="AQ36" i="12"/>
  <c r="AU36" i="12" s="1"/>
  <c r="AV35" i="12"/>
  <c r="AX35" i="12" s="1"/>
  <c r="AR35" i="12"/>
  <c r="AQ35" i="12"/>
  <c r="AU35" i="12" s="1"/>
  <c r="AV34" i="12"/>
  <c r="AX34" i="12" s="1"/>
  <c r="E34" i="12" s="1"/>
  <c r="AU34" i="12"/>
  <c r="AW34" i="12" s="1"/>
  <c r="AR34" i="12"/>
  <c r="AQ34" i="12"/>
  <c r="AX33" i="12"/>
  <c r="AV33" i="12"/>
  <c r="E33" i="12" s="1"/>
  <c r="AU33" i="12"/>
  <c r="AW33" i="12" s="1"/>
  <c r="D33" i="12" s="1"/>
  <c r="AY33" i="12" s="1"/>
  <c r="AR33" i="12"/>
  <c r="AQ33" i="12"/>
  <c r="AV32" i="12"/>
  <c r="AX32" i="12" s="1"/>
  <c r="AR32" i="12"/>
  <c r="AQ32" i="12"/>
  <c r="AU32" i="12" s="1"/>
  <c r="AX31" i="12"/>
  <c r="AV31" i="12"/>
  <c r="E31" i="12" s="1"/>
  <c r="AR31" i="12"/>
  <c r="AQ31" i="12"/>
  <c r="AU31" i="12" s="1"/>
  <c r="AW30" i="12"/>
  <c r="AV30" i="12"/>
  <c r="AX30" i="12" s="1"/>
  <c r="E30" i="12" s="1"/>
  <c r="AU30" i="12"/>
  <c r="D30" i="12" s="1"/>
  <c r="AY30" i="12" s="1"/>
  <c r="AR30" i="12"/>
  <c r="AQ30" i="12"/>
  <c r="AV29" i="12"/>
  <c r="AR29" i="12"/>
  <c r="AQ29" i="12"/>
  <c r="AU29" i="12" s="1"/>
  <c r="AX28" i="12"/>
  <c r="E28" i="12" s="1"/>
  <c r="AV28" i="12"/>
  <c r="AU28" i="12"/>
  <c r="AR28" i="12"/>
  <c r="AQ28" i="12"/>
  <c r="AV27" i="12"/>
  <c r="AX27" i="12" s="1"/>
  <c r="E27" i="12" s="1"/>
  <c r="AR27" i="12"/>
  <c r="AQ27" i="12"/>
  <c r="AU27" i="12" s="1"/>
  <c r="AV26" i="12"/>
  <c r="AR26" i="12"/>
  <c r="AQ26" i="12"/>
  <c r="AU26" i="12" s="1"/>
  <c r="AX25" i="12"/>
  <c r="AV25" i="12"/>
  <c r="AU25" i="12"/>
  <c r="AR25" i="12"/>
  <c r="AQ25" i="12"/>
  <c r="E25" i="12"/>
  <c r="BA25" i="12" s="1"/>
  <c r="AT24" i="12"/>
  <c r="AS24" i="12"/>
  <c r="AP24" i="12"/>
  <c r="AO24" i="12"/>
  <c r="AN24" i="12"/>
  <c r="AM24" i="12"/>
  <c r="AL24" i="12"/>
  <c r="AK24" i="12"/>
  <c r="AJ24" i="12"/>
  <c r="AI24" i="12"/>
  <c r="AH24" i="12"/>
  <c r="AG24" i="12"/>
  <c r="AF24" i="12"/>
  <c r="AE24" i="12"/>
  <c r="AD24" i="12"/>
  <c r="AC24" i="12"/>
  <c r="AB24" i="12"/>
  <c r="AA24" i="12"/>
  <c r="Z24" i="12"/>
  <c r="Y24" i="12"/>
  <c r="X24" i="12"/>
  <c r="W24" i="12"/>
  <c r="V24" i="12"/>
  <c r="U24" i="12"/>
  <c r="T24" i="12"/>
  <c r="S24" i="12"/>
  <c r="AQ24" i="12" s="1"/>
  <c r="R24" i="12"/>
  <c r="Q24" i="12"/>
  <c r="P24" i="12"/>
  <c r="O24" i="12"/>
  <c r="N24" i="12"/>
  <c r="AR24" i="12" s="1"/>
  <c r="M24" i="12"/>
  <c r="L24" i="12"/>
  <c r="K24" i="12"/>
  <c r="I24" i="12"/>
  <c r="H24" i="12"/>
  <c r="F24" i="12"/>
  <c r="AX23" i="12"/>
  <c r="AV23" i="12"/>
  <c r="AS23" i="12"/>
  <c r="D23" i="12" s="1"/>
  <c r="AY23" i="12" s="1"/>
  <c r="AR23" i="12"/>
  <c r="AQ23" i="12"/>
  <c r="AU23" i="12" s="1"/>
  <c r="AW23" i="12" s="1"/>
  <c r="E23" i="12"/>
  <c r="BA23" i="12" s="1"/>
  <c r="AZ22" i="12"/>
  <c r="AY22" i="12"/>
  <c r="AX22" i="12"/>
  <c r="AV22" i="12"/>
  <c r="AS22" i="12"/>
  <c r="D22" i="12" s="1"/>
  <c r="AR22" i="12"/>
  <c r="AQ22" i="12"/>
  <c r="AU22" i="12" s="1"/>
  <c r="AW22" i="12" s="1"/>
  <c r="E22" i="12"/>
  <c r="BA22" i="12" s="1"/>
  <c r="AZ21" i="12"/>
  <c r="AY21" i="12"/>
  <c r="AX21" i="12"/>
  <c r="AV21" i="12"/>
  <c r="AS21" i="12"/>
  <c r="AR21" i="12"/>
  <c r="AQ21" i="12"/>
  <c r="AU21" i="12" s="1"/>
  <c r="AW21" i="12" s="1"/>
  <c r="E21" i="12"/>
  <c r="BA21" i="12" s="1"/>
  <c r="AZ20" i="12"/>
  <c r="AY20" i="12"/>
  <c r="AX20" i="12"/>
  <c r="AV20" i="12"/>
  <c r="AS20" i="12"/>
  <c r="D20" i="12" s="1"/>
  <c r="AR20" i="12"/>
  <c r="AQ20" i="12"/>
  <c r="AU20" i="12" s="1"/>
  <c r="AW20" i="12" s="1"/>
  <c r="E20" i="12"/>
  <c r="BA20" i="12" s="1"/>
  <c r="AZ19" i="12"/>
  <c r="AY19" i="12"/>
  <c r="AX19" i="12"/>
  <c r="AV19" i="12"/>
  <c r="AS19" i="12"/>
  <c r="D19" i="12" s="1"/>
  <c r="AR19" i="12"/>
  <c r="AQ19" i="12"/>
  <c r="AU19" i="12" s="1"/>
  <c r="AW19" i="12" s="1"/>
  <c r="E19" i="12"/>
  <c r="BA19" i="12" s="1"/>
  <c r="AZ18" i="12"/>
  <c r="AY18" i="12"/>
  <c r="AX18" i="12"/>
  <c r="AV18" i="12"/>
  <c r="AS18" i="12"/>
  <c r="AR18" i="12"/>
  <c r="AQ18" i="12"/>
  <c r="AU18" i="12" s="1"/>
  <c r="AW18" i="12" s="1"/>
  <c r="E18" i="12"/>
  <c r="BA18" i="12" s="1"/>
  <c r="AZ17" i="12"/>
  <c r="AY17" i="12"/>
  <c r="AT17" i="12"/>
  <c r="AS17" i="12"/>
  <c r="AQ17" i="12"/>
  <c r="AP17" i="12"/>
  <c r="AO17" i="12"/>
  <c r="AN17" i="12"/>
  <c r="AM17" i="12"/>
  <c r="AL17" i="12"/>
  <c r="AK17" i="12"/>
  <c r="AJ17" i="12"/>
  <c r="AI17" i="12"/>
  <c r="AH17" i="12"/>
  <c r="AG17" i="12"/>
  <c r="AF17" i="12"/>
  <c r="AE17" i="12"/>
  <c r="AD17" i="12"/>
  <c r="AC17" i="12"/>
  <c r="AB17" i="12"/>
  <c r="AA17" i="12"/>
  <c r="Z17" i="12"/>
  <c r="Y17" i="12"/>
  <c r="X17" i="12"/>
  <c r="W17" i="12"/>
  <c r="V17" i="12"/>
  <c r="U17" i="12"/>
  <c r="T17" i="12"/>
  <c r="S17" i="12"/>
  <c r="R17" i="12"/>
  <c r="Q17" i="12"/>
  <c r="P17" i="12"/>
  <c r="O17" i="12"/>
  <c r="N17" i="12"/>
  <c r="AR17" i="12" s="1"/>
  <c r="M17" i="12"/>
  <c r="L17" i="12"/>
  <c r="K17" i="12"/>
  <c r="I17" i="12"/>
  <c r="H17" i="12"/>
  <c r="AV61" i="11"/>
  <c r="AX61" i="11" s="1"/>
  <c r="AU61" i="11"/>
  <c r="AW61" i="11" s="1"/>
  <c r="D61" i="11" s="1"/>
  <c r="AY61" i="11" s="1"/>
  <c r="AR61" i="11"/>
  <c r="AQ61" i="11"/>
  <c r="AV60" i="11"/>
  <c r="AX60" i="11" s="1"/>
  <c r="E60" i="11" s="1"/>
  <c r="AU60" i="11"/>
  <c r="AW60" i="11" s="1"/>
  <c r="AR60" i="11"/>
  <c r="AQ60" i="11"/>
  <c r="AX59" i="11"/>
  <c r="AV59" i="11"/>
  <c r="E59" i="11" s="1"/>
  <c r="AR59" i="11"/>
  <c r="AQ59" i="11"/>
  <c r="AU59" i="11" s="1"/>
  <c r="AX58" i="11"/>
  <c r="E58" i="11" s="1"/>
  <c r="AV58" i="11"/>
  <c r="AR58" i="11"/>
  <c r="AQ58" i="11"/>
  <c r="AU58" i="11" s="1"/>
  <c r="AV57" i="11"/>
  <c r="AX57" i="11" s="1"/>
  <c r="E57" i="11" s="1"/>
  <c r="AR57" i="11"/>
  <c r="AQ57" i="11"/>
  <c r="AU57" i="11" s="1"/>
  <c r="AX56" i="11"/>
  <c r="AV56" i="11"/>
  <c r="E56" i="11" s="1"/>
  <c r="AU56" i="11"/>
  <c r="AW56" i="11" s="1"/>
  <c r="D56" i="11" s="1"/>
  <c r="AR56" i="11"/>
  <c r="AQ56" i="11"/>
  <c r="AT55" i="11"/>
  <c r="AP55" i="11"/>
  <c r="AO55" i="11"/>
  <c r="AN55" i="11"/>
  <c r="AM55" i="11"/>
  <c r="AL55" i="11"/>
  <c r="AK55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AQ55" i="11" s="1"/>
  <c r="R55" i="11"/>
  <c r="Q55" i="11"/>
  <c r="P55" i="11"/>
  <c r="O55" i="11"/>
  <c r="N55" i="11"/>
  <c r="AR55" i="11" s="1"/>
  <c r="M55" i="11"/>
  <c r="F55" i="11"/>
  <c r="AV54" i="11"/>
  <c r="AX54" i="11" s="1"/>
  <c r="E54" i="11" s="1"/>
  <c r="AR54" i="11"/>
  <c r="AQ54" i="11"/>
  <c r="AU54" i="11" s="1"/>
  <c r="AV53" i="11"/>
  <c r="AX53" i="11" s="1"/>
  <c r="AU53" i="11"/>
  <c r="AW53" i="11" s="1"/>
  <c r="D53" i="11" s="1"/>
  <c r="AR53" i="11"/>
  <c r="AQ53" i="11"/>
  <c r="AT52" i="11"/>
  <c r="AP52" i="11"/>
  <c r="AO52" i="11"/>
  <c r="AN52" i="11"/>
  <c r="AM52" i="11"/>
  <c r="AL52" i="11"/>
  <c r="AK52" i="11"/>
  <c r="AJ52" i="11"/>
  <c r="AI52" i="11"/>
  <c r="AH52" i="1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AQ52" i="11" s="1"/>
  <c r="AU52" i="11" s="1"/>
  <c r="AW52" i="11" s="1"/>
  <c r="N52" i="11"/>
  <c r="AR52" i="11" s="1"/>
  <c r="M52" i="11"/>
  <c r="I52" i="11"/>
  <c r="H52" i="11"/>
  <c r="F52" i="11"/>
  <c r="AV51" i="11"/>
  <c r="AX51" i="11" s="1"/>
  <c r="E51" i="11" s="1"/>
  <c r="AR51" i="11"/>
  <c r="AQ51" i="11"/>
  <c r="AU51" i="11" s="1"/>
  <c r="AW51" i="11" s="1"/>
  <c r="D51" i="11" s="1"/>
  <c r="AY51" i="11" s="1"/>
  <c r="AX50" i="11"/>
  <c r="AV50" i="11"/>
  <c r="E50" i="11" s="1"/>
  <c r="AU50" i="11"/>
  <c r="AW50" i="11" s="1"/>
  <c r="D50" i="11" s="1"/>
  <c r="AY50" i="11" s="1"/>
  <c r="AR50" i="11"/>
  <c r="AQ50" i="11"/>
  <c r="AW49" i="11"/>
  <c r="D49" i="11" s="1"/>
  <c r="AY49" i="11" s="1"/>
  <c r="AV49" i="11"/>
  <c r="AX49" i="11" s="1"/>
  <c r="E49" i="11" s="1"/>
  <c r="AU49" i="11"/>
  <c r="AR49" i="11"/>
  <c r="AQ49" i="11"/>
  <c r="AV48" i="11"/>
  <c r="AR48" i="11"/>
  <c r="AQ48" i="11"/>
  <c r="AU48" i="11" s="1"/>
  <c r="AX47" i="11"/>
  <c r="AV47" i="11"/>
  <c r="AU47" i="11"/>
  <c r="AR47" i="11"/>
  <c r="AQ47" i="11"/>
  <c r="E47" i="11"/>
  <c r="BA47" i="11" s="1"/>
  <c r="AT46" i="11"/>
  <c r="AP46" i="11"/>
  <c r="AO46" i="11"/>
  <c r="AN46" i="11"/>
  <c r="AM46" i="11"/>
  <c r="AL46" i="11"/>
  <c r="AK46" i="11"/>
  <c r="AJ46" i="1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AQ46" i="11" s="1"/>
  <c r="R46" i="11"/>
  <c r="Q46" i="11"/>
  <c r="P46" i="11"/>
  <c r="O46" i="11"/>
  <c r="N46" i="11"/>
  <c r="AR46" i="11" s="1"/>
  <c r="M46" i="11"/>
  <c r="I46" i="11"/>
  <c r="H46" i="11"/>
  <c r="F46" i="11"/>
  <c r="AV45" i="11"/>
  <c r="AX45" i="11" s="1"/>
  <c r="AU45" i="11"/>
  <c r="AW45" i="11" s="1"/>
  <c r="D45" i="11" s="1"/>
  <c r="AY45" i="11" s="1"/>
  <c r="AR45" i="11"/>
  <c r="AQ45" i="11"/>
  <c r="AV44" i="11"/>
  <c r="AX44" i="11" s="1"/>
  <c r="E44" i="11" s="1"/>
  <c r="AU44" i="11"/>
  <c r="AW44" i="11" s="1"/>
  <c r="AR44" i="11"/>
  <c r="AQ44" i="11"/>
  <c r="AX43" i="11"/>
  <c r="AV43" i="11"/>
  <c r="E43" i="11" s="1"/>
  <c r="AR43" i="11"/>
  <c r="AQ43" i="11"/>
  <c r="AU43" i="11" s="1"/>
  <c r="AT42" i="11"/>
  <c r="AV42" i="11" s="1"/>
  <c r="AX42" i="11" s="1"/>
  <c r="AP42" i="11"/>
  <c r="AO42" i="11"/>
  <c r="AN42" i="11"/>
  <c r="AM42" i="11"/>
  <c r="AL42" i="11"/>
  <c r="AK42" i="11"/>
  <c r="AJ42" i="11"/>
  <c r="AI42" i="11"/>
  <c r="AH42" i="11"/>
  <c r="AG42" i="11"/>
  <c r="AF42" i="11"/>
  <c r="AR42" i="11" s="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AQ42" i="11" s="1"/>
  <c r="AU42" i="11" s="1"/>
  <c r="AW42" i="11" s="1"/>
  <c r="I42" i="11"/>
  <c r="H42" i="11"/>
  <c r="F42" i="11"/>
  <c r="AW41" i="11"/>
  <c r="AV41" i="11"/>
  <c r="AX41" i="11" s="1"/>
  <c r="E41" i="11" s="1"/>
  <c r="AU41" i="11"/>
  <c r="D41" i="11" s="1"/>
  <c r="AY41" i="11" s="1"/>
  <c r="AR41" i="11"/>
  <c r="AQ41" i="11"/>
  <c r="AV40" i="11"/>
  <c r="AR40" i="11"/>
  <c r="AQ40" i="11"/>
  <c r="AU40" i="11" s="1"/>
  <c r="AX39" i="11"/>
  <c r="AV39" i="11"/>
  <c r="AU39" i="11"/>
  <c r="AR39" i="11"/>
  <c r="AQ39" i="11"/>
  <c r="E39" i="11"/>
  <c r="BA39" i="11" s="1"/>
  <c r="AX38" i="11"/>
  <c r="AV38" i="11"/>
  <c r="AR38" i="11"/>
  <c r="AQ38" i="11"/>
  <c r="AU38" i="11" s="1"/>
  <c r="E38" i="11"/>
  <c r="BA38" i="11" s="1"/>
  <c r="AX37" i="11"/>
  <c r="AV37" i="11"/>
  <c r="E37" i="11" s="1"/>
  <c r="AR37" i="11"/>
  <c r="AQ37" i="11"/>
  <c r="AU37" i="11" s="1"/>
  <c r="AV36" i="11"/>
  <c r="AX36" i="11" s="1"/>
  <c r="E36" i="11" s="1"/>
  <c r="AR36" i="11"/>
  <c r="AQ36" i="11"/>
  <c r="AU36" i="11" s="1"/>
  <c r="AV35" i="11"/>
  <c r="AX35" i="11" s="1"/>
  <c r="AR35" i="11"/>
  <c r="AQ35" i="11"/>
  <c r="AU35" i="11" s="1"/>
  <c r="AV34" i="11"/>
  <c r="AX34" i="11" s="1"/>
  <c r="E34" i="11" s="1"/>
  <c r="AU34" i="11"/>
  <c r="AW34" i="11" s="1"/>
  <c r="AR34" i="11"/>
  <c r="AQ34" i="11"/>
  <c r="AX33" i="11"/>
  <c r="AV33" i="11"/>
  <c r="E33" i="11" s="1"/>
  <c r="AR33" i="11"/>
  <c r="AQ33" i="11"/>
  <c r="AU33" i="11" s="1"/>
  <c r="AX32" i="11"/>
  <c r="E32" i="11" s="1"/>
  <c r="AV32" i="11"/>
  <c r="AR32" i="11"/>
  <c r="AQ32" i="11"/>
  <c r="AU32" i="11" s="1"/>
  <c r="AV31" i="11"/>
  <c r="AX31" i="11" s="1"/>
  <c r="E31" i="11" s="1"/>
  <c r="AR31" i="11"/>
  <c r="AQ31" i="11"/>
  <c r="AU31" i="11" s="1"/>
  <c r="AX30" i="11"/>
  <c r="AV30" i="11"/>
  <c r="E30" i="11" s="1"/>
  <c r="AU30" i="11"/>
  <c r="AW30" i="11" s="1"/>
  <c r="D30" i="11" s="1"/>
  <c r="AY30" i="11" s="1"/>
  <c r="AR30" i="11"/>
  <c r="AQ30" i="11"/>
  <c r="AX29" i="11"/>
  <c r="AW29" i="11"/>
  <c r="AV29" i="11"/>
  <c r="AU29" i="11"/>
  <c r="D29" i="11" s="1"/>
  <c r="AY29" i="11" s="1"/>
  <c r="AR29" i="11"/>
  <c r="AQ29" i="11"/>
  <c r="E29" i="11"/>
  <c r="BA29" i="11" s="1"/>
  <c r="AV28" i="11"/>
  <c r="AR28" i="11"/>
  <c r="AQ28" i="11"/>
  <c r="AU28" i="11" s="1"/>
  <c r="AV27" i="11"/>
  <c r="AX27" i="11" s="1"/>
  <c r="E27" i="11" s="1"/>
  <c r="AU27" i="11"/>
  <c r="AR27" i="11"/>
  <c r="AQ27" i="11"/>
  <c r="AX26" i="11"/>
  <c r="AV26" i="11"/>
  <c r="AU26" i="11"/>
  <c r="AW26" i="11" s="1"/>
  <c r="D26" i="11" s="1"/>
  <c r="AY26" i="11" s="1"/>
  <c r="AR26" i="11"/>
  <c r="AQ26" i="11"/>
  <c r="E26" i="11"/>
  <c r="BA26" i="11" s="1"/>
  <c r="AX25" i="11"/>
  <c r="E25" i="11" s="1"/>
  <c r="AV25" i="11"/>
  <c r="AR25" i="11"/>
  <c r="AQ25" i="11"/>
  <c r="AU25" i="11" s="1"/>
  <c r="AV24" i="11"/>
  <c r="AX24" i="11" s="1"/>
  <c r="AT24" i="11"/>
  <c r="AS24" i="11"/>
  <c r="AP24" i="11"/>
  <c r="AO24" i="11"/>
  <c r="AN24" i="11"/>
  <c r="AM24" i="11"/>
  <c r="AL24" i="11"/>
  <c r="AK24" i="11"/>
  <c r="AJ24" i="11"/>
  <c r="AI24" i="11"/>
  <c r="AH24" i="11"/>
  <c r="AG24" i="11"/>
  <c r="AF24" i="11"/>
  <c r="AR24" i="11" s="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AQ24" i="11" s="1"/>
  <c r="AU24" i="11" s="1"/>
  <c r="AW24" i="11" s="1"/>
  <c r="D24" i="11" s="1"/>
  <c r="AY24" i="11" s="1"/>
  <c r="L24" i="11"/>
  <c r="K24" i="11"/>
  <c r="I24" i="11"/>
  <c r="H24" i="11"/>
  <c r="F24" i="11"/>
  <c r="AV23" i="11"/>
  <c r="AX23" i="11" s="1"/>
  <c r="AS23" i="11"/>
  <c r="AR23" i="11"/>
  <c r="AQ23" i="11"/>
  <c r="AU23" i="11" s="1"/>
  <c r="AW23" i="11" s="1"/>
  <c r="D23" i="11" s="1"/>
  <c r="AY23" i="11" s="1"/>
  <c r="AZ22" i="11"/>
  <c r="AY22" i="11"/>
  <c r="AV22" i="11"/>
  <c r="AX22" i="11" s="1"/>
  <c r="E22" i="11" s="1"/>
  <c r="BA22" i="11" s="1"/>
  <c r="AS22" i="11"/>
  <c r="AR22" i="11"/>
  <c r="AQ22" i="11"/>
  <c r="AU22" i="11" s="1"/>
  <c r="AW22" i="11" s="1"/>
  <c r="D22" i="11" s="1"/>
  <c r="AZ21" i="11"/>
  <c r="AY21" i="11"/>
  <c r="AV21" i="11"/>
  <c r="AX21" i="11" s="1"/>
  <c r="E21" i="11" s="1"/>
  <c r="BA21" i="11" s="1"/>
  <c r="AS21" i="11"/>
  <c r="AR21" i="11"/>
  <c r="AQ21" i="11"/>
  <c r="AU21" i="11" s="1"/>
  <c r="AW21" i="11" s="1"/>
  <c r="D21" i="11" s="1"/>
  <c r="AZ20" i="11"/>
  <c r="AY20" i="11"/>
  <c r="AV20" i="11"/>
  <c r="AX20" i="11" s="1"/>
  <c r="AS20" i="11"/>
  <c r="AR20" i="11"/>
  <c r="AQ20" i="11"/>
  <c r="AU20" i="11" s="1"/>
  <c r="AW20" i="11" s="1"/>
  <c r="D20" i="11" s="1"/>
  <c r="AZ19" i="11"/>
  <c r="AY19" i="11"/>
  <c r="AV19" i="11"/>
  <c r="AX19" i="11" s="1"/>
  <c r="AS19" i="11"/>
  <c r="AR19" i="11"/>
  <c r="AQ19" i="11"/>
  <c r="AU19" i="11" s="1"/>
  <c r="AW19" i="11" s="1"/>
  <c r="D19" i="11" s="1"/>
  <c r="AZ18" i="11"/>
  <c r="AY18" i="11"/>
  <c r="AV18" i="11"/>
  <c r="AX18" i="11" s="1"/>
  <c r="E18" i="11" s="1"/>
  <c r="BA18" i="11" s="1"/>
  <c r="AS18" i="11"/>
  <c r="AR18" i="11"/>
  <c r="AQ18" i="11"/>
  <c r="AU18" i="11" s="1"/>
  <c r="AW18" i="11" s="1"/>
  <c r="D18" i="11" s="1"/>
  <c r="AY17" i="11"/>
  <c r="AT17" i="11"/>
  <c r="AS17" i="11"/>
  <c r="AR17" i="11"/>
  <c r="AP17" i="11"/>
  <c r="AO17" i="11"/>
  <c r="AN17" i="11"/>
  <c r="AM17" i="11"/>
  <c r="AL17" i="11"/>
  <c r="AK17" i="1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AQ17" i="11" s="1"/>
  <c r="L17" i="11"/>
  <c r="AZ17" i="11" s="1"/>
  <c r="K17" i="11"/>
  <c r="I17" i="11"/>
  <c r="H17" i="11"/>
  <c r="AV61" i="10"/>
  <c r="AX61" i="10" s="1"/>
  <c r="AU61" i="10"/>
  <c r="AW61" i="10" s="1"/>
  <c r="D61" i="10" s="1"/>
  <c r="AY61" i="10" s="1"/>
  <c r="AR61" i="10"/>
  <c r="AQ61" i="10"/>
  <c r="AX60" i="10"/>
  <c r="E60" i="10" s="1"/>
  <c r="AV60" i="10"/>
  <c r="AU60" i="10"/>
  <c r="AW60" i="10" s="1"/>
  <c r="AR60" i="10"/>
  <c r="AQ60" i="10"/>
  <c r="AV59" i="10"/>
  <c r="AX59" i="10" s="1"/>
  <c r="E59" i="10" s="1"/>
  <c r="AR59" i="10"/>
  <c r="AQ59" i="10"/>
  <c r="AU59" i="10" s="1"/>
  <c r="AV58" i="10"/>
  <c r="AX58" i="10" s="1"/>
  <c r="AR58" i="10"/>
  <c r="AQ58" i="10"/>
  <c r="AU58" i="10" s="1"/>
  <c r="AX57" i="10"/>
  <c r="AV57" i="10"/>
  <c r="AU57" i="10"/>
  <c r="AW57" i="10" s="1"/>
  <c r="AR57" i="10"/>
  <c r="AQ57" i="10"/>
  <c r="E57" i="10"/>
  <c r="BA57" i="10" s="1"/>
  <c r="AX56" i="10"/>
  <c r="E56" i="10" s="1"/>
  <c r="AV56" i="10"/>
  <c r="AR56" i="10"/>
  <c r="AQ56" i="10"/>
  <c r="AU56" i="10" s="1"/>
  <c r="AV55" i="10"/>
  <c r="AX55" i="10" s="1"/>
  <c r="AT55" i="10"/>
  <c r="AP55" i="10"/>
  <c r="AO55" i="10"/>
  <c r="AN55" i="10"/>
  <c r="AM55" i="10"/>
  <c r="AL55" i="10"/>
  <c r="AK55" i="10"/>
  <c r="AJ55" i="10"/>
  <c r="AI55" i="10"/>
  <c r="AH55" i="10"/>
  <c r="AG55" i="10"/>
  <c r="AF55" i="10"/>
  <c r="AE55" i="10"/>
  <c r="AD55" i="10"/>
  <c r="AC55" i="10"/>
  <c r="AR55" i="10" s="1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O55" i="10"/>
  <c r="N55" i="10"/>
  <c r="M55" i="10"/>
  <c r="AQ55" i="10" s="1"/>
  <c r="F55" i="10"/>
  <c r="AV54" i="10"/>
  <c r="AX54" i="10" s="1"/>
  <c r="E54" i="10" s="1"/>
  <c r="AR54" i="10"/>
  <c r="AQ54" i="10"/>
  <c r="AU54" i="10" s="1"/>
  <c r="AV53" i="10"/>
  <c r="AX53" i="10" s="1"/>
  <c r="AU53" i="10"/>
  <c r="AW53" i="10" s="1"/>
  <c r="D53" i="10" s="1"/>
  <c r="AR53" i="10"/>
  <c r="AQ53" i="10"/>
  <c r="AT52" i="10"/>
  <c r="AP52" i="10"/>
  <c r="AO52" i="10"/>
  <c r="AN52" i="10"/>
  <c r="AM52" i="10"/>
  <c r="AL52" i="10"/>
  <c r="AK52" i="10"/>
  <c r="AJ52" i="10"/>
  <c r="AI52" i="10"/>
  <c r="AH52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AR52" i="10" s="1"/>
  <c r="M52" i="10"/>
  <c r="AQ52" i="10" s="1"/>
  <c r="AU52" i="10" s="1"/>
  <c r="I52" i="10"/>
  <c r="H52" i="10"/>
  <c r="F52" i="10"/>
  <c r="AX51" i="10"/>
  <c r="AV51" i="10"/>
  <c r="AU51" i="10"/>
  <c r="AW51" i="10" s="1"/>
  <c r="D51" i="10" s="1"/>
  <c r="AY51" i="10" s="1"/>
  <c r="AR51" i="10"/>
  <c r="AQ51" i="10"/>
  <c r="E51" i="10"/>
  <c r="BA51" i="10" s="1"/>
  <c r="AX50" i="10"/>
  <c r="E50" i="10" s="1"/>
  <c r="AV50" i="10"/>
  <c r="AR50" i="10"/>
  <c r="AQ50" i="10"/>
  <c r="AU50" i="10" s="1"/>
  <c r="AW50" i="10" s="1"/>
  <c r="D50" i="10" s="1"/>
  <c r="AY50" i="10" s="1"/>
  <c r="AV49" i="10"/>
  <c r="AR49" i="10"/>
  <c r="AQ49" i="10"/>
  <c r="AU49" i="10" s="1"/>
  <c r="AW49" i="10" s="1"/>
  <c r="D49" i="10" s="1"/>
  <c r="AY49" i="10" s="1"/>
  <c r="AV48" i="10"/>
  <c r="AU48" i="10"/>
  <c r="AR48" i="10"/>
  <c r="AQ48" i="10"/>
  <c r="AV47" i="10"/>
  <c r="AU47" i="10"/>
  <c r="AR47" i="10"/>
  <c r="AQ47" i="10"/>
  <c r="AT46" i="10"/>
  <c r="AP46" i="10"/>
  <c r="AO46" i="10"/>
  <c r="AN46" i="10"/>
  <c r="AM46" i="10"/>
  <c r="AL46" i="10"/>
  <c r="AK46" i="10"/>
  <c r="AJ46" i="10"/>
  <c r="AI46" i="10"/>
  <c r="AH46" i="10"/>
  <c r="AG46" i="10"/>
  <c r="AF46" i="10"/>
  <c r="AE46" i="10"/>
  <c r="AD46" i="10"/>
  <c r="AC46" i="10"/>
  <c r="AB46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O46" i="10"/>
  <c r="N46" i="10"/>
  <c r="AR46" i="10" s="1"/>
  <c r="M46" i="10"/>
  <c r="AQ46" i="10" s="1"/>
  <c r="I46" i="10"/>
  <c r="H46" i="10"/>
  <c r="F46" i="10"/>
  <c r="AV45" i="10"/>
  <c r="AX45" i="10" s="1"/>
  <c r="AR45" i="10"/>
  <c r="AQ45" i="10"/>
  <c r="AU45" i="10" s="1"/>
  <c r="AX44" i="10"/>
  <c r="E44" i="10" s="1"/>
  <c r="AV44" i="10"/>
  <c r="AU44" i="10"/>
  <c r="AW44" i="10" s="1"/>
  <c r="AR44" i="10"/>
  <c r="AQ44" i="10"/>
  <c r="AV43" i="10"/>
  <c r="AX43" i="10" s="1"/>
  <c r="E43" i="10" s="1"/>
  <c r="AR43" i="10"/>
  <c r="AQ43" i="10"/>
  <c r="AU43" i="10" s="1"/>
  <c r="AV42" i="10"/>
  <c r="AT42" i="10"/>
  <c r="AX42" i="10" s="1"/>
  <c r="AP42" i="10"/>
  <c r="AO42" i="10"/>
  <c r="AN42" i="10"/>
  <c r="AM42" i="10"/>
  <c r="AL42" i="10"/>
  <c r="AK42" i="10"/>
  <c r="AJ42" i="10"/>
  <c r="AI42" i="10"/>
  <c r="AH42" i="10"/>
  <c r="AG42" i="10"/>
  <c r="AF42" i="10"/>
  <c r="AR42" i="10" s="1"/>
  <c r="AE42" i="10"/>
  <c r="AD42" i="10"/>
  <c r="AC42" i="10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AQ42" i="10" s="1"/>
  <c r="I42" i="10"/>
  <c r="H42" i="10"/>
  <c r="F42" i="10"/>
  <c r="AV41" i="10"/>
  <c r="AR41" i="10"/>
  <c r="AQ41" i="10"/>
  <c r="AU41" i="10" s="1"/>
  <c r="AV40" i="10"/>
  <c r="AU40" i="10"/>
  <c r="AR40" i="10"/>
  <c r="AQ40" i="10"/>
  <c r="AV39" i="10"/>
  <c r="AX39" i="10" s="1"/>
  <c r="E39" i="10" s="1"/>
  <c r="AU39" i="10"/>
  <c r="AR39" i="10"/>
  <c r="AQ39" i="10"/>
  <c r="AV38" i="10"/>
  <c r="AX38" i="10" s="1"/>
  <c r="E38" i="10" s="1"/>
  <c r="AR38" i="10"/>
  <c r="AQ38" i="10"/>
  <c r="AU38" i="10" s="1"/>
  <c r="AX37" i="10"/>
  <c r="E37" i="10" s="1"/>
  <c r="AV37" i="10"/>
  <c r="AR37" i="10"/>
  <c r="AQ37" i="10"/>
  <c r="AU37" i="10" s="1"/>
  <c r="AV36" i="10"/>
  <c r="AX36" i="10" s="1"/>
  <c r="E36" i="10" s="1"/>
  <c r="AR36" i="10"/>
  <c r="AQ36" i="10"/>
  <c r="AU36" i="10" s="1"/>
  <c r="AV35" i="10"/>
  <c r="AX35" i="10" s="1"/>
  <c r="AR35" i="10"/>
  <c r="AQ35" i="10"/>
  <c r="AU35" i="10" s="1"/>
  <c r="AX34" i="10"/>
  <c r="E34" i="10" s="1"/>
  <c r="AV34" i="10"/>
  <c r="AU34" i="10"/>
  <c r="AW34" i="10" s="1"/>
  <c r="AR34" i="10"/>
  <c r="AQ34" i="10"/>
  <c r="AV33" i="10"/>
  <c r="AX33" i="10" s="1"/>
  <c r="E33" i="10" s="1"/>
  <c r="AR33" i="10"/>
  <c r="AQ33" i="10"/>
  <c r="AU33" i="10" s="1"/>
  <c r="AV32" i="10"/>
  <c r="AX32" i="10" s="1"/>
  <c r="AR32" i="10"/>
  <c r="AQ32" i="10"/>
  <c r="AU32" i="10" s="1"/>
  <c r="AX31" i="10"/>
  <c r="AV31" i="10"/>
  <c r="AU31" i="10"/>
  <c r="AW31" i="10" s="1"/>
  <c r="AR31" i="10"/>
  <c r="AQ31" i="10"/>
  <c r="E31" i="10"/>
  <c r="BA31" i="10" s="1"/>
  <c r="AX30" i="10"/>
  <c r="E30" i="10" s="1"/>
  <c r="AV30" i="10"/>
  <c r="AR30" i="10"/>
  <c r="AQ30" i="10"/>
  <c r="AU30" i="10" s="1"/>
  <c r="AV29" i="10"/>
  <c r="AR29" i="10"/>
  <c r="AQ29" i="10"/>
  <c r="AU29" i="10" s="1"/>
  <c r="AV28" i="10"/>
  <c r="AU28" i="10"/>
  <c r="AR28" i="10"/>
  <c r="AQ28" i="10"/>
  <c r="AV27" i="10"/>
  <c r="AX27" i="10" s="1"/>
  <c r="E27" i="10" s="1"/>
  <c r="AU27" i="10"/>
  <c r="AR27" i="10"/>
  <c r="AQ27" i="10"/>
  <c r="AV26" i="10"/>
  <c r="AX26" i="10" s="1"/>
  <c r="E26" i="10" s="1"/>
  <c r="AR26" i="10"/>
  <c r="AQ26" i="10"/>
  <c r="AU26" i="10" s="1"/>
  <c r="AX25" i="10"/>
  <c r="E25" i="10" s="1"/>
  <c r="AV25" i="10"/>
  <c r="AR25" i="10"/>
  <c r="AQ25" i="10"/>
  <c r="AU25" i="10" s="1"/>
  <c r="AT24" i="10"/>
  <c r="AS24" i="10"/>
  <c r="AP24" i="10"/>
  <c r="AO24" i="10"/>
  <c r="AN24" i="10"/>
  <c r="AM24" i="10"/>
  <c r="AL24" i="10"/>
  <c r="AK24" i="10"/>
  <c r="AJ24" i="10"/>
  <c r="AI24" i="10"/>
  <c r="AH24" i="10"/>
  <c r="AG24" i="10"/>
  <c r="AF24" i="10"/>
  <c r="AR24" i="10" s="1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AQ24" i="10" s="1"/>
  <c r="L24" i="10"/>
  <c r="K24" i="10"/>
  <c r="I24" i="10"/>
  <c r="H24" i="10"/>
  <c r="F24" i="10"/>
  <c r="AV23" i="10"/>
  <c r="AX23" i="10" s="1"/>
  <c r="E23" i="10" s="1"/>
  <c r="AS23" i="10"/>
  <c r="AR23" i="10"/>
  <c r="AQ23" i="10"/>
  <c r="AU23" i="10" s="1"/>
  <c r="AW23" i="10" s="1"/>
  <c r="D23" i="10" s="1"/>
  <c r="AY23" i="10" s="1"/>
  <c r="AZ22" i="10"/>
  <c r="AY22" i="10"/>
  <c r="AV22" i="10"/>
  <c r="AX22" i="10" s="1"/>
  <c r="E22" i="10" s="1"/>
  <c r="AS22" i="10"/>
  <c r="BA22" i="10" s="1"/>
  <c r="AR22" i="10"/>
  <c r="AQ22" i="10"/>
  <c r="AU22" i="10" s="1"/>
  <c r="AW22" i="10" s="1"/>
  <c r="D22" i="10" s="1"/>
  <c r="AZ21" i="10"/>
  <c r="AY21" i="10"/>
  <c r="AV21" i="10"/>
  <c r="AX21" i="10" s="1"/>
  <c r="E21" i="10" s="1"/>
  <c r="AS21" i="10"/>
  <c r="D21" i="10" s="1"/>
  <c r="AR21" i="10"/>
  <c r="AQ21" i="10"/>
  <c r="AU21" i="10" s="1"/>
  <c r="AW21" i="10" s="1"/>
  <c r="AZ20" i="10"/>
  <c r="AY20" i="10"/>
  <c r="AV20" i="10"/>
  <c r="AX20" i="10" s="1"/>
  <c r="E20" i="10" s="1"/>
  <c r="AS20" i="10"/>
  <c r="AR20" i="10"/>
  <c r="AQ20" i="10"/>
  <c r="AU20" i="10" s="1"/>
  <c r="AW20" i="10" s="1"/>
  <c r="AZ19" i="10"/>
  <c r="AY19" i="10"/>
  <c r="AV19" i="10"/>
  <c r="AX19" i="10" s="1"/>
  <c r="E19" i="10" s="1"/>
  <c r="AS19" i="10"/>
  <c r="D19" i="10" s="1"/>
  <c r="AR19" i="10"/>
  <c r="AQ19" i="10"/>
  <c r="AU19" i="10" s="1"/>
  <c r="AW19" i="10" s="1"/>
  <c r="AZ18" i="10"/>
  <c r="AY18" i="10"/>
  <c r="AV18" i="10"/>
  <c r="AX18" i="10" s="1"/>
  <c r="E18" i="10" s="1"/>
  <c r="BA18" i="10" s="1"/>
  <c r="AS18" i="10"/>
  <c r="AR18" i="10"/>
  <c r="AQ18" i="10"/>
  <c r="AU18" i="10" s="1"/>
  <c r="AW18" i="10" s="1"/>
  <c r="D18" i="10" s="1"/>
  <c r="AZ17" i="10"/>
  <c r="AV17" i="10"/>
  <c r="AX17" i="10" s="1"/>
  <c r="E17" i="10" s="1"/>
  <c r="AT17" i="10"/>
  <c r="AS17" i="10"/>
  <c r="AP17" i="10"/>
  <c r="AO17" i="10"/>
  <c r="AN17" i="10"/>
  <c r="AM17" i="10"/>
  <c r="AL17" i="10"/>
  <c r="AK17" i="10"/>
  <c r="AJ17" i="10"/>
  <c r="AI17" i="10"/>
  <c r="AH17" i="10"/>
  <c r="AG17" i="10"/>
  <c r="AF17" i="10"/>
  <c r="AR17" i="10" s="1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AQ17" i="10" s="1"/>
  <c r="L17" i="10"/>
  <c r="K17" i="10"/>
  <c r="AY17" i="10" s="1"/>
  <c r="I17" i="10"/>
  <c r="H17" i="10"/>
  <c r="AV61" i="9"/>
  <c r="AX61" i="9" s="1"/>
  <c r="E61" i="9" s="1"/>
  <c r="AR61" i="9"/>
  <c r="AQ61" i="9"/>
  <c r="AU61" i="9" s="1"/>
  <c r="AV60" i="9"/>
  <c r="AX60" i="9" s="1"/>
  <c r="AU60" i="9"/>
  <c r="AW60" i="9" s="1"/>
  <c r="D60" i="9" s="1"/>
  <c r="AY60" i="9" s="1"/>
  <c r="AR60" i="9"/>
  <c r="AQ60" i="9"/>
  <c r="AV59" i="9"/>
  <c r="AX59" i="9" s="1"/>
  <c r="AU59" i="9"/>
  <c r="AW59" i="9" s="1"/>
  <c r="AR59" i="9"/>
  <c r="AQ59" i="9"/>
  <c r="AV58" i="9"/>
  <c r="AX58" i="9" s="1"/>
  <c r="AR58" i="9"/>
  <c r="AQ58" i="9"/>
  <c r="AU58" i="9" s="1"/>
  <c r="AX57" i="9"/>
  <c r="E57" i="9" s="1"/>
  <c r="AV57" i="9"/>
  <c r="AR57" i="9"/>
  <c r="AQ57" i="9"/>
  <c r="AU57" i="9" s="1"/>
  <c r="AV56" i="9"/>
  <c r="AX56" i="9" s="1"/>
  <c r="E56" i="9" s="1"/>
  <c r="AR56" i="9"/>
  <c r="AQ56" i="9"/>
  <c r="AU56" i="9" s="1"/>
  <c r="AV55" i="9"/>
  <c r="AX55" i="9" s="1"/>
  <c r="AT55" i="9"/>
  <c r="AP55" i="9"/>
  <c r="AO55" i="9"/>
  <c r="AN55" i="9"/>
  <c r="AM55" i="9"/>
  <c r="AL55" i="9"/>
  <c r="AK55" i="9"/>
  <c r="AJ55" i="9"/>
  <c r="AI55" i="9"/>
  <c r="AH55" i="9"/>
  <c r="AG55" i="9"/>
  <c r="AF55" i="9"/>
  <c r="AE55" i="9"/>
  <c r="AD55" i="9"/>
  <c r="AC55" i="9"/>
  <c r="AB55" i="9"/>
  <c r="AA55" i="9"/>
  <c r="Z55" i="9"/>
  <c r="Y55" i="9"/>
  <c r="X55" i="9"/>
  <c r="W55" i="9"/>
  <c r="V55" i="9"/>
  <c r="U55" i="9"/>
  <c r="T55" i="9"/>
  <c r="S55" i="9"/>
  <c r="R55" i="9"/>
  <c r="AR55" i="9" s="1"/>
  <c r="Q55" i="9"/>
  <c r="P55" i="9"/>
  <c r="O55" i="9"/>
  <c r="N55" i="9"/>
  <c r="M55" i="9"/>
  <c r="AQ55" i="9" s="1"/>
  <c r="F55" i="9"/>
  <c r="AX54" i="9"/>
  <c r="AV54" i="9"/>
  <c r="E54" i="9" s="1"/>
  <c r="AR54" i="9"/>
  <c r="AQ54" i="9"/>
  <c r="AU54" i="9" s="1"/>
  <c r="AW53" i="9"/>
  <c r="AV53" i="9"/>
  <c r="AX53" i="9" s="1"/>
  <c r="E53" i="9" s="1"/>
  <c r="AU53" i="9"/>
  <c r="D53" i="9" s="1"/>
  <c r="AR53" i="9"/>
  <c r="AQ53" i="9"/>
  <c r="AV52" i="9"/>
  <c r="AX52" i="9" s="1"/>
  <c r="AT52" i="9"/>
  <c r="AP52" i="9"/>
  <c r="AO52" i="9"/>
  <c r="AN52" i="9"/>
  <c r="AM52" i="9"/>
  <c r="AL52" i="9"/>
  <c r="AK52" i="9"/>
  <c r="AJ52" i="9"/>
  <c r="AI52" i="9"/>
  <c r="AH52" i="9"/>
  <c r="AG52" i="9"/>
  <c r="AF52" i="9"/>
  <c r="AE52" i="9"/>
  <c r="AD52" i="9"/>
  <c r="AC52" i="9"/>
  <c r="AB52" i="9"/>
  <c r="AA52" i="9"/>
  <c r="Z52" i="9"/>
  <c r="Y52" i="9"/>
  <c r="X52" i="9"/>
  <c r="W52" i="9"/>
  <c r="V52" i="9"/>
  <c r="U52" i="9"/>
  <c r="T52" i="9"/>
  <c r="S52" i="9"/>
  <c r="R52" i="9"/>
  <c r="Q52" i="9"/>
  <c r="P52" i="9"/>
  <c r="O52" i="9"/>
  <c r="N52" i="9"/>
  <c r="AR52" i="9" s="1"/>
  <c r="M52" i="9"/>
  <c r="AQ52" i="9" s="1"/>
  <c r="AU52" i="9" s="1"/>
  <c r="AW52" i="9" s="1"/>
  <c r="I52" i="9"/>
  <c r="H52" i="9"/>
  <c r="F52" i="9"/>
  <c r="AX51" i="9"/>
  <c r="E51" i="9" s="1"/>
  <c r="AV51" i="9"/>
  <c r="AR51" i="9"/>
  <c r="AQ51" i="9"/>
  <c r="AU51" i="9" s="1"/>
  <c r="AW51" i="9" s="1"/>
  <c r="D51" i="9" s="1"/>
  <c r="AY51" i="9" s="1"/>
  <c r="AV50" i="9"/>
  <c r="AX50" i="9" s="1"/>
  <c r="E50" i="9" s="1"/>
  <c r="AR50" i="9"/>
  <c r="AQ50" i="9"/>
  <c r="AU50" i="9" s="1"/>
  <c r="AW50" i="9" s="1"/>
  <c r="D50" i="9" s="1"/>
  <c r="AY50" i="9" s="1"/>
  <c r="AV49" i="9"/>
  <c r="AR49" i="9"/>
  <c r="AQ49" i="9"/>
  <c r="AU49" i="9" s="1"/>
  <c r="AW49" i="9" s="1"/>
  <c r="D49" i="9" s="1"/>
  <c r="AY49" i="9" s="1"/>
  <c r="AV48" i="9"/>
  <c r="AX48" i="9" s="1"/>
  <c r="E48" i="9" s="1"/>
  <c r="AU48" i="9"/>
  <c r="AR48" i="9"/>
  <c r="AQ48" i="9"/>
  <c r="AV47" i="9"/>
  <c r="AR47" i="9"/>
  <c r="AQ47" i="9"/>
  <c r="AU47" i="9" s="1"/>
  <c r="AT46" i="9"/>
  <c r="AV46" i="9" s="1"/>
  <c r="AX46" i="9" s="1"/>
  <c r="AP46" i="9"/>
  <c r="AO46" i="9"/>
  <c r="AN46" i="9"/>
  <c r="AM46" i="9"/>
  <c r="AL46" i="9"/>
  <c r="AK46" i="9"/>
  <c r="AJ46" i="9"/>
  <c r="AI46" i="9"/>
  <c r="AH46" i="9"/>
  <c r="AG46" i="9"/>
  <c r="AF46" i="9"/>
  <c r="AE46" i="9"/>
  <c r="AD46" i="9"/>
  <c r="AC46" i="9"/>
  <c r="AB46" i="9"/>
  <c r="AA46" i="9"/>
  <c r="Z46" i="9"/>
  <c r="Y46" i="9"/>
  <c r="X46" i="9"/>
  <c r="W46" i="9"/>
  <c r="V46" i="9"/>
  <c r="U46" i="9"/>
  <c r="T46" i="9"/>
  <c r="AR46" i="9" s="1"/>
  <c r="S46" i="9"/>
  <c r="R46" i="9"/>
  <c r="Q46" i="9"/>
  <c r="P46" i="9"/>
  <c r="O46" i="9"/>
  <c r="AQ46" i="9" s="1"/>
  <c r="AU46" i="9" s="1"/>
  <c r="AW46" i="9" s="1"/>
  <c r="N46" i="9"/>
  <c r="M46" i="9"/>
  <c r="I46" i="9"/>
  <c r="H46" i="9"/>
  <c r="F46" i="9"/>
  <c r="AW45" i="9"/>
  <c r="AV45" i="9"/>
  <c r="AX45" i="9" s="1"/>
  <c r="E45" i="9" s="1"/>
  <c r="AU45" i="9"/>
  <c r="D45" i="9" s="1"/>
  <c r="AY45" i="9" s="1"/>
  <c r="AR45" i="9"/>
  <c r="AQ45" i="9"/>
  <c r="AV44" i="9"/>
  <c r="AX44" i="9" s="1"/>
  <c r="AU44" i="9"/>
  <c r="AW44" i="9" s="1"/>
  <c r="D44" i="9" s="1"/>
  <c r="AY44" i="9" s="1"/>
  <c r="AR44" i="9"/>
  <c r="AQ44" i="9"/>
  <c r="AV43" i="9"/>
  <c r="AX43" i="9" s="1"/>
  <c r="AU43" i="9"/>
  <c r="AW43" i="9" s="1"/>
  <c r="AR43" i="9"/>
  <c r="AQ43" i="9"/>
  <c r="AT42" i="9"/>
  <c r="AP42" i="9"/>
  <c r="AO42" i="9"/>
  <c r="AN42" i="9"/>
  <c r="AM42" i="9"/>
  <c r="AL42" i="9"/>
  <c r="AK42" i="9"/>
  <c r="AJ42" i="9"/>
  <c r="AI42" i="9"/>
  <c r="AH42" i="9"/>
  <c r="AG42" i="9"/>
  <c r="AF42" i="9"/>
  <c r="AE42" i="9"/>
  <c r="AD42" i="9"/>
  <c r="AC42" i="9"/>
  <c r="AB42" i="9"/>
  <c r="AA42" i="9"/>
  <c r="Z42" i="9"/>
  <c r="Y42" i="9"/>
  <c r="X42" i="9"/>
  <c r="W42" i="9"/>
  <c r="V42" i="9"/>
  <c r="U42" i="9"/>
  <c r="T42" i="9"/>
  <c r="S42" i="9"/>
  <c r="R42" i="9"/>
  <c r="Q42" i="9"/>
  <c r="P42" i="9"/>
  <c r="O42" i="9"/>
  <c r="N42" i="9"/>
  <c r="AR42" i="9" s="1"/>
  <c r="M42" i="9"/>
  <c r="AQ42" i="9" s="1"/>
  <c r="I42" i="9"/>
  <c r="H42" i="9"/>
  <c r="F42" i="9"/>
  <c r="AV41" i="9"/>
  <c r="AR41" i="9"/>
  <c r="AQ41" i="9"/>
  <c r="AU41" i="9" s="1"/>
  <c r="AV40" i="9"/>
  <c r="AX40" i="9" s="1"/>
  <c r="E40" i="9" s="1"/>
  <c r="AU40" i="9"/>
  <c r="AR40" i="9"/>
  <c r="AQ40" i="9"/>
  <c r="AV39" i="9"/>
  <c r="AR39" i="9"/>
  <c r="AQ39" i="9"/>
  <c r="AU39" i="9" s="1"/>
  <c r="AV38" i="9"/>
  <c r="AX38" i="9" s="1"/>
  <c r="E38" i="9" s="1"/>
  <c r="AR38" i="9"/>
  <c r="AQ38" i="9"/>
  <c r="AU38" i="9" s="1"/>
  <c r="AX37" i="9"/>
  <c r="AV37" i="9"/>
  <c r="AR37" i="9"/>
  <c r="AQ37" i="9"/>
  <c r="AU37" i="9" s="1"/>
  <c r="E37" i="9"/>
  <c r="BA37" i="9" s="1"/>
  <c r="AX36" i="9"/>
  <c r="E36" i="9" s="1"/>
  <c r="AV36" i="9"/>
  <c r="AR36" i="9"/>
  <c r="AQ36" i="9"/>
  <c r="AU36" i="9" s="1"/>
  <c r="AV35" i="9"/>
  <c r="AX35" i="9" s="1"/>
  <c r="E35" i="9" s="1"/>
  <c r="AR35" i="9"/>
  <c r="AQ35" i="9"/>
  <c r="AU35" i="9" s="1"/>
  <c r="AV34" i="9"/>
  <c r="AX34" i="9" s="1"/>
  <c r="AU34" i="9"/>
  <c r="AW34" i="9" s="1"/>
  <c r="D34" i="9" s="1"/>
  <c r="AY34" i="9" s="1"/>
  <c r="AR34" i="9"/>
  <c r="AQ34" i="9"/>
  <c r="AV33" i="9"/>
  <c r="AX33" i="9" s="1"/>
  <c r="AU33" i="9"/>
  <c r="AW33" i="9" s="1"/>
  <c r="AR33" i="9"/>
  <c r="AQ33" i="9"/>
  <c r="AV32" i="9"/>
  <c r="AX32" i="9" s="1"/>
  <c r="AR32" i="9"/>
  <c r="AQ32" i="9"/>
  <c r="AU32" i="9" s="1"/>
  <c r="AX31" i="9"/>
  <c r="E31" i="9" s="1"/>
  <c r="AV31" i="9"/>
  <c r="AR31" i="9"/>
  <c r="AQ31" i="9"/>
  <c r="AU31" i="9" s="1"/>
  <c r="AV30" i="9"/>
  <c r="AX30" i="9" s="1"/>
  <c r="E30" i="9" s="1"/>
  <c r="AR30" i="9"/>
  <c r="AQ30" i="9"/>
  <c r="AU30" i="9" s="1"/>
  <c r="AV29" i="9"/>
  <c r="AR29" i="9"/>
  <c r="AQ29" i="9"/>
  <c r="AU29" i="9" s="1"/>
  <c r="AV28" i="9"/>
  <c r="AX28" i="9" s="1"/>
  <c r="E28" i="9" s="1"/>
  <c r="AU28" i="9"/>
  <c r="AR28" i="9"/>
  <c r="AQ28" i="9"/>
  <c r="AV27" i="9"/>
  <c r="AR27" i="9"/>
  <c r="AQ27" i="9"/>
  <c r="AU27" i="9" s="1"/>
  <c r="AX26" i="9"/>
  <c r="E26" i="9" s="1"/>
  <c r="AV26" i="9"/>
  <c r="AR26" i="9"/>
  <c r="AQ26" i="9"/>
  <c r="AU26" i="9" s="1"/>
  <c r="AX25" i="9"/>
  <c r="AV25" i="9"/>
  <c r="AR25" i="9"/>
  <c r="AQ25" i="9"/>
  <c r="AU25" i="9" s="1"/>
  <c r="E25" i="9"/>
  <c r="BA25" i="9" s="1"/>
  <c r="AX24" i="9"/>
  <c r="AV24" i="9"/>
  <c r="AT24" i="9"/>
  <c r="AS24" i="9"/>
  <c r="AP24" i="9"/>
  <c r="AO24" i="9"/>
  <c r="AN24" i="9"/>
  <c r="AM24" i="9"/>
  <c r="AL24" i="9"/>
  <c r="AK24" i="9"/>
  <c r="AJ24" i="9"/>
  <c r="AI24" i="9"/>
  <c r="AH24" i="9"/>
  <c r="AG24" i="9"/>
  <c r="AF24" i="9"/>
  <c r="AE24" i="9"/>
  <c r="AD24" i="9"/>
  <c r="AC24" i="9"/>
  <c r="AB24" i="9"/>
  <c r="AA24" i="9"/>
  <c r="Z24" i="9"/>
  <c r="Y24" i="9"/>
  <c r="X24" i="9"/>
  <c r="W24" i="9"/>
  <c r="V24" i="9"/>
  <c r="U24" i="9"/>
  <c r="T24" i="9"/>
  <c r="S24" i="9"/>
  <c r="AQ24" i="9" s="1"/>
  <c r="AU24" i="9" s="1"/>
  <c r="AW24" i="9" s="1"/>
  <c r="D24" i="9" s="1"/>
  <c r="AY24" i="9" s="1"/>
  <c r="R24" i="9"/>
  <c r="Q24" i="9"/>
  <c r="P24" i="9"/>
  <c r="O24" i="9"/>
  <c r="N24" i="9"/>
  <c r="AR24" i="9" s="1"/>
  <c r="M24" i="9"/>
  <c r="L24" i="9"/>
  <c r="K24" i="9"/>
  <c r="I24" i="9"/>
  <c r="H24" i="9"/>
  <c r="F24" i="9"/>
  <c r="AX23" i="9"/>
  <c r="AV23" i="9"/>
  <c r="AS23" i="9"/>
  <c r="AR23" i="9"/>
  <c r="AQ23" i="9"/>
  <c r="AU23" i="9" s="1"/>
  <c r="AW23" i="9" s="1"/>
  <c r="D23" i="9" s="1"/>
  <c r="AY23" i="9" s="1"/>
  <c r="E23" i="9"/>
  <c r="BA23" i="9" s="1"/>
  <c r="AZ22" i="9"/>
  <c r="AY22" i="9"/>
  <c r="AX22" i="9"/>
  <c r="AV22" i="9"/>
  <c r="AS22" i="9"/>
  <c r="D22" i="9" s="1"/>
  <c r="AR22" i="9"/>
  <c r="AQ22" i="9"/>
  <c r="AU22" i="9" s="1"/>
  <c r="AW22" i="9" s="1"/>
  <c r="E22" i="9"/>
  <c r="BA22" i="9" s="1"/>
  <c r="AZ21" i="9"/>
  <c r="AY21" i="9"/>
  <c r="AX21" i="9"/>
  <c r="AV21" i="9"/>
  <c r="AS21" i="9"/>
  <c r="AR21" i="9"/>
  <c r="AQ21" i="9"/>
  <c r="AU21" i="9" s="1"/>
  <c r="AW21" i="9" s="1"/>
  <c r="E21" i="9"/>
  <c r="BA21" i="9" s="1"/>
  <c r="AZ20" i="9"/>
  <c r="AY20" i="9"/>
  <c r="AX20" i="9"/>
  <c r="AV20" i="9"/>
  <c r="AS20" i="9"/>
  <c r="D20" i="9" s="1"/>
  <c r="AR20" i="9"/>
  <c r="AQ20" i="9"/>
  <c r="AU20" i="9" s="1"/>
  <c r="AW20" i="9" s="1"/>
  <c r="E20" i="9"/>
  <c r="BA20" i="9" s="1"/>
  <c r="AZ19" i="9"/>
  <c r="AY19" i="9"/>
  <c r="AX19" i="9"/>
  <c r="AV19" i="9"/>
  <c r="AS19" i="9"/>
  <c r="D19" i="9" s="1"/>
  <c r="AR19" i="9"/>
  <c r="AQ19" i="9"/>
  <c r="AU19" i="9" s="1"/>
  <c r="AW19" i="9" s="1"/>
  <c r="E19" i="9"/>
  <c r="BA19" i="9" s="1"/>
  <c r="AZ18" i="9"/>
  <c r="AY18" i="9"/>
  <c r="AX18" i="9"/>
  <c r="AV18" i="9"/>
  <c r="AS18" i="9"/>
  <c r="AR18" i="9"/>
  <c r="AQ18" i="9"/>
  <c r="AU18" i="9" s="1"/>
  <c r="AW18" i="9" s="1"/>
  <c r="E18" i="9"/>
  <c r="BA18" i="9" s="1"/>
  <c r="AZ17" i="9"/>
  <c r="AY17" i="9"/>
  <c r="AX17" i="9"/>
  <c r="E17" i="9" s="1"/>
  <c r="AV17" i="9"/>
  <c r="AT17" i="9"/>
  <c r="AS17" i="9"/>
  <c r="AP17" i="9"/>
  <c r="AO17" i="9"/>
  <c r="AN17" i="9"/>
  <c r="AM17" i="9"/>
  <c r="AL17" i="9"/>
  <c r="AK17" i="9"/>
  <c r="AJ17" i="9"/>
  <c r="AI17" i="9"/>
  <c r="AH17" i="9"/>
  <c r="AG17" i="9"/>
  <c r="AF17" i="9"/>
  <c r="AE17" i="9"/>
  <c r="AD17" i="9"/>
  <c r="AC17" i="9"/>
  <c r="AB17" i="9"/>
  <c r="AA17" i="9"/>
  <c r="Z17" i="9"/>
  <c r="Y17" i="9"/>
  <c r="X17" i="9"/>
  <c r="W17" i="9"/>
  <c r="V17" i="9"/>
  <c r="U17" i="9"/>
  <c r="T17" i="9"/>
  <c r="S17" i="9"/>
  <c r="AQ17" i="9" s="1"/>
  <c r="AU17" i="9" s="1"/>
  <c r="AW17" i="9" s="1"/>
  <c r="D17" i="9" s="1"/>
  <c r="R17" i="9"/>
  <c r="Q17" i="9"/>
  <c r="P17" i="9"/>
  <c r="O17" i="9"/>
  <c r="N17" i="9"/>
  <c r="AR17" i="9" s="1"/>
  <c r="M17" i="9"/>
  <c r="L17" i="9"/>
  <c r="K17" i="9"/>
  <c r="I17" i="9"/>
  <c r="H17" i="9"/>
  <c r="AV61" i="8"/>
  <c r="AX61" i="8" s="1"/>
  <c r="AR61" i="8"/>
  <c r="AQ61" i="8"/>
  <c r="AU61" i="8" s="1"/>
  <c r="AV60" i="8"/>
  <c r="AX60" i="8" s="1"/>
  <c r="AU60" i="8"/>
  <c r="AW60" i="8" s="1"/>
  <c r="AR60" i="8"/>
  <c r="AQ60" i="8"/>
  <c r="AV59" i="8"/>
  <c r="AX59" i="8" s="1"/>
  <c r="E59" i="8" s="1"/>
  <c r="AU59" i="8"/>
  <c r="AW59" i="8" s="1"/>
  <c r="AR59" i="8"/>
  <c r="AQ59" i="8"/>
  <c r="AV58" i="8"/>
  <c r="AX58" i="8" s="1"/>
  <c r="AR58" i="8"/>
  <c r="AQ58" i="8"/>
  <c r="AU58" i="8" s="1"/>
  <c r="AX57" i="8"/>
  <c r="E57" i="8" s="1"/>
  <c r="AV57" i="8"/>
  <c r="AR57" i="8"/>
  <c r="AQ57" i="8"/>
  <c r="AU57" i="8" s="1"/>
  <c r="AV56" i="8"/>
  <c r="AX56" i="8" s="1"/>
  <c r="E56" i="8" s="1"/>
  <c r="AR56" i="8"/>
  <c r="AQ56" i="8"/>
  <c r="AU56" i="8" s="1"/>
  <c r="AV55" i="8"/>
  <c r="AX55" i="8" s="1"/>
  <c r="AT55" i="8"/>
  <c r="AP55" i="8"/>
  <c r="AO55" i="8"/>
  <c r="AN55" i="8"/>
  <c r="AM55" i="8"/>
  <c r="AL55" i="8"/>
  <c r="AK55" i="8"/>
  <c r="AJ55" i="8"/>
  <c r="AI55" i="8"/>
  <c r="AH55" i="8"/>
  <c r="AG55" i="8"/>
  <c r="AF55" i="8"/>
  <c r="AE55" i="8"/>
  <c r="AD55" i="8"/>
  <c r="AC55" i="8"/>
  <c r="AB55" i="8"/>
  <c r="AA55" i="8"/>
  <c r="Z55" i="8"/>
  <c r="Y55" i="8"/>
  <c r="X55" i="8"/>
  <c r="W55" i="8"/>
  <c r="V55" i="8"/>
  <c r="U55" i="8"/>
  <c r="T55" i="8"/>
  <c r="S55" i="8"/>
  <c r="R55" i="8"/>
  <c r="AR55" i="8" s="1"/>
  <c r="Q55" i="8"/>
  <c r="P55" i="8"/>
  <c r="O55" i="8"/>
  <c r="N55" i="8"/>
  <c r="M55" i="8"/>
  <c r="AQ55" i="8" s="1"/>
  <c r="AU55" i="8" s="1"/>
  <c r="F55" i="8"/>
  <c r="AX54" i="8"/>
  <c r="AV54" i="8"/>
  <c r="E54" i="8" s="1"/>
  <c r="AR54" i="8"/>
  <c r="AQ54" i="8"/>
  <c r="AU54" i="8" s="1"/>
  <c r="AV53" i="8"/>
  <c r="AX53" i="8" s="1"/>
  <c r="AR53" i="8"/>
  <c r="AQ53" i="8"/>
  <c r="AU53" i="8" s="1"/>
  <c r="AV52" i="8"/>
  <c r="AX52" i="8" s="1"/>
  <c r="AT52" i="8"/>
  <c r="AP52" i="8"/>
  <c r="AO52" i="8"/>
  <c r="AN52" i="8"/>
  <c r="AM52" i="8"/>
  <c r="AL52" i="8"/>
  <c r="AK52" i="8"/>
  <c r="AJ52" i="8"/>
  <c r="AI52" i="8"/>
  <c r="AH52" i="8"/>
  <c r="AG52" i="8"/>
  <c r="AF52" i="8"/>
  <c r="AE52" i="8"/>
  <c r="AD52" i="8"/>
  <c r="AC52" i="8"/>
  <c r="AB52" i="8"/>
  <c r="AA52" i="8"/>
  <c r="Z52" i="8"/>
  <c r="Y52" i="8"/>
  <c r="X52" i="8"/>
  <c r="W52" i="8"/>
  <c r="V52" i="8"/>
  <c r="U52" i="8"/>
  <c r="T52" i="8"/>
  <c r="S52" i="8"/>
  <c r="R52" i="8"/>
  <c r="Q52" i="8"/>
  <c r="P52" i="8"/>
  <c r="AR52" i="8" s="1"/>
  <c r="O52" i="8"/>
  <c r="N52" i="8"/>
  <c r="M52" i="8"/>
  <c r="AQ52" i="8" s="1"/>
  <c r="AU52" i="8" s="1"/>
  <c r="AW52" i="8" s="1"/>
  <c r="I52" i="8"/>
  <c r="H52" i="8"/>
  <c r="F52" i="8"/>
  <c r="AX51" i="8"/>
  <c r="E51" i="8" s="1"/>
  <c r="AV51" i="8"/>
  <c r="AR51" i="8"/>
  <c r="AQ51" i="8"/>
  <c r="AU51" i="8" s="1"/>
  <c r="AW51" i="8" s="1"/>
  <c r="D51" i="8" s="1"/>
  <c r="AY51" i="8" s="1"/>
  <c r="AV50" i="8"/>
  <c r="AX50" i="8" s="1"/>
  <c r="E50" i="8" s="1"/>
  <c r="AR50" i="8"/>
  <c r="AQ50" i="8"/>
  <c r="AU50" i="8" s="1"/>
  <c r="AW50" i="8" s="1"/>
  <c r="D50" i="8" s="1"/>
  <c r="AY50" i="8" s="1"/>
  <c r="AV49" i="8"/>
  <c r="AR49" i="8"/>
  <c r="AQ49" i="8"/>
  <c r="AU49" i="8" s="1"/>
  <c r="AW49" i="8" s="1"/>
  <c r="D49" i="8" s="1"/>
  <c r="AY49" i="8" s="1"/>
  <c r="AV48" i="8"/>
  <c r="AX48" i="8" s="1"/>
  <c r="E48" i="8" s="1"/>
  <c r="AU48" i="8"/>
  <c r="AR48" i="8"/>
  <c r="AQ48" i="8"/>
  <c r="AV47" i="8"/>
  <c r="AR47" i="8"/>
  <c r="AQ47" i="8"/>
  <c r="AU47" i="8" s="1"/>
  <c r="AT46" i="8"/>
  <c r="AR46" i="8"/>
  <c r="AP46" i="8"/>
  <c r="AO46" i="8"/>
  <c r="AN46" i="8"/>
  <c r="AM46" i="8"/>
  <c r="AL46" i="8"/>
  <c r="AK46" i="8"/>
  <c r="AJ46" i="8"/>
  <c r="AI46" i="8"/>
  <c r="AH46" i="8"/>
  <c r="AG46" i="8"/>
  <c r="AF46" i="8"/>
  <c r="AE46" i="8"/>
  <c r="AD46" i="8"/>
  <c r="AC46" i="8"/>
  <c r="AB46" i="8"/>
  <c r="AA46" i="8"/>
  <c r="Z46" i="8"/>
  <c r="Y46" i="8"/>
  <c r="X46" i="8"/>
  <c r="W46" i="8"/>
  <c r="V46" i="8"/>
  <c r="U46" i="8"/>
  <c r="T46" i="8"/>
  <c r="S46" i="8"/>
  <c r="R46" i="8"/>
  <c r="Q46" i="8"/>
  <c r="P46" i="8"/>
  <c r="O46" i="8"/>
  <c r="AQ46" i="8" s="1"/>
  <c r="AU46" i="8" s="1"/>
  <c r="AW46" i="8" s="1"/>
  <c r="N46" i="8"/>
  <c r="M46" i="8"/>
  <c r="I46" i="8"/>
  <c r="H46" i="8"/>
  <c r="F46" i="8"/>
  <c r="AV45" i="8"/>
  <c r="AX45" i="8" s="1"/>
  <c r="AR45" i="8"/>
  <c r="AQ45" i="8"/>
  <c r="AU45" i="8" s="1"/>
  <c r="AV44" i="8"/>
  <c r="AX44" i="8" s="1"/>
  <c r="AU44" i="8"/>
  <c r="AW44" i="8" s="1"/>
  <c r="AR44" i="8"/>
  <c r="AQ44" i="8"/>
  <c r="AV43" i="8"/>
  <c r="AX43" i="8" s="1"/>
  <c r="AU43" i="8"/>
  <c r="AW43" i="8" s="1"/>
  <c r="AR43" i="8"/>
  <c r="AQ43" i="8"/>
  <c r="AT42" i="8"/>
  <c r="AP42" i="8"/>
  <c r="AO42" i="8"/>
  <c r="AN42" i="8"/>
  <c r="AM42" i="8"/>
  <c r="AL42" i="8"/>
  <c r="AK42" i="8"/>
  <c r="AJ42" i="8"/>
  <c r="AI42" i="8"/>
  <c r="AH42" i="8"/>
  <c r="AG42" i="8"/>
  <c r="AF42" i="8"/>
  <c r="AE42" i="8"/>
  <c r="AD42" i="8"/>
  <c r="AC42" i="8"/>
  <c r="AB42" i="8"/>
  <c r="AA42" i="8"/>
  <c r="Z42" i="8"/>
  <c r="Y42" i="8"/>
  <c r="X42" i="8"/>
  <c r="W42" i="8"/>
  <c r="V42" i="8"/>
  <c r="U42" i="8"/>
  <c r="T42" i="8"/>
  <c r="S42" i="8"/>
  <c r="R42" i="8"/>
  <c r="Q42" i="8"/>
  <c r="P42" i="8"/>
  <c r="O42" i="8"/>
  <c r="N42" i="8"/>
  <c r="AR42" i="8" s="1"/>
  <c r="M42" i="8"/>
  <c r="AQ42" i="8" s="1"/>
  <c r="I42" i="8"/>
  <c r="H42" i="8"/>
  <c r="F42" i="8"/>
  <c r="AV41" i="8"/>
  <c r="AR41" i="8"/>
  <c r="AQ41" i="8"/>
  <c r="AU41" i="8" s="1"/>
  <c r="AV40" i="8"/>
  <c r="AX40" i="8" s="1"/>
  <c r="E40" i="8" s="1"/>
  <c r="AU40" i="8"/>
  <c r="AR40" i="8"/>
  <c r="AQ40" i="8"/>
  <c r="AX39" i="8"/>
  <c r="E39" i="8" s="1"/>
  <c r="AV39" i="8"/>
  <c r="AR39" i="8"/>
  <c r="AQ39" i="8"/>
  <c r="AU39" i="8" s="1"/>
  <c r="AX38" i="8"/>
  <c r="AV38" i="8"/>
  <c r="AR38" i="8"/>
  <c r="AQ38" i="8"/>
  <c r="AU38" i="8" s="1"/>
  <c r="E38" i="8"/>
  <c r="BA38" i="8" s="1"/>
  <c r="AX37" i="8"/>
  <c r="AV37" i="8"/>
  <c r="AR37" i="8"/>
  <c r="AQ37" i="8"/>
  <c r="AU37" i="8" s="1"/>
  <c r="E37" i="8"/>
  <c r="BA37" i="8" s="1"/>
  <c r="AX36" i="8"/>
  <c r="AW36" i="8"/>
  <c r="AV36" i="8"/>
  <c r="E36" i="8" s="1"/>
  <c r="AU36" i="8"/>
  <c r="AR36" i="8"/>
  <c r="AQ36" i="8"/>
  <c r="D36" i="8"/>
  <c r="AY36" i="8" s="1"/>
  <c r="AW35" i="8"/>
  <c r="AV35" i="8"/>
  <c r="AX35" i="8" s="1"/>
  <c r="AU35" i="8"/>
  <c r="D35" i="8" s="1"/>
  <c r="AY35" i="8" s="1"/>
  <c r="AR35" i="8"/>
  <c r="AQ35" i="8"/>
  <c r="AV34" i="8"/>
  <c r="AX34" i="8" s="1"/>
  <c r="AU34" i="8"/>
  <c r="AW34" i="8" s="1"/>
  <c r="AR34" i="8"/>
  <c r="AQ34" i="8"/>
  <c r="AV33" i="8"/>
  <c r="AX33" i="8" s="1"/>
  <c r="E33" i="8" s="1"/>
  <c r="AU33" i="8"/>
  <c r="AW33" i="8" s="1"/>
  <c r="AR33" i="8"/>
  <c r="AQ33" i="8"/>
  <c r="AX32" i="8"/>
  <c r="AV32" i="8"/>
  <c r="E32" i="8" s="1"/>
  <c r="AR32" i="8"/>
  <c r="AQ32" i="8"/>
  <c r="AU32" i="8" s="1"/>
  <c r="AX31" i="8"/>
  <c r="E31" i="8" s="1"/>
  <c r="AV31" i="8"/>
  <c r="AR31" i="8"/>
  <c r="AQ31" i="8"/>
  <c r="AU31" i="8" s="1"/>
  <c r="AV30" i="8"/>
  <c r="AX30" i="8" s="1"/>
  <c r="E30" i="8" s="1"/>
  <c r="AR30" i="8"/>
  <c r="AQ30" i="8"/>
  <c r="AU30" i="8" s="1"/>
  <c r="AV29" i="8"/>
  <c r="AU29" i="8"/>
  <c r="AW29" i="8" s="1"/>
  <c r="D29" i="8" s="1"/>
  <c r="AY29" i="8" s="1"/>
  <c r="AR29" i="8"/>
  <c r="AQ29" i="8"/>
  <c r="AV28" i="8"/>
  <c r="AX28" i="8" s="1"/>
  <c r="E28" i="8" s="1"/>
  <c r="AU28" i="8"/>
  <c r="AR28" i="8"/>
  <c r="AQ28" i="8"/>
  <c r="AX27" i="8"/>
  <c r="E27" i="8" s="1"/>
  <c r="AV27" i="8"/>
  <c r="AR27" i="8"/>
  <c r="AQ27" i="8"/>
  <c r="AU27" i="8" s="1"/>
  <c r="AX26" i="8"/>
  <c r="AV26" i="8"/>
  <c r="AR26" i="8"/>
  <c r="AQ26" i="8"/>
  <c r="AU26" i="8" s="1"/>
  <c r="E26" i="8"/>
  <c r="BA26" i="8" s="1"/>
  <c r="AX25" i="8"/>
  <c r="AV25" i="8"/>
  <c r="AR25" i="8"/>
  <c r="AQ25" i="8"/>
  <c r="AU25" i="8" s="1"/>
  <c r="E25" i="8"/>
  <c r="BA25" i="8" s="1"/>
  <c r="AX24" i="8"/>
  <c r="AV24" i="8"/>
  <c r="AT24" i="8"/>
  <c r="AS24" i="8"/>
  <c r="AP24" i="8"/>
  <c r="AO24" i="8"/>
  <c r="AN24" i="8"/>
  <c r="AM24" i="8"/>
  <c r="AL24" i="8"/>
  <c r="AK24" i="8"/>
  <c r="AJ24" i="8"/>
  <c r="AI24" i="8"/>
  <c r="AH24" i="8"/>
  <c r="AG24" i="8"/>
  <c r="AF24" i="8"/>
  <c r="AE24" i="8"/>
  <c r="AD24" i="8"/>
  <c r="AC24" i="8"/>
  <c r="AB24" i="8"/>
  <c r="AA24" i="8"/>
  <c r="Z24" i="8"/>
  <c r="Y24" i="8"/>
  <c r="X24" i="8"/>
  <c r="W24" i="8"/>
  <c r="V24" i="8"/>
  <c r="U24" i="8"/>
  <c r="T24" i="8"/>
  <c r="S24" i="8"/>
  <c r="AQ24" i="8" s="1"/>
  <c r="AU24" i="8" s="1"/>
  <c r="AW24" i="8" s="1"/>
  <c r="D24" i="8" s="1"/>
  <c r="AY24" i="8" s="1"/>
  <c r="R24" i="8"/>
  <c r="Q24" i="8"/>
  <c r="P24" i="8"/>
  <c r="O24" i="8"/>
  <c r="N24" i="8"/>
  <c r="AR24" i="8" s="1"/>
  <c r="M24" i="8"/>
  <c r="L24" i="8"/>
  <c r="K24" i="8"/>
  <c r="I24" i="8"/>
  <c r="H24" i="8"/>
  <c r="F24" i="8"/>
  <c r="AX23" i="8"/>
  <c r="AW23" i="8"/>
  <c r="AV23" i="8"/>
  <c r="AU23" i="8"/>
  <c r="AS23" i="8"/>
  <c r="AR23" i="8"/>
  <c r="AQ23" i="8"/>
  <c r="E23" i="8"/>
  <c r="BA23" i="8" s="1"/>
  <c r="D23" i="8"/>
  <c r="AY23" i="8" s="1"/>
  <c r="AZ22" i="8"/>
  <c r="AY22" i="8"/>
  <c r="AX22" i="8"/>
  <c r="AW22" i="8"/>
  <c r="AV22" i="8"/>
  <c r="AU22" i="8"/>
  <c r="AS22" i="8"/>
  <c r="AR22" i="8"/>
  <c r="AQ22" i="8"/>
  <c r="E22" i="8"/>
  <c r="BA22" i="8" s="1"/>
  <c r="D22" i="8"/>
  <c r="AZ21" i="8"/>
  <c r="AY21" i="8"/>
  <c r="AX21" i="8"/>
  <c r="AW21" i="8"/>
  <c r="AV21" i="8"/>
  <c r="AU21" i="8"/>
  <c r="AS21" i="8"/>
  <c r="AR21" i="8"/>
  <c r="AQ21" i="8"/>
  <c r="E21" i="8"/>
  <c r="BA21" i="8" s="1"/>
  <c r="D21" i="8"/>
  <c r="AZ20" i="8"/>
  <c r="AY20" i="8"/>
  <c r="AX20" i="8"/>
  <c r="AW20" i="8"/>
  <c r="AV20" i="8"/>
  <c r="AU20" i="8"/>
  <c r="AS20" i="8"/>
  <c r="AR20" i="8"/>
  <c r="AQ20" i="8"/>
  <c r="E20" i="8"/>
  <c r="BA20" i="8" s="1"/>
  <c r="D20" i="8"/>
  <c r="AZ19" i="8"/>
  <c r="AY19" i="8"/>
  <c r="AX19" i="8"/>
  <c r="AW19" i="8"/>
  <c r="AV19" i="8"/>
  <c r="AU19" i="8"/>
  <c r="AS19" i="8"/>
  <c r="AR19" i="8"/>
  <c r="AQ19" i="8"/>
  <c r="E19" i="8"/>
  <c r="BA19" i="8" s="1"/>
  <c r="D19" i="8"/>
  <c r="AZ18" i="8"/>
  <c r="AY18" i="8"/>
  <c r="AX18" i="8"/>
  <c r="AW18" i="8"/>
  <c r="AV18" i="8"/>
  <c r="AU18" i="8"/>
  <c r="AS18" i="8"/>
  <c r="AR18" i="8"/>
  <c r="AQ18" i="8"/>
  <c r="E18" i="8"/>
  <c r="BA18" i="8" s="1"/>
  <c r="D18" i="8"/>
  <c r="AZ17" i="8"/>
  <c r="AX17" i="8"/>
  <c r="AV17" i="8"/>
  <c r="E17" i="8" s="1"/>
  <c r="AT17" i="8"/>
  <c r="AS17" i="8"/>
  <c r="AP17" i="8"/>
  <c r="AO17" i="8"/>
  <c r="AN17" i="8"/>
  <c r="AM17" i="8"/>
  <c r="AL17" i="8"/>
  <c r="AK17" i="8"/>
  <c r="AJ17" i="8"/>
  <c r="AI17" i="8"/>
  <c r="AH17" i="8"/>
  <c r="AG17" i="8"/>
  <c r="AF17" i="8"/>
  <c r="AE17" i="8"/>
  <c r="AD17" i="8"/>
  <c r="AC17" i="8"/>
  <c r="AB17" i="8"/>
  <c r="AA17" i="8"/>
  <c r="Z17" i="8"/>
  <c r="Y17" i="8"/>
  <c r="X17" i="8"/>
  <c r="W17" i="8"/>
  <c r="V17" i="8"/>
  <c r="U17" i="8"/>
  <c r="T17" i="8"/>
  <c r="S17" i="8"/>
  <c r="AQ17" i="8" s="1"/>
  <c r="AU17" i="8" s="1"/>
  <c r="AW17" i="8" s="1"/>
  <c r="D17" i="8" s="1"/>
  <c r="R17" i="8"/>
  <c r="Q17" i="8"/>
  <c r="P17" i="8"/>
  <c r="O17" i="8"/>
  <c r="N17" i="8"/>
  <c r="AR17" i="8" s="1"/>
  <c r="M17" i="8"/>
  <c r="L17" i="8"/>
  <c r="K17" i="8"/>
  <c r="AY17" i="8" s="1"/>
  <c r="I17" i="8"/>
  <c r="H17" i="8"/>
  <c r="AV61" i="7"/>
  <c r="AX61" i="7" s="1"/>
  <c r="AR61" i="7"/>
  <c r="AQ61" i="7"/>
  <c r="AU61" i="7" s="1"/>
  <c r="AV60" i="7"/>
  <c r="AX60" i="7" s="1"/>
  <c r="AU60" i="7"/>
  <c r="AW60" i="7" s="1"/>
  <c r="AR60" i="7"/>
  <c r="AQ60" i="7"/>
  <c r="AX59" i="7"/>
  <c r="E59" i="7" s="1"/>
  <c r="AV59" i="7"/>
  <c r="AU59" i="7"/>
  <c r="AW59" i="7" s="1"/>
  <c r="AR59" i="7"/>
  <c r="AQ59" i="7"/>
  <c r="AV58" i="7"/>
  <c r="AX58" i="7" s="1"/>
  <c r="AR58" i="7"/>
  <c r="AQ58" i="7"/>
  <c r="AU58" i="7" s="1"/>
  <c r="AV57" i="7"/>
  <c r="AR57" i="7"/>
  <c r="AQ57" i="7"/>
  <c r="AU57" i="7" s="1"/>
  <c r="AX56" i="7"/>
  <c r="E56" i="7" s="1"/>
  <c r="AV56" i="7"/>
  <c r="AU56" i="7"/>
  <c r="AR56" i="7"/>
  <c r="AQ56" i="7"/>
  <c r="AT55" i="7"/>
  <c r="AU55" i="7" s="1"/>
  <c r="AW55" i="7" s="1"/>
  <c r="AP55" i="7"/>
  <c r="AO55" i="7"/>
  <c r="AN55" i="7"/>
  <c r="AM55" i="7"/>
  <c r="AL55" i="7"/>
  <c r="AK55" i="7"/>
  <c r="AJ55" i="7"/>
  <c r="AI55" i="7"/>
  <c r="AH55" i="7"/>
  <c r="AG55" i="7"/>
  <c r="AF55" i="7"/>
  <c r="AE55" i="7"/>
  <c r="AD55" i="7"/>
  <c r="AC55" i="7"/>
  <c r="AB55" i="7"/>
  <c r="AA55" i="7"/>
  <c r="Z55" i="7"/>
  <c r="Y55" i="7"/>
  <c r="X55" i="7"/>
  <c r="W55" i="7"/>
  <c r="V55" i="7"/>
  <c r="U55" i="7"/>
  <c r="T55" i="7"/>
  <c r="S55" i="7"/>
  <c r="R55" i="7"/>
  <c r="AR55" i="7" s="1"/>
  <c r="Q55" i="7"/>
  <c r="P55" i="7"/>
  <c r="O55" i="7"/>
  <c r="N55" i="7"/>
  <c r="M55" i="7"/>
  <c r="AQ55" i="7" s="1"/>
  <c r="F55" i="7"/>
  <c r="AX54" i="7"/>
  <c r="AV54" i="7"/>
  <c r="AR54" i="7"/>
  <c r="AQ54" i="7"/>
  <c r="AU54" i="7" s="1"/>
  <c r="E54" i="7"/>
  <c r="BA54" i="7" s="1"/>
  <c r="AV53" i="7"/>
  <c r="AX53" i="7" s="1"/>
  <c r="AR53" i="7"/>
  <c r="AQ53" i="7"/>
  <c r="AU53" i="7" s="1"/>
  <c r="AV52" i="7"/>
  <c r="AX52" i="7" s="1"/>
  <c r="AT52" i="7"/>
  <c r="AP52" i="7"/>
  <c r="AO52" i="7"/>
  <c r="AN52" i="7"/>
  <c r="AM52" i="7"/>
  <c r="AL52" i="7"/>
  <c r="AK52" i="7"/>
  <c r="AJ52" i="7"/>
  <c r="AI52" i="7"/>
  <c r="AH52" i="7"/>
  <c r="AG52" i="7"/>
  <c r="AF52" i="7"/>
  <c r="AE52" i="7"/>
  <c r="AD52" i="7"/>
  <c r="AC52" i="7"/>
  <c r="AB52" i="7"/>
  <c r="AA52" i="7"/>
  <c r="Z52" i="7"/>
  <c r="Y52" i="7"/>
  <c r="X52" i="7"/>
  <c r="W52" i="7"/>
  <c r="V52" i="7"/>
  <c r="U52" i="7"/>
  <c r="T52" i="7"/>
  <c r="S52" i="7"/>
  <c r="R52" i="7"/>
  <c r="Q52" i="7"/>
  <c r="P52" i="7"/>
  <c r="O52" i="7"/>
  <c r="N52" i="7"/>
  <c r="AR52" i="7" s="1"/>
  <c r="M52" i="7"/>
  <c r="AQ52" i="7" s="1"/>
  <c r="AU52" i="7" s="1"/>
  <c r="AW52" i="7" s="1"/>
  <c r="I52" i="7"/>
  <c r="H52" i="7"/>
  <c r="F52" i="7"/>
  <c r="AV51" i="7"/>
  <c r="AR51" i="7"/>
  <c r="AQ51" i="7"/>
  <c r="AU51" i="7" s="1"/>
  <c r="AW51" i="7" s="1"/>
  <c r="D51" i="7" s="1"/>
  <c r="AY51" i="7" s="1"/>
  <c r="AX50" i="7"/>
  <c r="E50" i="7" s="1"/>
  <c r="AV50" i="7"/>
  <c r="AU50" i="7"/>
  <c r="AW50" i="7" s="1"/>
  <c r="D50" i="7" s="1"/>
  <c r="AY50" i="7" s="1"/>
  <c r="AR50" i="7"/>
  <c r="AQ50" i="7"/>
  <c r="AV49" i="7"/>
  <c r="AR49" i="7"/>
  <c r="AQ49" i="7"/>
  <c r="AU49" i="7" s="1"/>
  <c r="AW49" i="7" s="1"/>
  <c r="D49" i="7" s="1"/>
  <c r="AY49" i="7" s="1"/>
  <c r="AV48" i="7"/>
  <c r="AR48" i="7"/>
  <c r="AQ48" i="7"/>
  <c r="AU48" i="7" s="1"/>
  <c r="AV47" i="7"/>
  <c r="AX47" i="7" s="1"/>
  <c r="E47" i="7" s="1"/>
  <c r="AU47" i="7"/>
  <c r="AR47" i="7"/>
  <c r="AQ47" i="7"/>
  <c r="AT46" i="7"/>
  <c r="AP46" i="7"/>
  <c r="AO46" i="7"/>
  <c r="AN46" i="7"/>
  <c r="AM46" i="7"/>
  <c r="AL46" i="7"/>
  <c r="AK46" i="7"/>
  <c r="AJ46" i="7"/>
  <c r="AI46" i="7"/>
  <c r="AH46" i="7"/>
  <c r="AG46" i="7"/>
  <c r="AF46" i="7"/>
  <c r="AE46" i="7"/>
  <c r="AD46" i="7"/>
  <c r="AC46" i="7"/>
  <c r="AB46" i="7"/>
  <c r="AA46" i="7"/>
  <c r="Z46" i="7"/>
  <c r="Y46" i="7"/>
  <c r="X46" i="7"/>
  <c r="W46" i="7"/>
  <c r="V46" i="7"/>
  <c r="U46" i="7"/>
  <c r="T46" i="7"/>
  <c r="S46" i="7"/>
  <c r="R46" i="7"/>
  <c r="Q46" i="7"/>
  <c r="P46" i="7"/>
  <c r="O46" i="7"/>
  <c r="N46" i="7"/>
  <c r="AR46" i="7" s="1"/>
  <c r="M46" i="7"/>
  <c r="AQ46" i="7" s="1"/>
  <c r="I46" i="7"/>
  <c r="H46" i="7"/>
  <c r="F46" i="7"/>
  <c r="AV45" i="7"/>
  <c r="AX45" i="7" s="1"/>
  <c r="AR45" i="7"/>
  <c r="AQ45" i="7"/>
  <c r="AU45" i="7" s="1"/>
  <c r="AV44" i="7"/>
  <c r="AX44" i="7" s="1"/>
  <c r="AU44" i="7"/>
  <c r="AW44" i="7" s="1"/>
  <c r="AR44" i="7"/>
  <c r="AQ44" i="7"/>
  <c r="AX43" i="7"/>
  <c r="E43" i="7" s="1"/>
  <c r="AV43" i="7"/>
  <c r="AU43" i="7"/>
  <c r="AW43" i="7" s="1"/>
  <c r="AR43" i="7"/>
  <c r="AQ43" i="7"/>
  <c r="AT42" i="7"/>
  <c r="AP42" i="7"/>
  <c r="AO42" i="7"/>
  <c r="AN42" i="7"/>
  <c r="AM42" i="7"/>
  <c r="AL42" i="7"/>
  <c r="AK42" i="7"/>
  <c r="AJ42" i="7"/>
  <c r="AI42" i="7"/>
  <c r="AH42" i="7"/>
  <c r="AG42" i="7"/>
  <c r="AF42" i="7"/>
  <c r="AR42" i="7" s="1"/>
  <c r="AE42" i="7"/>
  <c r="AD42" i="7"/>
  <c r="AC42" i="7"/>
  <c r="AB42" i="7"/>
  <c r="AA42" i="7"/>
  <c r="Z42" i="7"/>
  <c r="Y42" i="7"/>
  <c r="X42" i="7"/>
  <c r="W42" i="7"/>
  <c r="V42" i="7"/>
  <c r="U42" i="7"/>
  <c r="T42" i="7"/>
  <c r="S42" i="7"/>
  <c r="R42" i="7"/>
  <c r="Q42" i="7"/>
  <c r="P42" i="7"/>
  <c r="O42" i="7"/>
  <c r="N42" i="7"/>
  <c r="M42" i="7"/>
  <c r="AQ42" i="7" s="1"/>
  <c r="I42" i="7"/>
  <c r="H42" i="7"/>
  <c r="F42" i="7"/>
  <c r="AV41" i="7"/>
  <c r="AR41" i="7"/>
  <c r="AQ41" i="7"/>
  <c r="AU41" i="7" s="1"/>
  <c r="AV40" i="7"/>
  <c r="AR40" i="7"/>
  <c r="AQ40" i="7"/>
  <c r="AU40" i="7" s="1"/>
  <c r="AV39" i="7"/>
  <c r="AX39" i="7" s="1"/>
  <c r="E39" i="7" s="1"/>
  <c r="AU39" i="7"/>
  <c r="AR39" i="7"/>
  <c r="AQ39" i="7"/>
  <c r="AV38" i="7"/>
  <c r="AX38" i="7" s="1"/>
  <c r="E38" i="7" s="1"/>
  <c r="AR38" i="7"/>
  <c r="AQ38" i="7"/>
  <c r="AU38" i="7" s="1"/>
  <c r="AX37" i="7"/>
  <c r="E37" i="7" s="1"/>
  <c r="AV37" i="7"/>
  <c r="AR37" i="7"/>
  <c r="AQ37" i="7"/>
  <c r="AU37" i="7" s="1"/>
  <c r="AX36" i="7"/>
  <c r="AV36" i="7"/>
  <c r="AR36" i="7"/>
  <c r="AQ36" i="7"/>
  <c r="AU36" i="7" s="1"/>
  <c r="E36" i="7"/>
  <c r="BA36" i="7" s="1"/>
  <c r="AV35" i="7"/>
  <c r="AX35" i="7" s="1"/>
  <c r="AR35" i="7"/>
  <c r="AQ35" i="7"/>
  <c r="AU35" i="7" s="1"/>
  <c r="AV34" i="7"/>
  <c r="AX34" i="7" s="1"/>
  <c r="AU34" i="7"/>
  <c r="AW34" i="7" s="1"/>
  <c r="AR34" i="7"/>
  <c r="AQ34" i="7"/>
  <c r="AX33" i="7"/>
  <c r="E33" i="7" s="1"/>
  <c r="AV33" i="7"/>
  <c r="AU33" i="7"/>
  <c r="AW33" i="7" s="1"/>
  <c r="AR33" i="7"/>
  <c r="AQ33" i="7"/>
  <c r="AV32" i="7"/>
  <c r="AX32" i="7" s="1"/>
  <c r="AR32" i="7"/>
  <c r="AQ32" i="7"/>
  <c r="AU32" i="7" s="1"/>
  <c r="AV31" i="7"/>
  <c r="AR31" i="7"/>
  <c r="AQ31" i="7"/>
  <c r="AU31" i="7" s="1"/>
  <c r="AX30" i="7"/>
  <c r="E30" i="7" s="1"/>
  <c r="AV30" i="7"/>
  <c r="AU30" i="7"/>
  <c r="AR30" i="7"/>
  <c r="AQ30" i="7"/>
  <c r="AX29" i="7"/>
  <c r="E29" i="7" s="1"/>
  <c r="AV29" i="7"/>
  <c r="AR29" i="7"/>
  <c r="AQ29" i="7"/>
  <c r="AU29" i="7" s="1"/>
  <c r="AV28" i="7"/>
  <c r="AR28" i="7"/>
  <c r="AQ28" i="7"/>
  <c r="AU28" i="7" s="1"/>
  <c r="AV27" i="7"/>
  <c r="AX27" i="7" s="1"/>
  <c r="E27" i="7" s="1"/>
  <c r="AU27" i="7"/>
  <c r="AR27" i="7"/>
  <c r="AQ27" i="7"/>
  <c r="AX26" i="7"/>
  <c r="E26" i="7" s="1"/>
  <c r="AV26" i="7"/>
  <c r="AU26" i="7"/>
  <c r="AW26" i="7" s="1"/>
  <c r="D26" i="7" s="1"/>
  <c r="AY26" i="7" s="1"/>
  <c r="AR26" i="7"/>
  <c r="AQ26" i="7"/>
  <c r="AX25" i="7"/>
  <c r="E25" i="7" s="1"/>
  <c r="AV25" i="7"/>
  <c r="AR25" i="7"/>
  <c r="AQ25" i="7"/>
  <c r="AU25" i="7" s="1"/>
  <c r="AX24" i="7"/>
  <c r="AV24" i="7"/>
  <c r="AT24" i="7"/>
  <c r="AS24" i="7"/>
  <c r="AP24" i="7"/>
  <c r="AO24" i="7"/>
  <c r="AN24" i="7"/>
  <c r="AM24" i="7"/>
  <c r="AL24" i="7"/>
  <c r="AK24" i="7"/>
  <c r="AJ24" i="7"/>
  <c r="AI24" i="7"/>
  <c r="AH24" i="7"/>
  <c r="AG24" i="7"/>
  <c r="AF24" i="7"/>
  <c r="AE24" i="7"/>
  <c r="AD24" i="7"/>
  <c r="AC24" i="7"/>
  <c r="AB24" i="7"/>
  <c r="AA24" i="7"/>
  <c r="Z24" i="7"/>
  <c r="Y24" i="7"/>
  <c r="X24" i="7"/>
  <c r="W24" i="7"/>
  <c r="V24" i="7"/>
  <c r="U24" i="7"/>
  <c r="T24" i="7"/>
  <c r="AR24" i="7" s="1"/>
  <c r="S24" i="7"/>
  <c r="R24" i="7"/>
  <c r="Q24" i="7"/>
  <c r="P24" i="7"/>
  <c r="O24" i="7"/>
  <c r="N24" i="7"/>
  <c r="M24" i="7"/>
  <c r="AQ24" i="7" s="1"/>
  <c r="L24" i="7"/>
  <c r="K24" i="7"/>
  <c r="I24" i="7"/>
  <c r="H24" i="7"/>
  <c r="F24" i="7"/>
  <c r="AX23" i="7"/>
  <c r="AV23" i="7"/>
  <c r="E23" i="7" s="1"/>
  <c r="AS23" i="7"/>
  <c r="AR23" i="7"/>
  <c r="AQ23" i="7"/>
  <c r="AU23" i="7" s="1"/>
  <c r="AW23" i="7" s="1"/>
  <c r="AZ22" i="7"/>
  <c r="AY22" i="7"/>
  <c r="AX22" i="7"/>
  <c r="AV22" i="7"/>
  <c r="AS22" i="7"/>
  <c r="D22" i="7" s="1"/>
  <c r="AR22" i="7"/>
  <c r="AQ22" i="7"/>
  <c r="AU22" i="7" s="1"/>
  <c r="AW22" i="7" s="1"/>
  <c r="AZ21" i="7"/>
  <c r="AY21" i="7"/>
  <c r="AX21" i="7"/>
  <c r="AV21" i="7"/>
  <c r="AS21" i="7"/>
  <c r="D21" i="7" s="1"/>
  <c r="AR21" i="7"/>
  <c r="AQ21" i="7"/>
  <c r="AU21" i="7" s="1"/>
  <c r="AW21" i="7" s="1"/>
  <c r="AZ20" i="7"/>
  <c r="AY20" i="7"/>
  <c r="AX20" i="7"/>
  <c r="AV20" i="7"/>
  <c r="AS20" i="7"/>
  <c r="AR20" i="7"/>
  <c r="AQ20" i="7"/>
  <c r="AU20" i="7" s="1"/>
  <c r="AW20" i="7" s="1"/>
  <c r="AZ19" i="7"/>
  <c r="AY19" i="7"/>
  <c r="AX19" i="7"/>
  <c r="AV19" i="7"/>
  <c r="AS19" i="7"/>
  <c r="AR19" i="7"/>
  <c r="AQ19" i="7"/>
  <c r="AU19" i="7" s="1"/>
  <c r="AW19" i="7" s="1"/>
  <c r="AZ18" i="7"/>
  <c r="AY18" i="7"/>
  <c r="AX18" i="7"/>
  <c r="AV18" i="7"/>
  <c r="AS18" i="7"/>
  <c r="D18" i="7" s="1"/>
  <c r="AR18" i="7"/>
  <c r="AQ18" i="7"/>
  <c r="AU18" i="7" s="1"/>
  <c r="AW18" i="7" s="1"/>
  <c r="AZ17" i="7"/>
  <c r="AT17" i="7"/>
  <c r="AV17" i="7" s="1"/>
  <c r="AS17" i="7"/>
  <c r="AP17" i="7"/>
  <c r="AO17" i="7"/>
  <c r="AN17" i="7"/>
  <c r="AM17" i="7"/>
  <c r="AL17" i="7"/>
  <c r="AK17" i="7"/>
  <c r="AJ17" i="7"/>
  <c r="AI17" i="7"/>
  <c r="AH17" i="7"/>
  <c r="AG17" i="7"/>
  <c r="AF17" i="7"/>
  <c r="AR17" i="7" s="1"/>
  <c r="AE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AQ17" i="7" s="1"/>
  <c r="L17" i="7"/>
  <c r="K17" i="7"/>
  <c r="AY17" i="7" s="1"/>
  <c r="I17" i="7"/>
  <c r="H17" i="7"/>
  <c r="AX61" i="6"/>
  <c r="E61" i="6" s="1"/>
  <c r="AV61" i="6"/>
  <c r="AR61" i="6"/>
  <c r="AQ61" i="6"/>
  <c r="AU61" i="6" s="1"/>
  <c r="AX60" i="6"/>
  <c r="AV60" i="6"/>
  <c r="AR60" i="6"/>
  <c r="AQ60" i="6"/>
  <c r="AU60" i="6" s="1"/>
  <c r="E60" i="6"/>
  <c r="AZ60" i="6" s="1"/>
  <c r="AV59" i="6"/>
  <c r="AX59" i="6" s="1"/>
  <c r="AR59" i="6"/>
  <c r="AQ59" i="6"/>
  <c r="AU59" i="6" s="1"/>
  <c r="AX58" i="6"/>
  <c r="AV58" i="6"/>
  <c r="E58" i="6" s="1"/>
  <c r="AU58" i="6"/>
  <c r="AW58" i="6" s="1"/>
  <c r="AR58" i="6"/>
  <c r="AQ58" i="6"/>
  <c r="AX57" i="6"/>
  <c r="AW57" i="6"/>
  <c r="AV57" i="6"/>
  <c r="E57" i="6" s="1"/>
  <c r="AU57" i="6"/>
  <c r="D57" i="6" s="1"/>
  <c r="AY57" i="6" s="1"/>
  <c r="AR57" i="6"/>
  <c r="AQ57" i="6"/>
  <c r="AX56" i="6"/>
  <c r="AV56" i="6"/>
  <c r="E56" i="6" s="1"/>
  <c r="AR56" i="6"/>
  <c r="AQ56" i="6"/>
  <c r="AU56" i="6" s="1"/>
  <c r="AV55" i="6"/>
  <c r="AX55" i="6" s="1"/>
  <c r="AT55" i="6"/>
  <c r="AP55" i="6"/>
  <c r="AO55" i="6"/>
  <c r="AN55" i="6"/>
  <c r="AM55" i="6"/>
  <c r="AL55" i="6"/>
  <c r="AK55" i="6"/>
  <c r="AJ55" i="6"/>
  <c r="AI55" i="6"/>
  <c r="AH55" i="6"/>
  <c r="AG55" i="6"/>
  <c r="AF55" i="6"/>
  <c r="AE55" i="6"/>
  <c r="AD55" i="6"/>
  <c r="AC55" i="6"/>
  <c r="AB55" i="6"/>
  <c r="AA55" i="6"/>
  <c r="Z55" i="6"/>
  <c r="Y55" i="6"/>
  <c r="X55" i="6"/>
  <c r="W55" i="6"/>
  <c r="V55" i="6"/>
  <c r="U55" i="6"/>
  <c r="T55" i="6"/>
  <c r="S55" i="6"/>
  <c r="AQ55" i="6" s="1"/>
  <c r="AU55" i="6" s="1"/>
  <c r="AW55" i="6" s="1"/>
  <c r="R55" i="6"/>
  <c r="Q55" i="6"/>
  <c r="P55" i="6"/>
  <c r="O55" i="6"/>
  <c r="N55" i="6"/>
  <c r="AR55" i="6" s="1"/>
  <c r="M55" i="6"/>
  <c r="F55" i="6"/>
  <c r="AV54" i="6"/>
  <c r="AX54" i="6" s="1"/>
  <c r="E54" i="6" s="1"/>
  <c r="AR54" i="6"/>
  <c r="AQ54" i="6"/>
  <c r="AU54" i="6" s="1"/>
  <c r="AX53" i="6"/>
  <c r="E53" i="6" s="1"/>
  <c r="AV53" i="6"/>
  <c r="AR53" i="6"/>
  <c r="AQ53" i="6"/>
  <c r="AU53" i="6" s="1"/>
  <c r="AT52" i="6"/>
  <c r="AV52" i="6" s="1"/>
  <c r="AX52" i="6" s="1"/>
  <c r="AP52" i="6"/>
  <c r="AO52" i="6"/>
  <c r="AN52" i="6"/>
  <c r="AM52" i="6"/>
  <c r="AL52" i="6"/>
  <c r="AK52" i="6"/>
  <c r="AJ52" i="6"/>
  <c r="AI52" i="6"/>
  <c r="AH52" i="6"/>
  <c r="AG52" i="6"/>
  <c r="AF52" i="6"/>
  <c r="AE52" i="6"/>
  <c r="AD52" i="6"/>
  <c r="AC52" i="6"/>
  <c r="AB52" i="6"/>
  <c r="AA52" i="6"/>
  <c r="Z52" i="6"/>
  <c r="Y52" i="6"/>
  <c r="X52" i="6"/>
  <c r="W52" i="6"/>
  <c r="V52" i="6"/>
  <c r="U52" i="6"/>
  <c r="T52" i="6"/>
  <c r="S52" i="6"/>
  <c r="R52" i="6"/>
  <c r="Q52" i="6"/>
  <c r="AQ52" i="6" s="1"/>
  <c r="P52" i="6"/>
  <c r="O52" i="6"/>
  <c r="N52" i="6"/>
  <c r="AR52" i="6" s="1"/>
  <c r="M52" i="6"/>
  <c r="I52" i="6"/>
  <c r="H52" i="6"/>
  <c r="F52" i="6"/>
  <c r="AX51" i="6"/>
  <c r="AW51" i="6"/>
  <c r="D51" i="6" s="1"/>
  <c r="AY51" i="6" s="1"/>
  <c r="AV51" i="6"/>
  <c r="E51" i="6" s="1"/>
  <c r="AU51" i="6"/>
  <c r="AR51" i="6"/>
  <c r="AQ51" i="6"/>
  <c r="AX50" i="6"/>
  <c r="AV50" i="6"/>
  <c r="E50" i="6" s="1"/>
  <c r="AR50" i="6"/>
  <c r="AQ50" i="6"/>
  <c r="AU50" i="6" s="1"/>
  <c r="AW50" i="6" s="1"/>
  <c r="D50" i="6" s="1"/>
  <c r="AY50" i="6" s="1"/>
  <c r="AW49" i="6"/>
  <c r="D49" i="6" s="1"/>
  <c r="AY49" i="6" s="1"/>
  <c r="AV49" i="6"/>
  <c r="AU49" i="6"/>
  <c r="AR49" i="6"/>
  <c r="AQ49" i="6"/>
  <c r="AV48" i="6"/>
  <c r="AU48" i="6"/>
  <c r="AR48" i="6"/>
  <c r="AQ48" i="6"/>
  <c r="AV47" i="6"/>
  <c r="AU47" i="6"/>
  <c r="AW47" i="6" s="1"/>
  <c r="AR47" i="6"/>
  <c r="AQ47" i="6"/>
  <c r="AT46" i="6"/>
  <c r="AP46" i="6"/>
  <c r="AO46" i="6"/>
  <c r="AN46" i="6"/>
  <c r="AM46" i="6"/>
  <c r="AL46" i="6"/>
  <c r="AK46" i="6"/>
  <c r="AJ46" i="6"/>
  <c r="AI46" i="6"/>
  <c r="AH46" i="6"/>
  <c r="AG46" i="6"/>
  <c r="AF46" i="6"/>
  <c r="AR46" i="6" s="1"/>
  <c r="AE46" i="6"/>
  <c r="AD46" i="6"/>
  <c r="AC46" i="6"/>
  <c r="AB46" i="6"/>
  <c r="AA46" i="6"/>
  <c r="Z46" i="6"/>
  <c r="Y46" i="6"/>
  <c r="X46" i="6"/>
  <c r="W46" i="6"/>
  <c r="V46" i="6"/>
  <c r="U46" i="6"/>
  <c r="T46" i="6"/>
  <c r="S46" i="6"/>
  <c r="AQ46" i="6" s="1"/>
  <c r="R46" i="6"/>
  <c r="Q46" i="6"/>
  <c r="P46" i="6"/>
  <c r="O46" i="6"/>
  <c r="N46" i="6"/>
  <c r="M46" i="6"/>
  <c r="I46" i="6"/>
  <c r="H46" i="6"/>
  <c r="F46" i="6"/>
  <c r="AX45" i="6"/>
  <c r="E45" i="6" s="1"/>
  <c r="AV45" i="6"/>
  <c r="AR45" i="6"/>
  <c r="AQ45" i="6"/>
  <c r="AU45" i="6" s="1"/>
  <c r="AX44" i="6"/>
  <c r="AV44" i="6"/>
  <c r="AR44" i="6"/>
  <c r="AQ44" i="6"/>
  <c r="AU44" i="6" s="1"/>
  <c r="E44" i="6"/>
  <c r="AZ44" i="6" s="1"/>
  <c r="AV43" i="6"/>
  <c r="AX43" i="6" s="1"/>
  <c r="AR43" i="6"/>
  <c r="AQ43" i="6"/>
  <c r="AU43" i="6" s="1"/>
  <c r="AX42" i="6"/>
  <c r="AV42" i="6"/>
  <c r="AT42" i="6"/>
  <c r="AP42" i="6"/>
  <c r="AO42" i="6"/>
  <c r="AN42" i="6"/>
  <c r="AM42" i="6"/>
  <c r="AL42" i="6"/>
  <c r="AK42" i="6"/>
  <c r="AJ42" i="6"/>
  <c r="AI42" i="6"/>
  <c r="AH42" i="6"/>
  <c r="AG42" i="6"/>
  <c r="AF42" i="6"/>
  <c r="AE42" i="6"/>
  <c r="AD42" i="6"/>
  <c r="AC42" i="6"/>
  <c r="AB42" i="6"/>
  <c r="AA42" i="6"/>
  <c r="Z42" i="6"/>
  <c r="Y42" i="6"/>
  <c r="X42" i="6"/>
  <c r="W42" i="6"/>
  <c r="V42" i="6"/>
  <c r="U42" i="6"/>
  <c r="T42" i="6"/>
  <c r="S42" i="6"/>
  <c r="R42" i="6"/>
  <c r="Q42" i="6"/>
  <c r="P42" i="6"/>
  <c r="O42" i="6"/>
  <c r="N42" i="6"/>
  <c r="AR42" i="6" s="1"/>
  <c r="M42" i="6"/>
  <c r="AQ42" i="6" s="1"/>
  <c r="AU42" i="6" s="1"/>
  <c r="AW42" i="6" s="1"/>
  <c r="I42" i="6"/>
  <c r="H42" i="6"/>
  <c r="F42" i="6"/>
  <c r="AW41" i="6"/>
  <c r="AV41" i="6"/>
  <c r="AU41" i="6"/>
  <c r="D41" i="6" s="1"/>
  <c r="AY41" i="6" s="1"/>
  <c r="AR41" i="6"/>
  <c r="AQ41" i="6"/>
  <c r="AV40" i="6"/>
  <c r="AX40" i="6" s="1"/>
  <c r="AU40" i="6"/>
  <c r="AR40" i="6"/>
  <c r="AQ40" i="6"/>
  <c r="AV39" i="6"/>
  <c r="AX39" i="6" s="1"/>
  <c r="E39" i="6" s="1"/>
  <c r="AU39" i="6"/>
  <c r="AR39" i="6"/>
  <c r="AQ39" i="6"/>
  <c r="AV38" i="6"/>
  <c r="AR38" i="6"/>
  <c r="AQ38" i="6"/>
  <c r="AU38" i="6" s="1"/>
  <c r="AV37" i="6"/>
  <c r="AX37" i="6" s="1"/>
  <c r="E37" i="6" s="1"/>
  <c r="AR37" i="6"/>
  <c r="AQ37" i="6"/>
  <c r="AU37" i="6" s="1"/>
  <c r="AV36" i="6"/>
  <c r="AX36" i="6" s="1"/>
  <c r="E36" i="6" s="1"/>
  <c r="AR36" i="6"/>
  <c r="AQ36" i="6"/>
  <c r="AU36" i="6" s="1"/>
  <c r="BA35" i="6"/>
  <c r="AX35" i="6"/>
  <c r="AV35" i="6"/>
  <c r="AR35" i="6"/>
  <c r="AQ35" i="6"/>
  <c r="AU35" i="6" s="1"/>
  <c r="E35" i="6"/>
  <c r="AZ35" i="6" s="1"/>
  <c r="AV34" i="6"/>
  <c r="AX34" i="6" s="1"/>
  <c r="E34" i="6" s="1"/>
  <c r="AR34" i="6"/>
  <c r="AQ34" i="6"/>
  <c r="AU34" i="6" s="1"/>
  <c r="AV33" i="6"/>
  <c r="AX33" i="6" s="1"/>
  <c r="E33" i="6" s="1"/>
  <c r="AR33" i="6"/>
  <c r="AQ33" i="6"/>
  <c r="AU33" i="6" s="1"/>
  <c r="AX32" i="6"/>
  <c r="E32" i="6" s="1"/>
  <c r="AV32" i="6"/>
  <c r="AR32" i="6"/>
  <c r="AQ32" i="6"/>
  <c r="AU32" i="6" s="1"/>
  <c r="AX31" i="6"/>
  <c r="E31" i="6" s="1"/>
  <c r="AV31" i="6"/>
  <c r="AR31" i="6"/>
  <c r="AQ31" i="6"/>
  <c r="AU31" i="6" s="1"/>
  <c r="AX30" i="6"/>
  <c r="AV30" i="6"/>
  <c r="E30" i="6" s="1"/>
  <c r="AR30" i="6"/>
  <c r="AQ30" i="6"/>
  <c r="AU30" i="6" s="1"/>
  <c r="AW29" i="6"/>
  <c r="AV29" i="6"/>
  <c r="AU29" i="6"/>
  <c r="D29" i="6" s="1"/>
  <c r="AY29" i="6" s="1"/>
  <c r="AR29" i="6"/>
  <c r="AQ29" i="6"/>
  <c r="AV28" i="6"/>
  <c r="AX28" i="6" s="1"/>
  <c r="AU28" i="6"/>
  <c r="AR28" i="6"/>
  <c r="AQ28" i="6"/>
  <c r="AV27" i="6"/>
  <c r="AU27" i="6"/>
  <c r="AR27" i="6"/>
  <c r="AQ27" i="6"/>
  <c r="AV26" i="6"/>
  <c r="AR26" i="6"/>
  <c r="AQ26" i="6"/>
  <c r="AU26" i="6" s="1"/>
  <c r="AV25" i="6"/>
  <c r="AX25" i="6" s="1"/>
  <c r="E25" i="6" s="1"/>
  <c r="AR25" i="6"/>
  <c r="AQ25" i="6"/>
  <c r="AU25" i="6" s="1"/>
  <c r="AT24" i="6"/>
  <c r="AS24" i="6"/>
  <c r="AP24" i="6"/>
  <c r="AO24" i="6"/>
  <c r="AN24" i="6"/>
  <c r="AM24" i="6"/>
  <c r="AL24" i="6"/>
  <c r="AK24" i="6"/>
  <c r="AJ24" i="6"/>
  <c r="AI24" i="6"/>
  <c r="AH24" i="6"/>
  <c r="AG24" i="6"/>
  <c r="AF24" i="6"/>
  <c r="AR24" i="6" s="1"/>
  <c r="AE24" i="6"/>
  <c r="AD24" i="6"/>
  <c r="AC24" i="6"/>
  <c r="AB24" i="6"/>
  <c r="AA24" i="6"/>
  <c r="Z24" i="6"/>
  <c r="Y24" i="6"/>
  <c r="X24" i="6"/>
  <c r="W24" i="6"/>
  <c r="V24" i="6"/>
  <c r="U24" i="6"/>
  <c r="T24" i="6"/>
  <c r="S24" i="6"/>
  <c r="AQ24" i="6" s="1"/>
  <c r="R24" i="6"/>
  <c r="Q24" i="6"/>
  <c r="P24" i="6"/>
  <c r="O24" i="6"/>
  <c r="N24" i="6"/>
  <c r="M24" i="6"/>
  <c r="L24" i="6"/>
  <c r="K24" i="6"/>
  <c r="I24" i="6"/>
  <c r="H24" i="6"/>
  <c r="F24" i="6"/>
  <c r="AV23" i="6"/>
  <c r="AX23" i="6" s="1"/>
  <c r="E23" i="6" s="1"/>
  <c r="AS23" i="6"/>
  <c r="D23" i="6" s="1"/>
  <c r="AY23" i="6" s="1"/>
  <c r="AR23" i="6"/>
  <c r="AQ23" i="6"/>
  <c r="AU23" i="6" s="1"/>
  <c r="AW23" i="6" s="1"/>
  <c r="AZ22" i="6"/>
  <c r="AY22" i="6"/>
  <c r="AV22" i="6"/>
  <c r="AX22" i="6" s="1"/>
  <c r="AS22" i="6"/>
  <c r="AR22" i="6"/>
  <c r="AQ22" i="6"/>
  <c r="AU22" i="6" s="1"/>
  <c r="AW22" i="6" s="1"/>
  <c r="AZ21" i="6"/>
  <c r="AY21" i="6"/>
  <c r="AV21" i="6"/>
  <c r="AX21" i="6" s="1"/>
  <c r="AS21" i="6"/>
  <c r="D21" i="6" s="1"/>
  <c r="AR21" i="6"/>
  <c r="AQ21" i="6"/>
  <c r="AU21" i="6" s="1"/>
  <c r="AW21" i="6" s="1"/>
  <c r="AZ20" i="6"/>
  <c r="AY20" i="6"/>
  <c r="AV20" i="6"/>
  <c r="AX20" i="6" s="1"/>
  <c r="AS20" i="6"/>
  <c r="AR20" i="6"/>
  <c r="AQ20" i="6"/>
  <c r="AU20" i="6" s="1"/>
  <c r="AW20" i="6" s="1"/>
  <c r="AZ19" i="6"/>
  <c r="AY19" i="6"/>
  <c r="AV19" i="6"/>
  <c r="AX19" i="6" s="1"/>
  <c r="AS19" i="6"/>
  <c r="D19" i="6" s="1"/>
  <c r="AR19" i="6"/>
  <c r="AQ19" i="6"/>
  <c r="AU19" i="6" s="1"/>
  <c r="AW19" i="6" s="1"/>
  <c r="AZ18" i="6"/>
  <c r="AY18" i="6"/>
  <c r="AV18" i="6"/>
  <c r="AX18" i="6" s="1"/>
  <c r="AS18" i="6"/>
  <c r="AR18" i="6"/>
  <c r="AQ18" i="6"/>
  <c r="AU18" i="6" s="1"/>
  <c r="AW18" i="6" s="1"/>
  <c r="AT17" i="6"/>
  <c r="AR17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AQ17" i="6" s="1"/>
  <c r="R17" i="6"/>
  <c r="Q17" i="6"/>
  <c r="P17" i="6"/>
  <c r="O17" i="6"/>
  <c r="N17" i="6"/>
  <c r="M17" i="6"/>
  <c r="L17" i="6"/>
  <c r="AZ17" i="6" s="1"/>
  <c r="K17" i="6"/>
  <c r="AY17" i="6" s="1"/>
  <c r="I17" i="6"/>
  <c r="H17" i="6"/>
  <c r="AX61" i="5"/>
  <c r="E61" i="5" s="1"/>
  <c r="AV61" i="5"/>
  <c r="AR61" i="5"/>
  <c r="AQ61" i="5"/>
  <c r="AU61" i="5" s="1"/>
  <c r="AV60" i="5"/>
  <c r="AX60" i="5" s="1"/>
  <c r="AR60" i="5"/>
  <c r="AQ60" i="5"/>
  <c r="AU60" i="5" s="1"/>
  <c r="AV59" i="5"/>
  <c r="AX59" i="5" s="1"/>
  <c r="AU59" i="5"/>
  <c r="AW59" i="5" s="1"/>
  <c r="AR59" i="5"/>
  <c r="AQ59" i="5"/>
  <c r="AV58" i="5"/>
  <c r="AX58" i="5" s="1"/>
  <c r="AU58" i="5"/>
  <c r="AW58" i="5" s="1"/>
  <c r="AR58" i="5"/>
  <c r="AQ58" i="5"/>
  <c r="AX57" i="5"/>
  <c r="AV57" i="5"/>
  <c r="E57" i="5" s="1"/>
  <c r="AR57" i="5"/>
  <c r="AQ57" i="5"/>
  <c r="AU57" i="5" s="1"/>
  <c r="AV56" i="5"/>
  <c r="AX56" i="5" s="1"/>
  <c r="E56" i="5" s="1"/>
  <c r="AR56" i="5"/>
  <c r="AQ56" i="5"/>
  <c r="AU56" i="5" s="1"/>
  <c r="AV55" i="5"/>
  <c r="AX55" i="5" s="1"/>
  <c r="AT55" i="5"/>
  <c r="AP55" i="5"/>
  <c r="AO55" i="5"/>
  <c r="AN55" i="5"/>
  <c r="AM55" i="5"/>
  <c r="AL55" i="5"/>
  <c r="AK55" i="5"/>
  <c r="AJ55" i="5"/>
  <c r="AI55" i="5"/>
  <c r="AH55" i="5"/>
  <c r="AG55" i="5"/>
  <c r="AF55" i="5"/>
  <c r="AE55" i="5"/>
  <c r="AD55" i="5"/>
  <c r="AC55" i="5"/>
  <c r="AB55" i="5"/>
  <c r="AA55" i="5"/>
  <c r="Z55" i="5"/>
  <c r="Y55" i="5"/>
  <c r="X55" i="5"/>
  <c r="W55" i="5"/>
  <c r="V55" i="5"/>
  <c r="U55" i="5"/>
  <c r="T55" i="5"/>
  <c r="S55" i="5"/>
  <c r="AQ55" i="5" s="1"/>
  <c r="R55" i="5"/>
  <c r="AR55" i="5" s="1"/>
  <c r="Q55" i="5"/>
  <c r="P55" i="5"/>
  <c r="O55" i="5"/>
  <c r="N55" i="5"/>
  <c r="M55" i="5"/>
  <c r="F55" i="5"/>
  <c r="AX54" i="5"/>
  <c r="AV54" i="5"/>
  <c r="E54" i="5" s="1"/>
  <c r="AU54" i="5"/>
  <c r="AW54" i="5" s="1"/>
  <c r="D54" i="5" s="1"/>
  <c r="AY54" i="5" s="1"/>
  <c r="AR54" i="5"/>
  <c r="AQ54" i="5"/>
  <c r="AX53" i="5"/>
  <c r="E53" i="5" s="1"/>
  <c r="AW53" i="5"/>
  <c r="AV53" i="5"/>
  <c r="AU53" i="5"/>
  <c r="D53" i="5" s="1"/>
  <c r="AR53" i="5"/>
  <c r="AQ53" i="5"/>
  <c r="AV52" i="5"/>
  <c r="AX52" i="5" s="1"/>
  <c r="AT52" i="5"/>
  <c r="AP52" i="5"/>
  <c r="AO52" i="5"/>
  <c r="AN52" i="5"/>
  <c r="AM52" i="5"/>
  <c r="AL52" i="5"/>
  <c r="AK52" i="5"/>
  <c r="AJ52" i="5"/>
  <c r="AI52" i="5"/>
  <c r="AH52" i="5"/>
  <c r="AG52" i="5"/>
  <c r="AF52" i="5"/>
  <c r="AE52" i="5"/>
  <c r="AD52" i="5"/>
  <c r="AC52" i="5"/>
  <c r="AB52" i="5"/>
  <c r="AA52" i="5"/>
  <c r="Z52" i="5"/>
  <c r="Y52" i="5"/>
  <c r="X52" i="5"/>
  <c r="W52" i="5"/>
  <c r="V52" i="5"/>
  <c r="U52" i="5"/>
  <c r="T52" i="5"/>
  <c r="S52" i="5"/>
  <c r="R52" i="5"/>
  <c r="Q52" i="5"/>
  <c r="P52" i="5"/>
  <c r="AR52" i="5" s="1"/>
  <c r="O52" i="5"/>
  <c r="N52" i="5"/>
  <c r="M52" i="5"/>
  <c r="AQ52" i="5" s="1"/>
  <c r="AU52" i="5" s="1"/>
  <c r="AW52" i="5" s="1"/>
  <c r="I52" i="5"/>
  <c r="H52" i="5"/>
  <c r="F52" i="5"/>
  <c r="AX51" i="5"/>
  <c r="AV51" i="5"/>
  <c r="E51" i="5" s="1"/>
  <c r="AR51" i="5"/>
  <c r="AQ51" i="5"/>
  <c r="AU51" i="5" s="1"/>
  <c r="AW51" i="5" s="1"/>
  <c r="D51" i="5" s="1"/>
  <c r="AY51" i="5" s="1"/>
  <c r="AV50" i="5"/>
  <c r="AX50" i="5" s="1"/>
  <c r="E50" i="5" s="1"/>
  <c r="AR50" i="5"/>
  <c r="AQ50" i="5"/>
  <c r="AU50" i="5" s="1"/>
  <c r="AW50" i="5" s="1"/>
  <c r="D50" i="5" s="1"/>
  <c r="AY50" i="5" s="1"/>
  <c r="AV49" i="5"/>
  <c r="AR49" i="5"/>
  <c r="AQ49" i="5"/>
  <c r="AU49" i="5" s="1"/>
  <c r="AW49" i="5" s="1"/>
  <c r="D49" i="5" s="1"/>
  <c r="AY49" i="5" s="1"/>
  <c r="AV48" i="5"/>
  <c r="AX48" i="5" s="1"/>
  <c r="E48" i="5" s="1"/>
  <c r="AU48" i="5"/>
  <c r="AR48" i="5"/>
  <c r="AQ48" i="5"/>
  <c r="AX47" i="5"/>
  <c r="AV47" i="5"/>
  <c r="E47" i="5" s="1"/>
  <c r="AR47" i="5"/>
  <c r="AQ47" i="5"/>
  <c r="AU47" i="5" s="1"/>
  <c r="AT46" i="5"/>
  <c r="AV46" i="5" s="1"/>
  <c r="AX46" i="5" s="1"/>
  <c r="AR46" i="5"/>
  <c r="AP46" i="5"/>
  <c r="AO46" i="5"/>
  <c r="AN46" i="5"/>
  <c r="AM46" i="5"/>
  <c r="AL46" i="5"/>
  <c r="AK46" i="5"/>
  <c r="AJ46" i="5"/>
  <c r="AI46" i="5"/>
  <c r="AH46" i="5"/>
  <c r="AG46" i="5"/>
  <c r="AF46" i="5"/>
  <c r="AE46" i="5"/>
  <c r="AD46" i="5"/>
  <c r="AC46" i="5"/>
  <c r="AB46" i="5"/>
  <c r="AA46" i="5"/>
  <c r="Z46" i="5"/>
  <c r="Y46" i="5"/>
  <c r="X46" i="5"/>
  <c r="W46" i="5"/>
  <c r="V46" i="5"/>
  <c r="U46" i="5"/>
  <c r="T46" i="5"/>
  <c r="S46" i="5"/>
  <c r="R46" i="5"/>
  <c r="Q46" i="5"/>
  <c r="P46" i="5"/>
  <c r="O46" i="5"/>
  <c r="AQ46" i="5" s="1"/>
  <c r="AU46" i="5" s="1"/>
  <c r="AW46" i="5" s="1"/>
  <c r="N46" i="5"/>
  <c r="M46" i="5"/>
  <c r="I46" i="5"/>
  <c r="H46" i="5"/>
  <c r="F46" i="5"/>
  <c r="AX45" i="5"/>
  <c r="E45" i="5" s="1"/>
  <c r="AW45" i="5"/>
  <c r="AV45" i="5"/>
  <c r="AU45" i="5"/>
  <c r="D45" i="5" s="1"/>
  <c r="AY45" i="5" s="1"/>
  <c r="AR45" i="5"/>
  <c r="AQ45" i="5"/>
  <c r="AV44" i="5"/>
  <c r="AX44" i="5" s="1"/>
  <c r="AR44" i="5"/>
  <c r="AQ44" i="5"/>
  <c r="AU44" i="5" s="1"/>
  <c r="AV43" i="5"/>
  <c r="AX43" i="5" s="1"/>
  <c r="AU43" i="5"/>
  <c r="AW43" i="5" s="1"/>
  <c r="AR43" i="5"/>
  <c r="AQ43" i="5"/>
  <c r="AT42" i="5"/>
  <c r="AP42" i="5"/>
  <c r="AO42" i="5"/>
  <c r="AN42" i="5"/>
  <c r="AM42" i="5"/>
  <c r="AL42" i="5"/>
  <c r="AK42" i="5"/>
  <c r="AJ42" i="5"/>
  <c r="AI42" i="5"/>
  <c r="AH42" i="5"/>
  <c r="AG42" i="5"/>
  <c r="AF42" i="5"/>
  <c r="AE42" i="5"/>
  <c r="AD42" i="5"/>
  <c r="AC42" i="5"/>
  <c r="AB42" i="5"/>
  <c r="AA42" i="5"/>
  <c r="Z42" i="5"/>
  <c r="Y42" i="5"/>
  <c r="X42" i="5"/>
  <c r="W42" i="5"/>
  <c r="V42" i="5"/>
  <c r="U42" i="5"/>
  <c r="T42" i="5"/>
  <c r="S42" i="5"/>
  <c r="R42" i="5"/>
  <c r="Q42" i="5"/>
  <c r="P42" i="5"/>
  <c r="O42" i="5"/>
  <c r="N42" i="5"/>
  <c r="AR42" i="5" s="1"/>
  <c r="M42" i="5"/>
  <c r="AQ42" i="5" s="1"/>
  <c r="AU42" i="5" s="1"/>
  <c r="I42" i="5"/>
  <c r="H42" i="5"/>
  <c r="F42" i="5"/>
  <c r="AV41" i="5"/>
  <c r="AR41" i="5"/>
  <c r="AQ41" i="5"/>
  <c r="AU41" i="5" s="1"/>
  <c r="AV40" i="5"/>
  <c r="AX40" i="5" s="1"/>
  <c r="E40" i="5" s="1"/>
  <c r="AU40" i="5"/>
  <c r="AR40" i="5"/>
  <c r="AQ40" i="5"/>
  <c r="AX39" i="5"/>
  <c r="E39" i="5" s="1"/>
  <c r="AV39" i="5"/>
  <c r="AR39" i="5"/>
  <c r="AQ39" i="5"/>
  <c r="AU39" i="5" s="1"/>
  <c r="AV38" i="5"/>
  <c r="AX38" i="5" s="1"/>
  <c r="E38" i="5" s="1"/>
  <c r="AR38" i="5"/>
  <c r="AQ38" i="5"/>
  <c r="AU38" i="5" s="1"/>
  <c r="AV37" i="5"/>
  <c r="AX37" i="5" s="1"/>
  <c r="E37" i="5" s="1"/>
  <c r="AR37" i="5"/>
  <c r="AQ37" i="5"/>
  <c r="AU37" i="5" s="1"/>
  <c r="AX36" i="5"/>
  <c r="E36" i="5" s="1"/>
  <c r="AV36" i="5"/>
  <c r="AU36" i="5"/>
  <c r="AW36" i="5" s="1"/>
  <c r="D36" i="5" s="1"/>
  <c r="AY36" i="5" s="1"/>
  <c r="AR36" i="5"/>
  <c r="AQ36" i="5"/>
  <c r="AX35" i="5"/>
  <c r="E35" i="5" s="1"/>
  <c r="AV35" i="5"/>
  <c r="AR35" i="5"/>
  <c r="AQ35" i="5"/>
  <c r="AU35" i="5" s="1"/>
  <c r="AV34" i="5"/>
  <c r="AX34" i="5" s="1"/>
  <c r="AR34" i="5"/>
  <c r="AQ34" i="5"/>
  <c r="AU34" i="5" s="1"/>
  <c r="AV33" i="5"/>
  <c r="AX33" i="5" s="1"/>
  <c r="AU33" i="5"/>
  <c r="AW33" i="5" s="1"/>
  <c r="AR33" i="5"/>
  <c r="AQ33" i="5"/>
  <c r="AV32" i="5"/>
  <c r="AX32" i="5" s="1"/>
  <c r="AU32" i="5"/>
  <c r="AW32" i="5" s="1"/>
  <c r="AR32" i="5"/>
  <c r="AQ32" i="5"/>
  <c r="AX31" i="5"/>
  <c r="AV31" i="5"/>
  <c r="E31" i="5" s="1"/>
  <c r="AR31" i="5"/>
  <c r="AQ31" i="5"/>
  <c r="AU31" i="5" s="1"/>
  <c r="AV30" i="5"/>
  <c r="AX30" i="5" s="1"/>
  <c r="E30" i="5" s="1"/>
  <c r="AR30" i="5"/>
  <c r="AQ30" i="5"/>
  <c r="AU30" i="5" s="1"/>
  <c r="AV29" i="5"/>
  <c r="AR29" i="5"/>
  <c r="AQ29" i="5"/>
  <c r="AU29" i="5" s="1"/>
  <c r="AV28" i="5"/>
  <c r="AX28" i="5" s="1"/>
  <c r="E28" i="5" s="1"/>
  <c r="AU28" i="5"/>
  <c r="AR28" i="5"/>
  <c r="AQ28" i="5"/>
  <c r="AX27" i="5"/>
  <c r="AV27" i="5"/>
  <c r="E27" i="5" s="1"/>
  <c r="AR27" i="5"/>
  <c r="AQ27" i="5"/>
  <c r="AU27" i="5" s="1"/>
  <c r="AV26" i="5"/>
  <c r="AX26" i="5" s="1"/>
  <c r="E26" i="5" s="1"/>
  <c r="AR26" i="5"/>
  <c r="AQ26" i="5"/>
  <c r="AU26" i="5" s="1"/>
  <c r="AV25" i="5"/>
  <c r="AX25" i="5" s="1"/>
  <c r="E25" i="5" s="1"/>
  <c r="AR25" i="5"/>
  <c r="AQ25" i="5"/>
  <c r="AU25" i="5" s="1"/>
  <c r="AT24" i="5"/>
  <c r="AS24" i="5"/>
  <c r="AP24" i="5"/>
  <c r="AO24" i="5"/>
  <c r="AN24" i="5"/>
  <c r="AM24" i="5"/>
  <c r="AL24" i="5"/>
  <c r="AK24" i="5"/>
  <c r="AJ24" i="5"/>
  <c r="AI24" i="5"/>
  <c r="AH24" i="5"/>
  <c r="AG24" i="5"/>
  <c r="AF24" i="5"/>
  <c r="AE24" i="5"/>
  <c r="AD24" i="5"/>
  <c r="AC24" i="5"/>
  <c r="AB24" i="5"/>
  <c r="AA24" i="5"/>
  <c r="Z24" i="5"/>
  <c r="Y24" i="5"/>
  <c r="X24" i="5"/>
  <c r="W24" i="5"/>
  <c r="V24" i="5"/>
  <c r="U24" i="5"/>
  <c r="T24" i="5"/>
  <c r="S24" i="5"/>
  <c r="AQ24" i="5" s="1"/>
  <c r="AU24" i="5" s="1"/>
  <c r="R24" i="5"/>
  <c r="Q24" i="5"/>
  <c r="P24" i="5"/>
  <c r="O24" i="5"/>
  <c r="N24" i="5"/>
  <c r="AR24" i="5" s="1"/>
  <c r="M24" i="5"/>
  <c r="L24" i="5"/>
  <c r="K24" i="5"/>
  <c r="I24" i="5"/>
  <c r="H24" i="5"/>
  <c r="F24" i="5"/>
  <c r="AX23" i="5"/>
  <c r="AV23" i="5"/>
  <c r="AU23" i="5"/>
  <c r="AW23" i="5" s="1"/>
  <c r="D23" i="5" s="1"/>
  <c r="AY23" i="5" s="1"/>
  <c r="AS23" i="5"/>
  <c r="AR23" i="5"/>
  <c r="AQ23" i="5"/>
  <c r="E23" i="5"/>
  <c r="BA23" i="5" s="1"/>
  <c r="AZ22" i="5"/>
  <c r="AY22" i="5"/>
  <c r="AX22" i="5"/>
  <c r="AV22" i="5"/>
  <c r="AU22" i="5"/>
  <c r="AW22" i="5" s="1"/>
  <c r="D22" i="5" s="1"/>
  <c r="AS22" i="5"/>
  <c r="AR22" i="5"/>
  <c r="AQ22" i="5"/>
  <c r="E22" i="5"/>
  <c r="BA22" i="5" s="1"/>
  <c r="AZ21" i="5"/>
  <c r="AY21" i="5"/>
  <c r="AX21" i="5"/>
  <c r="AV21" i="5"/>
  <c r="AU21" i="5"/>
  <c r="AW21" i="5" s="1"/>
  <c r="AS21" i="5"/>
  <c r="D21" i="5" s="1"/>
  <c r="AR21" i="5"/>
  <c r="AQ21" i="5"/>
  <c r="E21" i="5"/>
  <c r="BA21" i="5" s="1"/>
  <c r="AZ20" i="5"/>
  <c r="AY20" i="5"/>
  <c r="AX20" i="5"/>
  <c r="AV20" i="5"/>
  <c r="AU20" i="5"/>
  <c r="AW20" i="5" s="1"/>
  <c r="AS20" i="5"/>
  <c r="AR20" i="5"/>
  <c r="AQ20" i="5"/>
  <c r="E20" i="5"/>
  <c r="BA20" i="5" s="1"/>
  <c r="AZ19" i="5"/>
  <c r="AY19" i="5"/>
  <c r="AX19" i="5"/>
  <c r="AV19" i="5"/>
  <c r="AU19" i="5"/>
  <c r="AW19" i="5" s="1"/>
  <c r="D19" i="5" s="1"/>
  <c r="AS19" i="5"/>
  <c r="AR19" i="5"/>
  <c r="AQ19" i="5"/>
  <c r="E19" i="5"/>
  <c r="BA19" i="5" s="1"/>
  <c r="AZ18" i="5"/>
  <c r="AY18" i="5"/>
  <c r="AX18" i="5"/>
  <c r="AV18" i="5"/>
  <c r="AU18" i="5"/>
  <c r="AW18" i="5" s="1"/>
  <c r="AS18" i="5"/>
  <c r="D18" i="5" s="1"/>
  <c r="AR18" i="5"/>
  <c r="AQ18" i="5"/>
  <c r="E18" i="5"/>
  <c r="BA18" i="5" s="1"/>
  <c r="AZ17" i="5"/>
  <c r="AY17" i="5"/>
  <c r="AX17" i="5"/>
  <c r="E17" i="5" s="1"/>
  <c r="AV17" i="5"/>
  <c r="AT17" i="5"/>
  <c r="AS17" i="5"/>
  <c r="AP17" i="5"/>
  <c r="AO17" i="5"/>
  <c r="AN17" i="5"/>
  <c r="AM17" i="5"/>
  <c r="AL17" i="5"/>
  <c r="AK17" i="5"/>
  <c r="AJ17" i="5"/>
  <c r="AI17" i="5"/>
  <c r="AH17" i="5"/>
  <c r="AG17" i="5"/>
  <c r="AF17" i="5"/>
  <c r="AE17" i="5"/>
  <c r="AD17" i="5"/>
  <c r="AC17" i="5"/>
  <c r="AB17" i="5"/>
  <c r="AA17" i="5"/>
  <c r="Z17" i="5"/>
  <c r="Y17" i="5"/>
  <c r="X17" i="5"/>
  <c r="W17" i="5"/>
  <c r="V17" i="5"/>
  <c r="U17" i="5"/>
  <c r="T17" i="5"/>
  <c r="S17" i="5"/>
  <c r="AQ17" i="5" s="1"/>
  <c r="AU17" i="5" s="1"/>
  <c r="R17" i="5"/>
  <c r="Q17" i="5"/>
  <c r="P17" i="5"/>
  <c r="O17" i="5"/>
  <c r="N17" i="5"/>
  <c r="AR17" i="5" s="1"/>
  <c r="M17" i="5"/>
  <c r="L17" i="5"/>
  <c r="K17" i="5"/>
  <c r="I17" i="5"/>
  <c r="H17" i="5"/>
  <c r="AV61" i="4"/>
  <c r="AX61" i="4" s="1"/>
  <c r="E61" i="4" s="1"/>
  <c r="AR61" i="4"/>
  <c r="AQ61" i="4"/>
  <c r="AU61" i="4" s="1"/>
  <c r="AV60" i="4"/>
  <c r="AX60" i="4" s="1"/>
  <c r="E60" i="4" s="1"/>
  <c r="AR60" i="4"/>
  <c r="AQ60" i="4"/>
  <c r="AU60" i="4" s="1"/>
  <c r="AV59" i="4"/>
  <c r="AX59" i="4" s="1"/>
  <c r="E59" i="4" s="1"/>
  <c r="AR59" i="4"/>
  <c r="AQ59" i="4"/>
  <c r="AU59" i="4" s="1"/>
  <c r="AV58" i="4"/>
  <c r="AX58" i="4" s="1"/>
  <c r="E58" i="4" s="1"/>
  <c r="AR58" i="4"/>
  <c r="AQ58" i="4"/>
  <c r="AU58" i="4" s="1"/>
  <c r="AX57" i="4"/>
  <c r="E57" i="4" s="1"/>
  <c r="AV57" i="4"/>
  <c r="AR57" i="4"/>
  <c r="AQ57" i="4"/>
  <c r="AU57" i="4" s="1"/>
  <c r="AX56" i="4"/>
  <c r="E56" i="4" s="1"/>
  <c r="AV56" i="4"/>
  <c r="AR56" i="4"/>
  <c r="AQ56" i="4"/>
  <c r="AU56" i="4" s="1"/>
  <c r="AV55" i="4"/>
  <c r="AX55" i="4" s="1"/>
  <c r="AT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AR55" i="4" s="1"/>
  <c r="M55" i="4"/>
  <c r="AQ55" i="4" s="1"/>
  <c r="F55" i="4"/>
  <c r="AV54" i="4"/>
  <c r="AX54" i="4" s="1"/>
  <c r="E54" i="4" s="1"/>
  <c r="AR54" i="4"/>
  <c r="AQ54" i="4"/>
  <c r="AU54" i="4" s="1"/>
  <c r="AV53" i="4"/>
  <c r="AX53" i="4" s="1"/>
  <c r="E53" i="4" s="1"/>
  <c r="AR53" i="4"/>
  <c r="AQ53" i="4"/>
  <c r="AU53" i="4" s="1"/>
  <c r="AT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AQ52" i="4" s="1"/>
  <c r="R52" i="4"/>
  <c r="Q52" i="4"/>
  <c r="P52" i="4"/>
  <c r="AR52" i="4" s="1"/>
  <c r="O52" i="4"/>
  <c r="N52" i="4"/>
  <c r="M52" i="4"/>
  <c r="I52" i="4"/>
  <c r="H52" i="4"/>
  <c r="F52" i="4"/>
  <c r="AX51" i="4"/>
  <c r="AV51" i="4"/>
  <c r="E51" i="4" s="1"/>
  <c r="AR51" i="4"/>
  <c r="AQ51" i="4"/>
  <c r="AU51" i="4" s="1"/>
  <c r="AW51" i="4" s="1"/>
  <c r="D51" i="4" s="1"/>
  <c r="AY51" i="4" s="1"/>
  <c r="AX50" i="4"/>
  <c r="E50" i="4" s="1"/>
  <c r="AV50" i="4"/>
  <c r="AR50" i="4"/>
  <c r="AQ50" i="4"/>
  <c r="AU50" i="4" s="1"/>
  <c r="AW50" i="4" s="1"/>
  <c r="D50" i="4" s="1"/>
  <c r="AY50" i="4" s="1"/>
  <c r="AV49" i="4"/>
  <c r="AR49" i="4"/>
  <c r="AQ49" i="4"/>
  <c r="AU49" i="4" s="1"/>
  <c r="AW49" i="4" s="1"/>
  <c r="D49" i="4" s="1"/>
  <c r="AY49" i="4" s="1"/>
  <c r="AV48" i="4"/>
  <c r="AU48" i="4"/>
  <c r="AR48" i="4"/>
  <c r="AQ48" i="4"/>
  <c r="AV47" i="4"/>
  <c r="AU47" i="4"/>
  <c r="AR47" i="4"/>
  <c r="AQ47" i="4"/>
  <c r="AT46" i="4"/>
  <c r="AP46" i="4"/>
  <c r="AO46" i="4"/>
  <c r="AN46" i="4"/>
  <c r="AM46" i="4"/>
  <c r="AL46" i="4"/>
  <c r="AK46" i="4"/>
  <c r="AJ46" i="4"/>
  <c r="AI46" i="4"/>
  <c r="AH46" i="4"/>
  <c r="AG46" i="4"/>
  <c r="AF46" i="4"/>
  <c r="AR46" i="4" s="1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AQ46" i="4" s="1"/>
  <c r="R46" i="4"/>
  <c r="Q46" i="4"/>
  <c r="P46" i="4"/>
  <c r="O46" i="4"/>
  <c r="N46" i="4"/>
  <c r="M46" i="4"/>
  <c r="I46" i="4"/>
  <c r="H46" i="4"/>
  <c r="F46" i="4"/>
  <c r="AX45" i="4"/>
  <c r="E45" i="4" s="1"/>
  <c r="AV45" i="4"/>
  <c r="AR45" i="4"/>
  <c r="AQ45" i="4"/>
  <c r="AU45" i="4" s="1"/>
  <c r="AV44" i="4"/>
  <c r="AX44" i="4" s="1"/>
  <c r="E44" i="4" s="1"/>
  <c r="AR44" i="4"/>
  <c r="AQ44" i="4"/>
  <c r="AU44" i="4" s="1"/>
  <c r="AV43" i="4"/>
  <c r="AX43" i="4" s="1"/>
  <c r="AR43" i="4"/>
  <c r="AQ43" i="4"/>
  <c r="AU43" i="4" s="1"/>
  <c r="AV42" i="4"/>
  <c r="AX42" i="4" s="1"/>
  <c r="AT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AQ42" i="4" s="1"/>
  <c r="AU42" i="4" s="1"/>
  <c r="AW42" i="4" s="1"/>
  <c r="N42" i="4"/>
  <c r="AR42" i="4" s="1"/>
  <c r="M42" i="4"/>
  <c r="I42" i="4"/>
  <c r="H42" i="4"/>
  <c r="F42" i="4"/>
  <c r="AV41" i="4"/>
  <c r="AR41" i="4"/>
  <c r="AQ41" i="4"/>
  <c r="AU41" i="4" s="1"/>
  <c r="AV40" i="4"/>
  <c r="AU40" i="4"/>
  <c r="AR40" i="4"/>
  <c r="AQ40" i="4"/>
  <c r="AV39" i="4"/>
  <c r="AX39" i="4" s="1"/>
  <c r="E39" i="4" s="1"/>
  <c r="AU39" i="4"/>
  <c r="AW39" i="4" s="1"/>
  <c r="AR39" i="4"/>
  <c r="AQ39" i="4"/>
  <c r="AV38" i="4"/>
  <c r="AR38" i="4"/>
  <c r="AQ38" i="4"/>
  <c r="AU38" i="4" s="1"/>
  <c r="AV37" i="4"/>
  <c r="AX37" i="4" s="1"/>
  <c r="E37" i="4" s="1"/>
  <c r="AR37" i="4"/>
  <c r="AQ37" i="4"/>
  <c r="AU37" i="4" s="1"/>
  <c r="AV36" i="4"/>
  <c r="AX36" i="4" s="1"/>
  <c r="E36" i="4" s="1"/>
  <c r="AR36" i="4"/>
  <c r="AQ36" i="4"/>
  <c r="AU36" i="4" s="1"/>
  <c r="AX35" i="4"/>
  <c r="AV35" i="4"/>
  <c r="AR35" i="4"/>
  <c r="AQ35" i="4"/>
  <c r="AU35" i="4" s="1"/>
  <c r="E35" i="4"/>
  <c r="BA35" i="4" s="1"/>
  <c r="AV34" i="4"/>
  <c r="AX34" i="4" s="1"/>
  <c r="E34" i="4" s="1"/>
  <c r="AR34" i="4"/>
  <c r="AQ34" i="4"/>
  <c r="AU34" i="4" s="1"/>
  <c r="AV33" i="4"/>
  <c r="AX33" i="4" s="1"/>
  <c r="E33" i="4" s="1"/>
  <c r="AR33" i="4"/>
  <c r="AQ33" i="4"/>
  <c r="AU33" i="4" s="1"/>
  <c r="AV32" i="4"/>
  <c r="AX32" i="4" s="1"/>
  <c r="E32" i="4" s="1"/>
  <c r="AR32" i="4"/>
  <c r="AQ32" i="4"/>
  <c r="AU32" i="4" s="1"/>
  <c r="AX31" i="4"/>
  <c r="E31" i="4" s="1"/>
  <c r="AV31" i="4"/>
  <c r="AR31" i="4"/>
  <c r="AQ31" i="4"/>
  <c r="AU31" i="4" s="1"/>
  <c r="AX30" i="4"/>
  <c r="E30" i="4" s="1"/>
  <c r="AV30" i="4"/>
  <c r="AR30" i="4"/>
  <c r="AQ30" i="4"/>
  <c r="AU30" i="4" s="1"/>
  <c r="AV29" i="4"/>
  <c r="AR29" i="4"/>
  <c r="AQ29" i="4"/>
  <c r="AU29" i="4" s="1"/>
  <c r="AV28" i="4"/>
  <c r="AU28" i="4"/>
  <c r="AR28" i="4"/>
  <c r="AQ28" i="4"/>
  <c r="AV27" i="4"/>
  <c r="AU27" i="4"/>
  <c r="AR27" i="4"/>
  <c r="AQ27" i="4"/>
  <c r="AV26" i="4"/>
  <c r="AR26" i="4"/>
  <c r="AQ26" i="4"/>
  <c r="AU26" i="4" s="1"/>
  <c r="AV25" i="4"/>
  <c r="AX25" i="4" s="1"/>
  <c r="E25" i="4" s="1"/>
  <c r="AR25" i="4"/>
  <c r="AQ25" i="4"/>
  <c r="AU25" i="4" s="1"/>
  <c r="AT24" i="4"/>
  <c r="AS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R24" i="4" s="1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I24" i="4"/>
  <c r="H24" i="4"/>
  <c r="F24" i="4"/>
  <c r="AV23" i="4"/>
  <c r="AX23" i="4" s="1"/>
  <c r="E23" i="4" s="1"/>
  <c r="AS23" i="4"/>
  <c r="D23" i="4" s="1"/>
  <c r="AY23" i="4" s="1"/>
  <c r="AR23" i="4"/>
  <c r="AQ23" i="4"/>
  <c r="AU23" i="4" s="1"/>
  <c r="AW23" i="4" s="1"/>
  <c r="AZ22" i="4"/>
  <c r="AY22" i="4"/>
  <c r="AV22" i="4"/>
  <c r="AX22" i="4" s="1"/>
  <c r="E22" i="4" s="1"/>
  <c r="AS22" i="4"/>
  <c r="AR22" i="4"/>
  <c r="AQ22" i="4"/>
  <c r="AU22" i="4" s="1"/>
  <c r="AW22" i="4" s="1"/>
  <c r="AZ21" i="4"/>
  <c r="AY21" i="4"/>
  <c r="AV21" i="4"/>
  <c r="AX21" i="4" s="1"/>
  <c r="E21" i="4" s="1"/>
  <c r="AS21" i="4"/>
  <c r="D21" i="4" s="1"/>
  <c r="AR21" i="4"/>
  <c r="AQ21" i="4"/>
  <c r="AU21" i="4" s="1"/>
  <c r="AW21" i="4" s="1"/>
  <c r="AZ20" i="4"/>
  <c r="AY20" i="4"/>
  <c r="AV20" i="4"/>
  <c r="AX20" i="4" s="1"/>
  <c r="E20" i="4" s="1"/>
  <c r="AS20" i="4"/>
  <c r="AR20" i="4"/>
  <c r="AQ20" i="4"/>
  <c r="AU20" i="4" s="1"/>
  <c r="AW20" i="4" s="1"/>
  <c r="AZ19" i="4"/>
  <c r="AY19" i="4"/>
  <c r="AV19" i="4"/>
  <c r="AX19" i="4" s="1"/>
  <c r="E19" i="4" s="1"/>
  <c r="AS19" i="4"/>
  <c r="D19" i="4" s="1"/>
  <c r="AR19" i="4"/>
  <c r="AQ19" i="4"/>
  <c r="AU19" i="4" s="1"/>
  <c r="AW19" i="4" s="1"/>
  <c r="AZ18" i="4"/>
  <c r="AY18" i="4"/>
  <c r="AV18" i="4"/>
  <c r="AX18" i="4" s="1"/>
  <c r="E18" i="4" s="1"/>
  <c r="AS18" i="4"/>
  <c r="AR18" i="4"/>
  <c r="AQ18" i="4"/>
  <c r="AU18" i="4" s="1"/>
  <c r="AW18" i="4" s="1"/>
  <c r="AT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R17" i="4" s="1"/>
  <c r="AD17" i="4"/>
  <c r="AC17" i="4"/>
  <c r="AB17" i="4"/>
  <c r="AA17" i="4"/>
  <c r="Z17" i="4"/>
  <c r="Y17" i="4"/>
  <c r="X17" i="4"/>
  <c r="W17" i="4"/>
  <c r="V17" i="4"/>
  <c r="U17" i="4"/>
  <c r="T17" i="4"/>
  <c r="S17" i="4"/>
  <c r="AQ17" i="4" s="1"/>
  <c r="R17" i="4"/>
  <c r="Q17" i="4"/>
  <c r="P17" i="4"/>
  <c r="O17" i="4"/>
  <c r="N17" i="4"/>
  <c r="M17" i="4"/>
  <c r="L17" i="4"/>
  <c r="AZ17" i="4" s="1"/>
  <c r="K17" i="4"/>
  <c r="AY17" i="4" s="1"/>
  <c r="I17" i="4"/>
  <c r="H17" i="4"/>
  <c r="AV61" i="3"/>
  <c r="AX61" i="3" s="1"/>
  <c r="E61" i="3" s="1"/>
  <c r="AR61" i="3"/>
  <c r="AQ61" i="3"/>
  <c r="AU61" i="3" s="1"/>
  <c r="AV60" i="3"/>
  <c r="AX60" i="3" s="1"/>
  <c r="E60" i="3" s="1"/>
  <c r="AR60" i="3"/>
  <c r="AQ60" i="3"/>
  <c r="AU60" i="3" s="1"/>
  <c r="AV59" i="3"/>
  <c r="AX59" i="3" s="1"/>
  <c r="E59" i="3" s="1"/>
  <c r="AU59" i="3"/>
  <c r="AW59" i="3" s="1"/>
  <c r="D59" i="3" s="1"/>
  <c r="AY59" i="3" s="1"/>
  <c r="AR59" i="3"/>
  <c r="AQ59" i="3"/>
  <c r="AX58" i="3"/>
  <c r="E58" i="3" s="1"/>
  <c r="AV58" i="3"/>
  <c r="AR58" i="3"/>
  <c r="AQ58" i="3"/>
  <c r="AU58" i="3" s="1"/>
  <c r="AX57" i="3"/>
  <c r="E57" i="3" s="1"/>
  <c r="AV57" i="3"/>
  <c r="AR57" i="3"/>
  <c r="AQ57" i="3"/>
  <c r="AU57" i="3" s="1"/>
  <c r="AX56" i="3"/>
  <c r="AV56" i="3"/>
  <c r="E56" i="3" s="1"/>
  <c r="AR56" i="3"/>
  <c r="AQ56" i="3"/>
  <c r="AU56" i="3" s="1"/>
  <c r="AX55" i="3"/>
  <c r="AV55" i="3"/>
  <c r="AT55" i="3"/>
  <c r="AP55" i="3"/>
  <c r="AO55" i="3"/>
  <c r="AN55" i="3"/>
  <c r="AM55" i="3"/>
  <c r="AL55" i="3"/>
  <c r="AK55" i="3"/>
  <c r="AJ55" i="3"/>
  <c r="AI55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AR55" i="3" s="1"/>
  <c r="M55" i="3"/>
  <c r="AQ55" i="3" s="1"/>
  <c r="AU55" i="3" s="1"/>
  <c r="AW55" i="3" s="1"/>
  <c r="F55" i="3"/>
  <c r="AX54" i="3"/>
  <c r="AV54" i="3"/>
  <c r="AR54" i="3"/>
  <c r="AQ54" i="3"/>
  <c r="AU54" i="3" s="1"/>
  <c r="E54" i="3"/>
  <c r="BA54" i="3" s="1"/>
  <c r="AV53" i="3"/>
  <c r="AX53" i="3" s="1"/>
  <c r="E53" i="3" s="1"/>
  <c r="AR53" i="3"/>
  <c r="AQ53" i="3"/>
  <c r="AU53" i="3" s="1"/>
  <c r="AV52" i="3"/>
  <c r="AT52" i="3"/>
  <c r="AX52" i="3" s="1"/>
  <c r="AP52" i="3"/>
  <c r="AO52" i="3"/>
  <c r="AN52" i="3"/>
  <c r="AM52" i="3"/>
  <c r="AL52" i="3"/>
  <c r="AK52" i="3"/>
  <c r="AJ52" i="3"/>
  <c r="AI52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AQ52" i="3" s="1"/>
  <c r="AU52" i="3" s="1"/>
  <c r="R52" i="3"/>
  <c r="Q52" i="3"/>
  <c r="P52" i="3"/>
  <c r="AR52" i="3" s="1"/>
  <c r="O52" i="3"/>
  <c r="N52" i="3"/>
  <c r="M52" i="3"/>
  <c r="I52" i="3"/>
  <c r="H52" i="3"/>
  <c r="F52" i="3"/>
  <c r="AX51" i="3"/>
  <c r="E51" i="3" s="1"/>
  <c r="AV51" i="3"/>
  <c r="AR51" i="3"/>
  <c r="AQ51" i="3"/>
  <c r="AU51" i="3" s="1"/>
  <c r="AW51" i="3" s="1"/>
  <c r="D51" i="3" s="1"/>
  <c r="AY51" i="3" s="1"/>
  <c r="AX50" i="3"/>
  <c r="AV50" i="3"/>
  <c r="E50" i="3" s="1"/>
  <c r="AR50" i="3"/>
  <c r="AQ50" i="3"/>
  <c r="AU50" i="3" s="1"/>
  <c r="AW50" i="3" s="1"/>
  <c r="D50" i="3" s="1"/>
  <c r="AY50" i="3" s="1"/>
  <c r="AX49" i="3"/>
  <c r="AW49" i="3"/>
  <c r="D49" i="3" s="1"/>
  <c r="AY49" i="3" s="1"/>
  <c r="AV49" i="3"/>
  <c r="E49" i="3" s="1"/>
  <c r="AU49" i="3"/>
  <c r="AR49" i="3"/>
  <c r="AQ49" i="3"/>
  <c r="AW48" i="3"/>
  <c r="AV48" i="3"/>
  <c r="AX48" i="3" s="1"/>
  <c r="AU48" i="3"/>
  <c r="D48" i="3" s="1"/>
  <c r="AY48" i="3" s="1"/>
  <c r="AR48" i="3"/>
  <c r="AQ48" i="3"/>
  <c r="AV47" i="3"/>
  <c r="AU47" i="3"/>
  <c r="AW47" i="3" s="1"/>
  <c r="AR47" i="3"/>
  <c r="AQ47" i="3"/>
  <c r="AT46" i="3"/>
  <c r="AV46" i="3" s="1"/>
  <c r="AP46" i="3"/>
  <c r="AO46" i="3"/>
  <c r="AN46" i="3"/>
  <c r="AM46" i="3"/>
  <c r="AL46" i="3"/>
  <c r="AK46" i="3"/>
  <c r="AJ46" i="3"/>
  <c r="AI46" i="3"/>
  <c r="AH46" i="3"/>
  <c r="AG46" i="3"/>
  <c r="AF46" i="3"/>
  <c r="AE46" i="3"/>
  <c r="AR46" i="3" s="1"/>
  <c r="AD46" i="3"/>
  <c r="AC46" i="3"/>
  <c r="AB46" i="3"/>
  <c r="AA46" i="3"/>
  <c r="Z46" i="3"/>
  <c r="Y46" i="3"/>
  <c r="X46" i="3"/>
  <c r="W46" i="3"/>
  <c r="V46" i="3"/>
  <c r="U46" i="3"/>
  <c r="T46" i="3"/>
  <c r="S46" i="3"/>
  <c r="AQ46" i="3" s="1"/>
  <c r="R46" i="3"/>
  <c r="Q46" i="3"/>
  <c r="P46" i="3"/>
  <c r="O46" i="3"/>
  <c r="N46" i="3"/>
  <c r="M46" i="3"/>
  <c r="I46" i="3"/>
  <c r="H46" i="3"/>
  <c r="F46" i="3"/>
  <c r="AV45" i="3"/>
  <c r="AX45" i="3" s="1"/>
  <c r="E45" i="3" s="1"/>
  <c r="AR45" i="3"/>
  <c r="AQ45" i="3"/>
  <c r="AU45" i="3" s="1"/>
  <c r="AV44" i="3"/>
  <c r="AX44" i="3" s="1"/>
  <c r="E44" i="3" s="1"/>
  <c r="AR44" i="3"/>
  <c r="AQ44" i="3"/>
  <c r="AU44" i="3" s="1"/>
  <c r="AV43" i="3"/>
  <c r="AX43" i="3" s="1"/>
  <c r="E43" i="3" s="1"/>
  <c r="AU43" i="3"/>
  <c r="AW43" i="3" s="1"/>
  <c r="D43" i="3" s="1"/>
  <c r="AR43" i="3"/>
  <c r="AQ43" i="3"/>
  <c r="AT42" i="3"/>
  <c r="AP42" i="3"/>
  <c r="AO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AR42" i="3" s="1"/>
  <c r="M42" i="3"/>
  <c r="AQ42" i="3" s="1"/>
  <c r="I42" i="3"/>
  <c r="H42" i="3"/>
  <c r="F42" i="3"/>
  <c r="AX41" i="3"/>
  <c r="AW41" i="3"/>
  <c r="AV41" i="3"/>
  <c r="E41" i="3" s="1"/>
  <c r="AU41" i="3"/>
  <c r="D41" i="3" s="1"/>
  <c r="AY41" i="3" s="1"/>
  <c r="AR41" i="3"/>
  <c r="AQ41" i="3"/>
  <c r="AW40" i="3"/>
  <c r="AV40" i="3"/>
  <c r="AX40" i="3" s="1"/>
  <c r="AU40" i="3"/>
  <c r="D40" i="3" s="1"/>
  <c r="AY40" i="3" s="1"/>
  <c r="AR40" i="3"/>
  <c r="AQ40" i="3"/>
  <c r="AV39" i="3"/>
  <c r="AU39" i="3"/>
  <c r="AR39" i="3"/>
  <c r="AQ39" i="3"/>
  <c r="AV38" i="3"/>
  <c r="AU38" i="3"/>
  <c r="AR38" i="3"/>
  <c r="AQ38" i="3"/>
  <c r="AV37" i="3"/>
  <c r="AX37" i="3" s="1"/>
  <c r="E37" i="3" s="1"/>
  <c r="AR37" i="3"/>
  <c r="AQ37" i="3"/>
  <c r="AU37" i="3" s="1"/>
  <c r="AX36" i="3"/>
  <c r="AV36" i="3"/>
  <c r="AR36" i="3"/>
  <c r="AQ36" i="3"/>
  <c r="AU36" i="3" s="1"/>
  <c r="E36" i="3"/>
  <c r="BA36" i="3" s="1"/>
  <c r="AV35" i="3"/>
  <c r="AX35" i="3" s="1"/>
  <c r="E35" i="3" s="1"/>
  <c r="AR35" i="3"/>
  <c r="AQ35" i="3"/>
  <c r="AU35" i="3" s="1"/>
  <c r="AV34" i="3"/>
  <c r="AX34" i="3" s="1"/>
  <c r="E34" i="3" s="1"/>
  <c r="AR34" i="3"/>
  <c r="AQ34" i="3"/>
  <c r="AU34" i="3" s="1"/>
  <c r="BA33" i="3"/>
  <c r="AZ33" i="3"/>
  <c r="AX33" i="3"/>
  <c r="AV33" i="3"/>
  <c r="AU33" i="3"/>
  <c r="AW33" i="3" s="1"/>
  <c r="D33" i="3" s="1"/>
  <c r="AY33" i="3" s="1"/>
  <c r="AR33" i="3"/>
  <c r="AQ33" i="3"/>
  <c r="E33" i="3"/>
  <c r="AX32" i="3"/>
  <c r="E32" i="3" s="1"/>
  <c r="AV32" i="3"/>
  <c r="AR32" i="3"/>
  <c r="AQ32" i="3"/>
  <c r="AU32" i="3" s="1"/>
  <c r="AX31" i="3"/>
  <c r="AV31" i="3"/>
  <c r="E31" i="3" s="1"/>
  <c r="AR31" i="3"/>
  <c r="AQ31" i="3"/>
  <c r="AU31" i="3" s="1"/>
  <c r="AX30" i="3"/>
  <c r="AW30" i="3"/>
  <c r="AV30" i="3"/>
  <c r="E30" i="3" s="1"/>
  <c r="AU30" i="3"/>
  <c r="D30" i="3" s="1"/>
  <c r="AY30" i="3" s="1"/>
  <c r="AR30" i="3"/>
  <c r="AQ30" i="3"/>
  <c r="AX29" i="3"/>
  <c r="AW29" i="3"/>
  <c r="AV29" i="3"/>
  <c r="E29" i="3" s="1"/>
  <c r="AU29" i="3"/>
  <c r="D29" i="3" s="1"/>
  <c r="AY29" i="3" s="1"/>
  <c r="AR29" i="3"/>
  <c r="AQ29" i="3"/>
  <c r="AW28" i="3"/>
  <c r="AV28" i="3"/>
  <c r="AX28" i="3" s="1"/>
  <c r="AU28" i="3"/>
  <c r="D28" i="3" s="1"/>
  <c r="AY28" i="3" s="1"/>
  <c r="AR28" i="3"/>
  <c r="AQ28" i="3"/>
  <c r="AV27" i="3"/>
  <c r="AU27" i="3"/>
  <c r="AR27" i="3"/>
  <c r="AQ27" i="3"/>
  <c r="AV26" i="3"/>
  <c r="AU26" i="3"/>
  <c r="AR26" i="3"/>
  <c r="AQ26" i="3"/>
  <c r="AV25" i="3"/>
  <c r="AX25" i="3" s="1"/>
  <c r="E25" i="3" s="1"/>
  <c r="AR25" i="3"/>
  <c r="AQ25" i="3"/>
  <c r="AU25" i="3" s="1"/>
  <c r="AT24" i="3"/>
  <c r="AS24" i="3"/>
  <c r="AP24" i="3"/>
  <c r="AO24" i="3"/>
  <c r="AN24" i="3"/>
  <c r="AM24" i="3"/>
  <c r="AL24" i="3"/>
  <c r="AK24" i="3"/>
  <c r="AJ24" i="3"/>
  <c r="AI24" i="3"/>
  <c r="AH24" i="3"/>
  <c r="AG24" i="3"/>
  <c r="AF24" i="3"/>
  <c r="AR24" i="3" s="1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AQ24" i="3" s="1"/>
  <c r="R24" i="3"/>
  <c r="Q24" i="3"/>
  <c r="P24" i="3"/>
  <c r="O24" i="3"/>
  <c r="N24" i="3"/>
  <c r="M24" i="3"/>
  <c r="L24" i="3"/>
  <c r="K24" i="3"/>
  <c r="I24" i="3"/>
  <c r="H24" i="3"/>
  <c r="F24" i="3"/>
  <c r="AX23" i="3"/>
  <c r="AV23" i="3"/>
  <c r="AS23" i="3"/>
  <c r="AR23" i="3"/>
  <c r="AQ23" i="3"/>
  <c r="AU23" i="3" s="1"/>
  <c r="AW23" i="3" s="1"/>
  <c r="E23" i="3"/>
  <c r="BA23" i="3" s="1"/>
  <c r="AZ22" i="3"/>
  <c r="AY22" i="3"/>
  <c r="AX22" i="3"/>
  <c r="AV22" i="3"/>
  <c r="AS22" i="3"/>
  <c r="D22" i="3" s="1"/>
  <c r="AR22" i="3"/>
  <c r="AQ22" i="3"/>
  <c r="AU22" i="3" s="1"/>
  <c r="AW22" i="3" s="1"/>
  <c r="AZ21" i="3"/>
  <c r="AY21" i="3"/>
  <c r="AX21" i="3"/>
  <c r="AV21" i="3"/>
  <c r="AS21" i="3"/>
  <c r="D21" i="3" s="1"/>
  <c r="AR21" i="3"/>
  <c r="AQ21" i="3"/>
  <c r="AU21" i="3" s="1"/>
  <c r="AW21" i="3" s="1"/>
  <c r="AZ20" i="3"/>
  <c r="AY20" i="3"/>
  <c r="AX20" i="3"/>
  <c r="AV20" i="3"/>
  <c r="AS20" i="3"/>
  <c r="D20" i="3" s="1"/>
  <c r="AR20" i="3"/>
  <c r="AQ20" i="3"/>
  <c r="AU20" i="3" s="1"/>
  <c r="AW20" i="3" s="1"/>
  <c r="AZ19" i="3"/>
  <c r="AY19" i="3"/>
  <c r="AX19" i="3"/>
  <c r="AV19" i="3"/>
  <c r="AS19" i="3"/>
  <c r="AR19" i="3"/>
  <c r="AQ19" i="3"/>
  <c r="AU19" i="3" s="1"/>
  <c r="AW19" i="3" s="1"/>
  <c r="AZ18" i="3"/>
  <c r="AY18" i="3"/>
  <c r="AX18" i="3"/>
  <c r="AV18" i="3"/>
  <c r="AS18" i="3"/>
  <c r="AR18" i="3"/>
  <c r="AQ18" i="3"/>
  <c r="AU18" i="3" s="1"/>
  <c r="AW18" i="3" s="1"/>
  <c r="AT17" i="3"/>
  <c r="AS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AR17" i="3" s="1"/>
  <c r="S17" i="3"/>
  <c r="AQ17" i="3" s="1"/>
  <c r="R17" i="3"/>
  <c r="Q17" i="3"/>
  <c r="P17" i="3"/>
  <c r="O17" i="3"/>
  <c r="N17" i="3"/>
  <c r="M17" i="3"/>
  <c r="L17" i="3"/>
  <c r="AZ17" i="3" s="1"/>
  <c r="K17" i="3"/>
  <c r="AY17" i="3" s="1"/>
  <c r="I17" i="3"/>
  <c r="H17" i="3"/>
  <c r="AV61" i="2"/>
  <c r="AX61" i="2" s="1"/>
  <c r="E61" i="2" s="1"/>
  <c r="AR61" i="2"/>
  <c r="AQ61" i="2"/>
  <c r="AU61" i="2" s="1"/>
  <c r="AV60" i="2"/>
  <c r="AX60" i="2" s="1"/>
  <c r="E60" i="2" s="1"/>
  <c r="AR60" i="2"/>
  <c r="AQ60" i="2"/>
  <c r="AU60" i="2" s="1"/>
  <c r="AV59" i="2"/>
  <c r="AX59" i="2" s="1"/>
  <c r="E59" i="2" s="1"/>
  <c r="AR59" i="2"/>
  <c r="AQ59" i="2"/>
  <c r="AU59" i="2" s="1"/>
  <c r="AV58" i="2"/>
  <c r="AX58" i="2" s="1"/>
  <c r="E58" i="2" s="1"/>
  <c r="AR58" i="2"/>
  <c r="AQ58" i="2"/>
  <c r="AU58" i="2" s="1"/>
  <c r="AX57" i="2"/>
  <c r="E57" i="2" s="1"/>
  <c r="AV57" i="2"/>
  <c r="AR57" i="2"/>
  <c r="AQ57" i="2"/>
  <c r="AU57" i="2" s="1"/>
  <c r="AX56" i="2"/>
  <c r="E56" i="2" s="1"/>
  <c r="AV56" i="2"/>
  <c r="AR56" i="2"/>
  <c r="AQ56" i="2"/>
  <c r="AU56" i="2" s="1"/>
  <c r="AV55" i="2"/>
  <c r="AX55" i="2" s="1"/>
  <c r="AT55" i="2"/>
  <c r="AU55" i="2" s="1"/>
  <c r="AW55" i="2" s="1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AR55" i="2" s="1"/>
  <c r="M55" i="2"/>
  <c r="AQ55" i="2" s="1"/>
  <c r="F55" i="2"/>
  <c r="AV54" i="2"/>
  <c r="AX54" i="2" s="1"/>
  <c r="E54" i="2" s="1"/>
  <c r="AR54" i="2"/>
  <c r="AQ54" i="2"/>
  <c r="AU54" i="2" s="1"/>
  <c r="AV53" i="2"/>
  <c r="AX53" i="2" s="1"/>
  <c r="E53" i="2" s="1"/>
  <c r="AR53" i="2"/>
  <c r="AQ53" i="2"/>
  <c r="AU53" i="2" s="1"/>
  <c r="AT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AQ52" i="2" s="1"/>
  <c r="R52" i="2"/>
  <c r="Q52" i="2"/>
  <c r="P52" i="2"/>
  <c r="O52" i="2"/>
  <c r="N52" i="2"/>
  <c r="AR52" i="2" s="1"/>
  <c r="M52" i="2"/>
  <c r="I52" i="2"/>
  <c r="H52" i="2"/>
  <c r="F52" i="2"/>
  <c r="AX51" i="2"/>
  <c r="E51" i="2" s="1"/>
  <c r="AV51" i="2"/>
  <c r="AR51" i="2"/>
  <c r="AQ51" i="2"/>
  <c r="AU51" i="2" s="1"/>
  <c r="AW51" i="2" s="1"/>
  <c r="D51" i="2" s="1"/>
  <c r="AY51" i="2" s="1"/>
  <c r="AX50" i="2"/>
  <c r="E50" i="2" s="1"/>
  <c r="AV50" i="2"/>
  <c r="AR50" i="2"/>
  <c r="AQ50" i="2"/>
  <c r="AU50" i="2" s="1"/>
  <c r="AW50" i="2" s="1"/>
  <c r="D50" i="2" s="1"/>
  <c r="AY50" i="2" s="1"/>
  <c r="AV49" i="2"/>
  <c r="AX49" i="2" s="1"/>
  <c r="AR49" i="2"/>
  <c r="AQ49" i="2"/>
  <c r="AU49" i="2" s="1"/>
  <c r="AW49" i="2" s="1"/>
  <c r="D49" i="2" s="1"/>
  <c r="AY49" i="2" s="1"/>
  <c r="AV48" i="2"/>
  <c r="AU48" i="2"/>
  <c r="AW48" i="2" s="1"/>
  <c r="AR48" i="2"/>
  <c r="AQ48" i="2"/>
  <c r="AV47" i="2"/>
  <c r="AU47" i="2"/>
  <c r="AR47" i="2"/>
  <c r="AQ47" i="2"/>
  <c r="AT46" i="2"/>
  <c r="AR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AQ46" i="2" s="1"/>
  <c r="I46" i="2"/>
  <c r="H46" i="2"/>
  <c r="F46" i="2"/>
  <c r="AV45" i="2"/>
  <c r="AX45" i="2" s="1"/>
  <c r="E45" i="2" s="1"/>
  <c r="AR45" i="2"/>
  <c r="AQ45" i="2"/>
  <c r="AU45" i="2" s="1"/>
  <c r="AV44" i="2"/>
  <c r="AX44" i="2" s="1"/>
  <c r="E44" i="2" s="1"/>
  <c r="AR44" i="2"/>
  <c r="AQ44" i="2"/>
  <c r="AU44" i="2" s="1"/>
  <c r="AV43" i="2"/>
  <c r="AX43" i="2" s="1"/>
  <c r="E43" i="2" s="1"/>
  <c r="AR43" i="2"/>
  <c r="AQ43" i="2"/>
  <c r="AU43" i="2" s="1"/>
  <c r="AV42" i="2"/>
  <c r="AT42" i="2"/>
  <c r="AX42" i="2" s="1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AR42" i="2" s="1"/>
  <c r="M42" i="2"/>
  <c r="AQ42" i="2" s="1"/>
  <c r="I42" i="2"/>
  <c r="H42" i="2"/>
  <c r="F42" i="2"/>
  <c r="AV41" i="2"/>
  <c r="AR41" i="2"/>
  <c r="AQ41" i="2"/>
  <c r="AU41" i="2" s="1"/>
  <c r="AV40" i="2"/>
  <c r="AU40" i="2"/>
  <c r="AR40" i="2"/>
  <c r="AQ40" i="2"/>
  <c r="AV39" i="2"/>
  <c r="AU39" i="2"/>
  <c r="AR39" i="2"/>
  <c r="AQ39" i="2"/>
  <c r="AV38" i="2"/>
  <c r="AX38" i="2" s="1"/>
  <c r="E38" i="2" s="1"/>
  <c r="AR38" i="2"/>
  <c r="AQ38" i="2"/>
  <c r="AU38" i="2" s="1"/>
  <c r="AV37" i="2"/>
  <c r="AX37" i="2" s="1"/>
  <c r="E37" i="2" s="1"/>
  <c r="AR37" i="2"/>
  <c r="AQ37" i="2"/>
  <c r="AU37" i="2" s="1"/>
  <c r="AV36" i="2"/>
  <c r="AX36" i="2" s="1"/>
  <c r="E36" i="2" s="1"/>
  <c r="AR36" i="2"/>
  <c r="AQ36" i="2"/>
  <c r="AU36" i="2" s="1"/>
  <c r="AV35" i="2"/>
  <c r="AX35" i="2" s="1"/>
  <c r="E35" i="2" s="1"/>
  <c r="AR35" i="2"/>
  <c r="AQ35" i="2"/>
  <c r="AU35" i="2" s="1"/>
  <c r="AV34" i="2"/>
  <c r="AX34" i="2" s="1"/>
  <c r="E34" i="2" s="1"/>
  <c r="AR34" i="2"/>
  <c r="AQ34" i="2"/>
  <c r="AU34" i="2" s="1"/>
  <c r="AV33" i="2"/>
  <c r="AX33" i="2" s="1"/>
  <c r="E33" i="2" s="1"/>
  <c r="AR33" i="2"/>
  <c r="AQ33" i="2"/>
  <c r="AU33" i="2" s="1"/>
  <c r="AX32" i="2"/>
  <c r="E32" i="2" s="1"/>
  <c r="AV32" i="2"/>
  <c r="AR32" i="2"/>
  <c r="AQ32" i="2"/>
  <c r="AU32" i="2" s="1"/>
  <c r="AX31" i="2"/>
  <c r="E31" i="2" s="1"/>
  <c r="AV31" i="2"/>
  <c r="AR31" i="2"/>
  <c r="AQ31" i="2"/>
  <c r="AU31" i="2" s="1"/>
  <c r="AX30" i="2"/>
  <c r="AV30" i="2"/>
  <c r="E30" i="2" s="1"/>
  <c r="AR30" i="2"/>
  <c r="AQ30" i="2"/>
  <c r="AU30" i="2" s="1"/>
  <c r="AV29" i="2"/>
  <c r="AR29" i="2"/>
  <c r="AQ29" i="2"/>
  <c r="AU29" i="2" s="1"/>
  <c r="AV28" i="2"/>
  <c r="AU28" i="2"/>
  <c r="AW28" i="2" s="1"/>
  <c r="AR28" i="2"/>
  <c r="AQ28" i="2"/>
  <c r="AV27" i="2"/>
  <c r="AU27" i="2"/>
  <c r="AR27" i="2"/>
  <c r="AQ27" i="2"/>
  <c r="AV26" i="2"/>
  <c r="AX26" i="2" s="1"/>
  <c r="E26" i="2" s="1"/>
  <c r="AR26" i="2"/>
  <c r="AQ26" i="2"/>
  <c r="AU26" i="2" s="1"/>
  <c r="AV25" i="2"/>
  <c r="AX25" i="2" s="1"/>
  <c r="E25" i="2" s="1"/>
  <c r="AR25" i="2"/>
  <c r="AQ25" i="2"/>
  <c r="AU25" i="2" s="1"/>
  <c r="AT24" i="2"/>
  <c r="AS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R24" i="2" s="1"/>
  <c r="AD24" i="2"/>
  <c r="AC24" i="2"/>
  <c r="AB24" i="2"/>
  <c r="AA24" i="2"/>
  <c r="Z24" i="2"/>
  <c r="Y24" i="2"/>
  <c r="X24" i="2"/>
  <c r="W24" i="2"/>
  <c r="V24" i="2"/>
  <c r="U24" i="2"/>
  <c r="T24" i="2"/>
  <c r="S24" i="2"/>
  <c r="AQ24" i="2" s="1"/>
  <c r="AU24" i="2" s="1"/>
  <c r="R24" i="2"/>
  <c r="Q24" i="2"/>
  <c r="P24" i="2"/>
  <c r="O24" i="2"/>
  <c r="N24" i="2"/>
  <c r="M24" i="2"/>
  <c r="L24" i="2"/>
  <c r="K24" i="2"/>
  <c r="I24" i="2"/>
  <c r="H24" i="2"/>
  <c r="F24" i="2"/>
  <c r="AX23" i="2"/>
  <c r="AV23" i="2"/>
  <c r="AS23" i="2"/>
  <c r="AR23" i="2"/>
  <c r="AQ23" i="2"/>
  <c r="AU23" i="2" s="1"/>
  <c r="AW23" i="2" s="1"/>
  <c r="D23" i="2" s="1"/>
  <c r="AY23" i="2" s="1"/>
  <c r="E23" i="2"/>
  <c r="BA23" i="2" s="1"/>
  <c r="AZ22" i="2"/>
  <c r="AY22" i="2"/>
  <c r="AX22" i="2"/>
  <c r="AV22" i="2"/>
  <c r="AS22" i="2"/>
  <c r="AR22" i="2"/>
  <c r="AQ22" i="2"/>
  <c r="AU22" i="2" s="1"/>
  <c r="AW22" i="2" s="1"/>
  <c r="D22" i="2" s="1"/>
  <c r="E22" i="2"/>
  <c r="BA22" i="2" s="1"/>
  <c r="AZ21" i="2"/>
  <c r="AY21" i="2"/>
  <c r="AX21" i="2"/>
  <c r="AV21" i="2"/>
  <c r="AS21" i="2"/>
  <c r="AR21" i="2"/>
  <c r="AQ21" i="2"/>
  <c r="AU21" i="2" s="1"/>
  <c r="AW21" i="2" s="1"/>
  <c r="D21" i="2" s="1"/>
  <c r="E21" i="2"/>
  <c r="BA21" i="2" s="1"/>
  <c r="AZ20" i="2"/>
  <c r="AY20" i="2"/>
  <c r="AX20" i="2"/>
  <c r="AV20" i="2"/>
  <c r="AS20" i="2"/>
  <c r="AR20" i="2"/>
  <c r="AQ20" i="2"/>
  <c r="AU20" i="2" s="1"/>
  <c r="AW20" i="2" s="1"/>
  <c r="D20" i="2" s="1"/>
  <c r="E20" i="2"/>
  <c r="BA20" i="2" s="1"/>
  <c r="AZ19" i="2"/>
  <c r="AY19" i="2"/>
  <c r="AX19" i="2"/>
  <c r="AV19" i="2"/>
  <c r="AS19" i="2"/>
  <c r="AR19" i="2"/>
  <c r="AQ19" i="2"/>
  <c r="AU19" i="2" s="1"/>
  <c r="AW19" i="2" s="1"/>
  <c r="D19" i="2" s="1"/>
  <c r="E19" i="2"/>
  <c r="BA19" i="2" s="1"/>
  <c r="AZ18" i="2"/>
  <c r="AY18" i="2"/>
  <c r="AX18" i="2"/>
  <c r="AV18" i="2"/>
  <c r="AS18" i="2"/>
  <c r="AR18" i="2"/>
  <c r="AQ18" i="2"/>
  <c r="AU18" i="2" s="1"/>
  <c r="AW18" i="2" s="1"/>
  <c r="D18" i="2" s="1"/>
  <c r="E18" i="2"/>
  <c r="BA18" i="2" s="1"/>
  <c r="AT17" i="2"/>
  <c r="AS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R17" i="2" s="1"/>
  <c r="AD17" i="2"/>
  <c r="AC17" i="2"/>
  <c r="AB17" i="2"/>
  <c r="AA17" i="2"/>
  <c r="Z17" i="2"/>
  <c r="Y17" i="2"/>
  <c r="X17" i="2"/>
  <c r="W17" i="2"/>
  <c r="V17" i="2"/>
  <c r="U17" i="2"/>
  <c r="T17" i="2"/>
  <c r="S17" i="2"/>
  <c r="AQ17" i="2" s="1"/>
  <c r="R17" i="2"/>
  <c r="Q17" i="2"/>
  <c r="P17" i="2"/>
  <c r="O17" i="2"/>
  <c r="N17" i="2"/>
  <c r="M17" i="2"/>
  <c r="L17" i="2"/>
  <c r="AZ17" i="2" s="1"/>
  <c r="K17" i="2"/>
  <c r="AY17" i="2" s="1"/>
  <c r="I17" i="2"/>
  <c r="H17" i="2"/>
  <c r="AQ59" i="1"/>
  <c r="AR59" i="1"/>
  <c r="AU59" i="1"/>
  <c r="AW59" i="1" s="1"/>
  <c r="AV59" i="1"/>
  <c r="AX59" i="1" s="1"/>
  <c r="AQ60" i="1"/>
  <c r="AR60" i="1"/>
  <c r="AU60" i="1"/>
  <c r="D60" i="1" s="1"/>
  <c r="AY60" i="1" s="1"/>
  <c r="AV60" i="1"/>
  <c r="AX60" i="1" s="1"/>
  <c r="AW60" i="1"/>
  <c r="AQ61" i="1"/>
  <c r="AR61" i="1"/>
  <c r="AU61" i="1"/>
  <c r="D61" i="1" s="1"/>
  <c r="AY61" i="1" s="1"/>
  <c r="AV61" i="1"/>
  <c r="E61" i="1" s="1"/>
  <c r="AW61" i="1"/>
  <c r="AX61" i="1"/>
  <c r="D61" i="34" l="1"/>
  <c r="AY61" i="34" s="1"/>
  <c r="AV61" i="34"/>
  <c r="AX61" i="34" s="1"/>
  <c r="AU61" i="34"/>
  <c r="AW61" i="34" s="1"/>
  <c r="AV60" i="34"/>
  <c r="AU60" i="34"/>
  <c r="AS61" i="34"/>
  <c r="AS60" i="34"/>
  <c r="AV61" i="32"/>
  <c r="AX61" i="32" s="1"/>
  <c r="AU61" i="32"/>
  <c r="AW61" i="32" s="1"/>
  <c r="AS61" i="32"/>
  <c r="AS60" i="32"/>
  <c r="E60" i="32"/>
  <c r="D60" i="33"/>
  <c r="AY60" i="33" s="1"/>
  <c r="AV61" i="33"/>
  <c r="AX61" i="33" s="1"/>
  <c r="AU61" i="33"/>
  <c r="AW61" i="33" s="1"/>
  <c r="AS61" i="33"/>
  <c r="E61" i="33"/>
  <c r="AZ61" i="33" s="1"/>
  <c r="E60" i="33"/>
  <c r="AZ60" i="33" s="1"/>
  <c r="BA60" i="33"/>
  <c r="D60" i="16"/>
  <c r="AY60" i="16" s="1"/>
  <c r="AV61" i="16"/>
  <c r="AU61" i="16"/>
  <c r="AS61" i="16"/>
  <c r="E60" i="16"/>
  <c r="D60" i="15"/>
  <c r="AY60" i="15" s="1"/>
  <c r="D59" i="15"/>
  <c r="AY59" i="15" s="1"/>
  <c r="AU61" i="15"/>
  <c r="AW61" i="15" s="1"/>
  <c r="AV60" i="15"/>
  <c r="AX60" i="15" s="1"/>
  <c r="AS61" i="15"/>
  <c r="AS60" i="15"/>
  <c r="E61" i="15"/>
  <c r="AZ61" i="15" s="1"/>
  <c r="E60" i="15"/>
  <c r="AZ60" i="15" s="1"/>
  <c r="BA60" i="15"/>
  <c r="E59" i="15"/>
  <c r="AZ59" i="15" s="1"/>
  <c r="D60" i="14"/>
  <c r="AY60" i="14" s="1"/>
  <c r="AU61" i="14"/>
  <c r="AW61" i="14" s="1"/>
  <c r="AS61" i="14"/>
  <c r="E61" i="14"/>
  <c r="AZ61" i="14" s="1"/>
  <c r="E60" i="14"/>
  <c r="AZ60" i="14" s="1"/>
  <c r="D61" i="13"/>
  <c r="AY61" i="13" s="1"/>
  <c r="D60" i="13"/>
  <c r="AY60" i="13" s="1"/>
  <c r="AS61" i="13"/>
  <c r="AS60" i="13"/>
  <c r="E61" i="13"/>
  <c r="AZ61" i="13" s="1"/>
  <c r="E60" i="13"/>
  <c r="AZ60" i="13" s="1"/>
  <c r="AW32" i="12"/>
  <c r="D32" i="12"/>
  <c r="AY32" i="12" s="1"/>
  <c r="AW26" i="12"/>
  <c r="D26" i="12" s="1"/>
  <c r="AY26" i="12" s="1"/>
  <c r="AW38" i="12"/>
  <c r="D38" i="12" s="1"/>
  <c r="AY38" i="12" s="1"/>
  <c r="D47" i="12"/>
  <c r="AW47" i="12"/>
  <c r="BA54" i="12"/>
  <c r="AZ54" i="12"/>
  <c r="AY56" i="12"/>
  <c r="AW29" i="12"/>
  <c r="D29" i="12" s="1"/>
  <c r="AY29" i="12" s="1"/>
  <c r="AW35" i="12"/>
  <c r="D35" i="12"/>
  <c r="AY35" i="12" s="1"/>
  <c r="D41" i="12"/>
  <c r="AY41" i="12" s="1"/>
  <c r="AW41" i="12"/>
  <c r="AW36" i="12"/>
  <c r="D36" i="12" s="1"/>
  <c r="AY36" i="12" s="1"/>
  <c r="BA47" i="12"/>
  <c r="AZ47" i="12"/>
  <c r="BA50" i="12"/>
  <c r="AZ50" i="12"/>
  <c r="BA56" i="12"/>
  <c r="AZ56" i="12"/>
  <c r="AZ59" i="12"/>
  <c r="BA59" i="12"/>
  <c r="AW27" i="12"/>
  <c r="D27" i="12" s="1"/>
  <c r="AY27" i="12" s="1"/>
  <c r="D39" i="12"/>
  <c r="AY39" i="12" s="1"/>
  <c r="AW39" i="12"/>
  <c r="E42" i="12"/>
  <c r="AZ42" i="12" s="1"/>
  <c r="BA43" i="12"/>
  <c r="AZ43" i="12"/>
  <c r="AW17" i="12"/>
  <c r="D17" i="12" s="1"/>
  <c r="AW57" i="12"/>
  <c r="D57" i="12"/>
  <c r="AY57" i="12" s="1"/>
  <c r="BA27" i="12"/>
  <c r="AZ27" i="12"/>
  <c r="BA30" i="12"/>
  <c r="AZ30" i="12"/>
  <c r="AZ33" i="12"/>
  <c r="BA33" i="12"/>
  <c r="BA36" i="12"/>
  <c r="AZ36" i="12"/>
  <c r="BA39" i="12"/>
  <c r="AZ39" i="12"/>
  <c r="BA51" i="12"/>
  <c r="AZ51" i="12"/>
  <c r="BA57" i="12"/>
  <c r="AZ57" i="12"/>
  <c r="AW31" i="12"/>
  <c r="D31" i="12" s="1"/>
  <c r="AY31" i="12" s="1"/>
  <c r="BA48" i="12"/>
  <c r="AZ48" i="12"/>
  <c r="AW53" i="12"/>
  <c r="D53" i="12" s="1"/>
  <c r="AZ60" i="12"/>
  <c r="BA60" i="12"/>
  <c r="AZ44" i="12"/>
  <c r="BA44" i="12"/>
  <c r="AW58" i="12"/>
  <c r="D58" i="12" s="1"/>
  <c r="AW61" i="12"/>
  <c r="D61" i="12" s="1"/>
  <c r="AY61" i="12" s="1"/>
  <c r="D25" i="12"/>
  <c r="AY25" i="12" s="1"/>
  <c r="BA31" i="12"/>
  <c r="AZ31" i="12"/>
  <c r="AW45" i="12"/>
  <c r="D45" i="12" s="1"/>
  <c r="AY45" i="12" s="1"/>
  <c r="AU55" i="12"/>
  <c r="D18" i="12"/>
  <c r="D21" i="12"/>
  <c r="BA28" i="12"/>
  <c r="AZ28" i="12"/>
  <c r="AZ34" i="12"/>
  <c r="BA34" i="12"/>
  <c r="BA40" i="12"/>
  <c r="AZ40" i="12"/>
  <c r="D54" i="12"/>
  <c r="AY54" i="12" s="1"/>
  <c r="AW54" i="12"/>
  <c r="E17" i="12"/>
  <c r="BA17" i="12" s="1"/>
  <c r="AW55" i="12"/>
  <c r="AW28" i="12"/>
  <c r="D28" i="12" s="1"/>
  <c r="AY28" i="12" s="1"/>
  <c r="AX29" i="12"/>
  <c r="E29" i="12" s="1"/>
  <c r="D34" i="12"/>
  <c r="AY34" i="12" s="1"/>
  <c r="E35" i="12"/>
  <c r="AW40" i="12"/>
  <c r="D40" i="12" s="1"/>
  <c r="AY40" i="12" s="1"/>
  <c r="AX41" i="12"/>
  <c r="E41" i="12" s="1"/>
  <c r="D44" i="12"/>
  <c r="AY44" i="12" s="1"/>
  <c r="E45" i="12"/>
  <c r="AU46" i="12"/>
  <c r="AW48" i="12"/>
  <c r="D48" i="12" s="1"/>
  <c r="AY48" i="12" s="1"/>
  <c r="AX49" i="12"/>
  <c r="E49" i="12" s="1"/>
  <c r="E53" i="12"/>
  <c r="AX55" i="12"/>
  <c r="D60" i="12"/>
  <c r="AY60" i="12" s="1"/>
  <c r="E61" i="12"/>
  <c r="D43" i="12"/>
  <c r="D59" i="12"/>
  <c r="AY59" i="12" s="1"/>
  <c r="AU17" i="12"/>
  <c r="AU24" i="12"/>
  <c r="AW24" i="12" s="1"/>
  <c r="D24" i="12" s="1"/>
  <c r="AY24" i="12" s="1"/>
  <c r="AW46" i="12"/>
  <c r="AV17" i="12"/>
  <c r="AX17" i="12" s="1"/>
  <c r="AV24" i="12"/>
  <c r="AX24" i="12" s="1"/>
  <c r="AW25" i="12"/>
  <c r="AX26" i="12"/>
  <c r="E26" i="12" s="1"/>
  <c r="E32" i="12"/>
  <c r="AW37" i="12"/>
  <c r="D37" i="12" s="1"/>
  <c r="AY37" i="12" s="1"/>
  <c r="AX38" i="12"/>
  <c r="E38" i="12" s="1"/>
  <c r="E58" i="12"/>
  <c r="AZ25" i="12"/>
  <c r="AZ37" i="12"/>
  <c r="AU42" i="12"/>
  <c r="AZ23" i="12"/>
  <c r="AV42" i="12"/>
  <c r="AX42" i="12" s="1"/>
  <c r="AW42" i="12"/>
  <c r="AW32" i="11"/>
  <c r="D32" i="11" s="1"/>
  <c r="AY32" i="11" s="1"/>
  <c r="AW35" i="11"/>
  <c r="D35" i="11" s="1"/>
  <c r="AY35" i="11" s="1"/>
  <c r="AW59" i="11"/>
  <c r="D59" i="11" s="1"/>
  <c r="BA49" i="11"/>
  <c r="AZ49" i="11"/>
  <c r="AW54" i="11"/>
  <c r="D54" i="11"/>
  <c r="AY54" i="11" s="1"/>
  <c r="AY56" i="11"/>
  <c r="BA59" i="11"/>
  <c r="AZ59" i="11"/>
  <c r="AZ32" i="11"/>
  <c r="BA32" i="11"/>
  <c r="AW36" i="11"/>
  <c r="D36" i="11"/>
  <c r="AY36" i="11" s="1"/>
  <c r="BA41" i="11"/>
  <c r="AZ41" i="11"/>
  <c r="AW43" i="11"/>
  <c r="D43" i="11" s="1"/>
  <c r="BA54" i="11"/>
  <c r="AZ54" i="11"/>
  <c r="BA56" i="11"/>
  <c r="AZ56" i="11"/>
  <c r="D25" i="11"/>
  <c r="AY25" i="11" s="1"/>
  <c r="AW25" i="11"/>
  <c r="AW33" i="11"/>
  <c r="D33" i="11"/>
  <c r="AY33" i="11" s="1"/>
  <c r="D47" i="11"/>
  <c r="BA27" i="11"/>
  <c r="AZ27" i="11"/>
  <c r="BA36" i="11"/>
  <c r="AZ36" i="11"/>
  <c r="BA43" i="11"/>
  <c r="AZ43" i="11"/>
  <c r="AW57" i="11"/>
  <c r="D57" i="11"/>
  <c r="AY57" i="11" s="1"/>
  <c r="E20" i="11"/>
  <c r="BA20" i="11" s="1"/>
  <c r="AW28" i="11"/>
  <c r="D28" i="11" s="1"/>
  <c r="AY28" i="11" s="1"/>
  <c r="BA33" i="11"/>
  <c r="AZ33" i="11"/>
  <c r="D37" i="11"/>
  <c r="AY37" i="11" s="1"/>
  <c r="AW37" i="11"/>
  <c r="BA50" i="11"/>
  <c r="AZ50" i="11"/>
  <c r="BA25" i="11"/>
  <c r="AZ25" i="11"/>
  <c r="BA30" i="11"/>
  <c r="AZ30" i="11"/>
  <c r="D48" i="11"/>
  <c r="AY48" i="11" s="1"/>
  <c r="AW48" i="11"/>
  <c r="BA57" i="11"/>
  <c r="AZ57" i="11"/>
  <c r="BA37" i="11"/>
  <c r="AZ37" i="11"/>
  <c r="AX52" i="11"/>
  <c r="AW58" i="11"/>
  <c r="D58" i="11"/>
  <c r="AY58" i="11" s="1"/>
  <c r="AZ60" i="11"/>
  <c r="BA60" i="11"/>
  <c r="AW31" i="11"/>
  <c r="D31" i="11" s="1"/>
  <c r="AY31" i="11" s="1"/>
  <c r="AW40" i="11"/>
  <c r="D40" i="11" s="1"/>
  <c r="AY40" i="11" s="1"/>
  <c r="AZ44" i="11"/>
  <c r="BA44" i="11"/>
  <c r="BA51" i="11"/>
  <c r="AZ51" i="11"/>
  <c r="BA31" i="11"/>
  <c r="AZ31" i="11"/>
  <c r="AZ34" i="11"/>
  <c r="BA34" i="11"/>
  <c r="AW38" i="11"/>
  <c r="D38" i="11" s="1"/>
  <c r="AY38" i="11" s="1"/>
  <c r="AY53" i="11"/>
  <c r="AU55" i="11"/>
  <c r="AW55" i="11" s="1"/>
  <c r="AZ58" i="11"/>
  <c r="BA58" i="11"/>
  <c r="E19" i="11"/>
  <c r="BA19" i="11" s="1"/>
  <c r="E23" i="11"/>
  <c r="E24" i="11"/>
  <c r="AV55" i="11"/>
  <c r="D34" i="11"/>
  <c r="AY34" i="11" s="1"/>
  <c r="E35" i="11"/>
  <c r="D44" i="11"/>
  <c r="AY44" i="11" s="1"/>
  <c r="E45" i="11"/>
  <c r="AU46" i="11"/>
  <c r="AW46" i="11" s="1"/>
  <c r="E53" i="11"/>
  <c r="AX55" i="11"/>
  <c r="D60" i="11"/>
  <c r="AY60" i="11" s="1"/>
  <c r="E61" i="11"/>
  <c r="AW27" i="11"/>
  <c r="D27" i="11" s="1"/>
  <c r="AY27" i="11" s="1"/>
  <c r="AX28" i="11"/>
  <c r="E28" i="11" s="1"/>
  <c r="AW39" i="11"/>
  <c r="D39" i="11" s="1"/>
  <c r="AY39" i="11" s="1"/>
  <c r="AX40" i="11"/>
  <c r="E40" i="11" s="1"/>
  <c r="AV46" i="11"/>
  <c r="AW47" i="11"/>
  <c r="AX48" i="11"/>
  <c r="E48" i="11" s="1"/>
  <c r="AU17" i="11"/>
  <c r="AW17" i="11" s="1"/>
  <c r="D17" i="11" s="1"/>
  <c r="AZ29" i="11"/>
  <c r="AV17" i="11"/>
  <c r="AX17" i="11" s="1"/>
  <c r="AX46" i="11"/>
  <c r="AZ39" i="11"/>
  <c r="AZ47" i="11"/>
  <c r="AZ26" i="11"/>
  <c r="AZ38" i="11"/>
  <c r="AV52" i="11"/>
  <c r="E40" i="10"/>
  <c r="AW59" i="10"/>
  <c r="D59" i="10"/>
  <c r="AY59" i="10" s="1"/>
  <c r="AW25" i="10"/>
  <c r="D25" i="10" s="1"/>
  <c r="AY25" i="10" s="1"/>
  <c r="BA37" i="10"/>
  <c r="AZ37" i="10"/>
  <c r="D41" i="10"/>
  <c r="AY41" i="10" s="1"/>
  <c r="AW41" i="10"/>
  <c r="BA54" i="10"/>
  <c r="AZ54" i="10"/>
  <c r="D38" i="10"/>
  <c r="AY38" i="10" s="1"/>
  <c r="AW38" i="10"/>
  <c r="BA50" i="10"/>
  <c r="AZ50" i="10"/>
  <c r="BA56" i="10"/>
  <c r="AZ56" i="10"/>
  <c r="E55" i="10"/>
  <c r="BA59" i="10"/>
  <c r="AZ59" i="10"/>
  <c r="E28" i="10"/>
  <c r="D20" i="10"/>
  <c r="BA25" i="10"/>
  <c r="AZ25" i="10"/>
  <c r="AW29" i="10"/>
  <c r="D29" i="10" s="1"/>
  <c r="AY29" i="10" s="1"/>
  <c r="AW35" i="10"/>
  <c r="D35" i="10" s="1"/>
  <c r="AY35" i="10" s="1"/>
  <c r="BA38" i="10"/>
  <c r="AZ38" i="10"/>
  <c r="AZ34" i="10"/>
  <c r="BA34" i="10"/>
  <c r="E41" i="10"/>
  <c r="AW26" i="10"/>
  <c r="D26" i="10" s="1"/>
  <c r="AY26" i="10" s="1"/>
  <c r="AW32" i="10"/>
  <c r="D32" i="10"/>
  <c r="AY32" i="10" s="1"/>
  <c r="BA43" i="10"/>
  <c r="AZ43" i="10"/>
  <c r="AW43" i="10"/>
  <c r="D43" i="10"/>
  <c r="AW52" i="10"/>
  <c r="BA26" i="10"/>
  <c r="AZ26" i="10"/>
  <c r="E24" i="10"/>
  <c r="E48" i="10"/>
  <c r="AZ60" i="10"/>
  <c r="BA60" i="10"/>
  <c r="D30" i="10"/>
  <c r="AY30" i="10" s="1"/>
  <c r="AW30" i="10"/>
  <c r="AW33" i="10"/>
  <c r="D33" i="10"/>
  <c r="AY33" i="10" s="1"/>
  <c r="BA39" i="10"/>
  <c r="AZ39" i="10"/>
  <c r="AW36" i="10"/>
  <c r="D36" i="10"/>
  <c r="AY36" i="10" s="1"/>
  <c r="BA36" i="10"/>
  <c r="AZ36" i="10"/>
  <c r="AY53" i="10"/>
  <c r="AU55" i="10"/>
  <c r="AW55" i="10" s="1"/>
  <c r="AW58" i="10"/>
  <c r="D58" i="10"/>
  <c r="AY58" i="10" s="1"/>
  <c r="D27" i="10"/>
  <c r="AY27" i="10" s="1"/>
  <c r="BA30" i="10"/>
  <c r="AZ30" i="10"/>
  <c r="BA33" i="10"/>
  <c r="AZ33" i="10"/>
  <c r="AW37" i="10"/>
  <c r="D37" i="10" s="1"/>
  <c r="AY37" i="10" s="1"/>
  <c r="AZ44" i="10"/>
  <c r="BA44" i="10"/>
  <c r="E49" i="10"/>
  <c r="BA17" i="10"/>
  <c r="BA23" i="10"/>
  <c r="AZ23" i="10"/>
  <c r="BA27" i="10"/>
  <c r="AZ27" i="10"/>
  <c r="AW45" i="10"/>
  <c r="D45" i="10" s="1"/>
  <c r="AY45" i="10" s="1"/>
  <c r="AW54" i="10"/>
  <c r="D54" i="10"/>
  <c r="AY54" i="10" s="1"/>
  <c r="D56" i="10"/>
  <c r="AW56" i="10"/>
  <c r="AW28" i="10"/>
  <c r="D28" i="10" s="1"/>
  <c r="AY28" i="10" s="1"/>
  <c r="AX29" i="10"/>
  <c r="E29" i="10" s="1"/>
  <c r="AZ31" i="10"/>
  <c r="D34" i="10"/>
  <c r="AY34" i="10" s="1"/>
  <c r="E35" i="10"/>
  <c r="AW40" i="10"/>
  <c r="D40" i="10" s="1"/>
  <c r="AY40" i="10" s="1"/>
  <c r="AX41" i="10"/>
  <c r="D44" i="10"/>
  <c r="AY44" i="10" s="1"/>
  <c r="E45" i="10"/>
  <c r="AU46" i="10"/>
  <c r="AW46" i="10" s="1"/>
  <c r="AW48" i="10"/>
  <c r="D48" i="10" s="1"/>
  <c r="AY48" i="10" s="1"/>
  <c r="AX49" i="10"/>
  <c r="AZ51" i="10"/>
  <c r="E53" i="10"/>
  <c r="AZ57" i="10"/>
  <c r="D60" i="10"/>
  <c r="AY60" i="10" s="1"/>
  <c r="E61" i="10"/>
  <c r="AW27" i="10"/>
  <c r="AX28" i="10"/>
  <c r="AW39" i="10"/>
  <c r="D39" i="10" s="1"/>
  <c r="AY39" i="10" s="1"/>
  <c r="AX40" i="10"/>
  <c r="AV46" i="10"/>
  <c r="AW47" i="10"/>
  <c r="D47" i="10" s="1"/>
  <c r="AX48" i="10"/>
  <c r="AU17" i="10"/>
  <c r="AW17" i="10" s="1"/>
  <c r="D17" i="10" s="1"/>
  <c r="AU24" i="10"/>
  <c r="AW24" i="10" s="1"/>
  <c r="D24" i="10" s="1"/>
  <c r="AY24" i="10" s="1"/>
  <c r="AX47" i="10"/>
  <c r="E47" i="10" s="1"/>
  <c r="AV24" i="10"/>
  <c r="AX24" i="10" s="1"/>
  <c r="D31" i="10"/>
  <c r="AY31" i="10" s="1"/>
  <c r="E32" i="10"/>
  <c r="AX46" i="10"/>
  <c r="D57" i="10"/>
  <c r="AY57" i="10" s="1"/>
  <c r="E58" i="10"/>
  <c r="AV52" i="10"/>
  <c r="AX52" i="10" s="1"/>
  <c r="AU42" i="10"/>
  <c r="BA19" i="10"/>
  <c r="BA20" i="10"/>
  <c r="BA21" i="10"/>
  <c r="AW42" i="10"/>
  <c r="BA53" i="9"/>
  <c r="AZ53" i="9"/>
  <c r="E52" i="9"/>
  <c r="AW30" i="9"/>
  <c r="D30" i="9" s="1"/>
  <c r="AY30" i="9" s="1"/>
  <c r="BA36" i="9"/>
  <c r="AZ36" i="9"/>
  <c r="AU55" i="9"/>
  <c r="BA17" i="9"/>
  <c r="BA26" i="9"/>
  <c r="AZ26" i="9"/>
  <c r="D54" i="9"/>
  <c r="AY54" i="9" s="1"/>
  <c r="AW54" i="9"/>
  <c r="D27" i="9"/>
  <c r="AY27" i="9" s="1"/>
  <c r="AW27" i="9"/>
  <c r="BA30" i="9"/>
  <c r="AZ30" i="9"/>
  <c r="D37" i="9"/>
  <c r="AY37" i="9" s="1"/>
  <c r="AW37" i="9"/>
  <c r="D40" i="9"/>
  <c r="AY40" i="9" s="1"/>
  <c r="AW56" i="9"/>
  <c r="D56" i="9" s="1"/>
  <c r="AW31" i="9"/>
  <c r="D31" i="9"/>
  <c r="AY31" i="9" s="1"/>
  <c r="BA40" i="9"/>
  <c r="AZ40" i="9"/>
  <c r="BA54" i="9"/>
  <c r="AZ54" i="9"/>
  <c r="D41" i="9"/>
  <c r="AY41" i="9" s="1"/>
  <c r="AW41" i="9"/>
  <c r="AX42" i="9"/>
  <c r="BA45" i="9"/>
  <c r="AZ45" i="9"/>
  <c r="AW47" i="9"/>
  <c r="D47" i="9" s="1"/>
  <c r="BA50" i="9"/>
  <c r="AZ50" i="9"/>
  <c r="BA56" i="9"/>
  <c r="AZ56" i="9"/>
  <c r="AW57" i="9"/>
  <c r="D57" i="9" s="1"/>
  <c r="AY57" i="9" s="1"/>
  <c r="D25" i="9"/>
  <c r="AY25" i="9" s="1"/>
  <c r="AW25" i="9"/>
  <c r="BA31" i="9"/>
  <c r="AZ31" i="9"/>
  <c r="AW35" i="9"/>
  <c r="D35" i="9" s="1"/>
  <c r="AY35" i="9" s="1"/>
  <c r="D38" i="9"/>
  <c r="AY38" i="9" s="1"/>
  <c r="AW38" i="9"/>
  <c r="D18" i="9"/>
  <c r="D21" i="9"/>
  <c r="D28" i="9"/>
  <c r="AY28" i="9" s="1"/>
  <c r="AW32" i="9"/>
  <c r="D32" i="9"/>
  <c r="AY32" i="9" s="1"/>
  <c r="BA28" i="9"/>
  <c r="AZ28" i="9"/>
  <c r="BA35" i="9"/>
  <c r="AZ35" i="9"/>
  <c r="BA38" i="9"/>
  <c r="AZ38" i="9"/>
  <c r="BA51" i="9"/>
  <c r="AZ51" i="9"/>
  <c r="BA57" i="9"/>
  <c r="AZ57" i="9"/>
  <c r="AW61" i="9"/>
  <c r="D61" i="9"/>
  <c r="AY61" i="9" s="1"/>
  <c r="AW29" i="9"/>
  <c r="D29" i="9" s="1"/>
  <c r="AY29" i="9" s="1"/>
  <c r="AW36" i="9"/>
  <c r="D36" i="9"/>
  <c r="AY36" i="9" s="1"/>
  <c r="AW39" i="9"/>
  <c r="D39" i="9" s="1"/>
  <c r="AY39" i="9" s="1"/>
  <c r="AW58" i="9"/>
  <c r="D58" i="9" s="1"/>
  <c r="AY58" i="9" s="1"/>
  <c r="D26" i="9"/>
  <c r="AY26" i="9" s="1"/>
  <c r="AW26" i="9"/>
  <c r="BA48" i="9"/>
  <c r="AZ48" i="9"/>
  <c r="AY53" i="9"/>
  <c r="D52" i="9"/>
  <c r="AY52" i="9" s="1"/>
  <c r="BA61" i="9"/>
  <c r="AZ61" i="9"/>
  <c r="AW55" i="9"/>
  <c r="AW28" i="9"/>
  <c r="AX29" i="9"/>
  <c r="E29" i="9" s="1"/>
  <c r="AW40" i="9"/>
  <c r="AX41" i="9"/>
  <c r="E41" i="9" s="1"/>
  <c r="AW48" i="9"/>
  <c r="D48" i="9" s="1"/>
  <c r="AY48" i="9" s="1"/>
  <c r="AX49" i="9"/>
  <c r="E49" i="9" s="1"/>
  <c r="D33" i="9"/>
  <c r="AY33" i="9" s="1"/>
  <c r="E34" i="9"/>
  <c r="D43" i="9"/>
  <c r="E44" i="9"/>
  <c r="D59" i="9"/>
  <c r="AY59" i="9" s="1"/>
  <c r="E60" i="9"/>
  <c r="AX27" i="9"/>
  <c r="E27" i="9" s="1"/>
  <c r="E33" i="9"/>
  <c r="AX39" i="9"/>
  <c r="E39" i="9" s="1"/>
  <c r="E43" i="9"/>
  <c r="AX47" i="9"/>
  <c r="E47" i="9" s="1"/>
  <c r="E59" i="9"/>
  <c r="E32" i="9"/>
  <c r="E58" i="9"/>
  <c r="E55" i="9" s="1"/>
  <c r="AZ25" i="9"/>
  <c r="AZ37" i="9"/>
  <c r="AU42" i="9"/>
  <c r="AZ23" i="9"/>
  <c r="AV42" i="9"/>
  <c r="AW42" i="9"/>
  <c r="D28" i="8"/>
  <c r="AY28" i="8" s="1"/>
  <c r="BA31" i="8"/>
  <c r="AZ31" i="8"/>
  <c r="BA48" i="8"/>
  <c r="AZ48" i="8"/>
  <c r="AW39" i="8"/>
  <c r="D39" i="8" s="1"/>
  <c r="AY39" i="8" s="1"/>
  <c r="BA28" i="8"/>
  <c r="AZ28" i="8"/>
  <c r="AW32" i="8"/>
  <c r="D32" i="8" s="1"/>
  <c r="AY32" i="8" s="1"/>
  <c r="AW54" i="8"/>
  <c r="D54" i="8" s="1"/>
  <c r="AY54" i="8" s="1"/>
  <c r="AW26" i="8"/>
  <c r="D26" i="8" s="1"/>
  <c r="AY26" i="8" s="1"/>
  <c r="BA39" i="8"/>
  <c r="AZ39" i="8"/>
  <c r="AW56" i="8"/>
  <c r="D56" i="8" s="1"/>
  <c r="AW37" i="8"/>
  <c r="D37" i="8" s="1"/>
  <c r="AY37" i="8" s="1"/>
  <c r="BA32" i="8"/>
  <c r="AZ32" i="8"/>
  <c r="BA54" i="8"/>
  <c r="AZ54" i="8"/>
  <c r="AZ59" i="8"/>
  <c r="BA59" i="8"/>
  <c r="AW45" i="8"/>
  <c r="D45" i="8"/>
  <c r="AY45" i="8" s="1"/>
  <c r="BA56" i="8"/>
  <c r="AZ56" i="8"/>
  <c r="AW57" i="8"/>
  <c r="D57" i="8" s="1"/>
  <c r="AY57" i="8" s="1"/>
  <c r="AW27" i="8"/>
  <c r="D27" i="8" s="1"/>
  <c r="AY27" i="8" s="1"/>
  <c r="AW30" i="8"/>
  <c r="D30" i="8" s="1"/>
  <c r="AY30" i="8" s="1"/>
  <c r="BA40" i="8"/>
  <c r="AZ40" i="8"/>
  <c r="AW47" i="8"/>
  <c r="D47" i="8" s="1"/>
  <c r="BA50" i="8"/>
  <c r="AZ50" i="8"/>
  <c r="D38" i="8"/>
  <c r="AY38" i="8" s="1"/>
  <c r="AW38" i="8"/>
  <c r="AW41" i="8"/>
  <c r="D41" i="8" s="1"/>
  <c r="AY41" i="8" s="1"/>
  <c r="BA30" i="8"/>
  <c r="AZ30" i="8"/>
  <c r="AZ33" i="8"/>
  <c r="BA33" i="8"/>
  <c r="E47" i="8"/>
  <c r="BA57" i="8"/>
  <c r="AZ57" i="8"/>
  <c r="AW61" i="8"/>
  <c r="D61" i="8" s="1"/>
  <c r="AY61" i="8" s="1"/>
  <c r="AW25" i="8"/>
  <c r="D25" i="8" s="1"/>
  <c r="AY25" i="8" s="1"/>
  <c r="BA27" i="8"/>
  <c r="AZ27" i="8"/>
  <c r="E24" i="8"/>
  <c r="AW31" i="8"/>
  <c r="D31" i="8" s="1"/>
  <c r="AY31" i="8" s="1"/>
  <c r="E41" i="8"/>
  <c r="AW58" i="8"/>
  <c r="D58" i="8"/>
  <c r="AY58" i="8" s="1"/>
  <c r="BA17" i="8"/>
  <c r="BA36" i="8"/>
  <c r="AZ36" i="8"/>
  <c r="BA51" i="8"/>
  <c r="AZ51" i="8"/>
  <c r="AW53" i="8"/>
  <c r="D53" i="8"/>
  <c r="AW55" i="8"/>
  <c r="AW28" i="8"/>
  <c r="AX29" i="8"/>
  <c r="E29" i="8" s="1"/>
  <c r="D34" i="8"/>
  <c r="AY34" i="8" s="1"/>
  <c r="E35" i="8"/>
  <c r="AW40" i="8"/>
  <c r="D40" i="8" s="1"/>
  <c r="AY40" i="8" s="1"/>
  <c r="AX41" i="8"/>
  <c r="D44" i="8"/>
  <c r="AY44" i="8" s="1"/>
  <c r="E45" i="8"/>
  <c r="AW48" i="8"/>
  <c r="D48" i="8" s="1"/>
  <c r="AY48" i="8" s="1"/>
  <c r="AX49" i="8"/>
  <c r="E49" i="8" s="1"/>
  <c r="E53" i="8"/>
  <c r="D60" i="8"/>
  <c r="AY60" i="8" s="1"/>
  <c r="E61" i="8"/>
  <c r="D33" i="8"/>
  <c r="AY33" i="8" s="1"/>
  <c r="E34" i="8"/>
  <c r="D43" i="8"/>
  <c r="E44" i="8"/>
  <c r="AV46" i="8"/>
  <c r="AX46" i="8" s="1"/>
  <c r="D59" i="8"/>
  <c r="AY59" i="8" s="1"/>
  <c r="E60" i="8"/>
  <c r="E43" i="8"/>
  <c r="AX47" i="8"/>
  <c r="E58" i="8"/>
  <c r="AZ26" i="8"/>
  <c r="AZ38" i="8"/>
  <c r="AZ25" i="8"/>
  <c r="AZ37" i="8"/>
  <c r="AU42" i="8"/>
  <c r="AW42" i="8" s="1"/>
  <c r="AZ23" i="8"/>
  <c r="AV42" i="8"/>
  <c r="AX42" i="8" s="1"/>
  <c r="D20" i="7"/>
  <c r="AU24" i="7"/>
  <c r="AW24" i="7" s="1"/>
  <c r="D24" i="7" s="1"/>
  <c r="AY24" i="7" s="1"/>
  <c r="AZ33" i="7"/>
  <c r="BA33" i="7"/>
  <c r="AW40" i="7"/>
  <c r="D40" i="7" s="1"/>
  <c r="AY40" i="7" s="1"/>
  <c r="AW25" i="7"/>
  <c r="D25" i="7" s="1"/>
  <c r="AY25" i="7" s="1"/>
  <c r="BA27" i="7"/>
  <c r="AZ27" i="7"/>
  <c r="BA30" i="7"/>
  <c r="AZ30" i="7"/>
  <c r="D37" i="7"/>
  <c r="AY37" i="7" s="1"/>
  <c r="AW37" i="7"/>
  <c r="AW45" i="7"/>
  <c r="D45" i="7"/>
  <c r="AY45" i="7" s="1"/>
  <c r="BA39" i="7"/>
  <c r="AZ39" i="7"/>
  <c r="D28" i="7"/>
  <c r="AY28" i="7" s="1"/>
  <c r="AW28" i="7"/>
  <c r="AW31" i="7"/>
  <c r="D31" i="7"/>
  <c r="AY31" i="7" s="1"/>
  <c r="E40" i="7"/>
  <c r="BA59" i="7"/>
  <c r="AZ59" i="7"/>
  <c r="D19" i="7"/>
  <c r="AW41" i="7"/>
  <c r="D41" i="7" s="1"/>
  <c r="AY41" i="7" s="1"/>
  <c r="AX42" i="7"/>
  <c r="BA56" i="7"/>
  <c r="AZ56" i="7"/>
  <c r="AX17" i="7"/>
  <c r="E17" i="7" s="1"/>
  <c r="BA17" i="7" s="1"/>
  <c r="BA25" i="7"/>
  <c r="AZ25" i="7"/>
  <c r="BA37" i="7"/>
  <c r="AZ37" i="7"/>
  <c r="D47" i="7"/>
  <c r="BA50" i="7"/>
  <c r="AZ50" i="7"/>
  <c r="AW57" i="7"/>
  <c r="D57" i="7"/>
  <c r="AY57" i="7" s="1"/>
  <c r="AW29" i="7"/>
  <c r="D29" i="7" s="1"/>
  <c r="AY29" i="7" s="1"/>
  <c r="AW32" i="7"/>
  <c r="D32" i="7" s="1"/>
  <c r="AY32" i="7" s="1"/>
  <c r="AW35" i="7"/>
  <c r="D35" i="7" s="1"/>
  <c r="AY35" i="7" s="1"/>
  <c r="D38" i="7"/>
  <c r="AY38" i="7" s="1"/>
  <c r="AW38" i="7"/>
  <c r="BA47" i="7"/>
  <c r="AZ47" i="7"/>
  <c r="D48" i="7"/>
  <c r="AY48" i="7" s="1"/>
  <c r="AW48" i="7"/>
  <c r="E57" i="7"/>
  <c r="E55" i="7" s="1"/>
  <c r="D23" i="7"/>
  <c r="AY23" i="7" s="1"/>
  <c r="BA38" i="7"/>
  <c r="AZ38" i="7"/>
  <c r="E51" i="7"/>
  <c r="AW53" i="7"/>
  <c r="D53" i="7" s="1"/>
  <c r="AW58" i="7"/>
  <c r="D58" i="7"/>
  <c r="AY58" i="7" s="1"/>
  <c r="AW61" i="7"/>
  <c r="D61" i="7" s="1"/>
  <c r="AY61" i="7" s="1"/>
  <c r="BA23" i="7"/>
  <c r="AZ23" i="7"/>
  <c r="BA29" i="7"/>
  <c r="AZ29" i="7"/>
  <c r="BA43" i="7"/>
  <c r="AZ43" i="7"/>
  <c r="AW54" i="7"/>
  <c r="D54" i="7"/>
  <c r="AY54" i="7" s="1"/>
  <c r="BA26" i="7"/>
  <c r="AZ26" i="7"/>
  <c r="E24" i="7"/>
  <c r="AW36" i="7"/>
  <c r="D36" i="7"/>
  <c r="AY36" i="7" s="1"/>
  <c r="E18" i="7"/>
  <c r="BA18" i="7" s="1"/>
  <c r="E19" i="7"/>
  <c r="BA19" i="7" s="1"/>
  <c r="E20" i="7"/>
  <c r="BA20" i="7" s="1"/>
  <c r="E21" i="7"/>
  <c r="BA21" i="7" s="1"/>
  <c r="E22" i="7"/>
  <c r="BA22" i="7" s="1"/>
  <c r="AW30" i="7"/>
  <c r="D30" i="7" s="1"/>
  <c r="AY30" i="7" s="1"/>
  <c r="AX31" i="7"/>
  <c r="E31" i="7" s="1"/>
  <c r="AX51" i="7"/>
  <c r="AV55" i="7"/>
  <c r="AW56" i="7"/>
  <c r="D56" i="7" s="1"/>
  <c r="AX57" i="7"/>
  <c r="D34" i="7"/>
  <c r="AY34" i="7" s="1"/>
  <c r="E35" i="7"/>
  <c r="AX41" i="7"/>
  <c r="E41" i="7" s="1"/>
  <c r="D44" i="7"/>
  <c r="AY44" i="7" s="1"/>
  <c r="E45" i="7"/>
  <c r="AU46" i="7"/>
  <c r="AX49" i="7"/>
  <c r="E49" i="7" s="1"/>
  <c r="E53" i="7"/>
  <c r="AX55" i="7"/>
  <c r="D60" i="7"/>
  <c r="AY60" i="7" s="1"/>
  <c r="E61" i="7"/>
  <c r="AW27" i="7"/>
  <c r="D27" i="7" s="1"/>
  <c r="AY27" i="7" s="1"/>
  <c r="AX28" i="7"/>
  <c r="E28" i="7" s="1"/>
  <c r="D33" i="7"/>
  <c r="AY33" i="7" s="1"/>
  <c r="E34" i="7"/>
  <c r="AW39" i="7"/>
  <c r="D39" i="7" s="1"/>
  <c r="AY39" i="7" s="1"/>
  <c r="AX40" i="7"/>
  <c r="D43" i="7"/>
  <c r="E44" i="7"/>
  <c r="E42" i="7" s="1"/>
  <c r="AV46" i="7"/>
  <c r="AW47" i="7"/>
  <c r="AX48" i="7"/>
  <c r="E48" i="7" s="1"/>
  <c r="D59" i="7"/>
  <c r="AY59" i="7" s="1"/>
  <c r="E60" i="7"/>
  <c r="AU17" i="7"/>
  <c r="AW17" i="7" s="1"/>
  <c r="D17" i="7" s="1"/>
  <c r="AW46" i="7"/>
  <c r="E32" i="7"/>
  <c r="AX46" i="7"/>
  <c r="E58" i="7"/>
  <c r="AU42" i="7"/>
  <c r="AW42" i="7" s="1"/>
  <c r="AZ36" i="7"/>
  <c r="AV42" i="7"/>
  <c r="AZ54" i="7"/>
  <c r="BA61" i="6"/>
  <c r="AZ61" i="6"/>
  <c r="D30" i="6"/>
  <c r="AY30" i="6" s="1"/>
  <c r="AW30" i="6"/>
  <c r="AW33" i="6"/>
  <c r="D33" i="6"/>
  <c r="AY33" i="6" s="1"/>
  <c r="AW36" i="6"/>
  <c r="D36" i="6"/>
  <c r="AY36" i="6" s="1"/>
  <c r="BA39" i="6"/>
  <c r="AZ39" i="6"/>
  <c r="D59" i="6"/>
  <c r="AY59" i="6" s="1"/>
  <c r="AW59" i="6"/>
  <c r="AZ30" i="6"/>
  <c r="BA30" i="6"/>
  <c r="BA33" i="6"/>
  <c r="AZ33" i="6"/>
  <c r="BA36" i="6"/>
  <c r="AZ36" i="6"/>
  <c r="AW44" i="6"/>
  <c r="D44" i="6"/>
  <c r="AY44" i="6" s="1"/>
  <c r="D27" i="6"/>
  <c r="AY27" i="6" s="1"/>
  <c r="BA23" i="6"/>
  <c r="AZ23" i="6"/>
  <c r="AW34" i="6"/>
  <c r="D34" i="6"/>
  <c r="AY34" i="6" s="1"/>
  <c r="AW37" i="6"/>
  <c r="D37" i="6" s="1"/>
  <c r="AY37" i="6" s="1"/>
  <c r="AW31" i="6"/>
  <c r="D31" i="6" s="1"/>
  <c r="AY31" i="6" s="1"/>
  <c r="BA51" i="6"/>
  <c r="AZ51" i="6"/>
  <c r="BA57" i="6"/>
  <c r="AZ57" i="6"/>
  <c r="AW60" i="6"/>
  <c r="D60" i="6" s="1"/>
  <c r="AY60" i="6" s="1"/>
  <c r="D25" i="6"/>
  <c r="AY25" i="6" s="1"/>
  <c r="AW25" i="6"/>
  <c r="D28" i="6"/>
  <c r="AY28" i="6" s="1"/>
  <c r="AZ34" i="6"/>
  <c r="BA34" i="6"/>
  <c r="BA37" i="6"/>
  <c r="AZ37" i="6"/>
  <c r="AW53" i="6"/>
  <c r="D53" i="6" s="1"/>
  <c r="D38" i="6"/>
  <c r="AY38" i="6" s="1"/>
  <c r="AW38" i="6"/>
  <c r="AW45" i="6"/>
  <c r="D45" i="6"/>
  <c r="AY45" i="6" s="1"/>
  <c r="BA25" i="6"/>
  <c r="AZ25" i="6"/>
  <c r="D35" i="6"/>
  <c r="AY35" i="6" s="1"/>
  <c r="AW35" i="6"/>
  <c r="BA31" i="6"/>
  <c r="AZ31" i="6"/>
  <c r="D18" i="6"/>
  <c r="D20" i="6"/>
  <c r="D22" i="6"/>
  <c r="AW26" i="6"/>
  <c r="D26" i="6" s="1"/>
  <c r="AY26" i="6" s="1"/>
  <c r="AW32" i="6"/>
  <c r="D32" i="6" s="1"/>
  <c r="AY32" i="6" s="1"/>
  <c r="BA53" i="6"/>
  <c r="AZ53" i="6"/>
  <c r="E52" i="6"/>
  <c r="AW61" i="6"/>
  <c r="D61" i="6"/>
  <c r="AY61" i="6" s="1"/>
  <c r="BA45" i="6"/>
  <c r="AZ45" i="6"/>
  <c r="AW54" i="6"/>
  <c r="D54" i="6"/>
  <c r="AY54" i="6" s="1"/>
  <c r="AW56" i="6"/>
  <c r="D56" i="6" s="1"/>
  <c r="E29" i="6"/>
  <c r="AW43" i="6"/>
  <c r="D43" i="6" s="1"/>
  <c r="BA58" i="6"/>
  <c r="AZ58" i="6"/>
  <c r="AZ32" i="6"/>
  <c r="BA32" i="6"/>
  <c r="D39" i="6"/>
  <c r="AY39" i="6" s="1"/>
  <c r="E47" i="6"/>
  <c r="BA50" i="6"/>
  <c r="AZ50" i="6"/>
  <c r="BA54" i="6"/>
  <c r="AZ54" i="6"/>
  <c r="AZ56" i="6"/>
  <c r="BA56" i="6"/>
  <c r="AW39" i="6"/>
  <c r="AV46" i="6"/>
  <c r="AX46" i="6" s="1"/>
  <c r="E18" i="6"/>
  <c r="BA18" i="6" s="1"/>
  <c r="E19" i="6"/>
  <c r="E20" i="6"/>
  <c r="BA20" i="6" s="1"/>
  <c r="E21" i="6"/>
  <c r="BA21" i="6" s="1"/>
  <c r="E22" i="6"/>
  <c r="BA44" i="6"/>
  <c r="BA60" i="6"/>
  <c r="AS17" i="6"/>
  <c r="AW28" i="6"/>
  <c r="AX29" i="6"/>
  <c r="AW40" i="6"/>
  <c r="D40" i="6" s="1"/>
  <c r="AY40" i="6" s="1"/>
  <c r="AX41" i="6"/>
  <c r="E41" i="6" s="1"/>
  <c r="AU46" i="6"/>
  <c r="AW46" i="6" s="1"/>
  <c r="AW48" i="6"/>
  <c r="D48" i="6" s="1"/>
  <c r="AY48" i="6" s="1"/>
  <c r="AX49" i="6"/>
  <c r="E49" i="6" s="1"/>
  <c r="AU17" i="6"/>
  <c r="AW17" i="6" s="1"/>
  <c r="D17" i="6" s="1"/>
  <c r="AU24" i="6"/>
  <c r="AX27" i="6"/>
  <c r="E27" i="6" s="1"/>
  <c r="E43" i="6"/>
  <c r="AX47" i="6"/>
  <c r="D58" i="6"/>
  <c r="AY58" i="6" s="1"/>
  <c r="E59" i="6"/>
  <c r="AW27" i="6"/>
  <c r="AV17" i="6"/>
  <c r="AV24" i="6"/>
  <c r="AX24" i="6" s="1"/>
  <c r="AX26" i="6"/>
  <c r="E26" i="6" s="1"/>
  <c r="AX38" i="6"/>
  <c r="E38" i="6" s="1"/>
  <c r="AW24" i="6"/>
  <c r="D24" i="6" s="1"/>
  <c r="AY24" i="6" s="1"/>
  <c r="AU52" i="6"/>
  <c r="AW52" i="6" s="1"/>
  <c r="AX48" i="6"/>
  <c r="E48" i="6" s="1"/>
  <c r="E28" i="6"/>
  <c r="E40" i="6"/>
  <c r="D47" i="6"/>
  <c r="BA19" i="6"/>
  <c r="BA22" i="6"/>
  <c r="BA31" i="5"/>
  <c r="AZ31" i="5"/>
  <c r="BA37" i="5"/>
  <c r="AZ37" i="5"/>
  <c r="D41" i="5"/>
  <c r="AY41" i="5" s="1"/>
  <c r="AW41" i="5"/>
  <c r="AU55" i="5"/>
  <c r="AW24" i="5"/>
  <c r="D24" i="5" s="1"/>
  <c r="AY24" i="5" s="1"/>
  <c r="AW35" i="5"/>
  <c r="D35" i="5" s="1"/>
  <c r="AY35" i="5" s="1"/>
  <c r="D38" i="5"/>
  <c r="AY38" i="5" s="1"/>
  <c r="AW38" i="5"/>
  <c r="BA45" i="5"/>
  <c r="AZ45" i="5"/>
  <c r="AW47" i="5"/>
  <c r="D47" i="5" s="1"/>
  <c r="D25" i="5"/>
  <c r="AY25" i="5" s="1"/>
  <c r="AW25" i="5"/>
  <c r="BA50" i="5"/>
  <c r="AZ50" i="5"/>
  <c r="D56" i="5"/>
  <c r="AW56" i="5"/>
  <c r="BA28" i="5"/>
  <c r="AZ28" i="5"/>
  <c r="BA38" i="5"/>
  <c r="AZ38" i="5"/>
  <c r="BA47" i="5"/>
  <c r="AZ47" i="5"/>
  <c r="BA54" i="5"/>
  <c r="AZ54" i="5"/>
  <c r="AW17" i="5"/>
  <c r="D17" i="5" s="1"/>
  <c r="BA25" i="5"/>
  <c r="AZ25" i="5"/>
  <c r="AW29" i="5"/>
  <c r="D29" i="5" s="1"/>
  <c r="AY29" i="5" s="1"/>
  <c r="BA35" i="5"/>
  <c r="AZ35" i="5"/>
  <c r="D39" i="5"/>
  <c r="AY39" i="5" s="1"/>
  <c r="AW39" i="5"/>
  <c r="BA56" i="5"/>
  <c r="AZ56" i="5"/>
  <c r="AW26" i="5"/>
  <c r="D26" i="5" s="1"/>
  <c r="AY26" i="5" s="1"/>
  <c r="AW44" i="5"/>
  <c r="D44" i="5"/>
  <c r="AY44" i="5" s="1"/>
  <c r="BA51" i="5"/>
  <c r="AZ51" i="5"/>
  <c r="AW57" i="5"/>
  <c r="D57" i="5" s="1"/>
  <c r="AY57" i="5" s="1"/>
  <c r="AW60" i="5"/>
  <c r="D60" i="5"/>
  <c r="AY60" i="5" s="1"/>
  <c r="BA17" i="5"/>
  <c r="D20" i="5"/>
  <c r="BA26" i="5"/>
  <c r="AZ26" i="5"/>
  <c r="E24" i="5"/>
  <c r="AW30" i="5"/>
  <c r="D30" i="5" s="1"/>
  <c r="AY30" i="5" s="1"/>
  <c r="BA39" i="5"/>
  <c r="AZ39" i="5"/>
  <c r="BA57" i="5"/>
  <c r="AZ57" i="5"/>
  <c r="D27" i="5"/>
  <c r="AY27" i="5" s="1"/>
  <c r="AW27" i="5"/>
  <c r="BA48" i="5"/>
  <c r="AZ48" i="5"/>
  <c r="AY53" i="5"/>
  <c r="D52" i="5"/>
  <c r="AY52" i="5" s="1"/>
  <c r="AW61" i="5"/>
  <c r="D61" i="5" s="1"/>
  <c r="AY61" i="5" s="1"/>
  <c r="BA30" i="5"/>
  <c r="AZ30" i="5"/>
  <c r="BA36" i="5"/>
  <c r="AZ36" i="5"/>
  <c r="BA27" i="5"/>
  <c r="AZ27" i="5"/>
  <c r="AW31" i="5"/>
  <c r="D31" i="5" s="1"/>
  <c r="AY31" i="5" s="1"/>
  <c r="AW34" i="5"/>
  <c r="D34" i="5"/>
  <c r="AY34" i="5" s="1"/>
  <c r="AW37" i="5"/>
  <c r="D37" i="5" s="1"/>
  <c r="AY37" i="5" s="1"/>
  <c r="BA40" i="5"/>
  <c r="AZ40" i="5"/>
  <c r="BA53" i="5"/>
  <c r="AZ53" i="5"/>
  <c r="E52" i="5"/>
  <c r="BA61" i="5"/>
  <c r="AZ61" i="5"/>
  <c r="AW55" i="5"/>
  <c r="AW28" i="5"/>
  <c r="D28" i="5" s="1"/>
  <c r="AY28" i="5" s="1"/>
  <c r="AX29" i="5"/>
  <c r="E29" i="5" s="1"/>
  <c r="AW40" i="5"/>
  <c r="D40" i="5" s="1"/>
  <c r="AY40" i="5" s="1"/>
  <c r="AX41" i="5"/>
  <c r="E41" i="5" s="1"/>
  <c r="AW48" i="5"/>
  <c r="D48" i="5" s="1"/>
  <c r="AY48" i="5" s="1"/>
  <c r="AX49" i="5"/>
  <c r="E49" i="5" s="1"/>
  <c r="D33" i="5"/>
  <c r="AY33" i="5" s="1"/>
  <c r="E34" i="5"/>
  <c r="D43" i="5"/>
  <c r="E44" i="5"/>
  <c r="D59" i="5"/>
  <c r="AY59" i="5" s="1"/>
  <c r="E60" i="5"/>
  <c r="E55" i="5" s="1"/>
  <c r="D32" i="5"/>
  <c r="AY32" i="5" s="1"/>
  <c r="E33" i="5"/>
  <c r="E43" i="5"/>
  <c r="D58" i="5"/>
  <c r="AY58" i="5" s="1"/>
  <c r="E59" i="5"/>
  <c r="AV24" i="5"/>
  <c r="AX24" i="5" s="1"/>
  <c r="E32" i="5"/>
  <c r="E58" i="5"/>
  <c r="AZ23" i="5"/>
  <c r="AV42" i="5"/>
  <c r="AX42" i="5" s="1"/>
  <c r="AW42" i="5"/>
  <c r="E41" i="4"/>
  <c r="AW43" i="4"/>
  <c r="D43" i="4" s="1"/>
  <c r="AW58" i="4"/>
  <c r="D58" i="4" s="1"/>
  <c r="AY58" i="4" s="1"/>
  <c r="AW35" i="4"/>
  <c r="D35" i="4"/>
  <c r="AY35" i="4" s="1"/>
  <c r="AW25" i="4"/>
  <c r="D25" i="4" s="1"/>
  <c r="AY25" i="4" s="1"/>
  <c r="D28" i="4"/>
  <c r="AY28" i="4" s="1"/>
  <c r="BA31" i="4"/>
  <c r="AZ31" i="4"/>
  <c r="D48" i="4"/>
  <c r="AY48" i="4" s="1"/>
  <c r="AU55" i="4"/>
  <c r="AW55" i="4" s="1"/>
  <c r="BA58" i="4"/>
  <c r="AZ58" i="4"/>
  <c r="BA51" i="4"/>
  <c r="AZ51" i="4"/>
  <c r="AW32" i="4"/>
  <c r="D32" i="4"/>
  <c r="AY32" i="4" s="1"/>
  <c r="AW44" i="4"/>
  <c r="D44" i="4" s="1"/>
  <c r="AY44" i="4" s="1"/>
  <c r="BA53" i="4"/>
  <c r="AZ53" i="4"/>
  <c r="E52" i="4"/>
  <c r="AW59" i="4"/>
  <c r="D59" i="4"/>
  <c r="AY59" i="4" s="1"/>
  <c r="AW53" i="4"/>
  <c r="D53" i="4"/>
  <c r="D18" i="4"/>
  <c r="D20" i="4"/>
  <c r="D22" i="4"/>
  <c r="BA25" i="4"/>
  <c r="AZ25" i="4"/>
  <c r="AW29" i="4"/>
  <c r="D29" i="4" s="1"/>
  <c r="AY29" i="4" s="1"/>
  <c r="AW54" i="4"/>
  <c r="D54" i="4" s="1"/>
  <c r="AY54" i="4" s="1"/>
  <c r="AW56" i="4"/>
  <c r="D56" i="4" s="1"/>
  <c r="AZ32" i="4"/>
  <c r="BA32" i="4"/>
  <c r="D36" i="4"/>
  <c r="AY36" i="4" s="1"/>
  <c r="AW36" i="4"/>
  <c r="AZ44" i="4"/>
  <c r="BA44" i="4"/>
  <c r="AZ59" i="4"/>
  <c r="BA59" i="4"/>
  <c r="AW26" i="4"/>
  <c r="D26" i="4" s="1"/>
  <c r="AY26" i="4" s="1"/>
  <c r="BA39" i="4"/>
  <c r="AZ39" i="4"/>
  <c r="AW33" i="4"/>
  <c r="D33" i="4" s="1"/>
  <c r="AY33" i="4" s="1"/>
  <c r="AW45" i="4"/>
  <c r="D45" i="4" s="1"/>
  <c r="AY45" i="4" s="1"/>
  <c r="BA54" i="4"/>
  <c r="AZ54" i="4"/>
  <c r="AW60" i="4"/>
  <c r="D60" i="4"/>
  <c r="AY60" i="4" s="1"/>
  <c r="E26" i="4"/>
  <c r="AZ56" i="4"/>
  <c r="E55" i="4"/>
  <c r="BA56" i="4"/>
  <c r="BA36" i="4"/>
  <c r="AZ36" i="4"/>
  <c r="AZ33" i="4"/>
  <c r="BA33" i="4"/>
  <c r="D37" i="4"/>
  <c r="AY37" i="4" s="1"/>
  <c r="AW37" i="4"/>
  <c r="AW57" i="4"/>
  <c r="D57" i="4" s="1"/>
  <c r="AY57" i="4" s="1"/>
  <c r="AZ60" i="4"/>
  <c r="BA60" i="4"/>
  <c r="D30" i="4"/>
  <c r="AY30" i="4" s="1"/>
  <c r="AW30" i="4"/>
  <c r="AW34" i="4"/>
  <c r="D34" i="4" s="1"/>
  <c r="AY34" i="4" s="1"/>
  <c r="E40" i="4"/>
  <c r="BA45" i="4"/>
  <c r="AZ45" i="4"/>
  <c r="AW61" i="4"/>
  <c r="D61" i="4"/>
  <c r="AY61" i="4" s="1"/>
  <c r="AZ30" i="4"/>
  <c r="BA30" i="4"/>
  <c r="BA37" i="4"/>
  <c r="AZ37" i="4"/>
  <c r="D41" i="4"/>
  <c r="AY41" i="4" s="1"/>
  <c r="AW41" i="4"/>
  <c r="AZ50" i="4"/>
  <c r="BA50" i="4"/>
  <c r="BA23" i="4"/>
  <c r="AZ23" i="4"/>
  <c r="AW31" i="4"/>
  <c r="D31" i="4"/>
  <c r="AY31" i="4" s="1"/>
  <c r="AZ34" i="4"/>
  <c r="BA34" i="4"/>
  <c r="D38" i="4"/>
  <c r="AY38" i="4" s="1"/>
  <c r="AW38" i="4"/>
  <c r="BA57" i="4"/>
  <c r="AZ57" i="4"/>
  <c r="BA61" i="4"/>
  <c r="AZ61" i="4"/>
  <c r="AS17" i="4"/>
  <c r="AW28" i="4"/>
  <c r="AX29" i="4"/>
  <c r="E29" i="4" s="1"/>
  <c r="AW40" i="4"/>
  <c r="D40" i="4" s="1"/>
  <c r="AY40" i="4" s="1"/>
  <c r="AX41" i="4"/>
  <c r="AU46" i="4"/>
  <c r="AW48" i="4"/>
  <c r="AX49" i="4"/>
  <c r="E49" i="4" s="1"/>
  <c r="AW27" i="4"/>
  <c r="D27" i="4" s="1"/>
  <c r="AY27" i="4" s="1"/>
  <c r="AW47" i="4"/>
  <c r="D47" i="4" s="1"/>
  <c r="AU17" i="4"/>
  <c r="AW17" i="4" s="1"/>
  <c r="D17" i="4" s="1"/>
  <c r="AU24" i="4"/>
  <c r="AW24" i="4" s="1"/>
  <c r="D24" i="4" s="1"/>
  <c r="AY24" i="4" s="1"/>
  <c r="AX27" i="4"/>
  <c r="E27" i="4" s="1"/>
  <c r="E43" i="4"/>
  <c r="AW46" i="4"/>
  <c r="AX47" i="4"/>
  <c r="E47" i="4" s="1"/>
  <c r="AV17" i="4"/>
  <c r="AX17" i="4" s="1"/>
  <c r="AV24" i="4"/>
  <c r="AX26" i="4"/>
  <c r="AX38" i="4"/>
  <c r="E38" i="4" s="1"/>
  <c r="AU52" i="4"/>
  <c r="AW52" i="4" s="1"/>
  <c r="AX24" i="4"/>
  <c r="AV52" i="4"/>
  <c r="AX52" i="4" s="1"/>
  <c r="AX28" i="4"/>
  <c r="E28" i="4" s="1"/>
  <c r="AV46" i="4"/>
  <c r="AX46" i="4" s="1"/>
  <c r="AX40" i="4"/>
  <c r="AX48" i="4"/>
  <c r="E48" i="4" s="1"/>
  <c r="D39" i="4"/>
  <c r="AY39" i="4" s="1"/>
  <c r="BA18" i="4"/>
  <c r="BA19" i="4"/>
  <c r="BA20" i="4"/>
  <c r="BA21" i="4"/>
  <c r="BA22" i="4"/>
  <c r="AZ35" i="4"/>
  <c r="BA49" i="3"/>
  <c r="AZ49" i="3"/>
  <c r="BA53" i="3"/>
  <c r="AZ53" i="3"/>
  <c r="E52" i="3"/>
  <c r="AW25" i="3"/>
  <c r="D25" i="3" s="1"/>
  <c r="AY25" i="3" s="1"/>
  <c r="BA45" i="3"/>
  <c r="AZ45" i="3"/>
  <c r="BA61" i="3"/>
  <c r="AZ61" i="3"/>
  <c r="AZ30" i="3"/>
  <c r="BA30" i="3"/>
  <c r="BA35" i="3"/>
  <c r="AZ35" i="3"/>
  <c r="AW54" i="3"/>
  <c r="D54" i="3" s="1"/>
  <c r="AY54" i="3" s="1"/>
  <c r="AW35" i="3"/>
  <c r="D35" i="3" s="1"/>
  <c r="AY35" i="3" s="1"/>
  <c r="AW58" i="3"/>
  <c r="D58" i="3" s="1"/>
  <c r="AY58" i="3" s="1"/>
  <c r="BA25" i="3"/>
  <c r="AZ25" i="3"/>
  <c r="BA41" i="3"/>
  <c r="AZ41" i="3"/>
  <c r="BA58" i="3"/>
  <c r="AZ58" i="3"/>
  <c r="D19" i="3"/>
  <c r="AW36" i="3"/>
  <c r="D36" i="3"/>
  <c r="AY36" i="3" s="1"/>
  <c r="AW56" i="3"/>
  <c r="D56" i="3" s="1"/>
  <c r="D39" i="3"/>
  <c r="AY39" i="3" s="1"/>
  <c r="AZ50" i="3"/>
  <c r="BA50" i="3"/>
  <c r="AY43" i="3"/>
  <c r="AZ31" i="3"/>
  <c r="BA31" i="3"/>
  <c r="E42" i="3"/>
  <c r="BA43" i="3"/>
  <c r="AZ43" i="3"/>
  <c r="BA59" i="3"/>
  <c r="AZ59" i="3"/>
  <c r="AW31" i="3"/>
  <c r="D31" i="3"/>
  <c r="AY31" i="3" s="1"/>
  <c r="AZ56" i="3"/>
  <c r="BA56" i="3"/>
  <c r="E55" i="3"/>
  <c r="BA29" i="3"/>
  <c r="AZ29" i="3"/>
  <c r="AW37" i="3"/>
  <c r="D37" i="3" s="1"/>
  <c r="AY37" i="3" s="1"/>
  <c r="AW44" i="3"/>
  <c r="D44" i="3" s="1"/>
  <c r="AW57" i="3"/>
  <c r="D57" i="3" s="1"/>
  <c r="AY57" i="3" s="1"/>
  <c r="AW60" i="3"/>
  <c r="D60" i="3" s="1"/>
  <c r="AY60" i="3" s="1"/>
  <c r="E39" i="3"/>
  <c r="D18" i="3"/>
  <c r="D23" i="3"/>
  <c r="AY23" i="3" s="1"/>
  <c r="AW32" i="3"/>
  <c r="D32" i="3" s="1"/>
  <c r="AY32" i="3" s="1"/>
  <c r="AW34" i="3"/>
  <c r="D34" i="3" s="1"/>
  <c r="AY34" i="3" s="1"/>
  <c r="BA37" i="3"/>
  <c r="AZ37" i="3"/>
  <c r="AZ44" i="3"/>
  <c r="BA44" i="3"/>
  <c r="BA51" i="3"/>
  <c r="AZ51" i="3"/>
  <c r="AW53" i="3"/>
  <c r="D53" i="3"/>
  <c r="AZ60" i="3"/>
  <c r="BA60" i="3"/>
  <c r="E27" i="3"/>
  <c r="AZ34" i="3"/>
  <c r="BA34" i="3"/>
  <c r="AW45" i="3"/>
  <c r="D45" i="3"/>
  <c r="AY45" i="3" s="1"/>
  <c r="AZ57" i="3"/>
  <c r="BA57" i="3"/>
  <c r="AW61" i="3"/>
  <c r="D61" i="3" s="1"/>
  <c r="AY61" i="3" s="1"/>
  <c r="AZ32" i="3"/>
  <c r="BA32" i="3"/>
  <c r="E18" i="3"/>
  <c r="E19" i="3"/>
  <c r="E20" i="3"/>
  <c r="E21" i="3"/>
  <c r="E22" i="3"/>
  <c r="AU17" i="3"/>
  <c r="AU24" i="3"/>
  <c r="AW24" i="3" s="1"/>
  <c r="D24" i="3" s="1"/>
  <c r="AY24" i="3" s="1"/>
  <c r="AW26" i="3"/>
  <c r="D26" i="3" s="1"/>
  <c r="AY26" i="3" s="1"/>
  <c r="AX27" i="3"/>
  <c r="AW38" i="3"/>
  <c r="D38" i="3" s="1"/>
  <c r="AY38" i="3" s="1"/>
  <c r="AX39" i="3"/>
  <c r="AW46" i="3"/>
  <c r="AX47" i="3"/>
  <c r="E47" i="3" s="1"/>
  <c r="AU46" i="3"/>
  <c r="AV17" i="3"/>
  <c r="AV24" i="3"/>
  <c r="AX26" i="3"/>
  <c r="E26" i="3" s="1"/>
  <c r="AX38" i="3"/>
  <c r="E38" i="3" s="1"/>
  <c r="AX46" i="3"/>
  <c r="AW17" i="3"/>
  <c r="D17" i="3" s="1"/>
  <c r="AX17" i="3"/>
  <c r="AX24" i="3"/>
  <c r="AU42" i="3"/>
  <c r="AW42" i="3" s="1"/>
  <c r="AW52" i="3"/>
  <c r="AW27" i="3"/>
  <c r="D27" i="3" s="1"/>
  <c r="AY27" i="3" s="1"/>
  <c r="AW39" i="3"/>
  <c r="AZ23" i="3"/>
  <c r="E28" i="3"/>
  <c r="AZ36" i="3"/>
  <c r="E40" i="3"/>
  <c r="AV42" i="3"/>
  <c r="AX42" i="3" s="1"/>
  <c r="D47" i="3"/>
  <c r="E48" i="3"/>
  <c r="AZ54" i="3"/>
  <c r="BA18" i="3"/>
  <c r="BA19" i="3"/>
  <c r="BA20" i="3"/>
  <c r="BA21" i="3"/>
  <c r="BA22" i="3"/>
  <c r="AW31" i="2"/>
  <c r="D31" i="2" s="1"/>
  <c r="AY31" i="2" s="1"/>
  <c r="AZ34" i="2"/>
  <c r="BA34" i="2"/>
  <c r="AW35" i="2"/>
  <c r="D35" i="2" s="1"/>
  <c r="AY35" i="2" s="1"/>
  <c r="BA43" i="2"/>
  <c r="E42" i="2"/>
  <c r="AZ43" i="2"/>
  <c r="AZ51" i="2"/>
  <c r="BA51" i="2"/>
  <c r="AZ58" i="2"/>
  <c r="BA58" i="2"/>
  <c r="AW43" i="2"/>
  <c r="D43" i="2"/>
  <c r="AX52" i="2"/>
  <c r="AW58" i="2"/>
  <c r="D58" i="2"/>
  <c r="AY58" i="2" s="1"/>
  <c r="BA38" i="2"/>
  <c r="AZ38" i="2"/>
  <c r="D53" i="2"/>
  <c r="AW53" i="2"/>
  <c r="AW17" i="2"/>
  <c r="D17" i="2" s="1"/>
  <c r="D25" i="2"/>
  <c r="AY25" i="2" s="1"/>
  <c r="AW25" i="2"/>
  <c r="AZ31" i="2"/>
  <c r="BA31" i="2"/>
  <c r="AW44" i="2"/>
  <c r="D44" i="2" s="1"/>
  <c r="AY44" i="2" s="1"/>
  <c r="BA53" i="2"/>
  <c r="AZ53" i="2"/>
  <c r="E52" i="2"/>
  <c r="AW59" i="2"/>
  <c r="D59" i="2" s="1"/>
  <c r="AY59" i="2" s="1"/>
  <c r="E28" i="2"/>
  <c r="AW32" i="2"/>
  <c r="D32" i="2" s="1"/>
  <c r="AY32" i="2" s="1"/>
  <c r="BA35" i="2"/>
  <c r="AZ35" i="2"/>
  <c r="AW54" i="2"/>
  <c r="D54" i="2" s="1"/>
  <c r="AY54" i="2" s="1"/>
  <c r="AW56" i="2"/>
  <c r="D56" i="2" s="1"/>
  <c r="AZ44" i="2"/>
  <c r="BA44" i="2"/>
  <c r="D29" i="2"/>
  <c r="AY29" i="2" s="1"/>
  <c r="AW29" i="2"/>
  <c r="BA59" i="2"/>
  <c r="AZ59" i="2"/>
  <c r="AW60" i="2"/>
  <c r="D60" i="2"/>
  <c r="AY60" i="2" s="1"/>
  <c r="AZ32" i="2"/>
  <c r="BA32" i="2"/>
  <c r="BA36" i="2"/>
  <c r="AZ36" i="2"/>
  <c r="BA56" i="2"/>
  <c r="AZ56" i="2"/>
  <c r="E55" i="2"/>
  <c r="BA25" i="2"/>
  <c r="AZ25" i="2"/>
  <c r="AW36" i="2"/>
  <c r="D36" i="2" s="1"/>
  <c r="AY36" i="2" s="1"/>
  <c r="AW26" i="2"/>
  <c r="D26" i="2" s="1"/>
  <c r="AY26" i="2" s="1"/>
  <c r="AW45" i="2"/>
  <c r="D45" i="2" s="1"/>
  <c r="AY45" i="2" s="1"/>
  <c r="BA54" i="2"/>
  <c r="AZ54" i="2"/>
  <c r="BA26" i="2"/>
  <c r="AZ26" i="2"/>
  <c r="AW30" i="2"/>
  <c r="D30" i="2"/>
  <c r="AY30" i="2" s="1"/>
  <c r="AW33" i="2"/>
  <c r="D33" i="2"/>
  <c r="AY33" i="2" s="1"/>
  <c r="D37" i="2"/>
  <c r="AY37" i="2" s="1"/>
  <c r="AW37" i="2"/>
  <c r="BA45" i="2"/>
  <c r="AZ45" i="2"/>
  <c r="AW57" i="2"/>
  <c r="D57" i="2"/>
  <c r="AY57" i="2" s="1"/>
  <c r="AZ60" i="2"/>
  <c r="BA60" i="2"/>
  <c r="AW61" i="2"/>
  <c r="D61" i="2"/>
  <c r="AY61" i="2" s="1"/>
  <c r="BA30" i="2"/>
  <c r="AZ30" i="2"/>
  <c r="AZ33" i="2"/>
  <c r="BA33" i="2"/>
  <c r="BA37" i="2"/>
  <c r="AZ37" i="2"/>
  <c r="D41" i="2"/>
  <c r="AY41" i="2" s="1"/>
  <c r="AW41" i="2"/>
  <c r="BA50" i="2"/>
  <c r="AZ50" i="2"/>
  <c r="D27" i="2"/>
  <c r="AY27" i="2" s="1"/>
  <c r="AW34" i="2"/>
  <c r="D34" i="2" s="1"/>
  <c r="AY34" i="2" s="1"/>
  <c r="AW38" i="2"/>
  <c r="D38" i="2" s="1"/>
  <c r="AY38" i="2" s="1"/>
  <c r="E47" i="2"/>
  <c r="AZ57" i="2"/>
  <c r="BA57" i="2"/>
  <c r="BA61" i="2"/>
  <c r="AZ61" i="2"/>
  <c r="AW27" i="2"/>
  <c r="AX28" i="2"/>
  <c r="AW39" i="2"/>
  <c r="D39" i="2" s="1"/>
  <c r="AY39" i="2" s="1"/>
  <c r="AX40" i="2"/>
  <c r="E40" i="2" s="1"/>
  <c r="AV46" i="2"/>
  <c r="AW47" i="2"/>
  <c r="D47" i="2" s="1"/>
  <c r="AX48" i="2"/>
  <c r="E48" i="2" s="1"/>
  <c r="AX41" i="2"/>
  <c r="E41" i="2" s="1"/>
  <c r="AU17" i="2"/>
  <c r="AX27" i="2"/>
  <c r="E27" i="2" s="1"/>
  <c r="AX39" i="2"/>
  <c r="E39" i="2" s="1"/>
  <c r="AX47" i="2"/>
  <c r="AV17" i="2"/>
  <c r="AV24" i="2"/>
  <c r="AX24" i="2" s="1"/>
  <c r="AX46" i="2"/>
  <c r="AX29" i="2"/>
  <c r="E29" i="2" s="1"/>
  <c r="AW24" i="2"/>
  <c r="D24" i="2" s="1"/>
  <c r="AY24" i="2" s="1"/>
  <c r="AU52" i="2"/>
  <c r="AU46" i="2"/>
  <c r="AW46" i="2" s="1"/>
  <c r="AV52" i="2"/>
  <c r="AW40" i="2"/>
  <c r="D40" i="2" s="1"/>
  <c r="AY40" i="2" s="1"/>
  <c r="D28" i="2"/>
  <c r="AY28" i="2" s="1"/>
  <c r="AU42" i="2"/>
  <c r="D48" i="2"/>
  <c r="AY48" i="2" s="1"/>
  <c r="E49" i="2"/>
  <c r="AW52" i="2"/>
  <c r="AZ23" i="2"/>
  <c r="AW42" i="2"/>
  <c r="AZ61" i="1"/>
  <c r="BA61" i="1"/>
  <c r="D59" i="1"/>
  <c r="E59" i="1"/>
  <c r="E60" i="1"/>
  <c r="D60" i="34" l="1"/>
  <c r="AY60" i="34" s="1"/>
  <c r="E61" i="34"/>
  <c r="E60" i="34"/>
  <c r="AX60" i="34"/>
  <c r="AW60" i="34"/>
  <c r="BA60" i="32"/>
  <c r="AZ60" i="32"/>
  <c r="E61" i="32"/>
  <c r="D61" i="32"/>
  <c r="AY61" i="32" s="1"/>
  <c r="BA61" i="33"/>
  <c r="D61" i="33"/>
  <c r="AY61" i="33" s="1"/>
  <c r="BA60" i="16"/>
  <c r="AZ60" i="16"/>
  <c r="AX61" i="16"/>
  <c r="E61" i="16" s="1"/>
  <c r="AW61" i="16"/>
  <c r="D61" i="16" s="1"/>
  <c r="AY61" i="16" s="1"/>
  <c r="BA61" i="15"/>
  <c r="BA59" i="15"/>
  <c r="D61" i="15"/>
  <c r="AY61" i="15" s="1"/>
  <c r="BA60" i="14"/>
  <c r="BA61" i="14"/>
  <c r="D61" i="14"/>
  <c r="AY61" i="14" s="1"/>
  <c r="BA60" i="13"/>
  <c r="BA61" i="13"/>
  <c r="BA49" i="12"/>
  <c r="AZ49" i="12"/>
  <c r="E46" i="12"/>
  <c r="BA41" i="12"/>
  <c r="AZ41" i="12"/>
  <c r="AY58" i="12"/>
  <c r="D55" i="12"/>
  <c r="AY55" i="12" s="1"/>
  <c r="BA38" i="12"/>
  <c r="AZ38" i="12"/>
  <c r="BA29" i="12"/>
  <c r="AZ29" i="12"/>
  <c r="AY53" i="12"/>
  <c r="D52" i="12"/>
  <c r="AY52" i="12" s="1"/>
  <c r="BA26" i="12"/>
  <c r="AZ26" i="12"/>
  <c r="E24" i="12"/>
  <c r="BA45" i="12"/>
  <c r="AZ45" i="12"/>
  <c r="BA42" i="12"/>
  <c r="BA58" i="12"/>
  <c r="AZ58" i="12"/>
  <c r="E55" i="12"/>
  <c r="D46" i="12"/>
  <c r="AY46" i="12" s="1"/>
  <c r="AY47" i="12"/>
  <c r="AY43" i="12"/>
  <c r="D42" i="12"/>
  <c r="AY42" i="12" s="1"/>
  <c r="BA61" i="12"/>
  <c r="AZ61" i="12"/>
  <c r="BA35" i="12"/>
  <c r="AZ35" i="12"/>
  <c r="BA32" i="12"/>
  <c r="AZ32" i="12"/>
  <c r="BA53" i="12"/>
  <c r="AZ53" i="12"/>
  <c r="E52" i="12"/>
  <c r="BA40" i="11"/>
  <c r="AZ40" i="11"/>
  <c r="AY43" i="11"/>
  <c r="D42" i="11"/>
  <c r="AY42" i="11" s="1"/>
  <c r="BA48" i="11"/>
  <c r="AZ48" i="11"/>
  <c r="E46" i="11"/>
  <c r="BA28" i="11"/>
  <c r="AZ28" i="11"/>
  <c r="AY59" i="11"/>
  <c r="D55" i="11"/>
  <c r="AY55" i="11" s="1"/>
  <c r="AY47" i="11"/>
  <c r="D46" i="11"/>
  <c r="AY46" i="11" s="1"/>
  <c r="BA61" i="11"/>
  <c r="AZ61" i="11"/>
  <c r="BA24" i="11"/>
  <c r="AZ24" i="11"/>
  <c r="E17" i="11"/>
  <c r="BA17" i="11" s="1"/>
  <c r="BA23" i="11"/>
  <c r="AZ23" i="11"/>
  <c r="BA53" i="11"/>
  <c r="AZ53" i="11"/>
  <c r="E52" i="11"/>
  <c r="BA45" i="11"/>
  <c r="AZ45" i="11"/>
  <c r="E55" i="11"/>
  <c r="D52" i="11"/>
  <c r="AY52" i="11" s="1"/>
  <c r="E42" i="11"/>
  <c r="BA35" i="11"/>
  <c r="AZ35" i="11"/>
  <c r="BA47" i="10"/>
  <c r="AZ47" i="10"/>
  <c r="E46" i="10"/>
  <c r="BA29" i="10"/>
  <c r="AZ29" i="10"/>
  <c r="AY47" i="10"/>
  <c r="D46" i="10"/>
  <c r="AY46" i="10" s="1"/>
  <c r="BA53" i="10"/>
  <c r="AZ53" i="10"/>
  <c r="E52" i="10"/>
  <c r="BA41" i="10"/>
  <c r="AZ41" i="10"/>
  <c r="BA28" i="10"/>
  <c r="AZ28" i="10"/>
  <c r="AZ58" i="10"/>
  <c r="BA58" i="10"/>
  <c r="D52" i="10"/>
  <c r="AY52" i="10" s="1"/>
  <c r="BA55" i="10"/>
  <c r="AZ55" i="10"/>
  <c r="BA45" i="10"/>
  <c r="AZ45" i="10"/>
  <c r="BA48" i="10"/>
  <c r="AZ48" i="10"/>
  <c r="AY43" i="10"/>
  <c r="D42" i="10"/>
  <c r="AY42" i="10" s="1"/>
  <c r="AZ32" i="10"/>
  <c r="BA32" i="10"/>
  <c r="E42" i="10"/>
  <c r="BA24" i="10"/>
  <c r="AZ24" i="10"/>
  <c r="D55" i="10"/>
  <c r="AY55" i="10" s="1"/>
  <c r="AY56" i="10"/>
  <c r="BA61" i="10"/>
  <c r="AZ61" i="10"/>
  <c r="BA35" i="10"/>
  <c r="AZ35" i="10"/>
  <c r="BA40" i="10"/>
  <c r="AZ40" i="10"/>
  <c r="BA49" i="10"/>
  <c r="AZ49" i="10"/>
  <c r="AZ55" i="9"/>
  <c r="BA55" i="9"/>
  <c r="BA49" i="9"/>
  <c r="AZ49" i="9"/>
  <c r="BA47" i="9"/>
  <c r="AZ47" i="9"/>
  <c r="E46" i="9"/>
  <c r="D46" i="9"/>
  <c r="AY46" i="9" s="1"/>
  <c r="AY47" i="9"/>
  <c r="D55" i="9"/>
  <c r="AY55" i="9" s="1"/>
  <c r="AY56" i="9"/>
  <c r="BA41" i="9"/>
  <c r="AZ41" i="9"/>
  <c r="BA39" i="9"/>
  <c r="AZ39" i="9"/>
  <c r="BA29" i="9"/>
  <c r="AZ29" i="9"/>
  <c r="BA27" i="9"/>
  <c r="AZ27" i="9"/>
  <c r="E24" i="9"/>
  <c r="AZ33" i="9"/>
  <c r="BA33" i="9"/>
  <c r="AZ60" i="9"/>
  <c r="BA60" i="9"/>
  <c r="AZ44" i="9"/>
  <c r="BA44" i="9"/>
  <c r="BA58" i="9"/>
  <c r="AZ58" i="9"/>
  <c r="AY43" i="9"/>
  <c r="D42" i="9"/>
  <c r="AY42" i="9" s="1"/>
  <c r="AZ34" i="9"/>
  <c r="BA34" i="9"/>
  <c r="BA32" i="9"/>
  <c r="AZ32" i="9"/>
  <c r="AZ59" i="9"/>
  <c r="BA59" i="9"/>
  <c r="AZ52" i="9"/>
  <c r="BA52" i="9"/>
  <c r="AZ43" i="9"/>
  <c r="E42" i="9"/>
  <c r="BA43" i="9"/>
  <c r="BA49" i="8"/>
  <c r="AZ49" i="8"/>
  <c r="D46" i="8"/>
  <c r="AY46" i="8" s="1"/>
  <c r="AY47" i="8"/>
  <c r="BA29" i="8"/>
  <c r="AZ29" i="8"/>
  <c r="D55" i="8"/>
  <c r="AY55" i="8" s="1"/>
  <c r="AY56" i="8"/>
  <c r="BA61" i="8"/>
  <c r="AZ61" i="8"/>
  <c r="BA41" i="8"/>
  <c r="AZ41" i="8"/>
  <c r="BA47" i="8"/>
  <c r="AZ47" i="8"/>
  <c r="E46" i="8"/>
  <c r="BA58" i="8"/>
  <c r="AZ58" i="8"/>
  <c r="BA53" i="8"/>
  <c r="AZ53" i="8"/>
  <c r="E52" i="8"/>
  <c r="AY53" i="8"/>
  <c r="D52" i="8"/>
  <c r="AY52" i="8" s="1"/>
  <c r="BA24" i="8"/>
  <c r="AZ24" i="8"/>
  <c r="E55" i="8"/>
  <c r="E42" i="8"/>
  <c r="AZ43" i="8"/>
  <c r="BA43" i="8"/>
  <c r="AZ60" i="8"/>
  <c r="BA60" i="8"/>
  <c r="BA45" i="8"/>
  <c r="AZ45" i="8"/>
  <c r="AZ44" i="8"/>
  <c r="BA44" i="8"/>
  <c r="AY43" i="8"/>
  <c r="D42" i="8"/>
  <c r="AY42" i="8" s="1"/>
  <c r="AZ34" i="8"/>
  <c r="BA34" i="8"/>
  <c r="BA35" i="8"/>
  <c r="AZ35" i="8"/>
  <c r="AZ55" i="7"/>
  <c r="BA55" i="7"/>
  <c r="BA41" i="7"/>
  <c r="AZ41" i="7"/>
  <c r="BA28" i="7"/>
  <c r="AZ28" i="7"/>
  <c r="D55" i="7"/>
  <c r="AY55" i="7" s="1"/>
  <c r="AY56" i="7"/>
  <c r="BA48" i="7"/>
  <c r="AZ48" i="7"/>
  <c r="E46" i="7"/>
  <c r="AY53" i="7"/>
  <c r="D52" i="7"/>
  <c r="AY52" i="7" s="1"/>
  <c r="BA31" i="7"/>
  <c r="AZ31" i="7"/>
  <c r="AZ42" i="7"/>
  <c r="BA42" i="7"/>
  <c r="BA49" i="7"/>
  <c r="AZ49" i="7"/>
  <c r="BA45" i="7"/>
  <c r="AZ45" i="7"/>
  <c r="AZ32" i="7"/>
  <c r="BA32" i="7"/>
  <c r="AZ34" i="7"/>
  <c r="BA34" i="7"/>
  <c r="AY47" i="7"/>
  <c r="D46" i="7"/>
  <c r="AY46" i="7" s="1"/>
  <c r="AZ60" i="7"/>
  <c r="BA60" i="7"/>
  <c r="BA51" i="7"/>
  <c r="AZ51" i="7"/>
  <c r="BA61" i="7"/>
  <c r="AZ61" i="7"/>
  <c r="BA24" i="7"/>
  <c r="AZ24" i="7"/>
  <c r="BA57" i="7"/>
  <c r="AZ57" i="7"/>
  <c r="BA53" i="7"/>
  <c r="AZ53" i="7"/>
  <c r="E52" i="7"/>
  <c r="BA40" i="7"/>
  <c r="AZ40" i="7"/>
  <c r="BA35" i="7"/>
  <c r="AZ35" i="7"/>
  <c r="AZ44" i="7"/>
  <c r="BA44" i="7"/>
  <c r="AZ58" i="7"/>
  <c r="BA58" i="7"/>
  <c r="AY43" i="7"/>
  <c r="D42" i="7"/>
  <c r="AY42" i="7" s="1"/>
  <c r="BA38" i="6"/>
  <c r="AZ38" i="6"/>
  <c r="BA49" i="6"/>
  <c r="AZ49" i="6"/>
  <c r="BA41" i="6"/>
  <c r="AZ41" i="6"/>
  <c r="AY43" i="6"/>
  <c r="D42" i="6"/>
  <c r="AY42" i="6" s="1"/>
  <c r="BA26" i="6"/>
  <c r="AZ26" i="6"/>
  <c r="E24" i="6"/>
  <c r="D55" i="6"/>
  <c r="AY55" i="6" s="1"/>
  <c r="AY56" i="6"/>
  <c r="AY53" i="6"/>
  <c r="D52" i="6"/>
  <c r="AY52" i="6" s="1"/>
  <c r="BA48" i="6"/>
  <c r="AZ48" i="6"/>
  <c r="BA27" i="6"/>
  <c r="AZ27" i="6"/>
  <c r="BA40" i="6"/>
  <c r="AZ40" i="6"/>
  <c r="AY47" i="6"/>
  <c r="D46" i="6"/>
  <c r="AY46" i="6" s="1"/>
  <c r="BA28" i="6"/>
  <c r="AZ28" i="6"/>
  <c r="BA47" i="6"/>
  <c r="AZ47" i="6"/>
  <c r="E46" i="6"/>
  <c r="BA59" i="6"/>
  <c r="AZ59" i="6"/>
  <c r="AX17" i="6"/>
  <c r="E17" i="6" s="1"/>
  <c r="BA17" i="6" s="1"/>
  <c r="E55" i="6"/>
  <c r="AZ52" i="6"/>
  <c r="BA52" i="6"/>
  <c r="E42" i="6"/>
  <c r="BA43" i="6"/>
  <c r="AZ43" i="6"/>
  <c r="BA29" i="6"/>
  <c r="AZ29" i="6"/>
  <c r="BA29" i="5"/>
  <c r="AZ29" i="5"/>
  <c r="AZ55" i="5"/>
  <c r="BA55" i="5"/>
  <c r="BA49" i="5"/>
  <c r="AZ49" i="5"/>
  <c r="E46" i="5"/>
  <c r="D46" i="5"/>
  <c r="AY46" i="5" s="1"/>
  <c r="AY47" i="5"/>
  <c r="BA41" i="5"/>
  <c r="AZ41" i="5"/>
  <c r="BA32" i="5"/>
  <c r="AZ32" i="5"/>
  <c r="D55" i="5"/>
  <c r="AY55" i="5" s="1"/>
  <c r="AY56" i="5"/>
  <c r="AZ59" i="5"/>
  <c r="BA59" i="5"/>
  <c r="AZ43" i="5"/>
  <c r="E42" i="5"/>
  <c r="BA43" i="5"/>
  <c r="AZ33" i="5"/>
  <c r="BA33" i="5"/>
  <c r="AZ52" i="5"/>
  <c r="BA52" i="5"/>
  <c r="AZ60" i="5"/>
  <c r="BA60" i="5"/>
  <c r="AZ34" i="5"/>
  <c r="BA34" i="5"/>
  <c r="AZ44" i="5"/>
  <c r="BA44" i="5"/>
  <c r="BA24" i="5"/>
  <c r="AZ24" i="5"/>
  <c r="BA58" i="5"/>
  <c r="AZ58" i="5"/>
  <c r="AY43" i="5"/>
  <c r="D42" i="5"/>
  <c r="AY42" i="5" s="1"/>
  <c r="BA47" i="4"/>
  <c r="AZ47" i="4"/>
  <c r="E46" i="4"/>
  <c r="BA48" i="4"/>
  <c r="AZ48" i="4"/>
  <c r="BA29" i="4"/>
  <c r="AZ29" i="4"/>
  <c r="D55" i="4"/>
  <c r="AY55" i="4" s="1"/>
  <c r="AY56" i="4"/>
  <c r="BA27" i="4"/>
  <c r="AZ27" i="4"/>
  <c r="BA28" i="4"/>
  <c r="AZ28" i="4"/>
  <c r="D46" i="4"/>
  <c r="AY46" i="4" s="1"/>
  <c r="AY47" i="4"/>
  <c r="BA38" i="4"/>
  <c r="AZ38" i="4"/>
  <c r="BA49" i="4"/>
  <c r="AZ49" i="4"/>
  <c r="AY43" i="4"/>
  <c r="D42" i="4"/>
  <c r="AY42" i="4" s="1"/>
  <c r="BA26" i="4"/>
  <c r="AZ26" i="4"/>
  <c r="E24" i="4"/>
  <c r="AY53" i="4"/>
  <c r="D52" i="4"/>
  <c r="AY52" i="4" s="1"/>
  <c r="AZ52" i="4"/>
  <c r="BA52" i="4"/>
  <c r="BA40" i="4"/>
  <c r="AZ40" i="4"/>
  <c r="E42" i="4"/>
  <c r="AZ43" i="4"/>
  <c r="BA43" i="4"/>
  <c r="E17" i="4"/>
  <c r="BA17" i="4" s="1"/>
  <c r="BA55" i="4"/>
  <c r="AZ55" i="4"/>
  <c r="BA41" i="4"/>
  <c r="AZ41" i="4"/>
  <c r="AY44" i="3"/>
  <c r="D42" i="3"/>
  <c r="AY42" i="3" s="1"/>
  <c r="BA38" i="3"/>
  <c r="AZ38" i="3"/>
  <c r="BA26" i="3"/>
  <c r="AZ26" i="3"/>
  <c r="E24" i="3"/>
  <c r="E46" i="3"/>
  <c r="BA47" i="3"/>
  <c r="AZ47" i="3"/>
  <c r="D55" i="3"/>
  <c r="AY55" i="3" s="1"/>
  <c r="AY56" i="3"/>
  <c r="BA48" i="3"/>
  <c r="AZ48" i="3"/>
  <c r="AY47" i="3"/>
  <c r="D46" i="3"/>
  <c r="AY46" i="3" s="1"/>
  <c r="AY53" i="3"/>
  <c r="D52" i="3"/>
  <c r="AY52" i="3" s="1"/>
  <c r="AZ42" i="3"/>
  <c r="BA42" i="3"/>
  <c r="BA39" i="3"/>
  <c r="AZ39" i="3"/>
  <c r="BA28" i="3"/>
  <c r="AZ28" i="3"/>
  <c r="BA55" i="3"/>
  <c r="AZ55" i="3"/>
  <c r="AZ52" i="3"/>
  <c r="BA52" i="3"/>
  <c r="E17" i="3"/>
  <c r="BA17" i="3" s="1"/>
  <c r="BA40" i="3"/>
  <c r="AZ40" i="3"/>
  <c r="BA27" i="3"/>
  <c r="AZ27" i="3"/>
  <c r="D55" i="2"/>
  <c r="AY55" i="2" s="1"/>
  <c r="AY56" i="2"/>
  <c r="BA39" i="2"/>
  <c r="AZ39" i="2"/>
  <c r="BA40" i="2"/>
  <c r="AZ40" i="2"/>
  <c r="BA27" i="2"/>
  <c r="AZ27" i="2"/>
  <c r="E24" i="2"/>
  <c r="BA41" i="2"/>
  <c r="AZ41" i="2"/>
  <c r="BA48" i="2"/>
  <c r="AZ48" i="2"/>
  <c r="AY47" i="2"/>
  <c r="D46" i="2"/>
  <c r="AY46" i="2" s="1"/>
  <c r="BA29" i="2"/>
  <c r="AZ29" i="2"/>
  <c r="BA49" i="2"/>
  <c r="AZ49" i="2"/>
  <c r="AX17" i="2"/>
  <c r="E17" i="2" s="1"/>
  <c r="BA17" i="2" s="1"/>
  <c r="BA42" i="2"/>
  <c r="AZ42" i="2"/>
  <c r="AY53" i="2"/>
  <c r="D52" i="2"/>
  <c r="AY52" i="2" s="1"/>
  <c r="BA55" i="2"/>
  <c r="AZ55" i="2"/>
  <c r="AY43" i="2"/>
  <c r="D42" i="2"/>
  <c r="AY42" i="2" s="1"/>
  <c r="E46" i="2"/>
  <c r="BA47" i="2"/>
  <c r="AZ47" i="2"/>
  <c r="BA28" i="2"/>
  <c r="AZ28" i="2"/>
  <c r="AZ52" i="2"/>
  <c r="BA52" i="2"/>
  <c r="AZ60" i="1"/>
  <c r="BA60" i="1"/>
  <c r="E55" i="1"/>
  <c r="AZ59" i="1"/>
  <c r="BA59" i="1"/>
  <c r="AY59" i="1"/>
  <c r="D55" i="1"/>
  <c r="AT23" i="34"/>
  <c r="AT26" i="34"/>
  <c r="AT27" i="34"/>
  <c r="AZ60" i="34" l="1"/>
  <c r="BA60" i="34"/>
  <c r="AZ61" i="34"/>
  <c r="BA61" i="34"/>
  <c r="AZ61" i="32"/>
  <c r="BA61" i="32"/>
  <c r="AZ61" i="16"/>
  <c r="BA61" i="16"/>
  <c r="AZ52" i="12"/>
  <c r="BA52" i="12"/>
  <c r="AZ55" i="12"/>
  <c r="BA55" i="12"/>
  <c r="BA24" i="12"/>
  <c r="AZ24" i="12"/>
  <c r="BA46" i="12"/>
  <c r="AZ46" i="12"/>
  <c r="AZ52" i="11"/>
  <c r="BA52" i="11"/>
  <c r="AZ46" i="11"/>
  <c r="BA46" i="11"/>
  <c r="AZ42" i="11"/>
  <c r="BA42" i="11"/>
  <c r="AZ55" i="11"/>
  <c r="BA55" i="11"/>
  <c r="AZ52" i="10"/>
  <c r="BA52" i="10"/>
  <c r="AZ42" i="10"/>
  <c r="BA42" i="10"/>
  <c r="AZ46" i="10"/>
  <c r="BA46" i="10"/>
  <c r="BA24" i="9"/>
  <c r="AZ24" i="9"/>
  <c r="BA46" i="9"/>
  <c r="AZ46" i="9"/>
  <c r="AZ42" i="9"/>
  <c r="BA42" i="9"/>
  <c r="AZ42" i="8"/>
  <c r="BA42" i="8"/>
  <c r="AZ55" i="8"/>
  <c r="BA55" i="8"/>
  <c r="BA46" i="8"/>
  <c r="AZ46" i="8"/>
  <c r="AZ52" i="8"/>
  <c r="BA52" i="8"/>
  <c r="AZ46" i="7"/>
  <c r="BA46" i="7"/>
  <c r="AZ52" i="7"/>
  <c r="BA52" i="7"/>
  <c r="BA42" i="6"/>
  <c r="AZ42" i="6"/>
  <c r="AZ24" i="6"/>
  <c r="BA24" i="6"/>
  <c r="AZ46" i="6"/>
  <c r="BA46" i="6"/>
  <c r="AZ55" i="6"/>
  <c r="BA55" i="6"/>
  <c r="AZ42" i="5"/>
  <c r="BA42" i="5"/>
  <c r="BA46" i="5"/>
  <c r="AZ46" i="5"/>
  <c r="AZ24" i="4"/>
  <c r="BA24" i="4"/>
  <c r="BA42" i="4"/>
  <c r="AZ42" i="4"/>
  <c r="AZ46" i="4"/>
  <c r="BA46" i="4"/>
  <c r="AZ46" i="3"/>
  <c r="BA46" i="3"/>
  <c r="AZ24" i="3"/>
  <c r="BA24" i="3"/>
  <c r="BA24" i="2"/>
  <c r="AZ24" i="2"/>
  <c r="AZ46" i="2"/>
  <c r="BA46" i="2"/>
  <c r="K27" i="34"/>
  <c r="L27" i="34"/>
  <c r="K28" i="34"/>
  <c r="L28" i="34"/>
  <c r="K29" i="34"/>
  <c r="L29" i="34"/>
  <c r="K30" i="34"/>
  <c r="L30" i="34"/>
  <c r="K31" i="34"/>
  <c r="L31" i="34"/>
  <c r="K32" i="34"/>
  <c r="L32" i="34"/>
  <c r="K33" i="34"/>
  <c r="L33" i="34"/>
  <c r="K34" i="34"/>
  <c r="L34" i="34"/>
  <c r="K35" i="34"/>
  <c r="L35" i="34"/>
  <c r="K36" i="34"/>
  <c r="L36" i="34"/>
  <c r="K37" i="34"/>
  <c r="L37" i="34"/>
  <c r="K38" i="34"/>
  <c r="L38" i="34"/>
  <c r="K39" i="34"/>
  <c r="L39" i="34"/>
  <c r="K40" i="34"/>
  <c r="L40" i="34"/>
  <c r="K41" i="34"/>
  <c r="L41" i="34"/>
  <c r="L26" i="34"/>
  <c r="K26" i="34"/>
  <c r="L23" i="34"/>
  <c r="K23" i="34"/>
  <c r="M26" i="34" l="1"/>
  <c r="N26" i="34"/>
  <c r="O26" i="34"/>
  <c r="P26" i="34"/>
  <c r="Q26" i="34"/>
  <c r="R26" i="34"/>
  <c r="S26" i="34"/>
  <c r="T26" i="34"/>
  <c r="U26" i="34"/>
  <c r="V26" i="34"/>
  <c r="W26" i="34"/>
  <c r="X26" i="34"/>
  <c r="Y26" i="34"/>
  <c r="Z26" i="34"/>
  <c r="AA26" i="34"/>
  <c r="AB26" i="34"/>
  <c r="AC26" i="34"/>
  <c r="AD26" i="34"/>
  <c r="AE26" i="34"/>
  <c r="AF26" i="34"/>
  <c r="AG26" i="34"/>
  <c r="AH26" i="34"/>
  <c r="AI26" i="34"/>
  <c r="AJ26" i="34"/>
  <c r="AK26" i="34"/>
  <c r="AL26" i="34"/>
  <c r="AM26" i="34"/>
  <c r="AN26" i="34"/>
  <c r="AO26" i="34"/>
  <c r="AP26" i="34"/>
  <c r="M27" i="34"/>
  <c r="N27" i="34"/>
  <c r="O27" i="34"/>
  <c r="P27" i="34"/>
  <c r="Q27" i="34"/>
  <c r="R27" i="34"/>
  <c r="S27" i="34"/>
  <c r="T27" i="34"/>
  <c r="U27" i="34"/>
  <c r="V27" i="34"/>
  <c r="W27" i="34"/>
  <c r="X27" i="34"/>
  <c r="Y27" i="34"/>
  <c r="Z27" i="34"/>
  <c r="AA27" i="34"/>
  <c r="AB27" i="34"/>
  <c r="AC27" i="34"/>
  <c r="AD27" i="34"/>
  <c r="AE27" i="34"/>
  <c r="AF27" i="34"/>
  <c r="AG27" i="34"/>
  <c r="AH27" i="34"/>
  <c r="AI27" i="34"/>
  <c r="AJ27" i="34"/>
  <c r="AK27" i="34"/>
  <c r="AL27" i="34"/>
  <c r="AM27" i="34"/>
  <c r="AN27" i="34"/>
  <c r="AO27" i="34"/>
  <c r="AP27" i="34"/>
  <c r="M28" i="34"/>
  <c r="N28" i="34"/>
  <c r="O28" i="34"/>
  <c r="P28" i="34"/>
  <c r="Q28" i="34"/>
  <c r="R28" i="34"/>
  <c r="S28" i="34"/>
  <c r="T28" i="34"/>
  <c r="U28" i="34"/>
  <c r="V28" i="34"/>
  <c r="W28" i="34"/>
  <c r="X28" i="34"/>
  <c r="Y28" i="34"/>
  <c r="Z28" i="34"/>
  <c r="AA28" i="34"/>
  <c r="AB28" i="34"/>
  <c r="AC28" i="34"/>
  <c r="AD28" i="34"/>
  <c r="AE28" i="34"/>
  <c r="AF28" i="34"/>
  <c r="AG28" i="34"/>
  <c r="AH28" i="34"/>
  <c r="AI28" i="34"/>
  <c r="AJ28" i="34"/>
  <c r="AK28" i="34"/>
  <c r="AL28" i="34"/>
  <c r="AM28" i="34"/>
  <c r="AN28" i="34"/>
  <c r="AO28" i="34"/>
  <c r="AP28" i="34"/>
  <c r="M29" i="34"/>
  <c r="N29" i="34"/>
  <c r="O29" i="34"/>
  <c r="P29" i="34"/>
  <c r="Q29" i="34"/>
  <c r="R29" i="34"/>
  <c r="S29" i="34"/>
  <c r="T29" i="34"/>
  <c r="U29" i="34"/>
  <c r="V29" i="34"/>
  <c r="W29" i="34"/>
  <c r="X29" i="34"/>
  <c r="Y29" i="34"/>
  <c r="Z29" i="34"/>
  <c r="AA29" i="34"/>
  <c r="AB29" i="34"/>
  <c r="AC29" i="34"/>
  <c r="AD29" i="34"/>
  <c r="AE29" i="34"/>
  <c r="AF29" i="34"/>
  <c r="AG29" i="34"/>
  <c r="AH29" i="34"/>
  <c r="AI29" i="34"/>
  <c r="AJ29" i="34"/>
  <c r="AK29" i="34"/>
  <c r="AL29" i="34"/>
  <c r="AM29" i="34"/>
  <c r="AN29" i="34"/>
  <c r="AO29" i="34"/>
  <c r="AP29" i="34"/>
  <c r="M30" i="34"/>
  <c r="N30" i="34"/>
  <c r="O30" i="34"/>
  <c r="P30" i="34"/>
  <c r="Q30" i="34"/>
  <c r="R30" i="34"/>
  <c r="S30" i="34"/>
  <c r="T30" i="34"/>
  <c r="U30" i="34"/>
  <c r="V30" i="34"/>
  <c r="W30" i="34"/>
  <c r="X30" i="34"/>
  <c r="Y30" i="34"/>
  <c r="Z30" i="34"/>
  <c r="AA30" i="34"/>
  <c r="AB30" i="34"/>
  <c r="AC30" i="34"/>
  <c r="AD30" i="34"/>
  <c r="AE30" i="34"/>
  <c r="AF30" i="34"/>
  <c r="AG30" i="34"/>
  <c r="AH30" i="34"/>
  <c r="AI30" i="34"/>
  <c r="AJ30" i="34"/>
  <c r="AK30" i="34"/>
  <c r="AL30" i="34"/>
  <c r="AM30" i="34"/>
  <c r="AN30" i="34"/>
  <c r="AO30" i="34"/>
  <c r="AP30" i="34"/>
  <c r="M31" i="34"/>
  <c r="N31" i="34"/>
  <c r="O31" i="34"/>
  <c r="P31" i="34"/>
  <c r="Q31" i="34"/>
  <c r="R31" i="34"/>
  <c r="S31" i="34"/>
  <c r="T31" i="34"/>
  <c r="U31" i="34"/>
  <c r="V31" i="34"/>
  <c r="W31" i="34"/>
  <c r="X31" i="34"/>
  <c r="Y31" i="34"/>
  <c r="Z31" i="34"/>
  <c r="AA31" i="34"/>
  <c r="AB31" i="34"/>
  <c r="AC31" i="34"/>
  <c r="AD31" i="34"/>
  <c r="AE31" i="34"/>
  <c r="AF31" i="34"/>
  <c r="AG31" i="34"/>
  <c r="AH31" i="34"/>
  <c r="AI31" i="34"/>
  <c r="AJ31" i="34"/>
  <c r="AK31" i="34"/>
  <c r="AL31" i="34"/>
  <c r="AM31" i="34"/>
  <c r="AN31" i="34"/>
  <c r="AO31" i="34"/>
  <c r="AP31" i="34"/>
  <c r="M32" i="34"/>
  <c r="N32" i="34"/>
  <c r="O32" i="34"/>
  <c r="P32" i="34"/>
  <c r="Q32" i="34"/>
  <c r="R32" i="34"/>
  <c r="S32" i="34"/>
  <c r="T32" i="34"/>
  <c r="U32" i="34"/>
  <c r="V32" i="34"/>
  <c r="W32" i="34"/>
  <c r="X32" i="34"/>
  <c r="Y32" i="34"/>
  <c r="Z32" i="34"/>
  <c r="AA32" i="34"/>
  <c r="AB32" i="34"/>
  <c r="AC32" i="34"/>
  <c r="AD32" i="34"/>
  <c r="AE32" i="34"/>
  <c r="AF32" i="34"/>
  <c r="AG32" i="34"/>
  <c r="AH32" i="34"/>
  <c r="AI32" i="34"/>
  <c r="AJ32" i="34"/>
  <c r="AK32" i="34"/>
  <c r="AL32" i="34"/>
  <c r="AM32" i="34"/>
  <c r="AN32" i="34"/>
  <c r="AO32" i="34"/>
  <c r="AP32" i="34"/>
  <c r="M33" i="34"/>
  <c r="N33" i="34"/>
  <c r="O33" i="34"/>
  <c r="P33" i="34"/>
  <c r="Q33" i="34"/>
  <c r="R33" i="34"/>
  <c r="S33" i="34"/>
  <c r="T33" i="34"/>
  <c r="U33" i="34"/>
  <c r="V33" i="34"/>
  <c r="W33" i="34"/>
  <c r="X33" i="34"/>
  <c r="Y33" i="34"/>
  <c r="Z33" i="34"/>
  <c r="AA33" i="34"/>
  <c r="AB33" i="34"/>
  <c r="AC33" i="34"/>
  <c r="AD33" i="34"/>
  <c r="AE33" i="34"/>
  <c r="AF33" i="34"/>
  <c r="AG33" i="34"/>
  <c r="AH33" i="34"/>
  <c r="AI33" i="34"/>
  <c r="AJ33" i="34"/>
  <c r="AK33" i="34"/>
  <c r="AL33" i="34"/>
  <c r="AM33" i="34"/>
  <c r="AN33" i="34"/>
  <c r="AO33" i="34"/>
  <c r="AP33" i="34"/>
  <c r="M34" i="34"/>
  <c r="N34" i="34"/>
  <c r="O34" i="34"/>
  <c r="P34" i="34"/>
  <c r="Q34" i="34"/>
  <c r="R34" i="34"/>
  <c r="S34" i="34"/>
  <c r="T34" i="34"/>
  <c r="U34" i="34"/>
  <c r="V34" i="34"/>
  <c r="W34" i="34"/>
  <c r="X34" i="34"/>
  <c r="Y34" i="34"/>
  <c r="Z34" i="34"/>
  <c r="AA34" i="34"/>
  <c r="AB34" i="34"/>
  <c r="AC34" i="34"/>
  <c r="AD34" i="34"/>
  <c r="AE34" i="34"/>
  <c r="AF34" i="34"/>
  <c r="AG34" i="34"/>
  <c r="AH34" i="34"/>
  <c r="AI34" i="34"/>
  <c r="AJ34" i="34"/>
  <c r="AK34" i="34"/>
  <c r="AL34" i="34"/>
  <c r="AM34" i="34"/>
  <c r="AN34" i="34"/>
  <c r="AO34" i="34"/>
  <c r="AP34" i="34"/>
  <c r="M35" i="34"/>
  <c r="N35" i="34"/>
  <c r="O35" i="34"/>
  <c r="P35" i="34"/>
  <c r="Q35" i="34"/>
  <c r="R35" i="34"/>
  <c r="S35" i="34"/>
  <c r="T35" i="34"/>
  <c r="U35" i="34"/>
  <c r="V35" i="34"/>
  <c r="W35" i="34"/>
  <c r="X35" i="34"/>
  <c r="Y35" i="34"/>
  <c r="Z35" i="34"/>
  <c r="AA35" i="34"/>
  <c r="AB35" i="34"/>
  <c r="AC35" i="34"/>
  <c r="AD35" i="34"/>
  <c r="AE35" i="34"/>
  <c r="AF35" i="34"/>
  <c r="AG35" i="34"/>
  <c r="AH35" i="34"/>
  <c r="AI35" i="34"/>
  <c r="AJ35" i="34"/>
  <c r="AK35" i="34"/>
  <c r="AL35" i="34"/>
  <c r="AM35" i="34"/>
  <c r="AN35" i="34"/>
  <c r="AO35" i="34"/>
  <c r="AP35" i="34"/>
  <c r="M36" i="34"/>
  <c r="N36" i="34"/>
  <c r="O36" i="34"/>
  <c r="P36" i="34"/>
  <c r="Q36" i="34"/>
  <c r="R36" i="34"/>
  <c r="S36" i="34"/>
  <c r="T36" i="34"/>
  <c r="U36" i="34"/>
  <c r="V36" i="34"/>
  <c r="W36" i="34"/>
  <c r="X36" i="34"/>
  <c r="Y36" i="34"/>
  <c r="Z36" i="34"/>
  <c r="AA36" i="34"/>
  <c r="AB36" i="34"/>
  <c r="AC36" i="34"/>
  <c r="AD36" i="34"/>
  <c r="AE36" i="34"/>
  <c r="AF36" i="34"/>
  <c r="AG36" i="34"/>
  <c r="AH36" i="34"/>
  <c r="AI36" i="34"/>
  <c r="AJ36" i="34"/>
  <c r="AK36" i="34"/>
  <c r="AL36" i="34"/>
  <c r="AM36" i="34"/>
  <c r="AN36" i="34"/>
  <c r="AO36" i="34"/>
  <c r="AP36" i="34"/>
  <c r="M37" i="34"/>
  <c r="N37" i="34"/>
  <c r="O37" i="34"/>
  <c r="P37" i="34"/>
  <c r="Q37" i="34"/>
  <c r="R37" i="34"/>
  <c r="S37" i="34"/>
  <c r="T37" i="34"/>
  <c r="U37" i="34"/>
  <c r="V37" i="34"/>
  <c r="W37" i="34"/>
  <c r="X37" i="34"/>
  <c r="Y37" i="34"/>
  <c r="Z37" i="34"/>
  <c r="AA37" i="34"/>
  <c r="AB37" i="34"/>
  <c r="AC37" i="34"/>
  <c r="AD37" i="34"/>
  <c r="AE37" i="34"/>
  <c r="AF37" i="34"/>
  <c r="AG37" i="34"/>
  <c r="AH37" i="34"/>
  <c r="AI37" i="34"/>
  <c r="AJ37" i="34"/>
  <c r="AK37" i="34"/>
  <c r="AL37" i="34"/>
  <c r="AM37" i="34"/>
  <c r="AN37" i="34"/>
  <c r="AO37" i="34"/>
  <c r="AP37" i="34"/>
  <c r="M38" i="34"/>
  <c r="N38" i="34"/>
  <c r="O38" i="34"/>
  <c r="P38" i="34"/>
  <c r="Q38" i="34"/>
  <c r="R38" i="34"/>
  <c r="S38" i="34"/>
  <c r="T38" i="34"/>
  <c r="U38" i="34"/>
  <c r="V38" i="34"/>
  <c r="W38" i="34"/>
  <c r="X38" i="34"/>
  <c r="Y38" i="34"/>
  <c r="Z38" i="34"/>
  <c r="AA38" i="34"/>
  <c r="AB38" i="34"/>
  <c r="AC38" i="34"/>
  <c r="AD38" i="34"/>
  <c r="AE38" i="34"/>
  <c r="AF38" i="34"/>
  <c r="AG38" i="34"/>
  <c r="AH38" i="34"/>
  <c r="AI38" i="34"/>
  <c r="AJ38" i="34"/>
  <c r="AK38" i="34"/>
  <c r="AL38" i="34"/>
  <c r="AM38" i="34"/>
  <c r="AN38" i="34"/>
  <c r="AO38" i="34"/>
  <c r="AP38" i="34"/>
  <c r="M39" i="34"/>
  <c r="N39" i="34"/>
  <c r="O39" i="34"/>
  <c r="P39" i="34"/>
  <c r="Q39" i="34"/>
  <c r="R39" i="34"/>
  <c r="S39" i="34"/>
  <c r="T39" i="34"/>
  <c r="U39" i="34"/>
  <c r="V39" i="34"/>
  <c r="W39" i="34"/>
  <c r="X39" i="34"/>
  <c r="Y39" i="34"/>
  <c r="Z39" i="34"/>
  <c r="AA39" i="34"/>
  <c r="AB39" i="34"/>
  <c r="AC39" i="34"/>
  <c r="AD39" i="34"/>
  <c r="AE39" i="34"/>
  <c r="AF39" i="34"/>
  <c r="AG39" i="34"/>
  <c r="AH39" i="34"/>
  <c r="AI39" i="34"/>
  <c r="AJ39" i="34"/>
  <c r="AK39" i="34"/>
  <c r="AL39" i="34"/>
  <c r="AM39" i="34"/>
  <c r="AN39" i="34"/>
  <c r="AO39" i="34"/>
  <c r="AP39" i="34"/>
  <c r="M40" i="34"/>
  <c r="N40" i="34"/>
  <c r="O40" i="34"/>
  <c r="P40" i="34"/>
  <c r="Q40" i="34"/>
  <c r="R40" i="34"/>
  <c r="S40" i="34"/>
  <c r="T40" i="34"/>
  <c r="U40" i="34"/>
  <c r="V40" i="34"/>
  <c r="W40" i="34"/>
  <c r="X40" i="34"/>
  <c r="Y40" i="34"/>
  <c r="Z40" i="34"/>
  <c r="AA40" i="34"/>
  <c r="AB40" i="34"/>
  <c r="AC40" i="34"/>
  <c r="AD40" i="34"/>
  <c r="AE40" i="34"/>
  <c r="AF40" i="34"/>
  <c r="AG40" i="34"/>
  <c r="AH40" i="34"/>
  <c r="AI40" i="34"/>
  <c r="AJ40" i="34"/>
  <c r="AK40" i="34"/>
  <c r="AL40" i="34"/>
  <c r="AM40" i="34"/>
  <c r="AN40" i="34"/>
  <c r="AO40" i="34"/>
  <c r="AP40" i="34"/>
  <c r="M41" i="34"/>
  <c r="N41" i="34"/>
  <c r="O41" i="34"/>
  <c r="P41" i="34"/>
  <c r="Q41" i="34"/>
  <c r="R41" i="34"/>
  <c r="S41" i="34"/>
  <c r="T41" i="34"/>
  <c r="U41" i="34"/>
  <c r="V41" i="34"/>
  <c r="W41" i="34"/>
  <c r="X41" i="34"/>
  <c r="Y41" i="34"/>
  <c r="Z41" i="34"/>
  <c r="AA41" i="34"/>
  <c r="AB41" i="34"/>
  <c r="AC41" i="34"/>
  <c r="AD41" i="34"/>
  <c r="AE41" i="34"/>
  <c r="AF41" i="34"/>
  <c r="AG41" i="34"/>
  <c r="AH41" i="34"/>
  <c r="AI41" i="34"/>
  <c r="AJ41" i="34"/>
  <c r="AK41" i="34"/>
  <c r="AL41" i="34"/>
  <c r="AM41" i="34"/>
  <c r="AN41" i="34"/>
  <c r="AO41" i="34"/>
  <c r="AP41" i="34"/>
  <c r="N25" i="34"/>
  <c r="O25" i="34"/>
  <c r="P25" i="34"/>
  <c r="Q25" i="34"/>
  <c r="R25" i="34"/>
  <c r="S25" i="34"/>
  <c r="T25" i="34"/>
  <c r="U25" i="34"/>
  <c r="V25" i="34"/>
  <c r="W25" i="34"/>
  <c r="X25" i="34"/>
  <c r="Y25" i="34"/>
  <c r="Z25" i="34"/>
  <c r="AA25" i="34"/>
  <c r="AB25" i="34"/>
  <c r="AC25" i="34"/>
  <c r="AD25" i="34"/>
  <c r="AE25" i="34"/>
  <c r="AF25" i="34"/>
  <c r="AG25" i="34"/>
  <c r="AH25" i="34"/>
  <c r="AI25" i="34"/>
  <c r="AJ25" i="34"/>
  <c r="AK25" i="34"/>
  <c r="AL25" i="34"/>
  <c r="AM25" i="34"/>
  <c r="AN25" i="34"/>
  <c r="AO25" i="34"/>
  <c r="AP25" i="34"/>
  <c r="M25" i="34"/>
  <c r="M19" i="34"/>
  <c r="N19" i="34"/>
  <c r="O19" i="34"/>
  <c r="P19" i="34"/>
  <c r="Q19" i="34"/>
  <c r="R19" i="34"/>
  <c r="S19" i="34"/>
  <c r="T19" i="34"/>
  <c r="U19" i="34"/>
  <c r="V19" i="34"/>
  <c r="W19" i="34"/>
  <c r="X19" i="34"/>
  <c r="Y19" i="34"/>
  <c r="Z19" i="34"/>
  <c r="AA19" i="34"/>
  <c r="AB19" i="34"/>
  <c r="AC19" i="34"/>
  <c r="AD19" i="34"/>
  <c r="AE19" i="34"/>
  <c r="AF19" i="34"/>
  <c r="AG19" i="34"/>
  <c r="AH19" i="34"/>
  <c r="AI19" i="34"/>
  <c r="AJ19" i="34"/>
  <c r="AK19" i="34"/>
  <c r="AL19" i="34"/>
  <c r="AM19" i="34"/>
  <c r="AN19" i="34"/>
  <c r="AO19" i="34"/>
  <c r="AP19" i="34"/>
  <c r="M20" i="34"/>
  <c r="N20" i="34"/>
  <c r="O20" i="34"/>
  <c r="P20" i="34"/>
  <c r="Q20" i="34"/>
  <c r="R20" i="34"/>
  <c r="S20" i="34"/>
  <c r="T20" i="34"/>
  <c r="U20" i="34"/>
  <c r="V20" i="34"/>
  <c r="W20" i="34"/>
  <c r="X20" i="34"/>
  <c r="Y20" i="34"/>
  <c r="Z20" i="34"/>
  <c r="AA20" i="34"/>
  <c r="AB20" i="34"/>
  <c r="AC20" i="34"/>
  <c r="AD20" i="34"/>
  <c r="AE20" i="34"/>
  <c r="AF20" i="34"/>
  <c r="AG20" i="34"/>
  <c r="AH20" i="34"/>
  <c r="AI20" i="34"/>
  <c r="AJ20" i="34"/>
  <c r="AK20" i="34"/>
  <c r="AL20" i="34"/>
  <c r="AM20" i="34"/>
  <c r="AN20" i="34"/>
  <c r="AO20" i="34"/>
  <c r="AP20" i="34"/>
  <c r="M21" i="34"/>
  <c r="N21" i="34"/>
  <c r="O21" i="34"/>
  <c r="P21" i="34"/>
  <c r="Q21" i="34"/>
  <c r="R21" i="34"/>
  <c r="S21" i="34"/>
  <c r="T21" i="34"/>
  <c r="U21" i="34"/>
  <c r="V21" i="34"/>
  <c r="W21" i="34"/>
  <c r="X21" i="34"/>
  <c r="Y21" i="34"/>
  <c r="Z21" i="34"/>
  <c r="AA21" i="34"/>
  <c r="AB21" i="34"/>
  <c r="AC21" i="34"/>
  <c r="AD21" i="34"/>
  <c r="AE21" i="34"/>
  <c r="AF21" i="34"/>
  <c r="AG21" i="34"/>
  <c r="AH21" i="34"/>
  <c r="AI21" i="34"/>
  <c r="AJ21" i="34"/>
  <c r="AK21" i="34"/>
  <c r="AL21" i="34"/>
  <c r="AM21" i="34"/>
  <c r="AN21" i="34"/>
  <c r="AO21" i="34"/>
  <c r="AP21" i="34"/>
  <c r="M22" i="34"/>
  <c r="N22" i="34"/>
  <c r="O22" i="34"/>
  <c r="P22" i="34"/>
  <c r="Q22" i="34"/>
  <c r="R22" i="34"/>
  <c r="S22" i="34"/>
  <c r="T22" i="34"/>
  <c r="U22" i="34"/>
  <c r="V22" i="34"/>
  <c r="W22" i="34"/>
  <c r="X22" i="34"/>
  <c r="Y22" i="34"/>
  <c r="Z22" i="34"/>
  <c r="AA22" i="34"/>
  <c r="AB22" i="34"/>
  <c r="AC22" i="34"/>
  <c r="AD22" i="34"/>
  <c r="AE22" i="34"/>
  <c r="AF22" i="34"/>
  <c r="AG22" i="34"/>
  <c r="AH22" i="34"/>
  <c r="AI22" i="34"/>
  <c r="AJ22" i="34"/>
  <c r="AK22" i="34"/>
  <c r="AL22" i="34"/>
  <c r="AM22" i="34"/>
  <c r="AN22" i="34"/>
  <c r="AO22" i="34"/>
  <c r="AP22" i="34"/>
  <c r="M23" i="34"/>
  <c r="N23" i="34"/>
  <c r="O23" i="34"/>
  <c r="P23" i="34"/>
  <c r="Q23" i="34"/>
  <c r="R23" i="34"/>
  <c r="S23" i="34"/>
  <c r="T23" i="34"/>
  <c r="U23" i="34"/>
  <c r="V23" i="34"/>
  <c r="W23" i="34"/>
  <c r="X23" i="34"/>
  <c r="Y23" i="34"/>
  <c r="Z23" i="34"/>
  <c r="AA23" i="34"/>
  <c r="AB23" i="34"/>
  <c r="AC23" i="34"/>
  <c r="AD23" i="34"/>
  <c r="AE23" i="34"/>
  <c r="AF23" i="34"/>
  <c r="AG23" i="34"/>
  <c r="AH23" i="34"/>
  <c r="AI23" i="34"/>
  <c r="AJ23" i="34"/>
  <c r="AK23" i="34"/>
  <c r="AL23" i="34"/>
  <c r="AM23" i="34"/>
  <c r="AN23" i="34"/>
  <c r="AO23" i="34"/>
  <c r="AP23" i="34"/>
  <c r="N18" i="34"/>
  <c r="O18" i="34"/>
  <c r="P18" i="34"/>
  <c r="Q18" i="34"/>
  <c r="R18" i="34"/>
  <c r="S18" i="34"/>
  <c r="T18" i="34"/>
  <c r="U18" i="34"/>
  <c r="V18" i="34"/>
  <c r="W18" i="34"/>
  <c r="X18" i="34"/>
  <c r="Y18" i="34"/>
  <c r="Z18" i="34"/>
  <c r="AA18" i="34"/>
  <c r="AB18" i="34"/>
  <c r="AC18" i="34"/>
  <c r="AD18" i="34"/>
  <c r="AE18" i="34"/>
  <c r="AF18" i="34"/>
  <c r="AG18" i="34"/>
  <c r="AH18" i="34"/>
  <c r="AI18" i="34"/>
  <c r="AJ18" i="34"/>
  <c r="AK18" i="34"/>
  <c r="AL18" i="34"/>
  <c r="AM18" i="34"/>
  <c r="AN18" i="34"/>
  <c r="AO18" i="34"/>
  <c r="AP18" i="34"/>
  <c r="M18" i="34"/>
  <c r="AT55" i="1" l="1"/>
  <c r="AT52" i="1"/>
  <c r="AT46" i="1"/>
  <c r="AT42" i="1"/>
  <c r="AT24" i="1"/>
  <c r="AT17" i="1"/>
  <c r="AS24" i="1"/>
  <c r="AT57" i="34" l="1"/>
  <c r="AT58" i="34"/>
  <c r="AS58" i="34" s="1"/>
  <c r="AT59" i="34"/>
  <c r="AT56" i="34"/>
  <c r="AS56" i="34" s="1"/>
  <c r="AT54" i="34"/>
  <c r="AV54" i="34" s="1"/>
  <c r="AX54" i="34" s="1"/>
  <c r="AT53" i="34"/>
  <c r="AT48" i="34"/>
  <c r="AV48" i="34" s="1"/>
  <c r="AT49" i="34"/>
  <c r="AV49" i="34" s="1"/>
  <c r="AX49" i="34" s="1"/>
  <c r="E49" i="34" s="1"/>
  <c r="AT50" i="34"/>
  <c r="AV50" i="34" s="1"/>
  <c r="AX50" i="34" s="1"/>
  <c r="E50" i="34" s="1"/>
  <c r="AT51" i="34"/>
  <c r="AV51" i="34" s="1"/>
  <c r="AX51" i="34" s="1"/>
  <c r="E51" i="34" s="1"/>
  <c r="AT47" i="34"/>
  <c r="AV47" i="34" s="1"/>
  <c r="AT44" i="34"/>
  <c r="AV44" i="34" s="1"/>
  <c r="AX44" i="34" s="1"/>
  <c r="E44" i="34" s="1"/>
  <c r="AT45" i="34"/>
  <c r="AV45" i="34" s="1"/>
  <c r="AT43" i="34"/>
  <c r="AV43" i="34" s="1"/>
  <c r="AT37" i="34"/>
  <c r="AS37" i="34" s="1"/>
  <c r="AT38" i="34"/>
  <c r="AV38" i="34" s="1"/>
  <c r="AT39" i="34"/>
  <c r="AV39" i="34" s="1"/>
  <c r="AT40" i="34"/>
  <c r="AS40" i="34" s="1"/>
  <c r="AT41" i="34"/>
  <c r="AS41" i="34" s="1"/>
  <c r="AT36" i="34"/>
  <c r="AS36" i="34" s="1"/>
  <c r="K57" i="34"/>
  <c r="L57" i="34"/>
  <c r="M57" i="34"/>
  <c r="N57" i="34"/>
  <c r="O57" i="34"/>
  <c r="P57" i="34"/>
  <c r="Q57" i="34"/>
  <c r="R57" i="34"/>
  <c r="S57" i="34"/>
  <c r="T57" i="34"/>
  <c r="U57" i="34"/>
  <c r="V57" i="34"/>
  <c r="W57" i="34"/>
  <c r="X57" i="34"/>
  <c r="Y57" i="34"/>
  <c r="Z57" i="34"/>
  <c r="AA57" i="34"/>
  <c r="AB57" i="34"/>
  <c r="AC57" i="34"/>
  <c r="AD57" i="34"/>
  <c r="AE57" i="34"/>
  <c r="AF57" i="34"/>
  <c r="AG57" i="34"/>
  <c r="AH57" i="34"/>
  <c r="AI57" i="34"/>
  <c r="AJ57" i="34"/>
  <c r="AK57" i="34"/>
  <c r="AL57" i="34"/>
  <c r="AM57" i="34"/>
  <c r="AN57" i="34"/>
  <c r="AO57" i="34"/>
  <c r="AP57" i="34"/>
  <c r="K58" i="34"/>
  <c r="L58" i="34"/>
  <c r="M58" i="34"/>
  <c r="N58" i="34"/>
  <c r="O58" i="34"/>
  <c r="P58" i="34"/>
  <c r="Q58" i="34"/>
  <c r="R58" i="34"/>
  <c r="S58" i="34"/>
  <c r="T58" i="34"/>
  <c r="U58" i="34"/>
  <c r="V58" i="34"/>
  <c r="W58" i="34"/>
  <c r="X58" i="34"/>
  <c r="Y58" i="34"/>
  <c r="Z58" i="34"/>
  <c r="AA58" i="34"/>
  <c r="AB58" i="34"/>
  <c r="AC58" i="34"/>
  <c r="AD58" i="34"/>
  <c r="AE58" i="34"/>
  <c r="AF58" i="34"/>
  <c r="AG58" i="34"/>
  <c r="AH58" i="34"/>
  <c r="AI58" i="34"/>
  <c r="AJ58" i="34"/>
  <c r="AK58" i="34"/>
  <c r="AL58" i="34"/>
  <c r="AM58" i="34"/>
  <c r="AN58" i="34"/>
  <c r="AO58" i="34"/>
  <c r="AP58" i="34"/>
  <c r="K59" i="34"/>
  <c r="L59" i="34"/>
  <c r="M59" i="34"/>
  <c r="N59" i="34"/>
  <c r="O59" i="34"/>
  <c r="P59" i="34"/>
  <c r="Q59" i="34"/>
  <c r="R59" i="34"/>
  <c r="S59" i="34"/>
  <c r="T59" i="34"/>
  <c r="U59" i="34"/>
  <c r="V59" i="34"/>
  <c r="W59" i="34"/>
  <c r="X59" i="34"/>
  <c r="Y59" i="34"/>
  <c r="Z59" i="34"/>
  <c r="AA59" i="34"/>
  <c r="AB59" i="34"/>
  <c r="AC59" i="34"/>
  <c r="AD59" i="34"/>
  <c r="AE59" i="34"/>
  <c r="AF59" i="34"/>
  <c r="AG59" i="34"/>
  <c r="AH59" i="34"/>
  <c r="AI59" i="34"/>
  <c r="AJ59" i="34"/>
  <c r="AK59" i="34"/>
  <c r="AL59" i="34"/>
  <c r="AM59" i="34"/>
  <c r="AN59" i="34"/>
  <c r="AO59" i="34"/>
  <c r="AP59" i="34"/>
  <c r="L56" i="34"/>
  <c r="M56" i="34"/>
  <c r="N56" i="34"/>
  <c r="O56" i="34"/>
  <c r="P56" i="34"/>
  <c r="Q56" i="34"/>
  <c r="R56" i="34"/>
  <c r="S56" i="34"/>
  <c r="T56" i="34"/>
  <c r="U56" i="34"/>
  <c r="V56" i="34"/>
  <c r="W56" i="34"/>
  <c r="X56" i="34"/>
  <c r="Y56" i="34"/>
  <c r="Z56" i="34"/>
  <c r="AA56" i="34"/>
  <c r="AB56" i="34"/>
  <c r="AC56" i="34"/>
  <c r="AD56" i="34"/>
  <c r="AE56" i="34"/>
  <c r="AF56" i="34"/>
  <c r="AG56" i="34"/>
  <c r="AH56" i="34"/>
  <c r="AI56" i="34"/>
  <c r="AJ56" i="34"/>
  <c r="AK56" i="34"/>
  <c r="AL56" i="34"/>
  <c r="AM56" i="34"/>
  <c r="AN56" i="34"/>
  <c r="AO56" i="34"/>
  <c r="AP56" i="34"/>
  <c r="K56" i="34"/>
  <c r="K54" i="34"/>
  <c r="L54" i="34"/>
  <c r="M54" i="34"/>
  <c r="N54" i="34"/>
  <c r="O54" i="34"/>
  <c r="P54" i="34"/>
  <c r="Q54" i="34"/>
  <c r="R54" i="34"/>
  <c r="S54" i="34"/>
  <c r="T54" i="34"/>
  <c r="U54" i="34"/>
  <c r="V54" i="34"/>
  <c r="W54" i="34"/>
  <c r="X54" i="34"/>
  <c r="Y54" i="34"/>
  <c r="Z54" i="34"/>
  <c r="AA54" i="34"/>
  <c r="AB54" i="34"/>
  <c r="AC54" i="34"/>
  <c r="AD54" i="34"/>
  <c r="AE54" i="34"/>
  <c r="AF54" i="34"/>
  <c r="AG54" i="34"/>
  <c r="AH54" i="34"/>
  <c r="AI54" i="34"/>
  <c r="AJ54" i="34"/>
  <c r="AK54" i="34"/>
  <c r="AL54" i="34"/>
  <c r="AM54" i="34"/>
  <c r="AN54" i="34"/>
  <c r="AO54" i="34"/>
  <c r="AP54" i="34"/>
  <c r="L53" i="34"/>
  <c r="M53" i="34"/>
  <c r="N53" i="34"/>
  <c r="O53" i="34"/>
  <c r="P53" i="34"/>
  <c r="Q53" i="34"/>
  <c r="R53" i="34"/>
  <c r="S53" i="34"/>
  <c r="T53" i="34"/>
  <c r="U53" i="34"/>
  <c r="V53" i="34"/>
  <c r="W53" i="34"/>
  <c r="X53" i="34"/>
  <c r="Y53" i="34"/>
  <c r="Z53" i="34"/>
  <c r="AA53" i="34"/>
  <c r="AB53" i="34"/>
  <c r="AC53" i="34"/>
  <c r="AD53" i="34"/>
  <c r="AE53" i="34"/>
  <c r="AF53" i="34"/>
  <c r="AG53" i="34"/>
  <c r="AH53" i="34"/>
  <c r="AI53" i="34"/>
  <c r="AJ53" i="34"/>
  <c r="AK53" i="34"/>
  <c r="AL53" i="34"/>
  <c r="AM53" i="34"/>
  <c r="AN53" i="34"/>
  <c r="AO53" i="34"/>
  <c r="AP53" i="34"/>
  <c r="K53" i="34"/>
  <c r="K48" i="34"/>
  <c r="L48" i="34"/>
  <c r="M48" i="34"/>
  <c r="N48" i="34"/>
  <c r="O48" i="34"/>
  <c r="P48" i="34"/>
  <c r="Q48" i="34"/>
  <c r="R48" i="34"/>
  <c r="S48" i="34"/>
  <c r="T48" i="34"/>
  <c r="U48" i="34"/>
  <c r="V48" i="34"/>
  <c r="W48" i="34"/>
  <c r="X48" i="34"/>
  <c r="Y48" i="34"/>
  <c r="Z48" i="34"/>
  <c r="AA48" i="34"/>
  <c r="AB48" i="34"/>
  <c r="AC48" i="34"/>
  <c r="AD48" i="34"/>
  <c r="AE48" i="34"/>
  <c r="AF48" i="34"/>
  <c r="AG48" i="34"/>
  <c r="AH48" i="34"/>
  <c r="AI48" i="34"/>
  <c r="AJ48" i="34"/>
  <c r="AK48" i="34"/>
  <c r="AL48" i="34"/>
  <c r="AM48" i="34"/>
  <c r="AN48" i="34"/>
  <c r="AO48" i="34"/>
  <c r="AP48" i="34"/>
  <c r="K49" i="34"/>
  <c r="L49" i="34"/>
  <c r="M49" i="34"/>
  <c r="N49" i="34"/>
  <c r="O49" i="34"/>
  <c r="P49" i="34"/>
  <c r="Q49" i="34"/>
  <c r="R49" i="34"/>
  <c r="S49" i="34"/>
  <c r="T49" i="34"/>
  <c r="U49" i="34"/>
  <c r="V49" i="34"/>
  <c r="W49" i="34"/>
  <c r="X49" i="34"/>
  <c r="Y49" i="34"/>
  <c r="Z49" i="34"/>
  <c r="AA49" i="34"/>
  <c r="AB49" i="34"/>
  <c r="AC49" i="34"/>
  <c r="AD49" i="34"/>
  <c r="AE49" i="34"/>
  <c r="AF49" i="34"/>
  <c r="AG49" i="34"/>
  <c r="AH49" i="34"/>
  <c r="AI49" i="34"/>
  <c r="AJ49" i="34"/>
  <c r="AK49" i="34"/>
  <c r="AL49" i="34"/>
  <c r="AM49" i="34"/>
  <c r="AN49" i="34"/>
  <c r="AO49" i="34"/>
  <c r="AP49" i="34"/>
  <c r="K50" i="34"/>
  <c r="L50" i="34"/>
  <c r="M50" i="34"/>
  <c r="N50" i="34"/>
  <c r="O50" i="34"/>
  <c r="P50" i="34"/>
  <c r="Q50" i="34"/>
  <c r="R50" i="34"/>
  <c r="S50" i="34"/>
  <c r="T50" i="34"/>
  <c r="U50" i="34"/>
  <c r="V50" i="34"/>
  <c r="W50" i="34"/>
  <c r="X50" i="34"/>
  <c r="Y50" i="34"/>
  <c r="Z50" i="34"/>
  <c r="AA50" i="34"/>
  <c r="AB50" i="34"/>
  <c r="AC50" i="34"/>
  <c r="AD50" i="34"/>
  <c r="AE50" i="34"/>
  <c r="AF50" i="34"/>
  <c r="AG50" i="34"/>
  <c r="AH50" i="34"/>
  <c r="AI50" i="34"/>
  <c r="AJ50" i="34"/>
  <c r="AK50" i="34"/>
  <c r="AL50" i="34"/>
  <c r="AM50" i="34"/>
  <c r="AN50" i="34"/>
  <c r="AO50" i="34"/>
  <c r="AP50" i="34"/>
  <c r="K51" i="34"/>
  <c r="L51" i="34"/>
  <c r="M51" i="34"/>
  <c r="N51" i="34"/>
  <c r="O51" i="34"/>
  <c r="P51" i="34"/>
  <c r="Q51" i="34"/>
  <c r="R51" i="34"/>
  <c r="S51" i="34"/>
  <c r="T51" i="34"/>
  <c r="U51" i="34"/>
  <c r="V51" i="34"/>
  <c r="W51" i="34"/>
  <c r="X51" i="34"/>
  <c r="Y51" i="34"/>
  <c r="Z51" i="34"/>
  <c r="AA51" i="34"/>
  <c r="AB51" i="34"/>
  <c r="AC51" i="34"/>
  <c r="AD51" i="34"/>
  <c r="AE51" i="34"/>
  <c r="AF51" i="34"/>
  <c r="AG51" i="34"/>
  <c r="AH51" i="34"/>
  <c r="AI51" i="34"/>
  <c r="AJ51" i="34"/>
  <c r="AK51" i="34"/>
  <c r="AL51" i="34"/>
  <c r="AM51" i="34"/>
  <c r="AN51" i="34"/>
  <c r="AO51" i="34"/>
  <c r="AP51" i="34"/>
  <c r="L47" i="34"/>
  <c r="M47" i="34"/>
  <c r="N47" i="34"/>
  <c r="O47" i="34"/>
  <c r="P47" i="34"/>
  <c r="Q47" i="34"/>
  <c r="R47" i="34"/>
  <c r="S47" i="34"/>
  <c r="T47" i="34"/>
  <c r="U47" i="34"/>
  <c r="V47" i="34"/>
  <c r="W47" i="34"/>
  <c r="X47" i="34"/>
  <c r="Y47" i="34"/>
  <c r="Z47" i="34"/>
  <c r="AA47" i="34"/>
  <c r="AB47" i="34"/>
  <c r="AC47" i="34"/>
  <c r="AD47" i="34"/>
  <c r="AE47" i="34"/>
  <c r="AF47" i="34"/>
  <c r="AG47" i="34"/>
  <c r="AH47" i="34"/>
  <c r="AI47" i="34"/>
  <c r="AJ47" i="34"/>
  <c r="AK47" i="34"/>
  <c r="AL47" i="34"/>
  <c r="AM47" i="34"/>
  <c r="AN47" i="34"/>
  <c r="AO47" i="34"/>
  <c r="AP47" i="34"/>
  <c r="K47" i="34"/>
  <c r="K44" i="34"/>
  <c r="L44" i="34"/>
  <c r="M44" i="34"/>
  <c r="N44" i="34"/>
  <c r="O44" i="34"/>
  <c r="P44" i="34"/>
  <c r="Q44" i="34"/>
  <c r="R44" i="34"/>
  <c r="S44" i="34"/>
  <c r="T44" i="34"/>
  <c r="U44" i="34"/>
  <c r="V44" i="34"/>
  <c r="W44" i="34"/>
  <c r="X44" i="34"/>
  <c r="Y44" i="34"/>
  <c r="Z44" i="34"/>
  <c r="AA44" i="34"/>
  <c r="AB44" i="34"/>
  <c r="AC44" i="34"/>
  <c r="AD44" i="34"/>
  <c r="AE44" i="34"/>
  <c r="AF44" i="34"/>
  <c r="AG44" i="34"/>
  <c r="AH44" i="34"/>
  <c r="AI44" i="34"/>
  <c r="AJ44" i="34"/>
  <c r="AK44" i="34"/>
  <c r="AL44" i="34"/>
  <c r="AM44" i="34"/>
  <c r="AN44" i="34"/>
  <c r="AO44" i="34"/>
  <c r="AP44" i="34"/>
  <c r="K45" i="34"/>
  <c r="L45" i="34"/>
  <c r="M45" i="34"/>
  <c r="N45" i="34"/>
  <c r="O45" i="34"/>
  <c r="P45" i="34"/>
  <c r="Q45" i="34"/>
  <c r="R45" i="34"/>
  <c r="S45" i="34"/>
  <c r="T45" i="34"/>
  <c r="U45" i="34"/>
  <c r="V45" i="34"/>
  <c r="W45" i="34"/>
  <c r="X45" i="34"/>
  <c r="Y45" i="34"/>
  <c r="Z45" i="34"/>
  <c r="AA45" i="34"/>
  <c r="AB45" i="34"/>
  <c r="AC45" i="34"/>
  <c r="AD45" i="34"/>
  <c r="AE45" i="34"/>
  <c r="AF45" i="34"/>
  <c r="AG45" i="34"/>
  <c r="AH45" i="34"/>
  <c r="AI45" i="34"/>
  <c r="AJ45" i="34"/>
  <c r="AK45" i="34"/>
  <c r="AL45" i="34"/>
  <c r="AM45" i="34"/>
  <c r="AN45" i="34"/>
  <c r="AO45" i="34"/>
  <c r="AP45" i="34"/>
  <c r="L43" i="34"/>
  <c r="M43" i="34"/>
  <c r="N43" i="34"/>
  <c r="O43" i="34"/>
  <c r="P43" i="34"/>
  <c r="Q43" i="34"/>
  <c r="R43" i="34"/>
  <c r="S43" i="34"/>
  <c r="T43" i="34"/>
  <c r="U43" i="34"/>
  <c r="V43" i="34"/>
  <c r="W43" i="34"/>
  <c r="X43" i="34"/>
  <c r="Y43" i="34"/>
  <c r="Z43" i="34"/>
  <c r="AA43" i="34"/>
  <c r="AB43" i="34"/>
  <c r="AC43" i="34"/>
  <c r="AD43" i="34"/>
  <c r="AE43" i="34"/>
  <c r="AF43" i="34"/>
  <c r="AG43" i="34"/>
  <c r="AH43" i="34"/>
  <c r="AI43" i="34"/>
  <c r="AJ43" i="34"/>
  <c r="AK43" i="34"/>
  <c r="AL43" i="34"/>
  <c r="AM43" i="34"/>
  <c r="AN43" i="34"/>
  <c r="AO43" i="34"/>
  <c r="AP43" i="34"/>
  <c r="K43" i="34"/>
  <c r="F57" i="34"/>
  <c r="G57" i="34"/>
  <c r="H57" i="34"/>
  <c r="I57" i="34"/>
  <c r="F58" i="34"/>
  <c r="G58" i="34"/>
  <c r="H58" i="34"/>
  <c r="I58" i="34"/>
  <c r="F59" i="34"/>
  <c r="G59" i="34"/>
  <c r="H59" i="34"/>
  <c r="I59" i="34"/>
  <c r="G56" i="34"/>
  <c r="H56" i="34"/>
  <c r="I56" i="34"/>
  <c r="F56" i="34"/>
  <c r="F54" i="34"/>
  <c r="G54" i="34"/>
  <c r="H54" i="34"/>
  <c r="I54" i="34"/>
  <c r="G53" i="34"/>
  <c r="H53" i="34"/>
  <c r="I53" i="34"/>
  <c r="F53" i="34"/>
  <c r="F48" i="34"/>
  <c r="G48" i="34"/>
  <c r="H48" i="34"/>
  <c r="I48" i="34"/>
  <c r="F49" i="34"/>
  <c r="G49" i="34"/>
  <c r="H49" i="34"/>
  <c r="I49" i="34"/>
  <c r="F50" i="34"/>
  <c r="G50" i="34"/>
  <c r="H50" i="34"/>
  <c r="I50" i="34"/>
  <c r="F51" i="34"/>
  <c r="G51" i="34"/>
  <c r="H51" i="34"/>
  <c r="I51" i="34"/>
  <c r="G47" i="34"/>
  <c r="H47" i="34"/>
  <c r="I47" i="34"/>
  <c r="F47" i="34"/>
  <c r="F44" i="34"/>
  <c r="G44" i="34"/>
  <c r="H44" i="34"/>
  <c r="I44" i="34"/>
  <c r="F45" i="34"/>
  <c r="G45" i="34"/>
  <c r="H45" i="34"/>
  <c r="I45" i="34"/>
  <c r="G43" i="34"/>
  <c r="H43" i="34"/>
  <c r="I43" i="34"/>
  <c r="F43" i="34"/>
  <c r="F26" i="34"/>
  <c r="G26" i="34"/>
  <c r="H26" i="34"/>
  <c r="I26" i="34"/>
  <c r="F27" i="34"/>
  <c r="G27" i="34"/>
  <c r="H27" i="34"/>
  <c r="I27" i="34"/>
  <c r="F28" i="34"/>
  <c r="G28" i="34"/>
  <c r="H28" i="34"/>
  <c r="I28" i="34"/>
  <c r="F29" i="34"/>
  <c r="G29" i="34"/>
  <c r="H29" i="34"/>
  <c r="I29" i="34"/>
  <c r="F30" i="34"/>
  <c r="G30" i="34"/>
  <c r="H30" i="34"/>
  <c r="I30" i="34"/>
  <c r="F31" i="34"/>
  <c r="G31" i="34"/>
  <c r="H31" i="34"/>
  <c r="I31" i="34"/>
  <c r="F32" i="34"/>
  <c r="G32" i="34"/>
  <c r="H32" i="34"/>
  <c r="I32" i="34"/>
  <c r="F33" i="34"/>
  <c r="G33" i="34"/>
  <c r="H33" i="34"/>
  <c r="I33" i="34"/>
  <c r="F34" i="34"/>
  <c r="G34" i="34"/>
  <c r="H34" i="34"/>
  <c r="I34" i="34"/>
  <c r="F35" i="34"/>
  <c r="G35" i="34"/>
  <c r="H35" i="34"/>
  <c r="I35" i="34"/>
  <c r="F36" i="34"/>
  <c r="G36" i="34"/>
  <c r="H36" i="34"/>
  <c r="I36" i="34"/>
  <c r="F37" i="34"/>
  <c r="G37" i="34"/>
  <c r="H37" i="34"/>
  <c r="I37" i="34"/>
  <c r="F38" i="34"/>
  <c r="G38" i="34"/>
  <c r="H38" i="34"/>
  <c r="I38" i="34"/>
  <c r="F39" i="34"/>
  <c r="G39" i="34"/>
  <c r="H39" i="34"/>
  <c r="I39" i="34"/>
  <c r="F40" i="34"/>
  <c r="G40" i="34"/>
  <c r="H40" i="34"/>
  <c r="I40" i="34"/>
  <c r="F41" i="34"/>
  <c r="G41" i="34"/>
  <c r="H41" i="34"/>
  <c r="I41" i="34"/>
  <c r="G25" i="34"/>
  <c r="H25" i="34"/>
  <c r="I25" i="34"/>
  <c r="F25" i="34"/>
  <c r="F19" i="34"/>
  <c r="G19" i="34"/>
  <c r="H19" i="34"/>
  <c r="I19" i="34"/>
  <c r="F20" i="34"/>
  <c r="G20" i="34"/>
  <c r="H20" i="34"/>
  <c r="I20" i="34"/>
  <c r="F21" i="34"/>
  <c r="G21" i="34"/>
  <c r="H21" i="34"/>
  <c r="I21" i="34"/>
  <c r="F22" i="34"/>
  <c r="G22" i="34"/>
  <c r="H22" i="34"/>
  <c r="I22" i="34"/>
  <c r="F23" i="34"/>
  <c r="G23" i="34"/>
  <c r="H23" i="34"/>
  <c r="I23" i="34"/>
  <c r="G18" i="34"/>
  <c r="H18" i="34"/>
  <c r="I18" i="34"/>
  <c r="F18" i="34"/>
  <c r="AT57" i="33"/>
  <c r="AT58" i="33"/>
  <c r="AS58" i="33" s="1"/>
  <c r="AT59" i="33"/>
  <c r="AT56" i="33"/>
  <c r="AS56" i="33" s="1"/>
  <c r="AT54" i="33"/>
  <c r="AS54" i="33" s="1"/>
  <c r="AT53" i="33"/>
  <c r="AS53" i="33" s="1"/>
  <c r="AT48" i="33"/>
  <c r="AV48" i="33" s="1"/>
  <c r="AX48" i="33" s="1"/>
  <c r="AT49" i="33"/>
  <c r="AV49" i="33" s="1"/>
  <c r="AX49" i="33" s="1"/>
  <c r="E49" i="33" s="1"/>
  <c r="AT50" i="33"/>
  <c r="AV50" i="33" s="1"/>
  <c r="AX50" i="33" s="1"/>
  <c r="E50" i="33" s="1"/>
  <c r="AT51" i="33"/>
  <c r="AV51" i="33" s="1"/>
  <c r="AX51" i="33" s="1"/>
  <c r="E51" i="33" s="1"/>
  <c r="AT47" i="33"/>
  <c r="AV47" i="33" s="1"/>
  <c r="AT44" i="33"/>
  <c r="AV44" i="33" s="1"/>
  <c r="AX44" i="33" s="1"/>
  <c r="E44" i="33" s="1"/>
  <c r="AT45" i="33"/>
  <c r="AV45" i="33" s="1"/>
  <c r="AT43" i="33"/>
  <c r="AT26" i="33"/>
  <c r="AS26" i="33" s="1"/>
  <c r="AT27" i="33"/>
  <c r="AT28" i="33"/>
  <c r="AS28" i="33" s="1"/>
  <c r="AT29" i="33"/>
  <c r="AV29" i="33" s="1"/>
  <c r="AX29" i="33" s="1"/>
  <c r="E29" i="33" s="1"/>
  <c r="AT30" i="33"/>
  <c r="AV30" i="33" s="1"/>
  <c r="AX30" i="33" s="1"/>
  <c r="E30" i="33" s="1"/>
  <c r="AT31" i="33"/>
  <c r="AV31" i="33" s="1"/>
  <c r="AX31" i="33" s="1"/>
  <c r="E31" i="33" s="1"/>
  <c r="AT32" i="33"/>
  <c r="AV32" i="33" s="1"/>
  <c r="AX32" i="33" s="1"/>
  <c r="E32" i="33" s="1"/>
  <c r="AT33" i="33"/>
  <c r="AV33" i="33" s="1"/>
  <c r="AX33" i="33" s="1"/>
  <c r="E33" i="33" s="1"/>
  <c r="AT34" i="33"/>
  <c r="AV34" i="33" s="1"/>
  <c r="AX34" i="33" s="1"/>
  <c r="E34" i="33" s="1"/>
  <c r="AT35" i="33"/>
  <c r="AV35" i="33" s="1"/>
  <c r="AX35" i="33" s="1"/>
  <c r="E35" i="33" s="1"/>
  <c r="AT36" i="33"/>
  <c r="AS36" i="33" s="1"/>
  <c r="AT37" i="33"/>
  <c r="AS37" i="33" s="1"/>
  <c r="AT38" i="33"/>
  <c r="AV38" i="33" s="1"/>
  <c r="AX38" i="33" s="1"/>
  <c r="E38" i="33" s="1"/>
  <c r="AT39" i="33"/>
  <c r="AS39" i="33" s="1"/>
  <c r="AT40" i="33"/>
  <c r="AV40" i="33" s="1"/>
  <c r="AX40" i="33" s="1"/>
  <c r="E40" i="33" s="1"/>
  <c r="AT41" i="33"/>
  <c r="AS41" i="33" s="1"/>
  <c r="AT25" i="33"/>
  <c r="AV25" i="33" s="1"/>
  <c r="AT19" i="33"/>
  <c r="AT20" i="33"/>
  <c r="AV20" i="33" s="1"/>
  <c r="AX20" i="33" s="1"/>
  <c r="E20" i="33" s="1"/>
  <c r="AT21" i="33"/>
  <c r="AV21" i="33" s="1"/>
  <c r="AX21" i="33" s="1"/>
  <c r="E21" i="33" s="1"/>
  <c r="AT22" i="33"/>
  <c r="AV22" i="33" s="1"/>
  <c r="AX22" i="33" s="1"/>
  <c r="E22" i="33" s="1"/>
  <c r="AT23" i="33"/>
  <c r="AV23" i="33" s="1"/>
  <c r="AT18" i="33"/>
  <c r="AV18" i="33" s="1"/>
  <c r="AX18" i="33" s="1"/>
  <c r="E18" i="33" s="1"/>
  <c r="AT59" i="32"/>
  <c r="AS59" i="32" s="1"/>
  <c r="AT58" i="32"/>
  <c r="AS58" i="32" s="1"/>
  <c r="AT57" i="32"/>
  <c r="AT56" i="32"/>
  <c r="AV56" i="32" s="1"/>
  <c r="AT54" i="32"/>
  <c r="AV54" i="32" s="1"/>
  <c r="AT53" i="32"/>
  <c r="AT48" i="32"/>
  <c r="AV48" i="32" s="1"/>
  <c r="AT47" i="32"/>
  <c r="AV47" i="32" s="1"/>
  <c r="AT45" i="32"/>
  <c r="AV45" i="32" s="1"/>
  <c r="AT43" i="32"/>
  <c r="AV43" i="32" s="1"/>
  <c r="AT27" i="32"/>
  <c r="AT26" i="32"/>
  <c r="AV26" i="32" s="1"/>
  <c r="AT23" i="32"/>
  <c r="AV23" i="32" s="1"/>
  <c r="AT59" i="16"/>
  <c r="AT58" i="16"/>
  <c r="AT57" i="16"/>
  <c r="AT56" i="16"/>
  <c r="AT54" i="16"/>
  <c r="AT53" i="16"/>
  <c r="AT48" i="16"/>
  <c r="AT47" i="16"/>
  <c r="AT45" i="16"/>
  <c r="AT43" i="16"/>
  <c r="AT27" i="16"/>
  <c r="AT26" i="16"/>
  <c r="AT23" i="16"/>
  <c r="AT58" i="15"/>
  <c r="AT57" i="15"/>
  <c r="AT56" i="15"/>
  <c r="AT54" i="15"/>
  <c r="AT53" i="15"/>
  <c r="AT48" i="15"/>
  <c r="AT47" i="15"/>
  <c r="AT45" i="15"/>
  <c r="AT43" i="15"/>
  <c r="AT27" i="15"/>
  <c r="AT26" i="15"/>
  <c r="AT23" i="15"/>
  <c r="AT59" i="14"/>
  <c r="AT58" i="14"/>
  <c r="AT57" i="14"/>
  <c r="AT56" i="14"/>
  <c r="AT54" i="14"/>
  <c r="AT53" i="14"/>
  <c r="AT48" i="14"/>
  <c r="AT47" i="14"/>
  <c r="AT45" i="14"/>
  <c r="AT43" i="14"/>
  <c r="AT27" i="14"/>
  <c r="AT26" i="14"/>
  <c r="AT23" i="14"/>
  <c r="K57" i="33"/>
  <c r="L57" i="33"/>
  <c r="M57" i="33"/>
  <c r="N57" i="33"/>
  <c r="O57" i="33"/>
  <c r="P57" i="33"/>
  <c r="Q57" i="33"/>
  <c r="R57" i="33"/>
  <c r="S57" i="33"/>
  <c r="T57" i="33"/>
  <c r="U57" i="33"/>
  <c r="V57" i="33"/>
  <c r="W57" i="33"/>
  <c r="X57" i="33"/>
  <c r="Y57" i="33"/>
  <c r="Z57" i="33"/>
  <c r="AA57" i="33"/>
  <c r="AB57" i="33"/>
  <c r="AC57" i="33"/>
  <c r="AD57" i="33"/>
  <c r="AE57" i="33"/>
  <c r="AF57" i="33"/>
  <c r="AG57" i="33"/>
  <c r="AH57" i="33"/>
  <c r="AI57" i="33"/>
  <c r="AJ57" i="33"/>
  <c r="AK57" i="33"/>
  <c r="AL57" i="33"/>
  <c r="AM57" i="33"/>
  <c r="AN57" i="33"/>
  <c r="AO57" i="33"/>
  <c r="AP57" i="33"/>
  <c r="K58" i="33"/>
  <c r="L58" i="33"/>
  <c r="M58" i="33"/>
  <c r="N58" i="33"/>
  <c r="O58" i="33"/>
  <c r="P58" i="33"/>
  <c r="Q58" i="33"/>
  <c r="R58" i="33"/>
  <c r="S58" i="33"/>
  <c r="T58" i="33"/>
  <c r="U58" i="33"/>
  <c r="V58" i="33"/>
  <c r="W58" i="33"/>
  <c r="X58" i="33"/>
  <c r="Y58" i="33"/>
  <c r="Z58" i="33"/>
  <c r="AA58" i="33"/>
  <c r="AB58" i="33"/>
  <c r="AC58" i="33"/>
  <c r="AD58" i="33"/>
  <c r="AE58" i="33"/>
  <c r="AF58" i="33"/>
  <c r="AG58" i="33"/>
  <c r="AH58" i="33"/>
  <c r="AI58" i="33"/>
  <c r="AJ58" i="33"/>
  <c r="AK58" i="33"/>
  <c r="AL58" i="33"/>
  <c r="AM58" i="33"/>
  <c r="AN58" i="33"/>
  <c r="AO58" i="33"/>
  <c r="AP58" i="33"/>
  <c r="K59" i="33"/>
  <c r="L59" i="33"/>
  <c r="M59" i="33"/>
  <c r="N59" i="33"/>
  <c r="O59" i="33"/>
  <c r="P59" i="33"/>
  <c r="Q59" i="33"/>
  <c r="R59" i="33"/>
  <c r="S59" i="33"/>
  <c r="T59" i="33"/>
  <c r="U59" i="33"/>
  <c r="V59" i="33"/>
  <c r="W59" i="33"/>
  <c r="X59" i="33"/>
  <c r="Y59" i="33"/>
  <c r="Z59" i="33"/>
  <c r="AA59" i="33"/>
  <c r="AB59" i="33"/>
  <c r="AC59" i="33"/>
  <c r="AD59" i="33"/>
  <c r="AE59" i="33"/>
  <c r="AF59" i="33"/>
  <c r="AG59" i="33"/>
  <c r="AH59" i="33"/>
  <c r="AI59" i="33"/>
  <c r="AJ59" i="33"/>
  <c r="AK59" i="33"/>
  <c r="AL59" i="33"/>
  <c r="AM59" i="33"/>
  <c r="AN59" i="33"/>
  <c r="AO59" i="33"/>
  <c r="AP59" i="33"/>
  <c r="L56" i="33"/>
  <c r="M56" i="33"/>
  <c r="N56" i="33"/>
  <c r="O56" i="33"/>
  <c r="P56" i="33"/>
  <c r="Q56" i="33"/>
  <c r="R56" i="33"/>
  <c r="S56" i="33"/>
  <c r="T56" i="33"/>
  <c r="U56" i="33"/>
  <c r="V56" i="33"/>
  <c r="W56" i="33"/>
  <c r="X56" i="33"/>
  <c r="Y56" i="33"/>
  <c r="Z56" i="33"/>
  <c r="AA56" i="33"/>
  <c r="AB56" i="33"/>
  <c r="AC56" i="33"/>
  <c r="AD56" i="33"/>
  <c r="AE56" i="33"/>
  <c r="AF56" i="33"/>
  <c r="AG56" i="33"/>
  <c r="AH56" i="33"/>
  <c r="AI56" i="33"/>
  <c r="AJ56" i="33"/>
  <c r="AK56" i="33"/>
  <c r="AL56" i="33"/>
  <c r="AM56" i="33"/>
  <c r="AN56" i="33"/>
  <c r="AO56" i="33"/>
  <c r="AP56" i="33"/>
  <c r="K56" i="33"/>
  <c r="K54" i="33"/>
  <c r="L54" i="33"/>
  <c r="M54" i="33"/>
  <c r="N54" i="33"/>
  <c r="O54" i="33"/>
  <c r="P54" i="33"/>
  <c r="Q54" i="33"/>
  <c r="R54" i="33"/>
  <c r="S54" i="33"/>
  <c r="T54" i="33"/>
  <c r="U54" i="33"/>
  <c r="V54" i="33"/>
  <c r="W54" i="33"/>
  <c r="X54" i="33"/>
  <c r="Y54" i="33"/>
  <c r="Z54" i="33"/>
  <c r="AA54" i="33"/>
  <c r="AB54" i="33"/>
  <c r="AC54" i="33"/>
  <c r="AD54" i="33"/>
  <c r="AE54" i="33"/>
  <c r="AF54" i="33"/>
  <c r="AG54" i="33"/>
  <c r="AH54" i="33"/>
  <c r="AI54" i="33"/>
  <c r="AJ54" i="33"/>
  <c r="AK54" i="33"/>
  <c r="AL54" i="33"/>
  <c r="AM54" i="33"/>
  <c r="AN54" i="33"/>
  <c r="AO54" i="33"/>
  <c r="AP54" i="33"/>
  <c r="L53" i="33"/>
  <c r="M53" i="33"/>
  <c r="N53" i="33"/>
  <c r="O53" i="33"/>
  <c r="P53" i="33"/>
  <c r="Q53" i="33"/>
  <c r="R53" i="33"/>
  <c r="S53" i="33"/>
  <c r="T53" i="33"/>
  <c r="U53" i="33"/>
  <c r="V53" i="33"/>
  <c r="W53" i="33"/>
  <c r="X53" i="33"/>
  <c r="Y53" i="33"/>
  <c r="Z53" i="33"/>
  <c r="AA53" i="33"/>
  <c r="AB53" i="33"/>
  <c r="AC53" i="33"/>
  <c r="AD53" i="33"/>
  <c r="AE53" i="33"/>
  <c r="AF53" i="33"/>
  <c r="AG53" i="33"/>
  <c r="AH53" i="33"/>
  <c r="AI53" i="33"/>
  <c r="AJ53" i="33"/>
  <c r="AK53" i="33"/>
  <c r="AL53" i="33"/>
  <c r="AM53" i="33"/>
  <c r="AN53" i="33"/>
  <c r="AO53" i="33"/>
  <c r="AP53" i="33"/>
  <c r="K53" i="33"/>
  <c r="K48" i="33"/>
  <c r="L48" i="33"/>
  <c r="M48" i="33"/>
  <c r="N48" i="33"/>
  <c r="O48" i="33"/>
  <c r="P48" i="33"/>
  <c r="Q48" i="33"/>
  <c r="R48" i="33"/>
  <c r="S48" i="33"/>
  <c r="T48" i="33"/>
  <c r="U48" i="33"/>
  <c r="V48" i="33"/>
  <c r="W48" i="33"/>
  <c r="X48" i="33"/>
  <c r="Y48" i="33"/>
  <c r="Z48" i="33"/>
  <c r="AA48" i="33"/>
  <c r="AB48" i="33"/>
  <c r="AC48" i="33"/>
  <c r="AD48" i="33"/>
  <c r="AE48" i="33"/>
  <c r="AF48" i="33"/>
  <c r="AG48" i="33"/>
  <c r="AH48" i="33"/>
  <c r="AI48" i="33"/>
  <c r="AJ48" i="33"/>
  <c r="AK48" i="33"/>
  <c r="AL48" i="33"/>
  <c r="AM48" i="33"/>
  <c r="AN48" i="33"/>
  <c r="AO48" i="33"/>
  <c r="AP48" i="33"/>
  <c r="K49" i="33"/>
  <c r="L49" i="33"/>
  <c r="M49" i="33"/>
  <c r="N49" i="33"/>
  <c r="O49" i="33"/>
  <c r="P49" i="33"/>
  <c r="Q49" i="33"/>
  <c r="R49" i="33"/>
  <c r="S49" i="33"/>
  <c r="T49" i="33"/>
  <c r="U49" i="33"/>
  <c r="V49" i="33"/>
  <c r="W49" i="33"/>
  <c r="X49" i="33"/>
  <c r="Y49" i="33"/>
  <c r="Z49" i="33"/>
  <c r="AA49" i="33"/>
  <c r="AB49" i="33"/>
  <c r="AC49" i="33"/>
  <c r="AD49" i="33"/>
  <c r="AE49" i="33"/>
  <c r="AF49" i="33"/>
  <c r="AG49" i="33"/>
  <c r="AH49" i="33"/>
  <c r="AI49" i="33"/>
  <c r="AJ49" i="33"/>
  <c r="AK49" i="33"/>
  <c r="AL49" i="33"/>
  <c r="AM49" i="33"/>
  <c r="AN49" i="33"/>
  <c r="AO49" i="33"/>
  <c r="AP49" i="33"/>
  <c r="K50" i="33"/>
  <c r="L50" i="33"/>
  <c r="M50" i="33"/>
  <c r="N50" i="33"/>
  <c r="O50" i="33"/>
  <c r="P50" i="33"/>
  <c r="Q50" i="33"/>
  <c r="R50" i="33"/>
  <c r="S50" i="33"/>
  <c r="T50" i="33"/>
  <c r="U50" i="33"/>
  <c r="V50" i="33"/>
  <c r="W50" i="33"/>
  <c r="X50" i="33"/>
  <c r="Y50" i="33"/>
  <c r="Z50" i="33"/>
  <c r="AA50" i="33"/>
  <c r="AB50" i="33"/>
  <c r="AC50" i="33"/>
  <c r="AD50" i="33"/>
  <c r="AE50" i="33"/>
  <c r="AF50" i="33"/>
  <c r="AG50" i="33"/>
  <c r="AH50" i="33"/>
  <c r="AI50" i="33"/>
  <c r="AJ50" i="33"/>
  <c r="AK50" i="33"/>
  <c r="AL50" i="33"/>
  <c r="AM50" i="33"/>
  <c r="AN50" i="33"/>
  <c r="AO50" i="33"/>
  <c r="AP50" i="33"/>
  <c r="K51" i="33"/>
  <c r="L51" i="33"/>
  <c r="M51" i="33"/>
  <c r="N51" i="33"/>
  <c r="O51" i="33"/>
  <c r="P51" i="33"/>
  <c r="Q51" i="33"/>
  <c r="R51" i="33"/>
  <c r="S51" i="33"/>
  <c r="T51" i="33"/>
  <c r="U51" i="33"/>
  <c r="V51" i="33"/>
  <c r="W51" i="33"/>
  <c r="X51" i="33"/>
  <c r="Y51" i="33"/>
  <c r="Z51" i="33"/>
  <c r="AA51" i="33"/>
  <c r="AB51" i="33"/>
  <c r="AC51" i="33"/>
  <c r="AD51" i="33"/>
  <c r="AE51" i="33"/>
  <c r="AF51" i="33"/>
  <c r="AG51" i="33"/>
  <c r="AH51" i="33"/>
  <c r="AI51" i="33"/>
  <c r="AJ51" i="33"/>
  <c r="AK51" i="33"/>
  <c r="AL51" i="33"/>
  <c r="AM51" i="33"/>
  <c r="AN51" i="33"/>
  <c r="AO51" i="33"/>
  <c r="AP51" i="33"/>
  <c r="L47" i="33"/>
  <c r="M47" i="33"/>
  <c r="N47" i="33"/>
  <c r="O47" i="33"/>
  <c r="P47" i="33"/>
  <c r="Q47" i="33"/>
  <c r="R47" i="33"/>
  <c r="S47" i="33"/>
  <c r="T47" i="33"/>
  <c r="U47" i="33"/>
  <c r="V47" i="33"/>
  <c r="W47" i="33"/>
  <c r="X47" i="33"/>
  <c r="Y47" i="33"/>
  <c r="Z47" i="33"/>
  <c r="AA47" i="33"/>
  <c r="AB47" i="33"/>
  <c r="AC47" i="33"/>
  <c r="AD47" i="33"/>
  <c r="AE47" i="33"/>
  <c r="AF47" i="33"/>
  <c r="AG47" i="33"/>
  <c r="AH47" i="33"/>
  <c r="AI47" i="33"/>
  <c r="AJ47" i="33"/>
  <c r="AK47" i="33"/>
  <c r="AL47" i="33"/>
  <c r="AM47" i="33"/>
  <c r="AN47" i="33"/>
  <c r="AO47" i="33"/>
  <c r="AP47" i="33"/>
  <c r="K47" i="33"/>
  <c r="K44" i="33"/>
  <c r="L44" i="33"/>
  <c r="M44" i="33"/>
  <c r="N44" i="33"/>
  <c r="O44" i="33"/>
  <c r="P44" i="33"/>
  <c r="Q44" i="33"/>
  <c r="R44" i="33"/>
  <c r="S44" i="33"/>
  <c r="T44" i="33"/>
  <c r="U44" i="33"/>
  <c r="V44" i="33"/>
  <c r="W44" i="33"/>
  <c r="X44" i="33"/>
  <c r="Y44" i="33"/>
  <c r="Z44" i="33"/>
  <c r="AA44" i="33"/>
  <c r="AB44" i="33"/>
  <c r="AC44" i="33"/>
  <c r="AD44" i="33"/>
  <c r="AE44" i="33"/>
  <c r="AF44" i="33"/>
  <c r="AG44" i="33"/>
  <c r="AH44" i="33"/>
  <c r="AI44" i="33"/>
  <c r="AJ44" i="33"/>
  <c r="AK44" i="33"/>
  <c r="AL44" i="33"/>
  <c r="AM44" i="33"/>
  <c r="AN44" i="33"/>
  <c r="AO44" i="33"/>
  <c r="AP44" i="33"/>
  <c r="K45" i="33"/>
  <c r="L45" i="33"/>
  <c r="M45" i="33"/>
  <c r="N45" i="33"/>
  <c r="O45" i="33"/>
  <c r="P45" i="33"/>
  <c r="Q45" i="33"/>
  <c r="R45" i="33"/>
  <c r="S45" i="33"/>
  <c r="T45" i="33"/>
  <c r="U45" i="33"/>
  <c r="V45" i="33"/>
  <c r="W45" i="33"/>
  <c r="X45" i="33"/>
  <c r="Y45" i="33"/>
  <c r="Z45" i="33"/>
  <c r="AA45" i="33"/>
  <c r="AB45" i="33"/>
  <c r="AC45" i="33"/>
  <c r="AD45" i="33"/>
  <c r="AE45" i="33"/>
  <c r="AF45" i="33"/>
  <c r="AG45" i="33"/>
  <c r="AH45" i="33"/>
  <c r="AI45" i="33"/>
  <c r="AJ45" i="33"/>
  <c r="AK45" i="33"/>
  <c r="AL45" i="33"/>
  <c r="AM45" i="33"/>
  <c r="AN45" i="33"/>
  <c r="AO45" i="33"/>
  <c r="AP45" i="33"/>
  <c r="L43" i="33"/>
  <c r="M43" i="33"/>
  <c r="N43" i="33"/>
  <c r="O43" i="33"/>
  <c r="P43" i="33"/>
  <c r="Q43" i="33"/>
  <c r="R43" i="33"/>
  <c r="S43" i="33"/>
  <c r="T43" i="33"/>
  <c r="U43" i="33"/>
  <c r="V43" i="33"/>
  <c r="W43" i="33"/>
  <c r="X43" i="33"/>
  <c r="Y43" i="33"/>
  <c r="Z43" i="33"/>
  <c r="AA43" i="33"/>
  <c r="AB43" i="33"/>
  <c r="AC43" i="33"/>
  <c r="AD43" i="33"/>
  <c r="AE43" i="33"/>
  <c r="AF43" i="33"/>
  <c r="AG43" i="33"/>
  <c r="AH43" i="33"/>
  <c r="AI43" i="33"/>
  <c r="AJ43" i="33"/>
  <c r="AK43" i="33"/>
  <c r="AL43" i="33"/>
  <c r="AM43" i="33"/>
  <c r="AN43" i="33"/>
  <c r="AO43" i="33"/>
  <c r="AP43" i="33"/>
  <c r="K43" i="33"/>
  <c r="K26" i="33"/>
  <c r="L26" i="33"/>
  <c r="M26" i="33"/>
  <c r="N26" i="33"/>
  <c r="O26" i="33"/>
  <c r="P26" i="33"/>
  <c r="Q26" i="33"/>
  <c r="R26" i="33"/>
  <c r="S26" i="33"/>
  <c r="T26" i="33"/>
  <c r="U26" i="33"/>
  <c r="V26" i="33"/>
  <c r="W26" i="33"/>
  <c r="X26" i="33"/>
  <c r="Y26" i="33"/>
  <c r="Z26" i="33"/>
  <c r="AA26" i="33"/>
  <c r="AB26" i="33"/>
  <c r="AC26" i="33"/>
  <c r="AD26" i="33"/>
  <c r="AE26" i="33"/>
  <c r="AF26" i="33"/>
  <c r="AG26" i="33"/>
  <c r="AH26" i="33"/>
  <c r="AI26" i="33"/>
  <c r="AJ26" i="33"/>
  <c r="AK26" i="33"/>
  <c r="AL26" i="33"/>
  <c r="AM26" i="33"/>
  <c r="AN26" i="33"/>
  <c r="AO26" i="33"/>
  <c r="AP26" i="33"/>
  <c r="K27" i="33"/>
  <c r="L27" i="33"/>
  <c r="M27" i="33"/>
  <c r="N27" i="33"/>
  <c r="O27" i="33"/>
  <c r="P27" i="33"/>
  <c r="Q27" i="33"/>
  <c r="R27" i="33"/>
  <c r="S27" i="33"/>
  <c r="T27" i="33"/>
  <c r="U27" i="33"/>
  <c r="V27" i="33"/>
  <c r="W27" i="33"/>
  <c r="X27" i="33"/>
  <c r="Y27" i="33"/>
  <c r="Z27" i="33"/>
  <c r="AA27" i="33"/>
  <c r="AB27" i="33"/>
  <c r="AC27" i="33"/>
  <c r="AD27" i="33"/>
  <c r="AE27" i="33"/>
  <c r="AF27" i="33"/>
  <c r="AG27" i="33"/>
  <c r="AH27" i="33"/>
  <c r="AI27" i="33"/>
  <c r="AJ27" i="33"/>
  <c r="AK27" i="33"/>
  <c r="AL27" i="33"/>
  <c r="AM27" i="33"/>
  <c r="AN27" i="33"/>
  <c r="AO27" i="33"/>
  <c r="AP27" i="33"/>
  <c r="K28" i="33"/>
  <c r="L28" i="33"/>
  <c r="M28" i="33"/>
  <c r="N28" i="33"/>
  <c r="O28" i="33"/>
  <c r="P28" i="33"/>
  <c r="Q28" i="33"/>
  <c r="R28" i="33"/>
  <c r="S28" i="33"/>
  <c r="T28" i="33"/>
  <c r="U28" i="33"/>
  <c r="V28" i="33"/>
  <c r="W28" i="33"/>
  <c r="X28" i="33"/>
  <c r="Y28" i="33"/>
  <c r="Z28" i="33"/>
  <c r="AA28" i="33"/>
  <c r="AB28" i="33"/>
  <c r="AC28" i="33"/>
  <c r="AD28" i="33"/>
  <c r="AE28" i="33"/>
  <c r="AF28" i="33"/>
  <c r="AG28" i="33"/>
  <c r="AH28" i="33"/>
  <c r="AI28" i="33"/>
  <c r="AJ28" i="33"/>
  <c r="AK28" i="33"/>
  <c r="AL28" i="33"/>
  <c r="AM28" i="33"/>
  <c r="AN28" i="33"/>
  <c r="AO28" i="33"/>
  <c r="AP28" i="33"/>
  <c r="K29" i="33"/>
  <c r="L29" i="33"/>
  <c r="M29" i="33"/>
  <c r="N29" i="33"/>
  <c r="O29" i="33"/>
  <c r="P29" i="33"/>
  <c r="Q29" i="33"/>
  <c r="R29" i="33"/>
  <c r="S29" i="33"/>
  <c r="T29" i="33"/>
  <c r="U29" i="33"/>
  <c r="V29" i="33"/>
  <c r="W29" i="33"/>
  <c r="X29" i="33"/>
  <c r="Y29" i="33"/>
  <c r="Z29" i="33"/>
  <c r="AA29" i="33"/>
  <c r="AB29" i="33"/>
  <c r="AC29" i="33"/>
  <c r="AD29" i="33"/>
  <c r="AE29" i="33"/>
  <c r="AF29" i="33"/>
  <c r="AG29" i="33"/>
  <c r="AH29" i="33"/>
  <c r="AI29" i="33"/>
  <c r="AJ29" i="33"/>
  <c r="AK29" i="33"/>
  <c r="AL29" i="33"/>
  <c r="AM29" i="33"/>
  <c r="AN29" i="33"/>
  <c r="AO29" i="33"/>
  <c r="AP29" i="33"/>
  <c r="K30" i="33"/>
  <c r="L30" i="33"/>
  <c r="M30" i="33"/>
  <c r="N30" i="33"/>
  <c r="O30" i="33"/>
  <c r="P30" i="33"/>
  <c r="Q30" i="33"/>
  <c r="R30" i="33"/>
  <c r="S30" i="33"/>
  <c r="T30" i="33"/>
  <c r="U30" i="33"/>
  <c r="V30" i="33"/>
  <c r="W30" i="33"/>
  <c r="X30" i="33"/>
  <c r="Y30" i="33"/>
  <c r="Z30" i="33"/>
  <c r="AA30" i="33"/>
  <c r="AB30" i="33"/>
  <c r="AC30" i="33"/>
  <c r="AD30" i="33"/>
  <c r="AE30" i="33"/>
  <c r="AF30" i="33"/>
  <c r="AG30" i="33"/>
  <c r="AH30" i="33"/>
  <c r="AI30" i="33"/>
  <c r="AJ30" i="33"/>
  <c r="AK30" i="33"/>
  <c r="AL30" i="33"/>
  <c r="AM30" i="33"/>
  <c r="AN30" i="33"/>
  <c r="AO30" i="33"/>
  <c r="AP30" i="33"/>
  <c r="K31" i="33"/>
  <c r="L31" i="33"/>
  <c r="M31" i="33"/>
  <c r="N31" i="33"/>
  <c r="O31" i="33"/>
  <c r="P31" i="33"/>
  <c r="Q31" i="33"/>
  <c r="R31" i="33"/>
  <c r="S31" i="33"/>
  <c r="T31" i="33"/>
  <c r="U31" i="33"/>
  <c r="V31" i="33"/>
  <c r="W31" i="33"/>
  <c r="X31" i="33"/>
  <c r="Y31" i="33"/>
  <c r="Z31" i="33"/>
  <c r="AA31" i="33"/>
  <c r="AB31" i="33"/>
  <c r="AC31" i="33"/>
  <c r="AD31" i="33"/>
  <c r="AE31" i="33"/>
  <c r="AF31" i="33"/>
  <c r="AG31" i="33"/>
  <c r="AH31" i="33"/>
  <c r="AI31" i="33"/>
  <c r="AJ31" i="33"/>
  <c r="AK31" i="33"/>
  <c r="AL31" i="33"/>
  <c r="AM31" i="33"/>
  <c r="AN31" i="33"/>
  <c r="AO31" i="33"/>
  <c r="AP31" i="33"/>
  <c r="K32" i="33"/>
  <c r="L32" i="33"/>
  <c r="M32" i="33"/>
  <c r="N32" i="33"/>
  <c r="O32" i="33"/>
  <c r="P32" i="33"/>
  <c r="Q32" i="33"/>
  <c r="R32" i="33"/>
  <c r="S32" i="33"/>
  <c r="T32" i="33"/>
  <c r="U32" i="33"/>
  <c r="V32" i="33"/>
  <c r="W32" i="33"/>
  <c r="X32" i="33"/>
  <c r="Y32" i="33"/>
  <c r="Z32" i="33"/>
  <c r="AA32" i="33"/>
  <c r="AB32" i="33"/>
  <c r="AC32" i="33"/>
  <c r="AD32" i="33"/>
  <c r="AE32" i="33"/>
  <c r="AF32" i="33"/>
  <c r="AG32" i="33"/>
  <c r="AH32" i="33"/>
  <c r="AI32" i="33"/>
  <c r="AJ32" i="33"/>
  <c r="AK32" i="33"/>
  <c r="AL32" i="33"/>
  <c r="AM32" i="33"/>
  <c r="AN32" i="33"/>
  <c r="AO32" i="33"/>
  <c r="AP32" i="33"/>
  <c r="K33" i="33"/>
  <c r="L33" i="33"/>
  <c r="M33" i="33"/>
  <c r="N33" i="33"/>
  <c r="O33" i="33"/>
  <c r="P33" i="33"/>
  <c r="Q33" i="33"/>
  <c r="R33" i="33"/>
  <c r="S33" i="33"/>
  <c r="T33" i="33"/>
  <c r="U33" i="33"/>
  <c r="V33" i="33"/>
  <c r="W33" i="33"/>
  <c r="X33" i="33"/>
  <c r="Y33" i="33"/>
  <c r="Z33" i="33"/>
  <c r="AA33" i="33"/>
  <c r="AB33" i="33"/>
  <c r="AC33" i="33"/>
  <c r="AD33" i="33"/>
  <c r="AE33" i="33"/>
  <c r="AF33" i="33"/>
  <c r="AG33" i="33"/>
  <c r="AH33" i="33"/>
  <c r="AI33" i="33"/>
  <c r="AJ33" i="33"/>
  <c r="AK33" i="33"/>
  <c r="AL33" i="33"/>
  <c r="AM33" i="33"/>
  <c r="AN33" i="33"/>
  <c r="AO33" i="33"/>
  <c r="AP33" i="33"/>
  <c r="K34" i="33"/>
  <c r="L34" i="33"/>
  <c r="M34" i="33"/>
  <c r="N34" i="33"/>
  <c r="O34" i="33"/>
  <c r="P34" i="33"/>
  <c r="Q34" i="33"/>
  <c r="R34" i="33"/>
  <c r="S34" i="33"/>
  <c r="T34" i="33"/>
  <c r="U34" i="33"/>
  <c r="V34" i="33"/>
  <c r="W34" i="33"/>
  <c r="X34" i="33"/>
  <c r="Y34" i="33"/>
  <c r="Z34" i="33"/>
  <c r="AA34" i="33"/>
  <c r="AB34" i="33"/>
  <c r="AC34" i="33"/>
  <c r="AD34" i="33"/>
  <c r="AE34" i="33"/>
  <c r="AF34" i="33"/>
  <c r="AG34" i="33"/>
  <c r="AH34" i="33"/>
  <c r="AI34" i="33"/>
  <c r="AJ34" i="33"/>
  <c r="AK34" i="33"/>
  <c r="AL34" i="33"/>
  <c r="AM34" i="33"/>
  <c r="AN34" i="33"/>
  <c r="AO34" i="33"/>
  <c r="AP34" i="33"/>
  <c r="K35" i="33"/>
  <c r="L35" i="33"/>
  <c r="M35" i="33"/>
  <c r="N35" i="33"/>
  <c r="O35" i="33"/>
  <c r="P35" i="33"/>
  <c r="Q35" i="33"/>
  <c r="R35" i="33"/>
  <c r="S35" i="33"/>
  <c r="T35" i="33"/>
  <c r="U35" i="33"/>
  <c r="V35" i="33"/>
  <c r="W35" i="33"/>
  <c r="X35" i="33"/>
  <c r="Y35" i="33"/>
  <c r="Z35" i="33"/>
  <c r="AA35" i="33"/>
  <c r="AB35" i="33"/>
  <c r="AC35" i="33"/>
  <c r="AD35" i="33"/>
  <c r="AE35" i="33"/>
  <c r="AF35" i="33"/>
  <c r="AG35" i="33"/>
  <c r="AH35" i="33"/>
  <c r="AI35" i="33"/>
  <c r="AJ35" i="33"/>
  <c r="AK35" i="33"/>
  <c r="AL35" i="33"/>
  <c r="AM35" i="33"/>
  <c r="AN35" i="33"/>
  <c r="AO35" i="33"/>
  <c r="AP35" i="33"/>
  <c r="K36" i="33"/>
  <c r="L36" i="33"/>
  <c r="M36" i="33"/>
  <c r="N36" i="33"/>
  <c r="O36" i="33"/>
  <c r="P36" i="33"/>
  <c r="Q36" i="33"/>
  <c r="R36" i="33"/>
  <c r="S36" i="33"/>
  <c r="T36" i="33"/>
  <c r="U36" i="33"/>
  <c r="V36" i="33"/>
  <c r="W36" i="33"/>
  <c r="X36" i="33"/>
  <c r="Y36" i="33"/>
  <c r="Z36" i="33"/>
  <c r="AA36" i="33"/>
  <c r="AB36" i="33"/>
  <c r="AC36" i="33"/>
  <c r="AD36" i="33"/>
  <c r="AE36" i="33"/>
  <c r="AF36" i="33"/>
  <c r="AG36" i="33"/>
  <c r="AH36" i="33"/>
  <c r="AI36" i="33"/>
  <c r="AJ36" i="33"/>
  <c r="AK36" i="33"/>
  <c r="AL36" i="33"/>
  <c r="AM36" i="33"/>
  <c r="AN36" i="33"/>
  <c r="AO36" i="33"/>
  <c r="AP36" i="33"/>
  <c r="K37" i="33"/>
  <c r="L37" i="33"/>
  <c r="M37" i="33"/>
  <c r="N37" i="33"/>
  <c r="O37" i="33"/>
  <c r="P37" i="33"/>
  <c r="Q37" i="33"/>
  <c r="R37" i="33"/>
  <c r="S37" i="33"/>
  <c r="T37" i="33"/>
  <c r="U37" i="33"/>
  <c r="V37" i="33"/>
  <c r="W37" i="33"/>
  <c r="X37" i="33"/>
  <c r="Y37" i="33"/>
  <c r="Z37" i="33"/>
  <c r="AA37" i="33"/>
  <c r="AB37" i="33"/>
  <c r="AC37" i="33"/>
  <c r="AD37" i="33"/>
  <c r="AE37" i="33"/>
  <c r="AF37" i="33"/>
  <c r="AG37" i="33"/>
  <c r="AH37" i="33"/>
  <c r="AI37" i="33"/>
  <c r="AJ37" i="33"/>
  <c r="AK37" i="33"/>
  <c r="AL37" i="33"/>
  <c r="AM37" i="33"/>
  <c r="AN37" i="33"/>
  <c r="AO37" i="33"/>
  <c r="AP37" i="33"/>
  <c r="K38" i="33"/>
  <c r="L38" i="33"/>
  <c r="M38" i="33"/>
  <c r="N38" i="33"/>
  <c r="O38" i="33"/>
  <c r="P38" i="33"/>
  <c r="Q38" i="33"/>
  <c r="R38" i="33"/>
  <c r="S38" i="33"/>
  <c r="T38" i="33"/>
  <c r="U38" i="33"/>
  <c r="V38" i="33"/>
  <c r="W38" i="33"/>
  <c r="X38" i="33"/>
  <c r="Y38" i="33"/>
  <c r="Z38" i="33"/>
  <c r="AA38" i="33"/>
  <c r="AB38" i="33"/>
  <c r="AC38" i="33"/>
  <c r="AD38" i="33"/>
  <c r="AE38" i="33"/>
  <c r="AF38" i="33"/>
  <c r="AG38" i="33"/>
  <c r="AH38" i="33"/>
  <c r="AI38" i="33"/>
  <c r="AJ38" i="33"/>
  <c r="AK38" i="33"/>
  <c r="AL38" i="33"/>
  <c r="AM38" i="33"/>
  <c r="AN38" i="33"/>
  <c r="AO38" i="33"/>
  <c r="AP38" i="33"/>
  <c r="K39" i="33"/>
  <c r="L39" i="33"/>
  <c r="M39" i="33"/>
  <c r="N39" i="33"/>
  <c r="O39" i="33"/>
  <c r="P39" i="33"/>
  <c r="Q39" i="33"/>
  <c r="R39" i="33"/>
  <c r="S39" i="33"/>
  <c r="T39" i="33"/>
  <c r="U39" i="33"/>
  <c r="V39" i="33"/>
  <c r="W39" i="33"/>
  <c r="X39" i="33"/>
  <c r="Y39" i="33"/>
  <c r="Z39" i="33"/>
  <c r="AA39" i="33"/>
  <c r="AB39" i="33"/>
  <c r="AC39" i="33"/>
  <c r="AD39" i="33"/>
  <c r="AE39" i="33"/>
  <c r="AF39" i="33"/>
  <c r="AG39" i="33"/>
  <c r="AH39" i="33"/>
  <c r="AI39" i="33"/>
  <c r="AJ39" i="33"/>
  <c r="AK39" i="33"/>
  <c r="AL39" i="33"/>
  <c r="AM39" i="33"/>
  <c r="AN39" i="33"/>
  <c r="AO39" i="33"/>
  <c r="AP39" i="33"/>
  <c r="K40" i="33"/>
  <c r="L40" i="33"/>
  <c r="M40" i="33"/>
  <c r="N40" i="33"/>
  <c r="O40" i="33"/>
  <c r="P40" i="33"/>
  <c r="Q40" i="33"/>
  <c r="R40" i="33"/>
  <c r="S40" i="33"/>
  <c r="T40" i="33"/>
  <c r="U40" i="33"/>
  <c r="V40" i="33"/>
  <c r="W40" i="33"/>
  <c r="X40" i="33"/>
  <c r="Y40" i="33"/>
  <c r="Z40" i="33"/>
  <c r="AA40" i="33"/>
  <c r="AB40" i="33"/>
  <c r="AC40" i="33"/>
  <c r="AD40" i="33"/>
  <c r="AE40" i="33"/>
  <c r="AF40" i="33"/>
  <c r="AG40" i="33"/>
  <c r="AH40" i="33"/>
  <c r="AI40" i="33"/>
  <c r="AJ40" i="33"/>
  <c r="AK40" i="33"/>
  <c r="AL40" i="33"/>
  <c r="AM40" i="33"/>
  <c r="AN40" i="33"/>
  <c r="AO40" i="33"/>
  <c r="AP40" i="33"/>
  <c r="K41" i="33"/>
  <c r="L41" i="33"/>
  <c r="M41" i="33"/>
  <c r="N41" i="33"/>
  <c r="O41" i="33"/>
  <c r="P41" i="33"/>
  <c r="Q41" i="33"/>
  <c r="R41" i="33"/>
  <c r="S41" i="33"/>
  <c r="T41" i="33"/>
  <c r="U41" i="33"/>
  <c r="V41" i="33"/>
  <c r="W41" i="33"/>
  <c r="X41" i="33"/>
  <c r="Y41" i="33"/>
  <c r="Z41" i="33"/>
  <c r="AA41" i="33"/>
  <c r="AB41" i="33"/>
  <c r="AC41" i="33"/>
  <c r="AD41" i="33"/>
  <c r="AE41" i="33"/>
  <c r="AF41" i="33"/>
  <c r="AG41" i="33"/>
  <c r="AH41" i="33"/>
  <c r="AI41" i="33"/>
  <c r="AJ41" i="33"/>
  <c r="AK41" i="33"/>
  <c r="AL41" i="33"/>
  <c r="AM41" i="33"/>
  <c r="AN41" i="33"/>
  <c r="AO41" i="33"/>
  <c r="AP41" i="33"/>
  <c r="L25" i="33"/>
  <c r="M25" i="33"/>
  <c r="N25" i="33"/>
  <c r="O25" i="33"/>
  <c r="P25" i="33"/>
  <c r="Q25" i="33"/>
  <c r="R25" i="33"/>
  <c r="S25" i="33"/>
  <c r="T25" i="33"/>
  <c r="U25" i="33"/>
  <c r="V25" i="33"/>
  <c r="W25" i="33"/>
  <c r="X25" i="33"/>
  <c r="Y25" i="33"/>
  <c r="Z25" i="33"/>
  <c r="AA25" i="33"/>
  <c r="AB25" i="33"/>
  <c r="AC25" i="33"/>
  <c r="AD25" i="33"/>
  <c r="AE25" i="33"/>
  <c r="AF25" i="33"/>
  <c r="AG25" i="33"/>
  <c r="AH25" i="33"/>
  <c r="AI25" i="33"/>
  <c r="AJ25" i="33"/>
  <c r="AK25" i="33"/>
  <c r="AL25" i="33"/>
  <c r="AM25" i="33"/>
  <c r="AN25" i="33"/>
  <c r="AO25" i="33"/>
  <c r="AP25" i="33"/>
  <c r="K25" i="33"/>
  <c r="K19" i="33"/>
  <c r="AY19" i="33" s="1"/>
  <c r="L19" i="33"/>
  <c r="AZ19" i="33" s="1"/>
  <c r="M19" i="33"/>
  <c r="N19" i="33"/>
  <c r="O19" i="33"/>
  <c r="P19" i="33"/>
  <c r="Q19" i="33"/>
  <c r="R19" i="33"/>
  <c r="S19" i="33"/>
  <c r="T19" i="33"/>
  <c r="U19" i="33"/>
  <c r="V19" i="33"/>
  <c r="W19" i="33"/>
  <c r="X19" i="33"/>
  <c r="Y19" i="33"/>
  <c r="Z19" i="33"/>
  <c r="AA19" i="33"/>
  <c r="AB19" i="33"/>
  <c r="AC19" i="33"/>
  <c r="AD19" i="33"/>
  <c r="AE19" i="33"/>
  <c r="AF19" i="33"/>
  <c r="AG19" i="33"/>
  <c r="AH19" i="33"/>
  <c r="AI19" i="33"/>
  <c r="AJ19" i="33"/>
  <c r="AK19" i="33"/>
  <c r="AL19" i="33"/>
  <c r="AM19" i="33"/>
  <c r="AN19" i="33"/>
  <c r="AO19" i="33"/>
  <c r="AP19" i="33"/>
  <c r="K20" i="33"/>
  <c r="AY20" i="33" s="1"/>
  <c r="L20" i="33"/>
  <c r="AZ20" i="33" s="1"/>
  <c r="M20" i="33"/>
  <c r="N20" i="33"/>
  <c r="O20" i="33"/>
  <c r="P20" i="33"/>
  <c r="Q20" i="33"/>
  <c r="R20" i="33"/>
  <c r="S20" i="33"/>
  <c r="T20" i="33"/>
  <c r="U20" i="33"/>
  <c r="V20" i="33"/>
  <c r="W20" i="33"/>
  <c r="X20" i="33"/>
  <c r="Y20" i="33"/>
  <c r="Z20" i="33"/>
  <c r="AA20" i="33"/>
  <c r="AB20" i="33"/>
  <c r="AC20" i="33"/>
  <c r="AD20" i="33"/>
  <c r="AE20" i="33"/>
  <c r="AF20" i="33"/>
  <c r="AG20" i="33"/>
  <c r="AH20" i="33"/>
  <c r="AI20" i="33"/>
  <c r="AJ20" i="33"/>
  <c r="AK20" i="33"/>
  <c r="AL20" i="33"/>
  <c r="AM20" i="33"/>
  <c r="AN20" i="33"/>
  <c r="AO20" i="33"/>
  <c r="AP20" i="33"/>
  <c r="K21" i="33"/>
  <c r="AY21" i="33" s="1"/>
  <c r="L21" i="33"/>
  <c r="AZ21" i="33" s="1"/>
  <c r="M21" i="33"/>
  <c r="N21" i="33"/>
  <c r="O21" i="33"/>
  <c r="P21" i="33"/>
  <c r="Q21" i="33"/>
  <c r="R21" i="33"/>
  <c r="S21" i="33"/>
  <c r="T21" i="33"/>
  <c r="U21" i="33"/>
  <c r="V21" i="33"/>
  <c r="W21" i="33"/>
  <c r="X21" i="33"/>
  <c r="Y21" i="33"/>
  <c r="Z21" i="33"/>
  <c r="AA21" i="33"/>
  <c r="AB21" i="33"/>
  <c r="AC21" i="33"/>
  <c r="AD21" i="33"/>
  <c r="AE21" i="33"/>
  <c r="AF21" i="33"/>
  <c r="AG21" i="33"/>
  <c r="AH21" i="33"/>
  <c r="AI21" i="33"/>
  <c r="AJ21" i="33"/>
  <c r="AK21" i="33"/>
  <c r="AL21" i="33"/>
  <c r="AM21" i="33"/>
  <c r="AN21" i="33"/>
  <c r="AO21" i="33"/>
  <c r="AP21" i="33"/>
  <c r="K22" i="33"/>
  <c r="AY22" i="33" s="1"/>
  <c r="L22" i="33"/>
  <c r="AZ22" i="33" s="1"/>
  <c r="M22" i="33"/>
  <c r="N22" i="33"/>
  <c r="O22" i="33"/>
  <c r="P22" i="33"/>
  <c r="Q22" i="33"/>
  <c r="R22" i="33"/>
  <c r="S22" i="33"/>
  <c r="T22" i="33"/>
  <c r="U22" i="33"/>
  <c r="V22" i="33"/>
  <c r="W22" i="33"/>
  <c r="X22" i="33"/>
  <c r="Y22" i="33"/>
  <c r="Z22" i="33"/>
  <c r="AA22" i="33"/>
  <c r="AB22" i="33"/>
  <c r="AC22" i="33"/>
  <c r="AD22" i="33"/>
  <c r="AE22" i="33"/>
  <c r="AF22" i="33"/>
  <c r="AG22" i="33"/>
  <c r="AH22" i="33"/>
  <c r="AI22" i="33"/>
  <c r="AJ22" i="33"/>
  <c r="AK22" i="33"/>
  <c r="AL22" i="33"/>
  <c r="AM22" i="33"/>
  <c r="AN22" i="33"/>
  <c r="AO22" i="33"/>
  <c r="AP22" i="33"/>
  <c r="K23" i="33"/>
  <c r="L23" i="33"/>
  <c r="M23" i="33"/>
  <c r="N23" i="33"/>
  <c r="O23" i="33"/>
  <c r="P23" i="33"/>
  <c r="Q23" i="33"/>
  <c r="R23" i="33"/>
  <c r="S23" i="33"/>
  <c r="T23" i="33"/>
  <c r="U23" i="33"/>
  <c r="V23" i="33"/>
  <c r="W23" i="33"/>
  <c r="X23" i="33"/>
  <c r="Y23" i="33"/>
  <c r="Z23" i="33"/>
  <c r="AA23" i="33"/>
  <c r="AB23" i="33"/>
  <c r="AC23" i="33"/>
  <c r="AD23" i="33"/>
  <c r="AE23" i="33"/>
  <c r="AF23" i="33"/>
  <c r="AG23" i="33"/>
  <c r="AH23" i="33"/>
  <c r="AI23" i="33"/>
  <c r="AJ23" i="33"/>
  <c r="AK23" i="33"/>
  <c r="AL23" i="33"/>
  <c r="AM23" i="33"/>
  <c r="AN23" i="33"/>
  <c r="AO23" i="33"/>
  <c r="AP23" i="33"/>
  <c r="L18" i="33"/>
  <c r="AZ18" i="33" s="1"/>
  <c r="M18" i="33"/>
  <c r="N18" i="33"/>
  <c r="O18" i="33"/>
  <c r="P18" i="33"/>
  <c r="Q18" i="33"/>
  <c r="R18" i="33"/>
  <c r="S18" i="33"/>
  <c r="T18" i="33"/>
  <c r="U18" i="33"/>
  <c r="V18" i="33"/>
  <c r="W18" i="33"/>
  <c r="X18" i="33"/>
  <c r="Y18" i="33"/>
  <c r="Z18" i="33"/>
  <c r="AA18" i="33"/>
  <c r="AB18" i="33"/>
  <c r="AC18" i="33"/>
  <c r="AD18" i="33"/>
  <c r="AE18" i="33"/>
  <c r="AF18" i="33"/>
  <c r="AG18" i="33"/>
  <c r="AH18" i="33"/>
  <c r="AI18" i="33"/>
  <c r="AJ18" i="33"/>
  <c r="AK18" i="33"/>
  <c r="AL18" i="33"/>
  <c r="AM18" i="33"/>
  <c r="AN18" i="33"/>
  <c r="AO18" i="33"/>
  <c r="AP18" i="33"/>
  <c r="K18" i="33"/>
  <c r="AY18" i="33" s="1"/>
  <c r="F57" i="33"/>
  <c r="G57" i="33"/>
  <c r="H57" i="33"/>
  <c r="I57" i="33"/>
  <c r="F58" i="33"/>
  <c r="G58" i="33"/>
  <c r="H58" i="33"/>
  <c r="I58" i="33"/>
  <c r="F59" i="33"/>
  <c r="G59" i="33"/>
  <c r="H59" i="33"/>
  <c r="I59" i="33"/>
  <c r="G56" i="33"/>
  <c r="H56" i="33"/>
  <c r="I56" i="33"/>
  <c r="F56" i="33"/>
  <c r="F54" i="33"/>
  <c r="G54" i="33"/>
  <c r="H54" i="33"/>
  <c r="I54" i="33"/>
  <c r="G53" i="33"/>
  <c r="H53" i="33"/>
  <c r="I53" i="33"/>
  <c r="F53" i="33"/>
  <c r="F48" i="33"/>
  <c r="G48" i="33"/>
  <c r="H48" i="33"/>
  <c r="I48" i="33"/>
  <c r="F49" i="33"/>
  <c r="G49" i="33"/>
  <c r="H49" i="33"/>
  <c r="I49" i="33"/>
  <c r="F50" i="33"/>
  <c r="G50" i="33"/>
  <c r="H50" i="33"/>
  <c r="I50" i="33"/>
  <c r="F51" i="33"/>
  <c r="G51" i="33"/>
  <c r="H51" i="33"/>
  <c r="I51" i="33"/>
  <c r="G47" i="33"/>
  <c r="H47" i="33"/>
  <c r="I47" i="33"/>
  <c r="F47" i="33"/>
  <c r="F44" i="33"/>
  <c r="G44" i="33"/>
  <c r="H44" i="33"/>
  <c r="I44" i="33"/>
  <c r="F45" i="33"/>
  <c r="G45" i="33"/>
  <c r="H45" i="33"/>
  <c r="I45" i="33"/>
  <c r="G43" i="33"/>
  <c r="H43" i="33"/>
  <c r="I43" i="33"/>
  <c r="F43" i="33"/>
  <c r="F26" i="33"/>
  <c r="G26" i="33"/>
  <c r="H26" i="33"/>
  <c r="I26" i="33"/>
  <c r="F27" i="33"/>
  <c r="G27" i="33"/>
  <c r="H27" i="33"/>
  <c r="I27" i="33"/>
  <c r="F28" i="33"/>
  <c r="G28" i="33"/>
  <c r="H28" i="33"/>
  <c r="I28" i="33"/>
  <c r="F29" i="33"/>
  <c r="G29" i="33"/>
  <c r="H29" i="33"/>
  <c r="I29" i="33"/>
  <c r="F30" i="33"/>
  <c r="G30" i="33"/>
  <c r="H30" i="33"/>
  <c r="I30" i="33"/>
  <c r="F31" i="33"/>
  <c r="G31" i="33"/>
  <c r="H31" i="33"/>
  <c r="I31" i="33"/>
  <c r="F32" i="33"/>
  <c r="G32" i="33"/>
  <c r="H32" i="33"/>
  <c r="I32" i="33"/>
  <c r="F33" i="33"/>
  <c r="G33" i="33"/>
  <c r="H33" i="33"/>
  <c r="I33" i="33"/>
  <c r="F34" i="33"/>
  <c r="G34" i="33"/>
  <c r="H34" i="33"/>
  <c r="I34" i="33"/>
  <c r="F35" i="33"/>
  <c r="G35" i="33"/>
  <c r="H35" i="33"/>
  <c r="I35" i="33"/>
  <c r="F36" i="33"/>
  <c r="G36" i="33"/>
  <c r="H36" i="33"/>
  <c r="I36" i="33"/>
  <c r="F37" i="33"/>
  <c r="G37" i="33"/>
  <c r="H37" i="33"/>
  <c r="I37" i="33"/>
  <c r="F38" i="33"/>
  <c r="G38" i="33"/>
  <c r="H38" i="33"/>
  <c r="I38" i="33"/>
  <c r="F39" i="33"/>
  <c r="G39" i="33"/>
  <c r="H39" i="33"/>
  <c r="I39" i="33"/>
  <c r="F40" i="33"/>
  <c r="G40" i="33"/>
  <c r="H40" i="33"/>
  <c r="I40" i="33"/>
  <c r="F41" i="33"/>
  <c r="G41" i="33"/>
  <c r="H41" i="33"/>
  <c r="I41" i="33"/>
  <c r="G25" i="33"/>
  <c r="H25" i="33"/>
  <c r="I25" i="33"/>
  <c r="F25" i="33"/>
  <c r="F18" i="33"/>
  <c r="G18" i="33"/>
  <c r="H18" i="33"/>
  <c r="I18" i="33"/>
  <c r="F19" i="33"/>
  <c r="G19" i="33"/>
  <c r="H19" i="33"/>
  <c r="I19" i="33"/>
  <c r="F20" i="33"/>
  <c r="G20" i="33"/>
  <c r="H20" i="33"/>
  <c r="I20" i="33"/>
  <c r="F21" i="33"/>
  <c r="G21" i="33"/>
  <c r="H21" i="33"/>
  <c r="I21" i="33"/>
  <c r="F22" i="33"/>
  <c r="G22" i="33"/>
  <c r="H22" i="33"/>
  <c r="I22" i="33"/>
  <c r="G23" i="33"/>
  <c r="H23" i="33"/>
  <c r="I23" i="33"/>
  <c r="F23" i="33"/>
  <c r="K57" i="32"/>
  <c r="L57" i="32"/>
  <c r="M57" i="32"/>
  <c r="N57" i="32"/>
  <c r="O57" i="32"/>
  <c r="P57" i="32"/>
  <c r="Q57" i="32"/>
  <c r="R57" i="32"/>
  <c r="S57" i="32"/>
  <c r="T57" i="32"/>
  <c r="U57" i="32"/>
  <c r="V57" i="32"/>
  <c r="W57" i="32"/>
  <c r="X57" i="32"/>
  <c r="Y57" i="32"/>
  <c r="Z57" i="32"/>
  <c r="AA57" i="32"/>
  <c r="AB57" i="32"/>
  <c r="AC57" i="32"/>
  <c r="AD57" i="32"/>
  <c r="AE57" i="32"/>
  <c r="AF57" i="32"/>
  <c r="AG57" i="32"/>
  <c r="AH57" i="32"/>
  <c r="AI57" i="32"/>
  <c r="AJ57" i="32"/>
  <c r="AK57" i="32"/>
  <c r="AL57" i="32"/>
  <c r="AM57" i="32"/>
  <c r="AN57" i="32"/>
  <c r="AO57" i="32"/>
  <c r="AP57" i="32"/>
  <c r="K58" i="32"/>
  <c r="L58" i="32"/>
  <c r="M58" i="32"/>
  <c r="N58" i="32"/>
  <c r="O58" i="32"/>
  <c r="P58" i="32"/>
  <c r="Q58" i="32"/>
  <c r="R58" i="32"/>
  <c r="S58" i="32"/>
  <c r="T58" i="32"/>
  <c r="U58" i="32"/>
  <c r="V58" i="32"/>
  <c r="W58" i="32"/>
  <c r="X58" i="32"/>
  <c r="Y58" i="32"/>
  <c r="Z58" i="32"/>
  <c r="AA58" i="32"/>
  <c r="AB58" i="32"/>
  <c r="AC58" i="32"/>
  <c r="AD58" i="32"/>
  <c r="AE58" i="32"/>
  <c r="AF58" i="32"/>
  <c r="AG58" i="32"/>
  <c r="AH58" i="32"/>
  <c r="AI58" i="32"/>
  <c r="AJ58" i="32"/>
  <c r="AK58" i="32"/>
  <c r="AL58" i="32"/>
  <c r="AM58" i="32"/>
  <c r="AN58" i="32"/>
  <c r="AO58" i="32"/>
  <c r="AP58" i="32"/>
  <c r="K59" i="32"/>
  <c r="L59" i="32"/>
  <c r="M59" i="32"/>
  <c r="N59" i="32"/>
  <c r="O59" i="32"/>
  <c r="P59" i="32"/>
  <c r="Q59" i="32"/>
  <c r="R59" i="32"/>
  <c r="S59" i="32"/>
  <c r="T59" i="32"/>
  <c r="U59" i="32"/>
  <c r="V59" i="32"/>
  <c r="W59" i="32"/>
  <c r="X59" i="32"/>
  <c r="Y59" i="32"/>
  <c r="Z59" i="32"/>
  <c r="AA59" i="32"/>
  <c r="AB59" i="32"/>
  <c r="AC59" i="32"/>
  <c r="AD59" i="32"/>
  <c r="AE59" i="32"/>
  <c r="AF59" i="32"/>
  <c r="AG59" i="32"/>
  <c r="AH59" i="32"/>
  <c r="AI59" i="32"/>
  <c r="AJ59" i="32"/>
  <c r="AK59" i="32"/>
  <c r="AL59" i="32"/>
  <c r="AM59" i="32"/>
  <c r="AN59" i="32"/>
  <c r="AO59" i="32"/>
  <c r="AP59" i="32"/>
  <c r="L56" i="32"/>
  <c r="M56" i="32"/>
  <c r="N56" i="32"/>
  <c r="O56" i="32"/>
  <c r="P56" i="32"/>
  <c r="Q56" i="32"/>
  <c r="R56" i="32"/>
  <c r="S56" i="32"/>
  <c r="T56" i="32"/>
  <c r="U56" i="32"/>
  <c r="V56" i="32"/>
  <c r="W56" i="32"/>
  <c r="X56" i="32"/>
  <c r="Y56" i="32"/>
  <c r="Z56" i="32"/>
  <c r="AA56" i="32"/>
  <c r="AB56" i="32"/>
  <c r="AC56" i="32"/>
  <c r="AD56" i="32"/>
  <c r="AE56" i="32"/>
  <c r="AF56" i="32"/>
  <c r="AG56" i="32"/>
  <c r="AH56" i="32"/>
  <c r="AI56" i="32"/>
  <c r="AJ56" i="32"/>
  <c r="AK56" i="32"/>
  <c r="AL56" i="32"/>
  <c r="AM56" i="32"/>
  <c r="AN56" i="32"/>
  <c r="AO56" i="32"/>
  <c r="AP56" i="32"/>
  <c r="K56" i="32"/>
  <c r="K54" i="32"/>
  <c r="L54" i="32"/>
  <c r="M54" i="32"/>
  <c r="N54" i="32"/>
  <c r="O54" i="32"/>
  <c r="P54" i="32"/>
  <c r="Q54" i="32"/>
  <c r="R54" i="32"/>
  <c r="S54" i="32"/>
  <c r="T54" i="32"/>
  <c r="U54" i="32"/>
  <c r="V54" i="32"/>
  <c r="W54" i="32"/>
  <c r="X54" i="32"/>
  <c r="Y54" i="32"/>
  <c r="Z54" i="32"/>
  <c r="AA54" i="32"/>
  <c r="AB54" i="32"/>
  <c r="AC54" i="32"/>
  <c r="AD54" i="32"/>
  <c r="AE54" i="32"/>
  <c r="AF54" i="32"/>
  <c r="AG54" i="32"/>
  <c r="AH54" i="32"/>
  <c r="AI54" i="32"/>
  <c r="AJ54" i="32"/>
  <c r="AK54" i="32"/>
  <c r="AL54" i="32"/>
  <c r="AM54" i="32"/>
  <c r="AN54" i="32"/>
  <c r="AO54" i="32"/>
  <c r="AP54" i="32"/>
  <c r="L53" i="32"/>
  <c r="M53" i="32"/>
  <c r="N53" i="32"/>
  <c r="O53" i="32"/>
  <c r="P53" i="32"/>
  <c r="Q53" i="32"/>
  <c r="R53" i="32"/>
  <c r="S53" i="32"/>
  <c r="T53" i="32"/>
  <c r="U53" i="32"/>
  <c r="V53" i="32"/>
  <c r="W53" i="32"/>
  <c r="X53" i="32"/>
  <c r="Y53" i="32"/>
  <c r="Z53" i="32"/>
  <c r="AA53" i="32"/>
  <c r="AB53" i="32"/>
  <c r="AC53" i="32"/>
  <c r="AD53" i="32"/>
  <c r="AE53" i="32"/>
  <c r="AF53" i="32"/>
  <c r="AG53" i="32"/>
  <c r="AH53" i="32"/>
  <c r="AI53" i="32"/>
  <c r="AJ53" i="32"/>
  <c r="AK53" i="32"/>
  <c r="AL53" i="32"/>
  <c r="AM53" i="32"/>
  <c r="AN53" i="32"/>
  <c r="AO53" i="32"/>
  <c r="AP53" i="32"/>
  <c r="K53" i="32"/>
  <c r="K48" i="32"/>
  <c r="L48" i="32"/>
  <c r="M48" i="32"/>
  <c r="N48" i="32"/>
  <c r="O48" i="32"/>
  <c r="P48" i="32"/>
  <c r="Q48" i="32"/>
  <c r="R48" i="32"/>
  <c r="S48" i="32"/>
  <c r="T48" i="32"/>
  <c r="U48" i="32"/>
  <c r="V48" i="32"/>
  <c r="W48" i="32"/>
  <c r="X48" i="32"/>
  <c r="Y48" i="32"/>
  <c r="Z48" i="32"/>
  <c r="AA48" i="32"/>
  <c r="AB48" i="32"/>
  <c r="AC48" i="32"/>
  <c r="AD48" i="32"/>
  <c r="AE48" i="32"/>
  <c r="AF48" i="32"/>
  <c r="AG48" i="32"/>
  <c r="AH48" i="32"/>
  <c r="AI48" i="32"/>
  <c r="AJ48" i="32"/>
  <c r="AK48" i="32"/>
  <c r="AL48" i="32"/>
  <c r="AM48" i="32"/>
  <c r="AN48" i="32"/>
  <c r="AO48" i="32"/>
  <c r="AP48" i="32"/>
  <c r="K49" i="32"/>
  <c r="L49" i="32"/>
  <c r="M49" i="32"/>
  <c r="N49" i="32"/>
  <c r="O49" i="32"/>
  <c r="P49" i="32"/>
  <c r="Q49" i="32"/>
  <c r="R49" i="32"/>
  <c r="S49" i="32"/>
  <c r="T49" i="32"/>
  <c r="U49" i="32"/>
  <c r="V49" i="32"/>
  <c r="W49" i="32"/>
  <c r="X49" i="32"/>
  <c r="Y49" i="32"/>
  <c r="Z49" i="32"/>
  <c r="AA49" i="32"/>
  <c r="AB49" i="32"/>
  <c r="AC49" i="32"/>
  <c r="AD49" i="32"/>
  <c r="AE49" i="32"/>
  <c r="AF49" i="32"/>
  <c r="AG49" i="32"/>
  <c r="AH49" i="32"/>
  <c r="AI49" i="32"/>
  <c r="AJ49" i="32"/>
  <c r="AK49" i="32"/>
  <c r="AL49" i="32"/>
  <c r="AM49" i="32"/>
  <c r="AN49" i="32"/>
  <c r="AO49" i="32"/>
  <c r="AP49" i="32"/>
  <c r="K50" i="32"/>
  <c r="L50" i="32"/>
  <c r="M50" i="32"/>
  <c r="N50" i="32"/>
  <c r="O50" i="32"/>
  <c r="P50" i="32"/>
  <c r="Q50" i="32"/>
  <c r="R50" i="32"/>
  <c r="S50" i="32"/>
  <c r="T50" i="32"/>
  <c r="U50" i="32"/>
  <c r="V50" i="32"/>
  <c r="W50" i="32"/>
  <c r="X50" i="32"/>
  <c r="Y50" i="32"/>
  <c r="Z50" i="32"/>
  <c r="AA50" i="32"/>
  <c r="AB50" i="32"/>
  <c r="AC50" i="32"/>
  <c r="AD50" i="32"/>
  <c r="AE50" i="32"/>
  <c r="AF50" i="32"/>
  <c r="AG50" i="32"/>
  <c r="AH50" i="32"/>
  <c r="AI50" i="32"/>
  <c r="AJ50" i="32"/>
  <c r="AK50" i="32"/>
  <c r="AL50" i="32"/>
  <c r="AM50" i="32"/>
  <c r="AN50" i="32"/>
  <c r="AO50" i="32"/>
  <c r="AP50" i="32"/>
  <c r="K51" i="32"/>
  <c r="L51" i="32"/>
  <c r="M51" i="32"/>
  <c r="N51" i="32"/>
  <c r="O51" i="32"/>
  <c r="P51" i="32"/>
  <c r="Q51" i="32"/>
  <c r="R51" i="32"/>
  <c r="S51" i="32"/>
  <c r="T51" i="32"/>
  <c r="U51" i="32"/>
  <c r="V51" i="32"/>
  <c r="W51" i="32"/>
  <c r="X51" i="32"/>
  <c r="Y51" i="32"/>
  <c r="Z51" i="32"/>
  <c r="AA51" i="32"/>
  <c r="AB51" i="32"/>
  <c r="AC51" i="32"/>
  <c r="AD51" i="32"/>
  <c r="AE51" i="32"/>
  <c r="AF51" i="32"/>
  <c r="AG51" i="32"/>
  <c r="AH51" i="32"/>
  <c r="AI51" i="32"/>
  <c r="AJ51" i="32"/>
  <c r="AK51" i="32"/>
  <c r="AL51" i="32"/>
  <c r="AM51" i="32"/>
  <c r="AN51" i="32"/>
  <c r="AO51" i="32"/>
  <c r="AP51" i="32"/>
  <c r="X47" i="32"/>
  <c r="Y47" i="32"/>
  <c r="Z47" i="32"/>
  <c r="AA47" i="32"/>
  <c r="AB47" i="32"/>
  <c r="AC47" i="32"/>
  <c r="AD47" i="32"/>
  <c r="AE47" i="32"/>
  <c r="AF47" i="32"/>
  <c r="AG47" i="32"/>
  <c r="AH47" i="32"/>
  <c r="AI47" i="32"/>
  <c r="AJ47" i="32"/>
  <c r="AK47" i="32"/>
  <c r="AL47" i="32"/>
  <c r="AM47" i="32"/>
  <c r="AN47" i="32"/>
  <c r="AO47" i="32"/>
  <c r="AP47" i="32"/>
  <c r="L47" i="32"/>
  <c r="M47" i="32"/>
  <c r="N47" i="32"/>
  <c r="O47" i="32"/>
  <c r="P47" i="32"/>
  <c r="Q47" i="32"/>
  <c r="R47" i="32"/>
  <c r="S47" i="32"/>
  <c r="T47" i="32"/>
  <c r="U47" i="32"/>
  <c r="V47" i="32"/>
  <c r="W47" i="32"/>
  <c r="K47" i="32"/>
  <c r="K44" i="32"/>
  <c r="L44" i="32"/>
  <c r="M44" i="32"/>
  <c r="N44" i="32"/>
  <c r="O44" i="32"/>
  <c r="P44" i="32"/>
  <c r="Q44" i="32"/>
  <c r="R44" i="32"/>
  <c r="S44" i="32"/>
  <c r="T44" i="32"/>
  <c r="U44" i="32"/>
  <c r="V44" i="32"/>
  <c r="W44" i="32"/>
  <c r="X44" i="32"/>
  <c r="Y44" i="32"/>
  <c r="Z44" i="32"/>
  <c r="AA44" i="32"/>
  <c r="AB44" i="32"/>
  <c r="AC44" i="32"/>
  <c r="AD44" i="32"/>
  <c r="AE44" i="32"/>
  <c r="AF44" i="32"/>
  <c r="AG44" i="32"/>
  <c r="AH44" i="32"/>
  <c r="AI44" i="32"/>
  <c r="AJ44" i="32"/>
  <c r="AK44" i="32"/>
  <c r="AL44" i="32"/>
  <c r="AM44" i="32"/>
  <c r="AN44" i="32"/>
  <c r="AO44" i="32"/>
  <c r="AP44" i="32"/>
  <c r="K45" i="32"/>
  <c r="L45" i="32"/>
  <c r="M45" i="32"/>
  <c r="N45" i="32"/>
  <c r="O45" i="32"/>
  <c r="P45" i="32"/>
  <c r="Q45" i="32"/>
  <c r="R45" i="32"/>
  <c r="S45" i="32"/>
  <c r="T45" i="32"/>
  <c r="U45" i="32"/>
  <c r="V45" i="32"/>
  <c r="W45" i="32"/>
  <c r="X45" i="32"/>
  <c r="Y45" i="32"/>
  <c r="Z45" i="32"/>
  <c r="AA45" i="32"/>
  <c r="AB45" i="32"/>
  <c r="AC45" i="32"/>
  <c r="AD45" i="32"/>
  <c r="AE45" i="32"/>
  <c r="AF45" i="32"/>
  <c r="AG45" i="32"/>
  <c r="AH45" i="32"/>
  <c r="AI45" i="32"/>
  <c r="AJ45" i="32"/>
  <c r="AK45" i="32"/>
  <c r="AL45" i="32"/>
  <c r="AM45" i="32"/>
  <c r="AN45" i="32"/>
  <c r="AO45" i="32"/>
  <c r="AP45" i="32"/>
  <c r="L43" i="32"/>
  <c r="M43" i="32"/>
  <c r="N43" i="32"/>
  <c r="O43" i="32"/>
  <c r="P43" i="32"/>
  <c r="Q43" i="32"/>
  <c r="R43" i="32"/>
  <c r="S43" i="32"/>
  <c r="T43" i="32"/>
  <c r="U43" i="32"/>
  <c r="V43" i="32"/>
  <c r="W43" i="32"/>
  <c r="X43" i="32"/>
  <c r="Y43" i="32"/>
  <c r="Z43" i="32"/>
  <c r="AA43" i="32"/>
  <c r="AB43" i="32"/>
  <c r="AC43" i="32"/>
  <c r="AD43" i="32"/>
  <c r="AE43" i="32"/>
  <c r="AF43" i="32"/>
  <c r="AG43" i="32"/>
  <c r="AH43" i="32"/>
  <c r="AI43" i="32"/>
  <c r="AJ43" i="32"/>
  <c r="AK43" i="32"/>
  <c r="AL43" i="32"/>
  <c r="AM43" i="32"/>
  <c r="AN43" i="32"/>
  <c r="AO43" i="32"/>
  <c r="AP43" i="32"/>
  <c r="K43" i="32"/>
  <c r="K26" i="32"/>
  <c r="L26" i="32"/>
  <c r="M26" i="32"/>
  <c r="N26" i="32"/>
  <c r="O26" i="32"/>
  <c r="P26" i="32"/>
  <c r="Q26" i="32"/>
  <c r="R26" i="32"/>
  <c r="S26" i="32"/>
  <c r="T26" i="32"/>
  <c r="U26" i="32"/>
  <c r="V26" i="32"/>
  <c r="W26" i="32"/>
  <c r="X26" i="32"/>
  <c r="Y26" i="32"/>
  <c r="Z26" i="32"/>
  <c r="AA26" i="32"/>
  <c r="AB26" i="32"/>
  <c r="AC26" i="32"/>
  <c r="AD26" i="32"/>
  <c r="AE26" i="32"/>
  <c r="AF26" i="32"/>
  <c r="AG26" i="32"/>
  <c r="AH26" i="32"/>
  <c r="AI26" i="32"/>
  <c r="AJ26" i="32"/>
  <c r="AK26" i="32"/>
  <c r="AL26" i="32"/>
  <c r="AM26" i="32"/>
  <c r="AN26" i="32"/>
  <c r="AO26" i="32"/>
  <c r="AP26" i="32"/>
  <c r="K27" i="32"/>
  <c r="L27" i="32"/>
  <c r="M27" i="32"/>
  <c r="N27" i="32"/>
  <c r="O27" i="32"/>
  <c r="P27" i="32"/>
  <c r="Q27" i="32"/>
  <c r="R27" i="32"/>
  <c r="S27" i="32"/>
  <c r="T27" i="32"/>
  <c r="U27" i="32"/>
  <c r="V27" i="32"/>
  <c r="W27" i="32"/>
  <c r="X27" i="32"/>
  <c r="Y27" i="32"/>
  <c r="Z27" i="32"/>
  <c r="AA27" i="32"/>
  <c r="AB27" i="32"/>
  <c r="AC27" i="32"/>
  <c r="AD27" i="32"/>
  <c r="AE27" i="32"/>
  <c r="AF27" i="32"/>
  <c r="AG27" i="32"/>
  <c r="AH27" i="32"/>
  <c r="AI27" i="32"/>
  <c r="AJ27" i="32"/>
  <c r="AK27" i="32"/>
  <c r="AL27" i="32"/>
  <c r="AM27" i="32"/>
  <c r="AN27" i="32"/>
  <c r="AO27" i="32"/>
  <c r="AP27" i="32"/>
  <c r="K28" i="32"/>
  <c r="L28" i="32"/>
  <c r="M28" i="32"/>
  <c r="N28" i="32"/>
  <c r="O28" i="32"/>
  <c r="P28" i="32"/>
  <c r="Q28" i="32"/>
  <c r="R28" i="32"/>
  <c r="S28" i="32"/>
  <c r="T28" i="32"/>
  <c r="U28" i="32"/>
  <c r="V28" i="32"/>
  <c r="W28" i="32"/>
  <c r="X28" i="32"/>
  <c r="Y28" i="32"/>
  <c r="Z28" i="32"/>
  <c r="AA28" i="32"/>
  <c r="AB28" i="32"/>
  <c r="AC28" i="32"/>
  <c r="AD28" i="32"/>
  <c r="AE28" i="32"/>
  <c r="AF28" i="32"/>
  <c r="AG28" i="32"/>
  <c r="AH28" i="32"/>
  <c r="AI28" i="32"/>
  <c r="AJ28" i="32"/>
  <c r="AK28" i="32"/>
  <c r="AL28" i="32"/>
  <c r="AM28" i="32"/>
  <c r="AN28" i="32"/>
  <c r="AO28" i="32"/>
  <c r="AP28" i="32"/>
  <c r="K29" i="32"/>
  <c r="L29" i="32"/>
  <c r="M29" i="32"/>
  <c r="N29" i="32"/>
  <c r="O29" i="32"/>
  <c r="P29" i="32"/>
  <c r="Q29" i="32"/>
  <c r="R29" i="32"/>
  <c r="S29" i="32"/>
  <c r="T29" i="32"/>
  <c r="U29" i="32"/>
  <c r="V29" i="32"/>
  <c r="W29" i="32"/>
  <c r="X29" i="32"/>
  <c r="Y29" i="32"/>
  <c r="Z29" i="32"/>
  <c r="AA29" i="32"/>
  <c r="AB29" i="32"/>
  <c r="AC29" i="32"/>
  <c r="AD29" i="32"/>
  <c r="AE29" i="32"/>
  <c r="AF29" i="32"/>
  <c r="AG29" i="32"/>
  <c r="AH29" i="32"/>
  <c r="AI29" i="32"/>
  <c r="AJ29" i="32"/>
  <c r="AK29" i="32"/>
  <c r="AL29" i="32"/>
  <c r="AM29" i="32"/>
  <c r="AN29" i="32"/>
  <c r="AO29" i="32"/>
  <c r="AP29" i="32"/>
  <c r="K30" i="32"/>
  <c r="L30" i="32"/>
  <c r="M30" i="32"/>
  <c r="N30" i="32"/>
  <c r="O30" i="32"/>
  <c r="P30" i="32"/>
  <c r="Q30" i="32"/>
  <c r="R30" i="32"/>
  <c r="S30" i="32"/>
  <c r="T30" i="32"/>
  <c r="U30" i="32"/>
  <c r="V30" i="32"/>
  <c r="W30" i="32"/>
  <c r="X30" i="32"/>
  <c r="Y30" i="32"/>
  <c r="Z30" i="32"/>
  <c r="AA30" i="32"/>
  <c r="AB30" i="32"/>
  <c r="AC30" i="32"/>
  <c r="AD30" i="32"/>
  <c r="AE30" i="32"/>
  <c r="AF30" i="32"/>
  <c r="AG30" i="32"/>
  <c r="AH30" i="32"/>
  <c r="AI30" i="32"/>
  <c r="AJ30" i="32"/>
  <c r="AK30" i="32"/>
  <c r="AL30" i="32"/>
  <c r="AM30" i="32"/>
  <c r="AN30" i="32"/>
  <c r="AO30" i="32"/>
  <c r="AP30" i="32"/>
  <c r="K31" i="32"/>
  <c r="L31" i="32"/>
  <c r="M31" i="32"/>
  <c r="N31" i="32"/>
  <c r="O31" i="32"/>
  <c r="P31" i="32"/>
  <c r="Q31" i="32"/>
  <c r="R31" i="32"/>
  <c r="S31" i="32"/>
  <c r="T31" i="32"/>
  <c r="U31" i="32"/>
  <c r="V31" i="32"/>
  <c r="W31" i="32"/>
  <c r="X31" i="32"/>
  <c r="Y31" i="32"/>
  <c r="Z31" i="32"/>
  <c r="AA31" i="32"/>
  <c r="AB31" i="32"/>
  <c r="AC31" i="32"/>
  <c r="AD31" i="32"/>
  <c r="AE31" i="32"/>
  <c r="AF31" i="32"/>
  <c r="AG31" i="32"/>
  <c r="AH31" i="32"/>
  <c r="AI31" i="32"/>
  <c r="AJ31" i="32"/>
  <c r="AK31" i="32"/>
  <c r="AL31" i="32"/>
  <c r="AM31" i="32"/>
  <c r="AN31" i="32"/>
  <c r="AO31" i="32"/>
  <c r="AP31" i="32"/>
  <c r="K32" i="32"/>
  <c r="L32" i="32"/>
  <c r="M32" i="32"/>
  <c r="N32" i="32"/>
  <c r="O32" i="32"/>
  <c r="P32" i="32"/>
  <c r="Q32" i="32"/>
  <c r="R32" i="32"/>
  <c r="S32" i="32"/>
  <c r="T32" i="32"/>
  <c r="U32" i="32"/>
  <c r="V32" i="32"/>
  <c r="W32" i="32"/>
  <c r="X32" i="32"/>
  <c r="Y32" i="32"/>
  <c r="Z32" i="32"/>
  <c r="AA32" i="32"/>
  <c r="AB32" i="32"/>
  <c r="AC32" i="32"/>
  <c r="AD32" i="32"/>
  <c r="AE32" i="32"/>
  <c r="AF32" i="32"/>
  <c r="AG32" i="32"/>
  <c r="AH32" i="32"/>
  <c r="AI32" i="32"/>
  <c r="AJ32" i="32"/>
  <c r="AK32" i="32"/>
  <c r="AL32" i="32"/>
  <c r="AM32" i="32"/>
  <c r="AN32" i="32"/>
  <c r="AO32" i="32"/>
  <c r="AP32" i="32"/>
  <c r="K33" i="32"/>
  <c r="L33" i="32"/>
  <c r="M33" i="32"/>
  <c r="N33" i="32"/>
  <c r="O33" i="32"/>
  <c r="P33" i="32"/>
  <c r="Q33" i="32"/>
  <c r="R33" i="32"/>
  <c r="S33" i="32"/>
  <c r="T33" i="32"/>
  <c r="U33" i="32"/>
  <c r="V33" i="32"/>
  <c r="W33" i="32"/>
  <c r="X33" i="32"/>
  <c r="Y33" i="32"/>
  <c r="Z33" i="32"/>
  <c r="AA33" i="32"/>
  <c r="AB33" i="32"/>
  <c r="AC33" i="32"/>
  <c r="AD33" i="32"/>
  <c r="AE33" i="32"/>
  <c r="AF33" i="32"/>
  <c r="AG33" i="32"/>
  <c r="AH33" i="32"/>
  <c r="AI33" i="32"/>
  <c r="AJ33" i="32"/>
  <c r="AK33" i="32"/>
  <c r="AL33" i="32"/>
  <c r="AM33" i="32"/>
  <c r="AN33" i="32"/>
  <c r="AO33" i="32"/>
  <c r="AP33" i="32"/>
  <c r="K34" i="32"/>
  <c r="L34" i="32"/>
  <c r="M34" i="32"/>
  <c r="N34" i="32"/>
  <c r="O34" i="32"/>
  <c r="P34" i="32"/>
  <c r="Q34" i="32"/>
  <c r="R34" i="32"/>
  <c r="S34" i="32"/>
  <c r="T34" i="32"/>
  <c r="U34" i="32"/>
  <c r="V34" i="32"/>
  <c r="W34" i="32"/>
  <c r="X34" i="32"/>
  <c r="Y34" i="32"/>
  <c r="Z34" i="32"/>
  <c r="AA34" i="32"/>
  <c r="AB34" i="32"/>
  <c r="AC34" i="32"/>
  <c r="AD34" i="32"/>
  <c r="AE34" i="32"/>
  <c r="AF34" i="32"/>
  <c r="AG34" i="32"/>
  <c r="AH34" i="32"/>
  <c r="AI34" i="32"/>
  <c r="AJ34" i="32"/>
  <c r="AK34" i="32"/>
  <c r="AL34" i="32"/>
  <c r="AM34" i="32"/>
  <c r="AN34" i="32"/>
  <c r="AO34" i="32"/>
  <c r="AP34" i="32"/>
  <c r="K35" i="32"/>
  <c r="L35" i="32"/>
  <c r="M35" i="32"/>
  <c r="N35" i="32"/>
  <c r="O35" i="32"/>
  <c r="P35" i="32"/>
  <c r="Q35" i="32"/>
  <c r="R35" i="32"/>
  <c r="S35" i="32"/>
  <c r="T35" i="32"/>
  <c r="U35" i="32"/>
  <c r="V35" i="32"/>
  <c r="W35" i="32"/>
  <c r="X35" i="32"/>
  <c r="Y35" i="32"/>
  <c r="Z35" i="32"/>
  <c r="AA35" i="32"/>
  <c r="AB35" i="32"/>
  <c r="AC35" i="32"/>
  <c r="AD35" i="32"/>
  <c r="AE35" i="32"/>
  <c r="AF35" i="32"/>
  <c r="AG35" i="32"/>
  <c r="AH35" i="32"/>
  <c r="AI35" i="32"/>
  <c r="AJ35" i="32"/>
  <c r="AK35" i="32"/>
  <c r="AL35" i="32"/>
  <c r="AM35" i="32"/>
  <c r="AN35" i="32"/>
  <c r="AO35" i="32"/>
  <c r="AP35" i="32"/>
  <c r="K36" i="32"/>
  <c r="L36" i="32"/>
  <c r="M36" i="32"/>
  <c r="N36" i="32"/>
  <c r="O36" i="32"/>
  <c r="P36" i="32"/>
  <c r="Q36" i="32"/>
  <c r="R36" i="32"/>
  <c r="S36" i="32"/>
  <c r="T36" i="32"/>
  <c r="U36" i="32"/>
  <c r="V36" i="32"/>
  <c r="W36" i="32"/>
  <c r="X36" i="32"/>
  <c r="Y36" i="32"/>
  <c r="Z36" i="32"/>
  <c r="AA36" i="32"/>
  <c r="AB36" i="32"/>
  <c r="AC36" i="32"/>
  <c r="AD36" i="32"/>
  <c r="AE36" i="32"/>
  <c r="AF36" i="32"/>
  <c r="AG36" i="32"/>
  <c r="AH36" i="32"/>
  <c r="AI36" i="32"/>
  <c r="AJ36" i="32"/>
  <c r="AK36" i="32"/>
  <c r="AL36" i="32"/>
  <c r="AM36" i="32"/>
  <c r="AN36" i="32"/>
  <c r="AO36" i="32"/>
  <c r="AP36" i="32"/>
  <c r="K37" i="32"/>
  <c r="L37" i="32"/>
  <c r="M37" i="32"/>
  <c r="N37" i="32"/>
  <c r="O37" i="32"/>
  <c r="P37" i="32"/>
  <c r="Q37" i="32"/>
  <c r="R37" i="32"/>
  <c r="S37" i="32"/>
  <c r="T37" i="32"/>
  <c r="U37" i="32"/>
  <c r="V37" i="32"/>
  <c r="W37" i="32"/>
  <c r="X37" i="32"/>
  <c r="Y37" i="32"/>
  <c r="Z37" i="32"/>
  <c r="AA37" i="32"/>
  <c r="AB37" i="32"/>
  <c r="AC37" i="32"/>
  <c r="AD37" i="32"/>
  <c r="AE37" i="32"/>
  <c r="AF37" i="32"/>
  <c r="AG37" i="32"/>
  <c r="AH37" i="32"/>
  <c r="AI37" i="32"/>
  <c r="AJ37" i="32"/>
  <c r="AK37" i="32"/>
  <c r="AL37" i="32"/>
  <c r="AM37" i="32"/>
  <c r="AN37" i="32"/>
  <c r="AO37" i="32"/>
  <c r="AP37" i="32"/>
  <c r="K38" i="32"/>
  <c r="L38" i="32"/>
  <c r="M38" i="32"/>
  <c r="N38" i="32"/>
  <c r="O38" i="32"/>
  <c r="P38" i="32"/>
  <c r="Q38" i="32"/>
  <c r="R38" i="32"/>
  <c r="S38" i="32"/>
  <c r="T38" i="32"/>
  <c r="U38" i="32"/>
  <c r="V38" i="32"/>
  <c r="W38" i="32"/>
  <c r="X38" i="32"/>
  <c r="Y38" i="32"/>
  <c r="Z38" i="32"/>
  <c r="AA38" i="32"/>
  <c r="AB38" i="32"/>
  <c r="AC38" i="32"/>
  <c r="AD38" i="32"/>
  <c r="AE38" i="32"/>
  <c r="AF38" i="32"/>
  <c r="AG38" i="32"/>
  <c r="AH38" i="32"/>
  <c r="AI38" i="32"/>
  <c r="AJ38" i="32"/>
  <c r="AK38" i="32"/>
  <c r="AL38" i="32"/>
  <c r="AM38" i="32"/>
  <c r="AN38" i="32"/>
  <c r="AO38" i="32"/>
  <c r="AP38" i="32"/>
  <c r="K39" i="32"/>
  <c r="L39" i="32"/>
  <c r="M39" i="32"/>
  <c r="N39" i="32"/>
  <c r="O39" i="32"/>
  <c r="P39" i="32"/>
  <c r="Q39" i="32"/>
  <c r="R39" i="32"/>
  <c r="S39" i="32"/>
  <c r="T39" i="32"/>
  <c r="U39" i="32"/>
  <c r="V39" i="32"/>
  <c r="W39" i="32"/>
  <c r="X39" i="32"/>
  <c r="Y39" i="32"/>
  <c r="Z39" i="32"/>
  <c r="AA39" i="32"/>
  <c r="AB39" i="32"/>
  <c r="AC39" i="32"/>
  <c r="AD39" i="32"/>
  <c r="AE39" i="32"/>
  <c r="AF39" i="32"/>
  <c r="AG39" i="32"/>
  <c r="AH39" i="32"/>
  <c r="AI39" i="32"/>
  <c r="AJ39" i="32"/>
  <c r="AK39" i="32"/>
  <c r="AL39" i="32"/>
  <c r="AM39" i="32"/>
  <c r="AN39" i="32"/>
  <c r="AO39" i="32"/>
  <c r="AP39" i="32"/>
  <c r="K40" i="32"/>
  <c r="L40" i="32"/>
  <c r="M40" i="32"/>
  <c r="N40" i="32"/>
  <c r="O40" i="32"/>
  <c r="P40" i="32"/>
  <c r="Q40" i="32"/>
  <c r="R40" i="32"/>
  <c r="S40" i="32"/>
  <c r="T40" i="32"/>
  <c r="U40" i="32"/>
  <c r="V40" i="32"/>
  <c r="W40" i="32"/>
  <c r="X40" i="32"/>
  <c r="Y40" i="32"/>
  <c r="Z40" i="32"/>
  <c r="AA40" i="32"/>
  <c r="AB40" i="32"/>
  <c r="AC40" i="32"/>
  <c r="AD40" i="32"/>
  <c r="AE40" i="32"/>
  <c r="AF40" i="32"/>
  <c r="AG40" i="32"/>
  <c r="AH40" i="32"/>
  <c r="AI40" i="32"/>
  <c r="AJ40" i="32"/>
  <c r="AK40" i="32"/>
  <c r="AL40" i="32"/>
  <c r="AM40" i="32"/>
  <c r="AN40" i="32"/>
  <c r="AO40" i="32"/>
  <c r="AP40" i="32"/>
  <c r="K41" i="32"/>
  <c r="L41" i="32"/>
  <c r="M41" i="32"/>
  <c r="N41" i="32"/>
  <c r="O41" i="32"/>
  <c r="P41" i="32"/>
  <c r="Q41" i="32"/>
  <c r="R41" i="32"/>
  <c r="S41" i="32"/>
  <c r="T41" i="32"/>
  <c r="U41" i="32"/>
  <c r="V41" i="32"/>
  <c r="W41" i="32"/>
  <c r="X41" i="32"/>
  <c r="Y41" i="32"/>
  <c r="Z41" i="32"/>
  <c r="AA41" i="32"/>
  <c r="AB41" i="32"/>
  <c r="AC41" i="32"/>
  <c r="AD41" i="32"/>
  <c r="AE41" i="32"/>
  <c r="AF41" i="32"/>
  <c r="AG41" i="32"/>
  <c r="AH41" i="32"/>
  <c r="AI41" i="32"/>
  <c r="AJ41" i="32"/>
  <c r="AK41" i="32"/>
  <c r="AL41" i="32"/>
  <c r="AM41" i="32"/>
  <c r="AN41" i="32"/>
  <c r="AO41" i="32"/>
  <c r="AP41" i="32"/>
  <c r="L25" i="32"/>
  <c r="M25" i="32"/>
  <c r="N25" i="32"/>
  <c r="O25" i="32"/>
  <c r="P25" i="32"/>
  <c r="Q25" i="32"/>
  <c r="R25" i="32"/>
  <c r="S25" i="32"/>
  <c r="T25" i="32"/>
  <c r="U25" i="32"/>
  <c r="V25" i="32"/>
  <c r="W25" i="32"/>
  <c r="X25" i="32"/>
  <c r="Y25" i="32"/>
  <c r="Z25" i="32"/>
  <c r="AA25" i="32"/>
  <c r="AB25" i="32"/>
  <c r="AC25" i="32"/>
  <c r="AD25" i="32"/>
  <c r="AE25" i="32"/>
  <c r="AF25" i="32"/>
  <c r="AG25" i="32"/>
  <c r="AH25" i="32"/>
  <c r="AI25" i="32"/>
  <c r="AJ25" i="32"/>
  <c r="AK25" i="32"/>
  <c r="AL25" i="32"/>
  <c r="AM25" i="32"/>
  <c r="AN25" i="32"/>
  <c r="AO25" i="32"/>
  <c r="AP25" i="32"/>
  <c r="K25" i="32"/>
  <c r="K19" i="32"/>
  <c r="AY19" i="32" s="1"/>
  <c r="L19" i="32"/>
  <c r="AZ19" i="32" s="1"/>
  <c r="M19" i="32"/>
  <c r="N19" i="32"/>
  <c r="O19" i="32"/>
  <c r="P19" i="32"/>
  <c r="Q19" i="32"/>
  <c r="R19" i="32"/>
  <c r="S19" i="32"/>
  <c r="T19" i="32"/>
  <c r="U19" i="32"/>
  <c r="V19" i="32"/>
  <c r="W19" i="32"/>
  <c r="X19" i="32"/>
  <c r="Y19" i="32"/>
  <c r="Z19" i="32"/>
  <c r="AA19" i="32"/>
  <c r="AB19" i="32"/>
  <c r="AC19" i="32"/>
  <c r="AD19" i="32"/>
  <c r="AE19" i="32"/>
  <c r="AF19" i="32"/>
  <c r="AG19" i="32"/>
  <c r="AH19" i="32"/>
  <c r="AI19" i="32"/>
  <c r="AJ19" i="32"/>
  <c r="AK19" i="32"/>
  <c r="AL19" i="32"/>
  <c r="AM19" i="32"/>
  <c r="AN19" i="32"/>
  <c r="AO19" i="32"/>
  <c r="AP19" i="32"/>
  <c r="K20" i="32"/>
  <c r="L20" i="32"/>
  <c r="AZ20" i="32" s="1"/>
  <c r="M20" i="32"/>
  <c r="N20" i="32"/>
  <c r="O20" i="32"/>
  <c r="P20" i="32"/>
  <c r="Q20" i="32"/>
  <c r="R20" i="32"/>
  <c r="S20" i="32"/>
  <c r="T20" i="32"/>
  <c r="U20" i="32"/>
  <c r="V20" i="32"/>
  <c r="W20" i="32"/>
  <c r="X20" i="32"/>
  <c r="Y20" i="32"/>
  <c r="Z20" i="32"/>
  <c r="AA20" i="32"/>
  <c r="AB20" i="32"/>
  <c r="AC20" i="32"/>
  <c r="AD20" i="32"/>
  <c r="AE20" i="32"/>
  <c r="AF20" i="32"/>
  <c r="AG20" i="32"/>
  <c r="AH20" i="32"/>
  <c r="AI20" i="32"/>
  <c r="AJ20" i="32"/>
  <c r="AK20" i="32"/>
  <c r="AL20" i="32"/>
  <c r="AM20" i="32"/>
  <c r="AN20" i="32"/>
  <c r="AO20" i="32"/>
  <c r="AP20" i="32"/>
  <c r="K21" i="32"/>
  <c r="AY21" i="32" s="1"/>
  <c r="L21" i="32"/>
  <c r="AZ21" i="32" s="1"/>
  <c r="M21" i="32"/>
  <c r="N21" i="32"/>
  <c r="O21" i="32"/>
  <c r="P21" i="32"/>
  <c r="Q21" i="32"/>
  <c r="R21" i="32"/>
  <c r="S21" i="32"/>
  <c r="T21" i="32"/>
  <c r="U21" i="32"/>
  <c r="V21" i="32"/>
  <c r="W21" i="32"/>
  <c r="X21" i="32"/>
  <c r="Y21" i="32"/>
  <c r="Z21" i="32"/>
  <c r="AA21" i="32"/>
  <c r="AB21" i="32"/>
  <c r="AC21" i="32"/>
  <c r="AD21" i="32"/>
  <c r="AE21" i="32"/>
  <c r="AF21" i="32"/>
  <c r="AG21" i="32"/>
  <c r="AH21" i="32"/>
  <c r="AI21" i="32"/>
  <c r="AJ21" i="32"/>
  <c r="AK21" i="32"/>
  <c r="AL21" i="32"/>
  <c r="AM21" i="32"/>
  <c r="AN21" i="32"/>
  <c r="AO21" i="32"/>
  <c r="AP21" i="32"/>
  <c r="K22" i="32"/>
  <c r="AY22" i="32" s="1"/>
  <c r="L22" i="32"/>
  <c r="AZ22" i="32" s="1"/>
  <c r="M22" i="32"/>
  <c r="N22" i="32"/>
  <c r="O22" i="32"/>
  <c r="P22" i="32"/>
  <c r="Q22" i="32"/>
  <c r="R22" i="32"/>
  <c r="S22" i="32"/>
  <c r="T22" i="32"/>
  <c r="U22" i="32"/>
  <c r="V22" i="32"/>
  <c r="W22" i="32"/>
  <c r="X22" i="32"/>
  <c r="Y22" i="32"/>
  <c r="Z22" i="32"/>
  <c r="AA22" i="32"/>
  <c r="AB22" i="32"/>
  <c r="AC22" i="32"/>
  <c r="AD22" i="32"/>
  <c r="AE22" i="32"/>
  <c r="AF22" i="32"/>
  <c r="AG22" i="32"/>
  <c r="AH22" i="32"/>
  <c r="AI22" i="32"/>
  <c r="AJ22" i="32"/>
  <c r="AK22" i="32"/>
  <c r="AL22" i="32"/>
  <c r="AM22" i="32"/>
  <c r="AN22" i="32"/>
  <c r="AO22" i="32"/>
  <c r="AP22" i="32"/>
  <c r="K23" i="32"/>
  <c r="L23" i="32"/>
  <c r="M23" i="32"/>
  <c r="N23" i="32"/>
  <c r="O23" i="32"/>
  <c r="P23" i="32"/>
  <c r="Q23" i="32"/>
  <c r="R23" i="32"/>
  <c r="S23" i="32"/>
  <c r="T23" i="32"/>
  <c r="U23" i="32"/>
  <c r="V23" i="32"/>
  <c r="W23" i="32"/>
  <c r="X23" i="32"/>
  <c r="Y23" i="32"/>
  <c r="Z23" i="32"/>
  <c r="AA23" i="32"/>
  <c r="AB23" i="32"/>
  <c r="AC23" i="32"/>
  <c r="AD23" i="32"/>
  <c r="AE23" i="32"/>
  <c r="AF23" i="32"/>
  <c r="AG23" i="32"/>
  <c r="AH23" i="32"/>
  <c r="AI23" i="32"/>
  <c r="AJ23" i="32"/>
  <c r="AK23" i="32"/>
  <c r="AL23" i="32"/>
  <c r="AM23" i="32"/>
  <c r="AN23" i="32"/>
  <c r="AO23" i="32"/>
  <c r="AP23" i="32"/>
  <c r="L18" i="32"/>
  <c r="AZ18" i="32" s="1"/>
  <c r="M18" i="32"/>
  <c r="N18" i="32"/>
  <c r="O18" i="32"/>
  <c r="P18" i="32"/>
  <c r="Q18" i="32"/>
  <c r="R18" i="32"/>
  <c r="S18" i="32"/>
  <c r="T18" i="32"/>
  <c r="U18" i="32"/>
  <c r="V18" i="32"/>
  <c r="W18" i="32"/>
  <c r="X18" i="32"/>
  <c r="Y18" i="32"/>
  <c r="Z18" i="32"/>
  <c r="AA18" i="32"/>
  <c r="AB18" i="32"/>
  <c r="AC18" i="32"/>
  <c r="AD18" i="32"/>
  <c r="AE18" i="32"/>
  <c r="AF18" i="32"/>
  <c r="AG18" i="32"/>
  <c r="AH18" i="32"/>
  <c r="AI18" i="32"/>
  <c r="AJ18" i="32"/>
  <c r="AK18" i="32"/>
  <c r="AL18" i="32"/>
  <c r="AM18" i="32"/>
  <c r="AN18" i="32"/>
  <c r="AO18" i="32"/>
  <c r="AP18" i="32"/>
  <c r="K18" i="32"/>
  <c r="I59" i="32"/>
  <c r="H59" i="32"/>
  <c r="G59" i="32"/>
  <c r="F59" i="32"/>
  <c r="I58" i="32"/>
  <c r="H58" i="32"/>
  <c r="G58" i="32"/>
  <c r="F58" i="32"/>
  <c r="I57" i="32"/>
  <c r="H57" i="32"/>
  <c r="G57" i="32"/>
  <c r="F57" i="32"/>
  <c r="I56" i="32"/>
  <c r="H56" i="32"/>
  <c r="G56" i="32"/>
  <c r="F56" i="32"/>
  <c r="I54" i="32"/>
  <c r="H54" i="32"/>
  <c r="G54" i="32"/>
  <c r="F54" i="32"/>
  <c r="I53" i="32"/>
  <c r="H53" i="32"/>
  <c r="G53" i="32"/>
  <c r="F53" i="32"/>
  <c r="F48" i="32"/>
  <c r="G48" i="32"/>
  <c r="H48" i="32"/>
  <c r="I48" i="32"/>
  <c r="F49" i="32"/>
  <c r="G49" i="32"/>
  <c r="H49" i="32"/>
  <c r="I49" i="32"/>
  <c r="F50" i="32"/>
  <c r="G50" i="32"/>
  <c r="H50" i="32"/>
  <c r="I50" i="32"/>
  <c r="F51" i="32"/>
  <c r="G51" i="32"/>
  <c r="H51" i="32"/>
  <c r="I51" i="32"/>
  <c r="G47" i="32"/>
  <c r="H47" i="32"/>
  <c r="I47" i="32"/>
  <c r="F47" i="32"/>
  <c r="F44" i="32"/>
  <c r="G44" i="32"/>
  <c r="H44" i="32"/>
  <c r="I44" i="32"/>
  <c r="F45" i="32"/>
  <c r="G45" i="32"/>
  <c r="H45" i="32"/>
  <c r="I45" i="32"/>
  <c r="G43" i="32"/>
  <c r="H43" i="32"/>
  <c r="I43" i="32"/>
  <c r="F43" i="32"/>
  <c r="F26" i="32"/>
  <c r="G26" i="32"/>
  <c r="H26" i="32"/>
  <c r="I26" i="32"/>
  <c r="F27" i="32"/>
  <c r="G27" i="32"/>
  <c r="H27" i="32"/>
  <c r="I27" i="32"/>
  <c r="F28" i="32"/>
  <c r="G28" i="32"/>
  <c r="H28" i="32"/>
  <c r="I28" i="32"/>
  <c r="F29" i="32"/>
  <c r="G29" i="32"/>
  <c r="H29" i="32"/>
  <c r="I29" i="32"/>
  <c r="F30" i="32"/>
  <c r="G30" i="32"/>
  <c r="H30" i="32"/>
  <c r="I30" i="32"/>
  <c r="F31" i="32"/>
  <c r="G31" i="32"/>
  <c r="H31" i="32"/>
  <c r="I31" i="32"/>
  <c r="F32" i="32"/>
  <c r="G32" i="32"/>
  <c r="H32" i="32"/>
  <c r="I32" i="32"/>
  <c r="F33" i="32"/>
  <c r="G33" i="32"/>
  <c r="H33" i="32"/>
  <c r="I33" i="32"/>
  <c r="F34" i="32"/>
  <c r="G34" i="32"/>
  <c r="H34" i="32"/>
  <c r="I34" i="32"/>
  <c r="F35" i="32"/>
  <c r="G35" i="32"/>
  <c r="H35" i="32"/>
  <c r="I35" i="32"/>
  <c r="F36" i="32"/>
  <c r="G36" i="32"/>
  <c r="H36" i="32"/>
  <c r="I36" i="32"/>
  <c r="F37" i="32"/>
  <c r="G37" i="32"/>
  <c r="H37" i="32"/>
  <c r="I37" i="32"/>
  <c r="F38" i="32"/>
  <c r="G38" i="32"/>
  <c r="H38" i="32"/>
  <c r="I38" i="32"/>
  <c r="F39" i="32"/>
  <c r="G39" i="32"/>
  <c r="H39" i="32"/>
  <c r="I39" i="32"/>
  <c r="F40" i="32"/>
  <c r="G40" i="32"/>
  <c r="H40" i="32"/>
  <c r="I40" i="32"/>
  <c r="F41" i="32"/>
  <c r="G41" i="32"/>
  <c r="H41" i="32"/>
  <c r="I41" i="32"/>
  <c r="G25" i="32"/>
  <c r="H25" i="32"/>
  <c r="I25" i="32"/>
  <c r="F25" i="32"/>
  <c r="F19" i="32"/>
  <c r="G19" i="32"/>
  <c r="H19" i="32"/>
  <c r="I19" i="32"/>
  <c r="F20" i="32"/>
  <c r="G20" i="32"/>
  <c r="H20" i="32"/>
  <c r="I20" i="32"/>
  <c r="F21" i="32"/>
  <c r="G21" i="32"/>
  <c r="H21" i="32"/>
  <c r="I21" i="32"/>
  <c r="F22" i="32"/>
  <c r="G22" i="32"/>
  <c r="H22" i="32"/>
  <c r="I22" i="32"/>
  <c r="F23" i="32"/>
  <c r="G23" i="32"/>
  <c r="H23" i="32"/>
  <c r="I23" i="32"/>
  <c r="G18" i="32"/>
  <c r="H18" i="32"/>
  <c r="I18" i="32"/>
  <c r="F18" i="32"/>
  <c r="J55" i="34"/>
  <c r="J52" i="34"/>
  <c r="J46" i="34"/>
  <c r="J42" i="34"/>
  <c r="AV35" i="34"/>
  <c r="AS35" i="34"/>
  <c r="AV34" i="34"/>
  <c r="AS34" i="34"/>
  <c r="AV33" i="34"/>
  <c r="AS33" i="34"/>
  <c r="AV32" i="34"/>
  <c r="AS32" i="34"/>
  <c r="AV31" i="34"/>
  <c r="AS31" i="34"/>
  <c r="AV30" i="34"/>
  <c r="AS30" i="34"/>
  <c r="AV29" i="34"/>
  <c r="AS29" i="34"/>
  <c r="AV28" i="34"/>
  <c r="AS28" i="34"/>
  <c r="AS26" i="34"/>
  <c r="AV25" i="34"/>
  <c r="AS25" i="34"/>
  <c r="L25" i="34"/>
  <c r="K25" i="34"/>
  <c r="J24" i="34"/>
  <c r="AV23" i="34"/>
  <c r="AV22" i="34"/>
  <c r="AX22" i="34" s="1"/>
  <c r="E22" i="34" s="1"/>
  <c r="L22" i="34"/>
  <c r="AZ22" i="34" s="1"/>
  <c r="K22" i="34"/>
  <c r="AY22" i="34" s="1"/>
  <c r="AV21" i="34"/>
  <c r="AX21" i="34" s="1"/>
  <c r="E21" i="34" s="1"/>
  <c r="L21" i="34"/>
  <c r="K21" i="34"/>
  <c r="AY21" i="34" s="1"/>
  <c r="AV20" i="34"/>
  <c r="AX20" i="34" s="1"/>
  <c r="E20" i="34" s="1"/>
  <c r="L20" i="34"/>
  <c r="AZ20" i="34" s="1"/>
  <c r="K20" i="34"/>
  <c r="AY20" i="34" s="1"/>
  <c r="AV19" i="34"/>
  <c r="L19" i="34"/>
  <c r="AZ19" i="34" s="1"/>
  <c r="K19" i="34"/>
  <c r="AY19" i="34" s="1"/>
  <c r="AV18" i="34"/>
  <c r="AX18" i="34" s="1"/>
  <c r="E18" i="34" s="1"/>
  <c r="L18" i="34"/>
  <c r="AZ18" i="34" s="1"/>
  <c r="K18" i="34"/>
  <c r="AY18" i="34" s="1"/>
  <c r="J55" i="33"/>
  <c r="J52" i="33"/>
  <c r="J46" i="33"/>
  <c r="J42" i="33"/>
  <c r="J24" i="33"/>
  <c r="J55" i="32"/>
  <c r="J52" i="32"/>
  <c r="AV51" i="32"/>
  <c r="AX51" i="32" s="1"/>
  <c r="E51" i="32" s="1"/>
  <c r="AS51" i="32"/>
  <c r="AV50" i="32"/>
  <c r="AX50" i="32" s="1"/>
  <c r="E50" i="32" s="1"/>
  <c r="AS50" i="32"/>
  <c r="AV49" i="32"/>
  <c r="AX49" i="32" s="1"/>
  <c r="E49" i="32" s="1"/>
  <c r="AS49" i="32"/>
  <c r="J46" i="32"/>
  <c r="AV44" i="32"/>
  <c r="AX44" i="32" s="1"/>
  <c r="E44" i="32" s="1"/>
  <c r="AS44" i="32"/>
  <c r="J42" i="32"/>
  <c r="AV41" i="32"/>
  <c r="AX41" i="32" s="1"/>
  <c r="E41" i="32" s="1"/>
  <c r="AS41" i="32"/>
  <c r="AV40" i="32"/>
  <c r="AX40" i="32" s="1"/>
  <c r="E40" i="32" s="1"/>
  <c r="AS40" i="32"/>
  <c r="AV39" i="32"/>
  <c r="AX39" i="32" s="1"/>
  <c r="E39" i="32" s="1"/>
  <c r="AS39" i="32"/>
  <c r="AV38" i="32"/>
  <c r="AX38" i="32" s="1"/>
  <c r="E38" i="32" s="1"/>
  <c r="AS38" i="32"/>
  <c r="AV37" i="32"/>
  <c r="AX37" i="32" s="1"/>
  <c r="E37" i="32" s="1"/>
  <c r="AS37" i="32"/>
  <c r="AV36" i="32"/>
  <c r="AX36" i="32" s="1"/>
  <c r="E36" i="32" s="1"/>
  <c r="AS36" i="32"/>
  <c r="AV35" i="32"/>
  <c r="AX35" i="32" s="1"/>
  <c r="E35" i="32" s="1"/>
  <c r="AS35" i="32"/>
  <c r="AV34" i="32"/>
  <c r="AX34" i="32" s="1"/>
  <c r="E34" i="32" s="1"/>
  <c r="AS34" i="32"/>
  <c r="AV33" i="32"/>
  <c r="AX33" i="32" s="1"/>
  <c r="E33" i="32" s="1"/>
  <c r="AS33" i="32"/>
  <c r="AV32" i="32"/>
  <c r="AX32" i="32" s="1"/>
  <c r="E32" i="32" s="1"/>
  <c r="AS32" i="32"/>
  <c r="AV31" i="32"/>
  <c r="AX31" i="32" s="1"/>
  <c r="E31" i="32" s="1"/>
  <c r="AS31" i="32"/>
  <c r="AV30" i="32"/>
  <c r="AX30" i="32" s="1"/>
  <c r="E30" i="32" s="1"/>
  <c r="AS30" i="32"/>
  <c r="AV29" i="32"/>
  <c r="AX29" i="32" s="1"/>
  <c r="E29" i="32" s="1"/>
  <c r="AS29" i="32"/>
  <c r="AV28" i="32"/>
  <c r="AX28" i="32" s="1"/>
  <c r="E28" i="32" s="1"/>
  <c r="AS28" i="32"/>
  <c r="AV25" i="32"/>
  <c r="AS25" i="32"/>
  <c r="J24" i="32"/>
  <c r="AV22" i="32"/>
  <c r="AX22" i="32" s="1"/>
  <c r="AV21" i="32"/>
  <c r="AV20" i="32"/>
  <c r="AV19" i="32"/>
  <c r="AV18" i="32"/>
  <c r="AS54" i="32" l="1"/>
  <c r="AS40" i="33"/>
  <c r="AS38" i="33"/>
  <c r="AJ52" i="33"/>
  <c r="X52" i="33"/>
  <c r="L52" i="33"/>
  <c r="AS32" i="33"/>
  <c r="AS50" i="33"/>
  <c r="AS51" i="34"/>
  <c r="AP52" i="33"/>
  <c r="AD52" i="33"/>
  <c r="R52" i="33"/>
  <c r="AS33" i="33"/>
  <c r="AV39" i="33"/>
  <c r="AX39" i="33" s="1"/>
  <c r="E39" i="33" s="1"/>
  <c r="AZ39" i="33" s="1"/>
  <c r="AK52" i="33"/>
  <c r="Y52" i="33"/>
  <c r="AV28" i="33"/>
  <c r="AX28" i="33" s="1"/>
  <c r="E28" i="33" s="1"/>
  <c r="AZ28" i="33" s="1"/>
  <c r="AS30" i="33"/>
  <c r="AS44" i="33"/>
  <c r="AC52" i="33"/>
  <c r="AN42" i="33"/>
  <c r="P42" i="33"/>
  <c r="T52" i="33"/>
  <c r="AS34" i="33"/>
  <c r="AS47" i="33"/>
  <c r="G52" i="33"/>
  <c r="AT42" i="33"/>
  <c r="AS42" i="33" s="1"/>
  <c r="AF42" i="32"/>
  <c r="Y52" i="34"/>
  <c r="AL52" i="32"/>
  <c r="Z52" i="32"/>
  <c r="Q52" i="32"/>
  <c r="AV37" i="34"/>
  <c r="AX37" i="34" s="1"/>
  <c r="E37" i="34" s="1"/>
  <c r="AS56" i="32"/>
  <c r="AB42" i="32"/>
  <c r="K42" i="32"/>
  <c r="AJ17" i="32"/>
  <c r="AJ42" i="32"/>
  <c r="X42" i="32"/>
  <c r="F52" i="32"/>
  <c r="AC17" i="32"/>
  <c r="AP46" i="32"/>
  <c r="AV36" i="34"/>
  <c r="AX36" i="34" s="1"/>
  <c r="E36" i="34" s="1"/>
  <c r="G24" i="33"/>
  <c r="AB46" i="33"/>
  <c r="L55" i="33"/>
  <c r="R17" i="34"/>
  <c r="AS49" i="34"/>
  <c r="Z52" i="33"/>
  <c r="T17" i="34"/>
  <c r="X46" i="33"/>
  <c r="AF55" i="33"/>
  <c r="AP52" i="34"/>
  <c r="AD52" i="34"/>
  <c r="R52" i="34"/>
  <c r="S17" i="34"/>
  <c r="AS25" i="33"/>
  <c r="AB24" i="33"/>
  <c r="AF46" i="33"/>
  <c r="T46" i="33"/>
  <c r="AB55" i="33"/>
  <c r="P55" i="33"/>
  <c r="Q17" i="34"/>
  <c r="AC17" i="34"/>
  <c r="AO17" i="34"/>
  <c r="AF17" i="34"/>
  <c r="AE17" i="34"/>
  <c r="O52" i="33"/>
  <c r="V17" i="34"/>
  <c r="AR23" i="34"/>
  <c r="AR29" i="34"/>
  <c r="F52" i="33"/>
  <c r="S52" i="33"/>
  <c r="AD17" i="34"/>
  <c r="AP17" i="34"/>
  <c r="AQ28" i="34"/>
  <c r="AU28" i="34" s="1"/>
  <c r="AW28" i="34" s="1"/>
  <c r="D28" i="34" s="1"/>
  <c r="AY28" i="34" s="1"/>
  <c r="AQ34" i="34"/>
  <c r="AU34" i="34" s="1"/>
  <c r="AW34" i="34" s="1"/>
  <c r="D34" i="34" s="1"/>
  <c r="AY34" i="34" s="1"/>
  <c r="AQ18" i="34"/>
  <c r="AU18" i="34" s="1"/>
  <c r="AW18" i="34" s="1"/>
  <c r="D18" i="34" s="1"/>
  <c r="AH17" i="34"/>
  <c r="AQ22" i="34"/>
  <c r="AU22" i="34" s="1"/>
  <c r="AW22" i="34" s="1"/>
  <c r="D22" i="34" s="1"/>
  <c r="AV41" i="34"/>
  <c r="AX41" i="34" s="1"/>
  <c r="E41" i="34" s="1"/>
  <c r="AR28" i="34"/>
  <c r="W17" i="34"/>
  <c r="AI17" i="34"/>
  <c r="AR19" i="34"/>
  <c r="AQ29" i="34"/>
  <c r="AU29" i="34" s="1"/>
  <c r="AW29" i="34" s="1"/>
  <c r="D29" i="34" s="1"/>
  <c r="AY29" i="34" s="1"/>
  <c r="AS51" i="33"/>
  <c r="N17" i="34"/>
  <c r="AN17" i="34"/>
  <c r="L17" i="34"/>
  <c r="X17" i="34"/>
  <c r="O17" i="34"/>
  <c r="AA17" i="34"/>
  <c r="AM17" i="34"/>
  <c r="AQ33" i="34"/>
  <c r="AU33" i="34" s="1"/>
  <c r="AW33" i="34" s="1"/>
  <c r="D33" i="34" s="1"/>
  <c r="AY33" i="34" s="1"/>
  <c r="AR22" i="34"/>
  <c r="BA22" i="34" s="1"/>
  <c r="AQ21" i="34"/>
  <c r="AU21" i="34" s="1"/>
  <c r="AW21" i="34" s="1"/>
  <c r="D21" i="34" s="1"/>
  <c r="AQ27" i="34"/>
  <c r="AU27" i="34" s="1"/>
  <c r="AW27" i="34" s="1"/>
  <c r="AR33" i="34"/>
  <c r="AB17" i="34"/>
  <c r="AR21" i="34"/>
  <c r="BA21" i="34" s="1"/>
  <c r="AQ23" i="34"/>
  <c r="AU23" i="34" s="1"/>
  <c r="AR27" i="34"/>
  <c r="AQ32" i="34"/>
  <c r="AU32" i="34" s="1"/>
  <c r="AW32" i="34" s="1"/>
  <c r="D32" i="34" s="1"/>
  <c r="AY32" i="34" s="1"/>
  <c r="AE52" i="33"/>
  <c r="AL17" i="34"/>
  <c r="AR32" i="34"/>
  <c r="P17" i="34"/>
  <c r="AQ20" i="34"/>
  <c r="AU20" i="34" s="1"/>
  <c r="AW20" i="34" s="1"/>
  <c r="D20" i="34" s="1"/>
  <c r="Y17" i="34"/>
  <c r="AK17" i="34"/>
  <c r="AQ26" i="34"/>
  <c r="AU26" i="34" s="1"/>
  <c r="AW26" i="34" s="1"/>
  <c r="D26" i="34" s="1"/>
  <c r="AY26" i="34" s="1"/>
  <c r="AQ31" i="34"/>
  <c r="AU31" i="34" s="1"/>
  <c r="AW31" i="34" s="1"/>
  <c r="D31" i="34" s="1"/>
  <c r="AY31" i="34" s="1"/>
  <c r="AR20" i="34"/>
  <c r="BA20" i="34" s="1"/>
  <c r="AR26" i="34"/>
  <c r="AR31" i="34"/>
  <c r="AI24" i="33"/>
  <c r="W24" i="33"/>
  <c r="AA46" i="33"/>
  <c r="AM55" i="33"/>
  <c r="AK52" i="34"/>
  <c r="AR34" i="34"/>
  <c r="U17" i="34"/>
  <c r="AG17" i="34"/>
  <c r="AJ17" i="34"/>
  <c r="AQ25" i="34"/>
  <c r="AU25" i="34" s="1"/>
  <c r="AW25" i="34" s="1"/>
  <c r="D25" i="34" s="1"/>
  <c r="AQ30" i="34"/>
  <c r="AU30" i="34" s="1"/>
  <c r="AW30" i="34" s="1"/>
  <c r="D30" i="34" s="1"/>
  <c r="AY30" i="34" s="1"/>
  <c r="S17" i="33"/>
  <c r="AP42" i="33"/>
  <c r="N42" i="33"/>
  <c r="W46" i="33"/>
  <c r="AE55" i="33"/>
  <c r="Z17" i="34"/>
  <c r="AQ19" i="34"/>
  <c r="AU19" i="34" s="1"/>
  <c r="AW19" i="34" s="1"/>
  <c r="D19" i="34" s="1"/>
  <c r="AR25" i="34"/>
  <c r="AR30" i="34"/>
  <c r="H52" i="33"/>
  <c r="R17" i="33"/>
  <c r="AG46" i="33"/>
  <c r="AV37" i="33"/>
  <c r="AX37" i="33" s="1"/>
  <c r="E37" i="33" s="1"/>
  <c r="AZ37" i="33" s="1"/>
  <c r="H17" i="33"/>
  <c r="AQ36" i="33"/>
  <c r="AU36" i="33" s="1"/>
  <c r="AW36" i="33" s="1"/>
  <c r="D36" i="33" s="1"/>
  <c r="AY36" i="33" s="1"/>
  <c r="AQ32" i="33"/>
  <c r="AU32" i="33" s="1"/>
  <c r="AW32" i="33" s="1"/>
  <c r="D32" i="33" s="1"/>
  <c r="AY32" i="33" s="1"/>
  <c r="AC24" i="33"/>
  <c r="AG24" i="33"/>
  <c r="AD42" i="33"/>
  <c r="AK42" i="33"/>
  <c r="Y42" i="33"/>
  <c r="M42" i="33"/>
  <c r="AG42" i="33"/>
  <c r="U42" i="33"/>
  <c r="AD46" i="33"/>
  <c r="U46" i="33"/>
  <c r="AK46" i="33"/>
  <c r="Y46" i="33"/>
  <c r="M46" i="33"/>
  <c r="AO52" i="33"/>
  <c r="Q52" i="33"/>
  <c r="AO55" i="33"/>
  <c r="Q55" i="33"/>
  <c r="Y55" i="33"/>
  <c r="AG55" i="33"/>
  <c r="U55" i="33"/>
  <c r="AT17" i="33"/>
  <c r="AV17" i="33" s="1"/>
  <c r="AX17" i="33" s="1"/>
  <c r="AS35" i="33"/>
  <c r="G42" i="33"/>
  <c r="AJ42" i="33"/>
  <c r="X42" i="33"/>
  <c r="L42" i="33"/>
  <c r="AN52" i="33"/>
  <c r="AB52" i="33"/>
  <c r="P52" i="33"/>
  <c r="F42" i="33"/>
  <c r="G55" i="33"/>
  <c r="F55" i="33"/>
  <c r="AJ17" i="33"/>
  <c r="AJ24" i="33"/>
  <c r="X24" i="33"/>
  <c r="L24" i="33"/>
  <c r="AB42" i="33"/>
  <c r="K42" i="33"/>
  <c r="AE42" i="33"/>
  <c r="AN46" i="33"/>
  <c r="P46" i="33"/>
  <c r="AF52" i="33"/>
  <c r="AM52" i="33"/>
  <c r="AA52" i="33"/>
  <c r="AJ55" i="33"/>
  <c r="X55" i="33"/>
  <c r="AM42" i="33"/>
  <c r="AA42" i="33"/>
  <c r="O42" i="33"/>
  <c r="AM46" i="33"/>
  <c r="O46" i="33"/>
  <c r="K52" i="33"/>
  <c r="I52" i="33"/>
  <c r="H24" i="33"/>
  <c r="G46" i="33"/>
  <c r="X17" i="33"/>
  <c r="AF17" i="33"/>
  <c r="T17" i="33"/>
  <c r="AN17" i="33"/>
  <c r="AB17" i="33"/>
  <c r="P17" i="33"/>
  <c r="AK24" i="33"/>
  <c r="Y24" i="33"/>
  <c r="AQ25" i="33"/>
  <c r="AU25" i="33" s="1"/>
  <c r="AW25" i="33" s="1"/>
  <c r="D25" i="33" s="1"/>
  <c r="AN24" i="33"/>
  <c r="P24" i="33"/>
  <c r="AF24" i="33"/>
  <c r="T24" i="33"/>
  <c r="AO42" i="33"/>
  <c r="AC42" i="33"/>
  <c r="Q42" i="33"/>
  <c r="AF42" i="33"/>
  <c r="T42" i="33"/>
  <c r="AO46" i="33"/>
  <c r="AC46" i="33"/>
  <c r="Q46" i="33"/>
  <c r="AJ46" i="33"/>
  <c r="L46" i="33"/>
  <c r="AK55" i="33"/>
  <c r="M55" i="33"/>
  <c r="T55" i="33"/>
  <c r="AN55" i="33"/>
  <c r="F24" i="33"/>
  <c r="F46" i="33"/>
  <c r="AE17" i="33"/>
  <c r="AM17" i="33"/>
  <c r="AA17" i="33"/>
  <c r="O17" i="33"/>
  <c r="AQ41" i="33"/>
  <c r="AU41" i="33" s="1"/>
  <c r="AW41" i="33" s="1"/>
  <c r="D41" i="33" s="1"/>
  <c r="AY41" i="33" s="1"/>
  <c r="AQ38" i="33"/>
  <c r="AU38" i="33" s="1"/>
  <c r="AW38" i="33" s="1"/>
  <c r="D38" i="33" s="1"/>
  <c r="AY38" i="33" s="1"/>
  <c r="AQ37" i="33"/>
  <c r="AU37" i="33" s="1"/>
  <c r="AW37" i="33" s="1"/>
  <c r="D37" i="33" s="1"/>
  <c r="AY37" i="33" s="1"/>
  <c r="AQ35" i="33"/>
  <c r="AU35" i="33" s="1"/>
  <c r="AW35" i="33" s="1"/>
  <c r="D35" i="33" s="1"/>
  <c r="AY35" i="33" s="1"/>
  <c r="AQ33" i="33"/>
  <c r="AU33" i="33" s="1"/>
  <c r="AW33" i="33" s="1"/>
  <c r="D33" i="33" s="1"/>
  <c r="AY33" i="33" s="1"/>
  <c r="AQ31" i="33"/>
  <c r="AU31" i="33" s="1"/>
  <c r="AW31" i="33" s="1"/>
  <c r="D31" i="33" s="1"/>
  <c r="AY31" i="33" s="1"/>
  <c r="AQ30" i="33"/>
  <c r="AU30" i="33" s="1"/>
  <c r="AW30" i="33" s="1"/>
  <c r="D30" i="33" s="1"/>
  <c r="AY30" i="33" s="1"/>
  <c r="AQ29" i="33"/>
  <c r="AU29" i="33" s="1"/>
  <c r="AW29" i="33" s="1"/>
  <c r="D29" i="33" s="1"/>
  <c r="AY29" i="33" s="1"/>
  <c r="AM24" i="33"/>
  <c r="AA24" i="33"/>
  <c r="AQ28" i="33"/>
  <c r="AU28" i="33" s="1"/>
  <c r="AW28" i="33" s="1"/>
  <c r="D28" i="33" s="1"/>
  <c r="AY28" i="33" s="1"/>
  <c r="AQ27" i="33"/>
  <c r="AU27" i="33" s="1"/>
  <c r="AW27" i="33" s="1"/>
  <c r="K24" i="33"/>
  <c r="AE24" i="33"/>
  <c r="S24" i="33"/>
  <c r="AQ45" i="33"/>
  <c r="AU45" i="33" s="1"/>
  <c r="AW45" i="33" s="1"/>
  <c r="AQ44" i="33"/>
  <c r="AU44" i="33" s="1"/>
  <c r="AW44" i="33" s="1"/>
  <c r="D44" i="33" s="1"/>
  <c r="AY44" i="33" s="1"/>
  <c r="AQ51" i="33"/>
  <c r="AU51" i="33" s="1"/>
  <c r="AW51" i="33" s="1"/>
  <c r="D51" i="33" s="1"/>
  <c r="AY51" i="33" s="1"/>
  <c r="AE46" i="33"/>
  <c r="S46" i="33"/>
  <c r="AI46" i="33"/>
  <c r="AQ48" i="33"/>
  <c r="AU48" i="33" s="1"/>
  <c r="K46" i="33"/>
  <c r="AA55" i="33"/>
  <c r="O55" i="33"/>
  <c r="AQ58" i="33"/>
  <c r="AU58" i="33" s="1"/>
  <c r="AW58" i="33" s="1"/>
  <c r="D58" i="33" s="1"/>
  <c r="AY58" i="33" s="1"/>
  <c r="K55" i="33"/>
  <c r="S55" i="33"/>
  <c r="AG42" i="34"/>
  <c r="I24" i="33"/>
  <c r="I42" i="33"/>
  <c r="I46" i="33"/>
  <c r="AR22" i="33"/>
  <c r="BA22" i="33" s="1"/>
  <c r="AP17" i="33"/>
  <c r="AD17" i="33"/>
  <c r="AR20" i="33"/>
  <c r="BA20" i="33" s="1"/>
  <c r="AL17" i="33"/>
  <c r="Z17" i="33"/>
  <c r="AR27" i="33"/>
  <c r="AP24" i="33"/>
  <c r="AR45" i="33"/>
  <c r="R42" i="33"/>
  <c r="AP46" i="33"/>
  <c r="R46" i="33"/>
  <c r="AL46" i="33"/>
  <c r="Z46" i="33"/>
  <c r="AL52" i="33"/>
  <c r="N52" i="33"/>
  <c r="AP55" i="33"/>
  <c r="AJ46" i="34"/>
  <c r="AV19" i="33"/>
  <c r="AX19" i="33" s="1"/>
  <c r="E19" i="33" s="1"/>
  <c r="AS31" i="33"/>
  <c r="H42" i="33"/>
  <c r="H46" i="33"/>
  <c r="AQ40" i="33"/>
  <c r="AU40" i="33" s="1"/>
  <c r="AW40" i="33" s="1"/>
  <c r="D40" i="33" s="1"/>
  <c r="AY40" i="33" s="1"/>
  <c r="AQ39" i="33"/>
  <c r="AU39" i="33" s="1"/>
  <c r="AW39" i="33" s="1"/>
  <c r="D39" i="33" s="1"/>
  <c r="AY39" i="33" s="1"/>
  <c r="U24" i="33"/>
  <c r="AO24" i="33"/>
  <c r="Q24" i="33"/>
  <c r="AQ34" i="33"/>
  <c r="AU34" i="33" s="1"/>
  <c r="AW34" i="33" s="1"/>
  <c r="D34" i="33" s="1"/>
  <c r="AY34" i="33" s="1"/>
  <c r="G17" i="33"/>
  <c r="I17" i="33"/>
  <c r="AS49" i="33"/>
  <c r="AT46" i="33"/>
  <c r="AV46" i="33" s="1"/>
  <c r="AS50" i="34"/>
  <c r="AR18" i="33"/>
  <c r="BA18" i="33" s="1"/>
  <c r="M24" i="33"/>
  <c r="AQ59" i="33"/>
  <c r="AU59" i="33" s="1"/>
  <c r="AW59" i="33" s="1"/>
  <c r="AH17" i="33"/>
  <c r="AR25" i="33"/>
  <c r="O24" i="33"/>
  <c r="AQ26" i="33"/>
  <c r="AU26" i="33" s="1"/>
  <c r="AW26" i="33" s="1"/>
  <c r="D26" i="33" s="1"/>
  <c r="AY26" i="33" s="1"/>
  <c r="AS29" i="33"/>
  <c r="AV41" i="33"/>
  <c r="AX41" i="33" s="1"/>
  <c r="E41" i="33" s="1"/>
  <c r="AQ18" i="33"/>
  <c r="AU18" i="33" s="1"/>
  <c r="AW18" i="33" s="1"/>
  <c r="D18" i="33" s="1"/>
  <c r="K52" i="34"/>
  <c r="S42" i="33"/>
  <c r="AQ57" i="33"/>
  <c r="AU57" i="33" s="1"/>
  <c r="AW57" i="33" s="1"/>
  <c r="D57" i="33" s="1"/>
  <c r="AY57" i="33" s="1"/>
  <c r="I55" i="33"/>
  <c r="AI42" i="33"/>
  <c r="W42" i="33"/>
  <c r="AH52" i="33"/>
  <c r="V52" i="33"/>
  <c r="AT24" i="33"/>
  <c r="AV24" i="33" s="1"/>
  <c r="AX24" i="33" s="1"/>
  <c r="AO52" i="34"/>
  <c r="AC52" i="34"/>
  <c r="Q52" i="34"/>
  <c r="W55" i="33"/>
  <c r="V17" i="33"/>
  <c r="H55" i="33"/>
  <c r="AR23" i="33"/>
  <c r="AQ23" i="33"/>
  <c r="AU23" i="33" s="1"/>
  <c r="AQ22" i="33"/>
  <c r="AU22" i="33" s="1"/>
  <c r="AW22" i="33" s="1"/>
  <c r="D22" i="33" s="1"/>
  <c r="AO17" i="33"/>
  <c r="AR21" i="33"/>
  <c r="BA21" i="33" s="1"/>
  <c r="Q17" i="33"/>
  <c r="AK17" i="33"/>
  <c r="Y17" i="33"/>
  <c r="AQ20" i="33"/>
  <c r="AU20" i="33" s="1"/>
  <c r="AW20" i="33" s="1"/>
  <c r="D20" i="33" s="1"/>
  <c r="AR19" i="33"/>
  <c r="AQ19" i="33"/>
  <c r="AU19" i="33" s="1"/>
  <c r="AW19" i="33" s="1"/>
  <c r="D19" i="33" s="1"/>
  <c r="AR47" i="33"/>
  <c r="AR54" i="33"/>
  <c r="AQ54" i="33"/>
  <c r="AU54" i="33" s="1"/>
  <c r="AR51" i="33"/>
  <c r="BA51" i="33" s="1"/>
  <c r="AI55" i="33"/>
  <c r="AQ47" i="33"/>
  <c r="AU47" i="33" s="1"/>
  <c r="AW47" i="33" s="1"/>
  <c r="D47" i="33" s="1"/>
  <c r="AQ50" i="33"/>
  <c r="AU50" i="33" s="1"/>
  <c r="AW50" i="33" s="1"/>
  <c r="D50" i="33" s="1"/>
  <c r="AY50" i="33" s="1"/>
  <c r="F17" i="33"/>
  <c r="H42" i="34"/>
  <c r="AO42" i="34"/>
  <c r="AG46" i="34"/>
  <c r="U46" i="34"/>
  <c r="AO55" i="34"/>
  <c r="Q55" i="34"/>
  <c r="AR49" i="33"/>
  <c r="BA49" i="33" s="1"/>
  <c r="AV54" i="33"/>
  <c r="AX54" i="33" s="1"/>
  <c r="E54" i="33" s="1"/>
  <c r="AR41" i="33"/>
  <c r="AR40" i="33"/>
  <c r="BA40" i="33" s="1"/>
  <c r="AR39" i="33"/>
  <c r="AR38" i="33"/>
  <c r="BA38" i="33" s="1"/>
  <c r="AR37" i="33"/>
  <c r="AR36" i="33"/>
  <c r="AR35" i="33"/>
  <c r="BA35" i="33" s="1"/>
  <c r="AR34" i="33"/>
  <c r="BA34" i="33" s="1"/>
  <c r="AR33" i="33"/>
  <c r="BA33" i="33" s="1"/>
  <c r="AR32" i="33"/>
  <c r="BA32" i="33" s="1"/>
  <c r="AR31" i="33"/>
  <c r="BA31" i="33" s="1"/>
  <c r="AR30" i="33"/>
  <c r="BA30" i="33" s="1"/>
  <c r="AR29" i="33"/>
  <c r="BA29" i="33" s="1"/>
  <c r="AD24" i="33"/>
  <c r="R24" i="33"/>
  <c r="AL24" i="33"/>
  <c r="Z24" i="33"/>
  <c r="N24" i="33"/>
  <c r="AR26" i="33"/>
  <c r="AL42" i="33"/>
  <c r="Z42" i="33"/>
  <c r="AR44" i="33"/>
  <c r="BA44" i="33" s="1"/>
  <c r="V42" i="33"/>
  <c r="AR53" i="33"/>
  <c r="AQ53" i="33"/>
  <c r="AU53" i="33" s="1"/>
  <c r="AW53" i="33" s="1"/>
  <c r="AD55" i="33"/>
  <c r="AR59" i="33"/>
  <c r="AL55" i="33"/>
  <c r="Z55" i="33"/>
  <c r="AR58" i="33"/>
  <c r="AR57" i="33"/>
  <c r="N46" i="33"/>
  <c r="AE52" i="32"/>
  <c r="S52" i="32"/>
  <c r="AL42" i="34"/>
  <c r="Z42" i="34"/>
  <c r="N42" i="34"/>
  <c r="N46" i="32"/>
  <c r="U17" i="32"/>
  <c r="AO52" i="32"/>
  <c r="AC52" i="32"/>
  <c r="AG55" i="32"/>
  <c r="AF52" i="34"/>
  <c r="T52" i="34"/>
  <c r="L42" i="32"/>
  <c r="AN52" i="32"/>
  <c r="AB52" i="32"/>
  <c r="P52" i="32"/>
  <c r="AM42" i="34"/>
  <c r="AA42" i="34"/>
  <c r="O42" i="34"/>
  <c r="AT46" i="32"/>
  <c r="AV46" i="32" s="1"/>
  <c r="AX46" i="32" s="1"/>
  <c r="AS47" i="32"/>
  <c r="AT46" i="34"/>
  <c r="AS46" i="34" s="1"/>
  <c r="AS47" i="34"/>
  <c r="Y24" i="34"/>
  <c r="AK24" i="34"/>
  <c r="H17" i="32"/>
  <c r="H42" i="32"/>
  <c r="G55" i="32"/>
  <c r="AQ41" i="32"/>
  <c r="AU41" i="32" s="1"/>
  <c r="AW41" i="32" s="1"/>
  <c r="D41" i="32" s="1"/>
  <c r="AY41" i="32" s="1"/>
  <c r="M24" i="32"/>
  <c r="Z42" i="32"/>
  <c r="AP52" i="32"/>
  <c r="AD52" i="32"/>
  <c r="R52" i="32"/>
  <c r="Y52" i="32"/>
  <c r="AC42" i="34"/>
  <c r="Q42" i="34"/>
  <c r="X42" i="34"/>
  <c r="AO46" i="34"/>
  <c r="Q46" i="34"/>
  <c r="AG52" i="34"/>
  <c r="AN52" i="34"/>
  <c r="AK55" i="34"/>
  <c r="Y55" i="34"/>
  <c r="AN55" i="34"/>
  <c r="AB55" i="34"/>
  <c r="G42" i="32"/>
  <c r="X17" i="32"/>
  <c r="AB24" i="32"/>
  <c r="T42" i="32"/>
  <c r="AN46" i="32"/>
  <c r="AB46" i="32"/>
  <c r="AF46" i="32"/>
  <c r="AJ52" i="32"/>
  <c r="X52" i="32"/>
  <c r="L52" i="32"/>
  <c r="L55" i="32"/>
  <c r="AN55" i="32"/>
  <c r="P55" i="32"/>
  <c r="F24" i="34"/>
  <c r="W46" i="34"/>
  <c r="AA52" i="34"/>
  <c r="AQ59" i="34"/>
  <c r="AU59" i="34" s="1"/>
  <c r="AW59" i="34" s="1"/>
  <c r="D59" i="34" s="1"/>
  <c r="AY59" i="34" s="1"/>
  <c r="AT42" i="34"/>
  <c r="AS42" i="34" s="1"/>
  <c r="F42" i="32"/>
  <c r="F46" i="32"/>
  <c r="I52" i="32"/>
  <c r="I55" i="34"/>
  <c r="W42" i="32"/>
  <c r="AS44" i="34"/>
  <c r="I42" i="32"/>
  <c r="AH42" i="32"/>
  <c r="V42" i="32"/>
  <c r="H46" i="34"/>
  <c r="AK42" i="34"/>
  <c r="AK46" i="34"/>
  <c r="Y46" i="34"/>
  <c r="M46" i="34"/>
  <c r="AG55" i="34"/>
  <c r="U55" i="34"/>
  <c r="AV40" i="34"/>
  <c r="AX40" i="34" s="1"/>
  <c r="E40" i="34" s="1"/>
  <c r="AF17" i="32"/>
  <c r="T17" i="32"/>
  <c r="AQ22" i="32"/>
  <c r="AU22" i="32" s="1"/>
  <c r="AW22" i="32" s="1"/>
  <c r="D22" i="32" s="1"/>
  <c r="AQ21" i="32"/>
  <c r="AU21" i="32" s="1"/>
  <c r="AW21" i="32" s="1"/>
  <c r="D21" i="32" s="1"/>
  <c r="AQ20" i="32"/>
  <c r="AU20" i="32" s="1"/>
  <c r="AW20" i="32" s="1"/>
  <c r="D20" i="32" s="1"/>
  <c r="AF24" i="32"/>
  <c r="T24" i="32"/>
  <c r="AQ40" i="32"/>
  <c r="AU40" i="32" s="1"/>
  <c r="AW40" i="32" s="1"/>
  <c r="D40" i="32" s="1"/>
  <c r="AY40" i="32" s="1"/>
  <c r="AQ39" i="32"/>
  <c r="AU39" i="32" s="1"/>
  <c r="AW39" i="32" s="1"/>
  <c r="D39" i="32" s="1"/>
  <c r="AY39" i="32" s="1"/>
  <c r="AQ36" i="32"/>
  <c r="AU36" i="32" s="1"/>
  <c r="AW36" i="32" s="1"/>
  <c r="D36" i="32" s="1"/>
  <c r="AY36" i="32" s="1"/>
  <c r="AQ35" i="32"/>
  <c r="AU35" i="32" s="1"/>
  <c r="AW35" i="32" s="1"/>
  <c r="D35" i="32" s="1"/>
  <c r="AY35" i="32" s="1"/>
  <c r="AQ34" i="32"/>
  <c r="AU34" i="32" s="1"/>
  <c r="AW34" i="32" s="1"/>
  <c r="D34" i="32" s="1"/>
  <c r="AY34" i="32" s="1"/>
  <c r="AQ33" i="32"/>
  <c r="AU33" i="32" s="1"/>
  <c r="AW33" i="32" s="1"/>
  <c r="D33" i="32" s="1"/>
  <c r="AY33" i="32" s="1"/>
  <c r="AQ32" i="32"/>
  <c r="AU32" i="32" s="1"/>
  <c r="AW32" i="32" s="1"/>
  <c r="D32" i="32" s="1"/>
  <c r="AY32" i="32" s="1"/>
  <c r="AQ31" i="32"/>
  <c r="AU31" i="32" s="1"/>
  <c r="AW31" i="32" s="1"/>
  <c r="D31" i="32" s="1"/>
  <c r="AY31" i="32" s="1"/>
  <c r="AQ30" i="32"/>
  <c r="AU30" i="32" s="1"/>
  <c r="AW30" i="32" s="1"/>
  <c r="D30" i="32" s="1"/>
  <c r="AY30" i="32" s="1"/>
  <c r="AQ29" i="32"/>
  <c r="AU29" i="32" s="1"/>
  <c r="AW29" i="32" s="1"/>
  <c r="D29" i="32" s="1"/>
  <c r="AY29" i="32" s="1"/>
  <c r="AQ28" i="32"/>
  <c r="AU28" i="32" s="1"/>
  <c r="AW28" i="32" s="1"/>
  <c r="D28" i="32" s="1"/>
  <c r="AY28" i="32" s="1"/>
  <c r="AQ27" i="32"/>
  <c r="AU27" i="32" s="1"/>
  <c r="AW27" i="32" s="1"/>
  <c r="AQ26" i="32"/>
  <c r="AU26" i="32" s="1"/>
  <c r="AW26" i="32" s="1"/>
  <c r="D26" i="32" s="1"/>
  <c r="AY26" i="32" s="1"/>
  <c r="AM42" i="32"/>
  <c r="AA42" i="32"/>
  <c r="O42" i="32"/>
  <c r="AJ46" i="32"/>
  <c r="X46" i="32"/>
  <c r="AM46" i="32"/>
  <c r="AA46" i="32"/>
  <c r="O46" i="32"/>
  <c r="K46" i="32"/>
  <c r="AQ54" i="32"/>
  <c r="AU54" i="32" s="1"/>
  <c r="K52" i="32"/>
  <c r="AF55" i="32"/>
  <c r="T55" i="32"/>
  <c r="S55" i="32"/>
  <c r="F42" i="34"/>
  <c r="F46" i="34"/>
  <c r="AF24" i="34"/>
  <c r="T24" i="34"/>
  <c r="AM24" i="34"/>
  <c r="AA24" i="34"/>
  <c r="AQ35" i="34"/>
  <c r="AU35" i="34" s="1"/>
  <c r="AW35" i="34" s="1"/>
  <c r="D35" i="34" s="1"/>
  <c r="AY35" i="34" s="1"/>
  <c r="AR45" i="34"/>
  <c r="AP42" i="34"/>
  <c r="AD42" i="34"/>
  <c r="R42" i="34"/>
  <c r="AM46" i="34"/>
  <c r="AA46" i="34"/>
  <c r="O46" i="34"/>
  <c r="AP46" i="34"/>
  <c r="AD46" i="34"/>
  <c r="R46" i="34"/>
  <c r="AL46" i="34"/>
  <c r="Z46" i="34"/>
  <c r="AE52" i="34"/>
  <c r="S52" i="34"/>
  <c r="AL52" i="34"/>
  <c r="Z52" i="34"/>
  <c r="N52" i="34"/>
  <c r="AI55" i="34"/>
  <c r="W55" i="34"/>
  <c r="AR59" i="34"/>
  <c r="F55" i="32"/>
  <c r="AP42" i="32"/>
  <c r="AD42" i="32"/>
  <c r="R42" i="32"/>
  <c r="AL42" i="32"/>
  <c r="N42" i="32"/>
  <c r="AL46" i="32"/>
  <c r="Z46" i="32"/>
  <c r="V46" i="32"/>
  <c r="V52" i="32"/>
  <c r="H52" i="34"/>
  <c r="H24" i="32"/>
  <c r="G52" i="32"/>
  <c r="AK17" i="32"/>
  <c r="Y17" i="32"/>
  <c r="M17" i="32"/>
  <c r="AG17" i="32"/>
  <c r="AQ37" i="32"/>
  <c r="AU37" i="32" s="1"/>
  <c r="AW37" i="32" s="1"/>
  <c r="D37" i="32" s="1"/>
  <c r="AY37" i="32" s="1"/>
  <c r="AG24" i="32"/>
  <c r="U24" i="32"/>
  <c r="Q24" i="32"/>
  <c r="AK24" i="32"/>
  <c r="Y24" i="32"/>
  <c r="AO42" i="32"/>
  <c r="AC42" i="32"/>
  <c r="Q42" i="32"/>
  <c r="AK42" i="32"/>
  <c r="AG52" i="32"/>
  <c r="U52" i="32"/>
  <c r="U55" i="32"/>
  <c r="AK55" i="32"/>
  <c r="Y55" i="32"/>
  <c r="M55" i="32"/>
  <c r="G17" i="34"/>
  <c r="G24" i="34"/>
  <c r="G55" i="34"/>
  <c r="AF42" i="34"/>
  <c r="T42" i="34"/>
  <c r="AN42" i="34"/>
  <c r="AF46" i="34"/>
  <c r="T46" i="34"/>
  <c r="AJ52" i="34"/>
  <c r="X52" i="34"/>
  <c r="L52" i="34"/>
  <c r="AJ55" i="34"/>
  <c r="P55" i="34"/>
  <c r="G17" i="32"/>
  <c r="G24" i="32"/>
  <c r="H46" i="32"/>
  <c r="G46" i="32"/>
  <c r="H52" i="32"/>
  <c r="AO17" i="32"/>
  <c r="Q17" i="32"/>
  <c r="AN17" i="32"/>
  <c r="AB17" i="32"/>
  <c r="AO24" i="32"/>
  <c r="AC24" i="32"/>
  <c r="AN24" i="32"/>
  <c r="AJ24" i="32"/>
  <c r="X24" i="32"/>
  <c r="L24" i="32"/>
  <c r="AN42" i="32"/>
  <c r="P42" i="32"/>
  <c r="L46" i="32"/>
  <c r="T46" i="32"/>
  <c r="AK52" i="32"/>
  <c r="AF52" i="32"/>
  <c r="T52" i="32"/>
  <c r="AO55" i="32"/>
  <c r="Q55" i="32"/>
  <c r="AB55" i="32"/>
  <c r="AJ55" i="32"/>
  <c r="X55" i="32"/>
  <c r="F17" i="34"/>
  <c r="G46" i="34"/>
  <c r="AO24" i="34"/>
  <c r="AC24" i="34"/>
  <c r="Q24" i="34"/>
  <c r="AJ24" i="34"/>
  <c r="X24" i="34"/>
  <c r="L24" i="34"/>
  <c r="AJ42" i="34"/>
  <c r="L42" i="34"/>
  <c r="X46" i="34"/>
  <c r="L46" i="34"/>
  <c r="AB52" i="34"/>
  <c r="P52" i="34"/>
  <c r="AI52" i="34"/>
  <c r="W52" i="34"/>
  <c r="AF55" i="34"/>
  <c r="T55" i="34"/>
  <c r="AQ23" i="32"/>
  <c r="AU23" i="32" s="1"/>
  <c r="AW23" i="32" s="1"/>
  <c r="D23" i="32" s="1"/>
  <c r="AY23" i="32" s="1"/>
  <c r="AM17" i="32"/>
  <c r="S46" i="32"/>
  <c r="AS43" i="34"/>
  <c r="W17" i="32"/>
  <c r="AM24" i="32"/>
  <c r="AT17" i="34"/>
  <c r="AV17" i="34" s="1"/>
  <c r="AP24" i="34"/>
  <c r="AT42" i="32"/>
  <c r="AV42" i="32" s="1"/>
  <c r="AX42" i="32" s="1"/>
  <c r="F24" i="32"/>
  <c r="AA17" i="32"/>
  <c r="F52" i="34"/>
  <c r="F17" i="32"/>
  <c r="AQ38" i="32"/>
  <c r="AU38" i="32" s="1"/>
  <c r="AW38" i="32" s="1"/>
  <c r="D38" i="32" s="1"/>
  <c r="AY38" i="32" s="1"/>
  <c r="AA24" i="32"/>
  <c r="Y42" i="34"/>
  <c r="M42" i="34"/>
  <c r="V52" i="34"/>
  <c r="G42" i="34"/>
  <c r="AI17" i="32"/>
  <c r="S24" i="32"/>
  <c r="AE46" i="32"/>
  <c r="O24" i="32"/>
  <c r="G52" i="34"/>
  <c r="AQ36" i="34"/>
  <c r="AU36" i="34" s="1"/>
  <c r="AW36" i="34" s="1"/>
  <c r="D36" i="34" s="1"/>
  <c r="AY36" i="34" s="1"/>
  <c r="AQ41" i="34"/>
  <c r="AU41" i="34" s="1"/>
  <c r="AW41" i="34" s="1"/>
  <c r="D41" i="34" s="1"/>
  <c r="AY41" i="34" s="1"/>
  <c r="AQ40" i="34"/>
  <c r="AU40" i="34" s="1"/>
  <c r="AW40" i="34" s="1"/>
  <c r="D40" i="34" s="1"/>
  <c r="AY40" i="34" s="1"/>
  <c r="AQ39" i="34"/>
  <c r="AU39" i="34" s="1"/>
  <c r="AW39" i="34" s="1"/>
  <c r="D39" i="34" s="1"/>
  <c r="AY39" i="34" s="1"/>
  <c r="AQ38" i="34"/>
  <c r="AU38" i="34" s="1"/>
  <c r="AW38" i="34" s="1"/>
  <c r="D38" i="34" s="1"/>
  <c r="AY38" i="34" s="1"/>
  <c r="AE24" i="34"/>
  <c r="S24" i="34"/>
  <c r="AB42" i="34"/>
  <c r="P42" i="34"/>
  <c r="AI42" i="34"/>
  <c r="W42" i="34"/>
  <c r="K42" i="34"/>
  <c r="AE42" i="34"/>
  <c r="AN46" i="34"/>
  <c r="AB46" i="34"/>
  <c r="P46" i="34"/>
  <c r="AQ51" i="34"/>
  <c r="AU51" i="34" s="1"/>
  <c r="AW51" i="34" s="1"/>
  <c r="D51" i="34" s="1"/>
  <c r="AY51" i="34" s="1"/>
  <c r="AE46" i="34"/>
  <c r="S46" i="34"/>
  <c r="AI46" i="34"/>
  <c r="AQ48" i="34"/>
  <c r="AU48" i="34" s="1"/>
  <c r="AW48" i="34" s="1"/>
  <c r="D48" i="34" s="1"/>
  <c r="AY48" i="34" s="1"/>
  <c r="K46" i="34"/>
  <c r="AM52" i="34"/>
  <c r="O52" i="34"/>
  <c r="X55" i="34"/>
  <c r="L55" i="34"/>
  <c r="AM55" i="34"/>
  <c r="AA55" i="34"/>
  <c r="AQ58" i="34"/>
  <c r="AU58" i="34" s="1"/>
  <c r="AW58" i="34" s="1"/>
  <c r="D58" i="34" s="1"/>
  <c r="AY58" i="34" s="1"/>
  <c r="K55" i="34"/>
  <c r="AE55" i="34"/>
  <c r="AQ57" i="34"/>
  <c r="AU57" i="34" s="1"/>
  <c r="AW57" i="34" s="1"/>
  <c r="I24" i="32"/>
  <c r="K17" i="32"/>
  <c r="AE17" i="32"/>
  <c r="AQ18" i="32"/>
  <c r="AU18" i="32" s="1"/>
  <c r="AW18" i="32" s="1"/>
  <c r="D18" i="32" s="1"/>
  <c r="AP17" i="32"/>
  <c r="AD17" i="32"/>
  <c r="R17" i="32"/>
  <c r="K24" i="32"/>
  <c r="AE24" i="32"/>
  <c r="AR33" i="32"/>
  <c r="BA33" i="32" s="1"/>
  <c r="P46" i="32"/>
  <c r="AH46" i="32"/>
  <c r="AD46" i="32"/>
  <c r="R46" i="32"/>
  <c r="AM52" i="32"/>
  <c r="AA52" i="32"/>
  <c r="O52" i="32"/>
  <c r="AP55" i="32"/>
  <c r="H17" i="34"/>
  <c r="H24" i="34"/>
  <c r="I42" i="34"/>
  <c r="I24" i="34"/>
  <c r="N17" i="32"/>
  <c r="AQ37" i="34"/>
  <c r="AU37" i="34" s="1"/>
  <c r="AW37" i="34" s="1"/>
  <c r="D37" i="34" s="1"/>
  <c r="AY37" i="34" s="1"/>
  <c r="S55" i="34"/>
  <c r="AR19" i="32"/>
  <c r="AY18" i="32"/>
  <c r="AT24" i="32"/>
  <c r="AS24" i="32" s="1"/>
  <c r="AT55" i="34"/>
  <c r="AV55" i="34" s="1"/>
  <c r="AR43" i="32"/>
  <c r="AT17" i="32"/>
  <c r="AS17" i="32" s="1"/>
  <c r="O24" i="34"/>
  <c r="I55" i="32"/>
  <c r="I17" i="34"/>
  <c r="AR53" i="32"/>
  <c r="AR54" i="32"/>
  <c r="AT55" i="32"/>
  <c r="AS55" i="32" s="1"/>
  <c r="K24" i="34"/>
  <c r="AQ43" i="34"/>
  <c r="AU43" i="34" s="1"/>
  <c r="AW43" i="34" s="1"/>
  <c r="AQ56" i="34"/>
  <c r="AU56" i="34" s="1"/>
  <c r="AW56" i="34" s="1"/>
  <c r="D56" i="34" s="1"/>
  <c r="I17" i="32"/>
  <c r="AR41" i="32"/>
  <c r="BA41" i="32" s="1"/>
  <c r="AR40" i="32"/>
  <c r="BA40" i="32" s="1"/>
  <c r="AR39" i="32"/>
  <c r="BA39" i="32" s="1"/>
  <c r="AR38" i="32"/>
  <c r="BA38" i="32" s="1"/>
  <c r="AR37" i="32"/>
  <c r="BA37" i="32" s="1"/>
  <c r="AR36" i="32"/>
  <c r="BA36" i="32" s="1"/>
  <c r="AR35" i="32"/>
  <c r="BA35" i="32" s="1"/>
  <c r="AR34" i="32"/>
  <c r="BA34" i="32" s="1"/>
  <c r="AR32" i="32"/>
  <c r="BA32" i="32" s="1"/>
  <c r="AR31" i="32"/>
  <c r="BA31" i="32" s="1"/>
  <c r="AR30" i="32"/>
  <c r="BA30" i="32" s="1"/>
  <c r="AR29" i="32"/>
  <c r="BA29" i="32" s="1"/>
  <c r="AP24" i="32"/>
  <c r="AD24" i="32"/>
  <c r="AR28" i="32"/>
  <c r="BA28" i="32" s="1"/>
  <c r="AL24" i="32"/>
  <c r="Z24" i="32"/>
  <c r="N24" i="32"/>
  <c r="AR26" i="32"/>
  <c r="V24" i="32"/>
  <c r="AI52" i="32"/>
  <c r="AQ53" i="32"/>
  <c r="AU53" i="32" s="1"/>
  <c r="AW53" i="32" s="1"/>
  <c r="I46" i="34"/>
  <c r="AR36" i="34"/>
  <c r="AR35" i="34"/>
  <c r="AR23" i="32"/>
  <c r="AR51" i="34"/>
  <c r="BA51" i="34" s="1"/>
  <c r="AS38" i="34"/>
  <c r="AQ50" i="34"/>
  <c r="AU50" i="34" s="1"/>
  <c r="AW50" i="34" s="1"/>
  <c r="D50" i="34" s="1"/>
  <c r="AY50" i="34" s="1"/>
  <c r="AS54" i="34"/>
  <c r="AR45" i="32"/>
  <c r="Y42" i="32"/>
  <c r="AQ45" i="32"/>
  <c r="AU45" i="32" s="1"/>
  <c r="AW45" i="32" s="1"/>
  <c r="AG42" i="32"/>
  <c r="AQ44" i="32"/>
  <c r="AU44" i="32" s="1"/>
  <c r="AW44" i="32" s="1"/>
  <c r="D44" i="32" s="1"/>
  <c r="AY44" i="32" s="1"/>
  <c r="AH42" i="34"/>
  <c r="V42" i="34"/>
  <c r="AR47" i="34"/>
  <c r="AR54" i="34"/>
  <c r="AQ54" i="34"/>
  <c r="AU54" i="34" s="1"/>
  <c r="AW54" i="34" s="1"/>
  <c r="AR49" i="34"/>
  <c r="BA49" i="34" s="1"/>
  <c r="Z17" i="32"/>
  <c r="AQ19" i="32"/>
  <c r="AU19" i="32" s="1"/>
  <c r="AW19" i="32" s="1"/>
  <c r="D19" i="32" s="1"/>
  <c r="AT24" i="34"/>
  <c r="AS24" i="34" s="1"/>
  <c r="U24" i="34"/>
  <c r="AG24" i="34"/>
  <c r="AQ53" i="34"/>
  <c r="AU53" i="34" s="1"/>
  <c r="AW53" i="34" s="1"/>
  <c r="AM55" i="32"/>
  <c r="AA55" i="32"/>
  <c r="AQ59" i="32"/>
  <c r="AU59" i="32" s="1"/>
  <c r="AW59" i="32" s="1"/>
  <c r="AQ58" i="32"/>
  <c r="AU58" i="32" s="1"/>
  <c r="AW58" i="32" s="1"/>
  <c r="D58" i="32" s="1"/>
  <c r="AY58" i="32" s="1"/>
  <c r="K55" i="32"/>
  <c r="AR57" i="32"/>
  <c r="AQ57" i="32"/>
  <c r="AU57" i="32" s="1"/>
  <c r="AW57" i="32" s="1"/>
  <c r="D57" i="32" s="1"/>
  <c r="AY57" i="32" s="1"/>
  <c r="AS23" i="32"/>
  <c r="AS39" i="34"/>
  <c r="I46" i="32"/>
  <c r="AR25" i="32"/>
  <c r="AQ25" i="32"/>
  <c r="AU25" i="32" s="1"/>
  <c r="AW25" i="32" s="1"/>
  <c r="D25" i="32" s="1"/>
  <c r="AQ56" i="32"/>
  <c r="AU56" i="32" s="1"/>
  <c r="AW56" i="32" s="1"/>
  <c r="D56" i="32" s="1"/>
  <c r="AL55" i="32"/>
  <c r="Z55" i="32"/>
  <c r="AR59" i="32"/>
  <c r="AH55" i="32"/>
  <c r="V55" i="32"/>
  <c r="AD55" i="32"/>
  <c r="R55" i="32"/>
  <c r="AR41" i="34"/>
  <c r="AR40" i="34"/>
  <c r="AD24" i="34"/>
  <c r="R24" i="34"/>
  <c r="AL24" i="34"/>
  <c r="Z24" i="34"/>
  <c r="N24" i="34"/>
  <c r="AR37" i="34"/>
  <c r="AP55" i="34"/>
  <c r="AD55" i="34"/>
  <c r="R55" i="34"/>
  <c r="AL55" i="34"/>
  <c r="Z55" i="34"/>
  <c r="AR58" i="34"/>
  <c r="AR57" i="34"/>
  <c r="AL17" i="32"/>
  <c r="AS26" i="32"/>
  <c r="AQ47" i="34"/>
  <c r="AU47" i="34" s="1"/>
  <c r="AW47" i="34" s="1"/>
  <c r="AR51" i="32"/>
  <c r="BA51" i="32" s="1"/>
  <c r="AQ51" i="32"/>
  <c r="AU51" i="32" s="1"/>
  <c r="AW51" i="32" s="1"/>
  <c r="D51" i="32" s="1"/>
  <c r="AY51" i="32" s="1"/>
  <c r="AO46" i="32"/>
  <c r="AR50" i="32"/>
  <c r="BA50" i="32" s="1"/>
  <c r="AQ50" i="32"/>
  <c r="AU50" i="32" s="1"/>
  <c r="AW50" i="32" s="1"/>
  <c r="D50" i="32" s="1"/>
  <c r="AY50" i="32" s="1"/>
  <c r="AK46" i="32"/>
  <c r="Y46" i="32"/>
  <c r="M46" i="32"/>
  <c r="AG46" i="32"/>
  <c r="U46" i="32"/>
  <c r="U42" i="34"/>
  <c r="AR53" i="34"/>
  <c r="AR22" i="32"/>
  <c r="AR47" i="32"/>
  <c r="H55" i="32"/>
  <c r="AH55" i="34"/>
  <c r="V55" i="34"/>
  <c r="N55" i="34"/>
  <c r="AR56" i="34"/>
  <c r="U52" i="34"/>
  <c r="AH52" i="34"/>
  <c r="N46" i="34"/>
  <c r="AR50" i="34"/>
  <c r="BA50" i="34" s="1"/>
  <c r="V46" i="34"/>
  <c r="AH46" i="34"/>
  <c r="AQ45" i="34"/>
  <c r="AU45" i="34" s="1"/>
  <c r="AW45" i="34" s="1"/>
  <c r="D45" i="34" s="1"/>
  <c r="AY45" i="34" s="1"/>
  <c r="AX45" i="34"/>
  <c r="E45" i="34" s="1"/>
  <c r="AZ45" i="34" s="1"/>
  <c r="AQ44" i="34"/>
  <c r="AU44" i="34" s="1"/>
  <c r="AW44" i="34" s="1"/>
  <c r="D44" i="34" s="1"/>
  <c r="AY44" i="34" s="1"/>
  <c r="AR43" i="34"/>
  <c r="AR38" i="34"/>
  <c r="V24" i="34"/>
  <c r="AH24" i="34"/>
  <c r="AR39" i="34"/>
  <c r="P24" i="34"/>
  <c r="AB24" i="34"/>
  <c r="AN24" i="34"/>
  <c r="W24" i="34"/>
  <c r="AI24" i="34"/>
  <c r="H55" i="34"/>
  <c r="F55" i="34"/>
  <c r="I52" i="34"/>
  <c r="AV36" i="33"/>
  <c r="AX36" i="33" s="1"/>
  <c r="E36" i="33" s="1"/>
  <c r="AZ36" i="33" s="1"/>
  <c r="N55" i="33"/>
  <c r="AH55" i="33"/>
  <c r="V55" i="33"/>
  <c r="R55" i="33"/>
  <c r="AR56" i="33"/>
  <c r="AG52" i="33"/>
  <c r="U52" i="33"/>
  <c r="AI52" i="33"/>
  <c r="W52" i="33"/>
  <c r="AR50" i="33"/>
  <c r="BA50" i="33" s="1"/>
  <c r="V46" i="33"/>
  <c r="AH46" i="33"/>
  <c r="AH42" i="33"/>
  <c r="AX45" i="33"/>
  <c r="E45" i="33" s="1"/>
  <c r="AR43" i="33"/>
  <c r="AQ43" i="33"/>
  <c r="AU43" i="33" s="1"/>
  <c r="AR28" i="33"/>
  <c r="V24" i="33"/>
  <c r="AH24" i="33"/>
  <c r="U17" i="33"/>
  <c r="AG17" i="33"/>
  <c r="AC17" i="33"/>
  <c r="AQ21" i="33"/>
  <c r="AU21" i="33" s="1"/>
  <c r="AW21" i="33" s="1"/>
  <c r="D21" i="33" s="1"/>
  <c r="AI17" i="33"/>
  <c r="W17" i="33"/>
  <c r="AI55" i="32"/>
  <c r="AE55" i="32"/>
  <c r="N55" i="32"/>
  <c r="O55" i="32"/>
  <c r="W55" i="32"/>
  <c r="AR56" i="32"/>
  <c r="AH52" i="32"/>
  <c r="W52" i="32"/>
  <c r="AR49" i="32"/>
  <c r="BA49" i="32" s="1"/>
  <c r="Q46" i="32"/>
  <c r="AQ48" i="32"/>
  <c r="AU48" i="32" s="1"/>
  <c r="AW48" i="32" s="1"/>
  <c r="D48" i="32" s="1"/>
  <c r="AY48" i="32" s="1"/>
  <c r="AC46" i="32"/>
  <c r="AQ47" i="32"/>
  <c r="AU47" i="32" s="1"/>
  <c r="AW47" i="32" s="1"/>
  <c r="AI46" i="32"/>
  <c r="W46" i="32"/>
  <c r="AR44" i="32"/>
  <c r="BA44" i="32" s="1"/>
  <c r="U42" i="32"/>
  <c r="M42" i="32"/>
  <c r="AQ43" i="32"/>
  <c r="AU43" i="32" s="1"/>
  <c r="AI42" i="32"/>
  <c r="AR27" i="32"/>
  <c r="AH24" i="32"/>
  <c r="R24" i="32"/>
  <c r="W24" i="32"/>
  <c r="AI24" i="32"/>
  <c r="AR20" i="32"/>
  <c r="AR21" i="32"/>
  <c r="E22" i="32"/>
  <c r="AH17" i="32"/>
  <c r="V17" i="32"/>
  <c r="AX45" i="32"/>
  <c r="E45" i="32" s="1"/>
  <c r="AZ45" i="32" s="1"/>
  <c r="AX23" i="32"/>
  <c r="E23" i="32" s="1"/>
  <c r="AX20" i="32"/>
  <c r="E20" i="32" s="1"/>
  <c r="AX21" i="32"/>
  <c r="E21" i="32" s="1"/>
  <c r="AZ51" i="34"/>
  <c r="AZ44" i="34"/>
  <c r="AX48" i="34"/>
  <c r="E48" i="34" s="1"/>
  <c r="AZ48" i="34" s="1"/>
  <c r="AZ49" i="34"/>
  <c r="AX23" i="34"/>
  <c r="E23" i="34" s="1"/>
  <c r="AZ50" i="34"/>
  <c r="AZ21" i="34"/>
  <c r="AR18" i="34"/>
  <c r="BA18" i="34" s="1"/>
  <c r="AS27" i="34"/>
  <c r="S42" i="34"/>
  <c r="AX47" i="34"/>
  <c r="E47" i="34" s="1"/>
  <c r="AV53" i="34"/>
  <c r="AX53" i="34" s="1"/>
  <c r="AS57" i="34"/>
  <c r="K17" i="34"/>
  <c r="M24" i="34"/>
  <c r="AV26" i="34"/>
  <c r="AC46" i="34"/>
  <c r="M52" i="34"/>
  <c r="AV56" i="34"/>
  <c r="AX56" i="34" s="1"/>
  <c r="AS59" i="34"/>
  <c r="M17" i="34"/>
  <c r="AS45" i="34"/>
  <c r="M55" i="34"/>
  <c r="AV58" i="34"/>
  <c r="AX58" i="34" s="1"/>
  <c r="AX28" i="34"/>
  <c r="E28" i="34" s="1"/>
  <c r="AX29" i="34"/>
  <c r="E29" i="34" s="1"/>
  <c r="AX30" i="34"/>
  <c r="E30" i="34" s="1"/>
  <c r="AX31" i="34"/>
  <c r="E31" i="34" s="1"/>
  <c r="AX32" i="34"/>
  <c r="E32" i="34" s="1"/>
  <c r="AX33" i="34"/>
  <c r="E33" i="34" s="1"/>
  <c r="AX34" i="34"/>
  <c r="E34" i="34" s="1"/>
  <c r="AX35" i="34"/>
  <c r="E35" i="34" s="1"/>
  <c r="AX38" i="34"/>
  <c r="E38" i="34" s="1"/>
  <c r="AX39" i="34"/>
  <c r="E39" i="34" s="1"/>
  <c r="AV59" i="34"/>
  <c r="AX59" i="34" s="1"/>
  <c r="O55" i="34"/>
  <c r="AX19" i="34"/>
  <c r="E19" i="34" s="1"/>
  <c r="AR48" i="34"/>
  <c r="AQ49" i="34"/>
  <c r="AU49" i="34" s="1"/>
  <c r="E54" i="34"/>
  <c r="AZ54" i="34" s="1"/>
  <c r="AX25" i="34"/>
  <c r="E25" i="34" s="1"/>
  <c r="AS23" i="34"/>
  <c r="AX43" i="34"/>
  <c r="E43" i="34" s="1"/>
  <c r="AS48" i="34"/>
  <c r="AC55" i="34"/>
  <c r="AV27" i="34"/>
  <c r="AX27" i="34" s="1"/>
  <c r="E27" i="34" s="1"/>
  <c r="AR44" i="34"/>
  <c r="BA44" i="34" s="1"/>
  <c r="AV57" i="34"/>
  <c r="AX57" i="34" s="1"/>
  <c r="AS53" i="34"/>
  <c r="AT52" i="34"/>
  <c r="AZ34" i="33"/>
  <c r="AZ40" i="33"/>
  <c r="AZ35" i="33"/>
  <c r="AZ49" i="33"/>
  <c r="AZ50" i="33"/>
  <c r="AZ38" i="33"/>
  <c r="AX23" i="33"/>
  <c r="E23" i="33" s="1"/>
  <c r="AZ29" i="33"/>
  <c r="AZ51" i="33"/>
  <c r="AZ33" i="33"/>
  <c r="AZ30" i="33"/>
  <c r="AZ44" i="33"/>
  <c r="AT55" i="33"/>
  <c r="AS27" i="33"/>
  <c r="AX47" i="33"/>
  <c r="E47" i="33" s="1"/>
  <c r="AV53" i="33"/>
  <c r="AX53" i="33" s="1"/>
  <c r="E53" i="33" s="1"/>
  <c r="AS57" i="33"/>
  <c r="K17" i="33"/>
  <c r="AV26" i="33"/>
  <c r="AX26" i="33" s="1"/>
  <c r="M52" i="33"/>
  <c r="AV56" i="33"/>
  <c r="AX56" i="33" s="1"/>
  <c r="AS59" i="33"/>
  <c r="L17" i="33"/>
  <c r="AX25" i="33"/>
  <c r="E25" i="33" s="1"/>
  <c r="AV27" i="33"/>
  <c r="AS43" i="33"/>
  <c r="AV57" i="33"/>
  <c r="AX57" i="33" s="1"/>
  <c r="M17" i="33"/>
  <c r="AS45" i="33"/>
  <c r="AV58" i="33"/>
  <c r="N17" i="33"/>
  <c r="E48" i="33"/>
  <c r="AZ48" i="33" s="1"/>
  <c r="AV59" i="33"/>
  <c r="AX59" i="33" s="1"/>
  <c r="AV43" i="33"/>
  <c r="AX43" i="33" s="1"/>
  <c r="AZ31" i="33"/>
  <c r="AZ32" i="33"/>
  <c r="AR48" i="33"/>
  <c r="AQ49" i="33"/>
  <c r="AU49" i="33" s="1"/>
  <c r="AS23" i="33"/>
  <c r="AS48" i="33"/>
  <c r="AC55" i="33"/>
  <c r="AQ56" i="33"/>
  <c r="AU56" i="33" s="1"/>
  <c r="AT52" i="33"/>
  <c r="AZ29" i="32"/>
  <c r="AZ33" i="32"/>
  <c r="AZ38" i="32"/>
  <c r="AZ51" i="32"/>
  <c r="AZ34" i="32"/>
  <c r="AZ44" i="32"/>
  <c r="AX48" i="32"/>
  <c r="E48" i="32" s="1"/>
  <c r="AZ48" i="32" s="1"/>
  <c r="AZ30" i="32"/>
  <c r="AZ40" i="32"/>
  <c r="AZ39" i="32"/>
  <c r="AZ31" i="32"/>
  <c r="AZ35" i="32"/>
  <c r="AZ41" i="32"/>
  <c r="AZ49" i="32"/>
  <c r="AZ36" i="32"/>
  <c r="AZ28" i="32"/>
  <c r="AZ32" i="32"/>
  <c r="AZ50" i="32"/>
  <c r="AZ37" i="32"/>
  <c r="AR18" i="32"/>
  <c r="AS27" i="32"/>
  <c r="S42" i="32"/>
  <c r="AE42" i="32"/>
  <c r="AX47" i="32"/>
  <c r="E47" i="32" s="1"/>
  <c r="AV53" i="32"/>
  <c r="AX53" i="32" s="1"/>
  <c r="AS57" i="32"/>
  <c r="AR58" i="32"/>
  <c r="L17" i="32"/>
  <c r="AX19" i="32"/>
  <c r="E19" i="32" s="1"/>
  <c r="AY20" i="32"/>
  <c r="AX25" i="32"/>
  <c r="E25" i="32" s="1"/>
  <c r="AV27" i="32"/>
  <c r="AX27" i="32" s="1"/>
  <c r="AS43" i="32"/>
  <c r="N52" i="32"/>
  <c r="AX54" i="32"/>
  <c r="E54" i="32" s="1"/>
  <c r="AV57" i="32"/>
  <c r="M52" i="32"/>
  <c r="AX18" i="32"/>
  <c r="E18" i="32" s="1"/>
  <c r="AX26" i="32"/>
  <c r="E26" i="32" s="1"/>
  <c r="AS45" i="32"/>
  <c r="AX56" i="32"/>
  <c r="E56" i="32" s="1"/>
  <c r="AV58" i="32"/>
  <c r="AX58" i="32" s="1"/>
  <c r="P24" i="32"/>
  <c r="AV59" i="32"/>
  <c r="AX59" i="32" s="1"/>
  <c r="AR48" i="32"/>
  <c r="AQ49" i="32"/>
  <c r="AU49" i="32" s="1"/>
  <c r="O17" i="32"/>
  <c r="AX43" i="32"/>
  <c r="E43" i="32" s="1"/>
  <c r="AS48" i="32"/>
  <c r="AC55" i="32"/>
  <c r="P17" i="32"/>
  <c r="AS53" i="32"/>
  <c r="S17" i="32"/>
  <c r="AT52" i="32"/>
  <c r="K57" i="16"/>
  <c r="L57" i="16"/>
  <c r="M57" i="16"/>
  <c r="N57" i="16"/>
  <c r="O57" i="16"/>
  <c r="P57" i="16"/>
  <c r="Q57" i="16"/>
  <c r="R57" i="16"/>
  <c r="S57" i="16"/>
  <c r="T57" i="16"/>
  <c r="U57" i="16"/>
  <c r="V57" i="16"/>
  <c r="W57" i="16"/>
  <c r="X57" i="16"/>
  <c r="Y57" i="16"/>
  <c r="Z57" i="16"/>
  <c r="AA57" i="16"/>
  <c r="AB57" i="16"/>
  <c r="AC57" i="16"/>
  <c r="AD57" i="16"/>
  <c r="AE57" i="16"/>
  <c r="AF57" i="16"/>
  <c r="AG57" i="16"/>
  <c r="AH57" i="16"/>
  <c r="AI57" i="16"/>
  <c r="AJ57" i="16"/>
  <c r="AK57" i="16"/>
  <c r="AL57" i="16"/>
  <c r="AM57" i="16"/>
  <c r="AN57" i="16"/>
  <c r="AO57" i="16"/>
  <c r="AP57" i="16"/>
  <c r="K58" i="16"/>
  <c r="L58" i="16"/>
  <c r="M58" i="16"/>
  <c r="N58" i="16"/>
  <c r="O58" i="16"/>
  <c r="P58" i="16"/>
  <c r="Q58" i="16"/>
  <c r="R58" i="16"/>
  <c r="S58" i="16"/>
  <c r="T58" i="16"/>
  <c r="U58" i="16"/>
  <c r="V58" i="16"/>
  <c r="W58" i="16"/>
  <c r="X58" i="16"/>
  <c r="Y58" i="16"/>
  <c r="Z58" i="16"/>
  <c r="AA58" i="16"/>
  <c r="AB58" i="16"/>
  <c r="AC58" i="16"/>
  <c r="AD58" i="16"/>
  <c r="AE58" i="16"/>
  <c r="AF58" i="16"/>
  <c r="AG58" i="16"/>
  <c r="AH58" i="16"/>
  <c r="AI58" i="16"/>
  <c r="AJ58" i="16"/>
  <c r="AK58" i="16"/>
  <c r="AL58" i="16"/>
  <c r="AM58" i="16"/>
  <c r="AN58" i="16"/>
  <c r="AO58" i="16"/>
  <c r="AP58" i="16"/>
  <c r="K59" i="16"/>
  <c r="L59" i="16"/>
  <c r="M59" i="16"/>
  <c r="N59" i="16"/>
  <c r="O59" i="16"/>
  <c r="P59" i="16"/>
  <c r="Q59" i="16"/>
  <c r="R59" i="16"/>
  <c r="S59" i="16"/>
  <c r="T59" i="16"/>
  <c r="U59" i="16"/>
  <c r="V59" i="16"/>
  <c r="W59" i="16"/>
  <c r="X59" i="16"/>
  <c r="Y59" i="16"/>
  <c r="Z59" i="16"/>
  <c r="AA59" i="16"/>
  <c r="AB59" i="16"/>
  <c r="AC59" i="16"/>
  <c r="AD59" i="16"/>
  <c r="AE59" i="16"/>
  <c r="AF59" i="16"/>
  <c r="AG59" i="16"/>
  <c r="AH59" i="16"/>
  <c r="AI59" i="16"/>
  <c r="AJ59" i="16"/>
  <c r="AK59" i="16"/>
  <c r="AL59" i="16"/>
  <c r="AM59" i="16"/>
  <c r="AN59" i="16"/>
  <c r="AO59" i="16"/>
  <c r="AP59" i="16"/>
  <c r="L56" i="16"/>
  <c r="M56" i="16"/>
  <c r="N56" i="16"/>
  <c r="O56" i="16"/>
  <c r="P56" i="16"/>
  <c r="Q56" i="16"/>
  <c r="R56" i="16"/>
  <c r="S56" i="16"/>
  <c r="T56" i="16"/>
  <c r="U56" i="16"/>
  <c r="V56" i="16"/>
  <c r="W56" i="16"/>
  <c r="X56" i="16"/>
  <c r="Y56" i="16"/>
  <c r="Z56" i="16"/>
  <c r="AA56" i="16"/>
  <c r="AB56" i="16"/>
  <c r="AC56" i="16"/>
  <c r="AD56" i="16"/>
  <c r="AE56" i="16"/>
  <c r="AF56" i="16"/>
  <c r="AG56" i="16"/>
  <c r="AH56" i="16"/>
  <c r="AI56" i="16"/>
  <c r="AJ56" i="16"/>
  <c r="AK56" i="16"/>
  <c r="AL56" i="16"/>
  <c r="AM56" i="16"/>
  <c r="AN56" i="16"/>
  <c r="AO56" i="16"/>
  <c r="AP56" i="16"/>
  <c r="K56" i="16"/>
  <c r="K54" i="16"/>
  <c r="L54" i="16"/>
  <c r="M54" i="16"/>
  <c r="N54" i="16"/>
  <c r="O54" i="16"/>
  <c r="P54" i="16"/>
  <c r="Q54" i="16"/>
  <c r="R54" i="16"/>
  <c r="S54" i="16"/>
  <c r="T54" i="16"/>
  <c r="U54" i="16"/>
  <c r="V54" i="16"/>
  <c r="W54" i="16"/>
  <c r="X54" i="16"/>
  <c r="Y54" i="16"/>
  <c r="Z54" i="16"/>
  <c r="AA54" i="16"/>
  <c r="AB54" i="16"/>
  <c r="AC54" i="16"/>
  <c r="AD54" i="16"/>
  <c r="AE54" i="16"/>
  <c r="AF54" i="16"/>
  <c r="AG54" i="16"/>
  <c r="AH54" i="16"/>
  <c r="AI54" i="16"/>
  <c r="AJ54" i="16"/>
  <c r="AK54" i="16"/>
  <c r="AL54" i="16"/>
  <c r="AM54" i="16"/>
  <c r="AN54" i="16"/>
  <c r="AO54" i="16"/>
  <c r="AP54" i="16"/>
  <c r="L53" i="16"/>
  <c r="M53" i="16"/>
  <c r="N53" i="16"/>
  <c r="O53" i="16"/>
  <c r="P53" i="16"/>
  <c r="Q53" i="16"/>
  <c r="R53" i="16"/>
  <c r="S53" i="16"/>
  <c r="T53" i="16"/>
  <c r="U53" i="16"/>
  <c r="V53" i="16"/>
  <c r="W53" i="16"/>
  <c r="X53" i="16"/>
  <c r="Y53" i="16"/>
  <c r="Z53" i="16"/>
  <c r="AA53" i="16"/>
  <c r="AB53" i="16"/>
  <c r="AC53" i="16"/>
  <c r="AD53" i="16"/>
  <c r="AE53" i="16"/>
  <c r="AF53" i="16"/>
  <c r="AG53" i="16"/>
  <c r="AH53" i="16"/>
  <c r="AI53" i="16"/>
  <c r="AJ53" i="16"/>
  <c r="AK53" i="16"/>
  <c r="AL53" i="16"/>
  <c r="AM53" i="16"/>
  <c r="AN53" i="16"/>
  <c r="AO53" i="16"/>
  <c r="AP53" i="16"/>
  <c r="K53" i="16"/>
  <c r="K48" i="16"/>
  <c r="L48" i="16"/>
  <c r="M48" i="16"/>
  <c r="N48" i="16"/>
  <c r="O48" i="16"/>
  <c r="P48" i="16"/>
  <c r="Q48" i="16"/>
  <c r="R48" i="16"/>
  <c r="S48" i="16"/>
  <c r="T48" i="16"/>
  <c r="U48" i="16"/>
  <c r="V48" i="16"/>
  <c r="W48" i="16"/>
  <c r="X48" i="16"/>
  <c r="Y48" i="16"/>
  <c r="Z48" i="16"/>
  <c r="AA48" i="16"/>
  <c r="AB48" i="16"/>
  <c r="AC48" i="16"/>
  <c r="AD48" i="16"/>
  <c r="AE48" i="16"/>
  <c r="AF48" i="16"/>
  <c r="AG48" i="16"/>
  <c r="AH48" i="16"/>
  <c r="AI48" i="16"/>
  <c r="AJ48" i="16"/>
  <c r="AK48" i="16"/>
  <c r="AL48" i="16"/>
  <c r="AM48" i="16"/>
  <c r="AN48" i="16"/>
  <c r="AO48" i="16"/>
  <c r="AP48" i="16"/>
  <c r="K49" i="16"/>
  <c r="L49" i="16"/>
  <c r="M49" i="16"/>
  <c r="N49" i="16"/>
  <c r="O49" i="16"/>
  <c r="P49" i="16"/>
  <c r="Q49" i="16"/>
  <c r="R49" i="16"/>
  <c r="S49" i="16"/>
  <c r="T49" i="16"/>
  <c r="U49" i="16"/>
  <c r="V49" i="16"/>
  <c r="W49" i="16"/>
  <c r="X49" i="16"/>
  <c r="Y49" i="16"/>
  <c r="Z49" i="16"/>
  <c r="AA49" i="16"/>
  <c r="AB49" i="16"/>
  <c r="AC49" i="16"/>
  <c r="AD49" i="16"/>
  <c r="AE49" i="16"/>
  <c r="AF49" i="16"/>
  <c r="AG49" i="16"/>
  <c r="AH49" i="16"/>
  <c r="AI49" i="16"/>
  <c r="AJ49" i="16"/>
  <c r="AK49" i="16"/>
  <c r="AL49" i="16"/>
  <c r="AM49" i="16"/>
  <c r="AN49" i="16"/>
  <c r="AO49" i="16"/>
  <c r="AP49" i="16"/>
  <c r="K50" i="16"/>
  <c r="L50" i="16"/>
  <c r="M50" i="16"/>
  <c r="N50" i="16"/>
  <c r="O50" i="16"/>
  <c r="P50" i="16"/>
  <c r="Q50" i="16"/>
  <c r="R50" i="16"/>
  <c r="S50" i="16"/>
  <c r="T50" i="16"/>
  <c r="U50" i="16"/>
  <c r="V50" i="16"/>
  <c r="W50" i="16"/>
  <c r="X50" i="16"/>
  <c r="Y50" i="16"/>
  <c r="Z50" i="16"/>
  <c r="AA50" i="16"/>
  <c r="AB50" i="16"/>
  <c r="AC50" i="16"/>
  <c r="AD50" i="16"/>
  <c r="AE50" i="16"/>
  <c r="AF50" i="16"/>
  <c r="AG50" i="16"/>
  <c r="AH50" i="16"/>
  <c r="AI50" i="16"/>
  <c r="AJ50" i="16"/>
  <c r="AK50" i="16"/>
  <c r="AL50" i="16"/>
  <c r="AM50" i="16"/>
  <c r="AN50" i="16"/>
  <c r="AO50" i="16"/>
  <c r="AP50" i="16"/>
  <c r="K51" i="16"/>
  <c r="L51" i="16"/>
  <c r="M51" i="16"/>
  <c r="N51" i="16"/>
  <c r="O51" i="16"/>
  <c r="P51" i="16"/>
  <c r="Q51" i="16"/>
  <c r="R51" i="16"/>
  <c r="S51" i="16"/>
  <c r="T51" i="16"/>
  <c r="U51" i="16"/>
  <c r="V51" i="16"/>
  <c r="W51" i="16"/>
  <c r="X51" i="16"/>
  <c r="Y51" i="16"/>
  <c r="Z51" i="16"/>
  <c r="AA51" i="16"/>
  <c r="AB51" i="16"/>
  <c r="AC51" i="16"/>
  <c r="AD51" i="16"/>
  <c r="AE51" i="16"/>
  <c r="AF51" i="16"/>
  <c r="AG51" i="16"/>
  <c r="AH51" i="16"/>
  <c r="AI51" i="16"/>
  <c r="AJ51" i="16"/>
  <c r="AK51" i="16"/>
  <c r="AL51" i="16"/>
  <c r="AM51" i="16"/>
  <c r="AN51" i="16"/>
  <c r="AO51" i="16"/>
  <c r="AP51" i="16"/>
  <c r="L47" i="16"/>
  <c r="M47" i="16"/>
  <c r="N47" i="16"/>
  <c r="O47" i="16"/>
  <c r="P47" i="16"/>
  <c r="Q47" i="16"/>
  <c r="R47" i="16"/>
  <c r="S47" i="16"/>
  <c r="T47" i="16"/>
  <c r="U47" i="16"/>
  <c r="V47" i="16"/>
  <c r="W47" i="16"/>
  <c r="X47" i="16"/>
  <c r="Y47" i="16"/>
  <c r="Z47" i="16"/>
  <c r="AA47" i="16"/>
  <c r="AB47" i="16"/>
  <c r="AC47" i="16"/>
  <c r="AD47" i="16"/>
  <c r="AE47" i="16"/>
  <c r="AF47" i="16"/>
  <c r="AG47" i="16"/>
  <c r="AH47" i="16"/>
  <c r="AI47" i="16"/>
  <c r="AJ47" i="16"/>
  <c r="AK47" i="16"/>
  <c r="AL47" i="16"/>
  <c r="AM47" i="16"/>
  <c r="AN47" i="16"/>
  <c r="AO47" i="16"/>
  <c r="AP47" i="16"/>
  <c r="K47" i="16"/>
  <c r="K44" i="16"/>
  <c r="L44" i="16"/>
  <c r="M44" i="16"/>
  <c r="N44" i="16"/>
  <c r="O44" i="16"/>
  <c r="P44" i="16"/>
  <c r="Q44" i="16"/>
  <c r="R44" i="16"/>
  <c r="S44" i="16"/>
  <c r="T44" i="16"/>
  <c r="U44" i="16"/>
  <c r="V44" i="16"/>
  <c r="W44" i="16"/>
  <c r="X44" i="16"/>
  <c r="Y44" i="16"/>
  <c r="Z44" i="16"/>
  <c r="AA44" i="16"/>
  <c r="AB44" i="16"/>
  <c r="AC44" i="16"/>
  <c r="AD44" i="16"/>
  <c r="AE44" i="16"/>
  <c r="AF44" i="16"/>
  <c r="AG44" i="16"/>
  <c r="AH44" i="16"/>
  <c r="AI44" i="16"/>
  <c r="AJ44" i="16"/>
  <c r="AK44" i="16"/>
  <c r="AL44" i="16"/>
  <c r="AM44" i="16"/>
  <c r="AN44" i="16"/>
  <c r="AO44" i="16"/>
  <c r="AP44" i="16"/>
  <c r="K45" i="16"/>
  <c r="L45" i="16"/>
  <c r="M45" i="16"/>
  <c r="N45" i="16"/>
  <c r="O45" i="16"/>
  <c r="P45" i="16"/>
  <c r="Q45" i="16"/>
  <c r="R45" i="16"/>
  <c r="S45" i="16"/>
  <c r="T45" i="16"/>
  <c r="U45" i="16"/>
  <c r="V45" i="16"/>
  <c r="W45" i="16"/>
  <c r="X45" i="16"/>
  <c r="Y45" i="16"/>
  <c r="Z45" i="16"/>
  <c r="AA45" i="16"/>
  <c r="AB45" i="16"/>
  <c r="AC45" i="16"/>
  <c r="AD45" i="16"/>
  <c r="AE45" i="16"/>
  <c r="AF45" i="16"/>
  <c r="AG45" i="16"/>
  <c r="AH45" i="16"/>
  <c r="AI45" i="16"/>
  <c r="AJ45" i="16"/>
  <c r="AK45" i="16"/>
  <c r="AL45" i="16"/>
  <c r="AM45" i="16"/>
  <c r="AN45" i="16"/>
  <c r="AO45" i="16"/>
  <c r="AP45" i="16"/>
  <c r="L43" i="16"/>
  <c r="M43" i="16"/>
  <c r="N43" i="16"/>
  <c r="O43" i="16"/>
  <c r="P43" i="16"/>
  <c r="Q43" i="16"/>
  <c r="R43" i="16"/>
  <c r="S43" i="16"/>
  <c r="T43" i="16"/>
  <c r="U43" i="16"/>
  <c r="V43" i="16"/>
  <c r="W43" i="16"/>
  <c r="X43" i="16"/>
  <c r="Y43" i="16"/>
  <c r="Z43" i="16"/>
  <c r="AA43" i="16"/>
  <c r="AB43" i="16"/>
  <c r="AC43" i="16"/>
  <c r="AD43" i="16"/>
  <c r="AE43" i="16"/>
  <c r="AF43" i="16"/>
  <c r="AG43" i="16"/>
  <c r="AH43" i="16"/>
  <c r="AI43" i="16"/>
  <c r="AJ43" i="16"/>
  <c r="AK43" i="16"/>
  <c r="AL43" i="16"/>
  <c r="AM43" i="16"/>
  <c r="AN43" i="16"/>
  <c r="AO43" i="16"/>
  <c r="AP43" i="16"/>
  <c r="K43" i="16"/>
  <c r="K26" i="16"/>
  <c r="L26" i="16"/>
  <c r="M26" i="16"/>
  <c r="N26" i="16"/>
  <c r="O26" i="16"/>
  <c r="P26" i="16"/>
  <c r="Q26" i="16"/>
  <c r="R26" i="16"/>
  <c r="S26" i="16"/>
  <c r="T26" i="16"/>
  <c r="U26" i="16"/>
  <c r="V26" i="16"/>
  <c r="W26" i="16"/>
  <c r="X26" i="16"/>
  <c r="Y26" i="16"/>
  <c r="Z26" i="16"/>
  <c r="AA26" i="16"/>
  <c r="AB26" i="16"/>
  <c r="AC26" i="16"/>
  <c r="AD26" i="16"/>
  <c r="AE26" i="16"/>
  <c r="AF26" i="16"/>
  <c r="AG26" i="16"/>
  <c r="AH26" i="16"/>
  <c r="AI26" i="16"/>
  <c r="AJ26" i="16"/>
  <c r="AK26" i="16"/>
  <c r="AL26" i="16"/>
  <c r="AM26" i="16"/>
  <c r="AN26" i="16"/>
  <c r="AO26" i="16"/>
  <c r="AP26" i="16"/>
  <c r="K27" i="16"/>
  <c r="L27" i="16"/>
  <c r="M27" i="16"/>
  <c r="N27" i="16"/>
  <c r="O27" i="16"/>
  <c r="P27" i="16"/>
  <c r="Q27" i="16"/>
  <c r="R27" i="16"/>
  <c r="S27" i="16"/>
  <c r="T27" i="16"/>
  <c r="U27" i="16"/>
  <c r="V27" i="16"/>
  <c r="W27" i="16"/>
  <c r="X27" i="16"/>
  <c r="Y27" i="16"/>
  <c r="Z27" i="16"/>
  <c r="AA27" i="16"/>
  <c r="AB27" i="16"/>
  <c r="AC27" i="16"/>
  <c r="AD27" i="16"/>
  <c r="AE27" i="16"/>
  <c r="AF27" i="16"/>
  <c r="AG27" i="16"/>
  <c r="AH27" i="16"/>
  <c r="AI27" i="16"/>
  <c r="AJ27" i="16"/>
  <c r="AK27" i="16"/>
  <c r="AL27" i="16"/>
  <c r="AM27" i="16"/>
  <c r="AN27" i="16"/>
  <c r="AO27" i="16"/>
  <c r="AP27" i="16"/>
  <c r="K28" i="16"/>
  <c r="L28" i="16"/>
  <c r="M28" i="16"/>
  <c r="N28" i="16"/>
  <c r="O28" i="16"/>
  <c r="P28" i="16"/>
  <c r="Q28" i="16"/>
  <c r="R28" i="16"/>
  <c r="S28" i="16"/>
  <c r="T28" i="16"/>
  <c r="U28" i="16"/>
  <c r="V28" i="16"/>
  <c r="W28" i="16"/>
  <c r="X28" i="16"/>
  <c r="Y28" i="16"/>
  <c r="Z28" i="16"/>
  <c r="AA28" i="16"/>
  <c r="AB28" i="16"/>
  <c r="AC28" i="16"/>
  <c r="AD28" i="16"/>
  <c r="AE28" i="16"/>
  <c r="AF28" i="16"/>
  <c r="AG28" i="16"/>
  <c r="AH28" i="16"/>
  <c r="AI28" i="16"/>
  <c r="AJ28" i="16"/>
  <c r="AK28" i="16"/>
  <c r="AL28" i="16"/>
  <c r="AM28" i="16"/>
  <c r="AN28" i="16"/>
  <c r="AO28" i="16"/>
  <c r="AP28" i="16"/>
  <c r="K29" i="16"/>
  <c r="L29" i="16"/>
  <c r="M29" i="16"/>
  <c r="N29" i="16"/>
  <c r="O29" i="16"/>
  <c r="P29" i="16"/>
  <c r="Q29" i="16"/>
  <c r="R29" i="16"/>
  <c r="S29" i="16"/>
  <c r="T29" i="16"/>
  <c r="U29" i="16"/>
  <c r="V29" i="16"/>
  <c r="W29" i="16"/>
  <c r="X29" i="16"/>
  <c r="Y29" i="16"/>
  <c r="Z29" i="16"/>
  <c r="AA29" i="16"/>
  <c r="AB29" i="16"/>
  <c r="AC29" i="16"/>
  <c r="AD29" i="16"/>
  <c r="AE29" i="16"/>
  <c r="AF29" i="16"/>
  <c r="AG29" i="16"/>
  <c r="AH29" i="16"/>
  <c r="AI29" i="16"/>
  <c r="AJ29" i="16"/>
  <c r="AK29" i="16"/>
  <c r="AL29" i="16"/>
  <c r="AM29" i="16"/>
  <c r="AN29" i="16"/>
  <c r="AO29" i="16"/>
  <c r="AP29" i="16"/>
  <c r="K30" i="16"/>
  <c r="L30" i="16"/>
  <c r="M30" i="16"/>
  <c r="N30" i="16"/>
  <c r="O30" i="16"/>
  <c r="P30" i="16"/>
  <c r="Q30" i="16"/>
  <c r="R30" i="16"/>
  <c r="S30" i="16"/>
  <c r="T30" i="16"/>
  <c r="U30" i="16"/>
  <c r="V30" i="16"/>
  <c r="W30" i="16"/>
  <c r="X30" i="16"/>
  <c r="Y30" i="16"/>
  <c r="Z30" i="16"/>
  <c r="AA30" i="16"/>
  <c r="AB30" i="16"/>
  <c r="AC30" i="16"/>
  <c r="AD30" i="16"/>
  <c r="AE30" i="16"/>
  <c r="AF30" i="16"/>
  <c r="AG30" i="16"/>
  <c r="AH30" i="16"/>
  <c r="AI30" i="16"/>
  <c r="AJ30" i="16"/>
  <c r="AK30" i="16"/>
  <c r="AL30" i="16"/>
  <c r="AM30" i="16"/>
  <c r="AN30" i="16"/>
  <c r="AO30" i="16"/>
  <c r="AP30" i="16"/>
  <c r="K31" i="16"/>
  <c r="L31" i="16"/>
  <c r="M31" i="16"/>
  <c r="N31" i="16"/>
  <c r="O31" i="16"/>
  <c r="P31" i="16"/>
  <c r="Q31" i="16"/>
  <c r="R31" i="16"/>
  <c r="S31" i="16"/>
  <c r="T31" i="16"/>
  <c r="U31" i="16"/>
  <c r="V31" i="16"/>
  <c r="W31" i="16"/>
  <c r="X31" i="16"/>
  <c r="Y31" i="16"/>
  <c r="Z31" i="16"/>
  <c r="AA31" i="16"/>
  <c r="AB31" i="16"/>
  <c r="AC31" i="16"/>
  <c r="AD31" i="16"/>
  <c r="AE31" i="16"/>
  <c r="AF31" i="16"/>
  <c r="AG31" i="16"/>
  <c r="AH31" i="16"/>
  <c r="AI31" i="16"/>
  <c r="AJ31" i="16"/>
  <c r="AK31" i="16"/>
  <c r="AL31" i="16"/>
  <c r="AM31" i="16"/>
  <c r="AN31" i="16"/>
  <c r="AO31" i="16"/>
  <c r="AP31" i="16"/>
  <c r="K32" i="16"/>
  <c r="L32" i="16"/>
  <c r="M32" i="16"/>
  <c r="N32" i="16"/>
  <c r="O32" i="16"/>
  <c r="P32" i="16"/>
  <c r="Q32" i="16"/>
  <c r="R32" i="16"/>
  <c r="S32" i="16"/>
  <c r="T32" i="16"/>
  <c r="U32" i="16"/>
  <c r="V32" i="16"/>
  <c r="W32" i="16"/>
  <c r="X32" i="16"/>
  <c r="Y32" i="16"/>
  <c r="Z32" i="16"/>
  <c r="AA32" i="16"/>
  <c r="AB32" i="16"/>
  <c r="AC32" i="16"/>
  <c r="AD32" i="16"/>
  <c r="AE32" i="16"/>
  <c r="AF32" i="16"/>
  <c r="AG32" i="16"/>
  <c r="AH32" i="16"/>
  <c r="AI32" i="16"/>
  <c r="AJ32" i="16"/>
  <c r="AK32" i="16"/>
  <c r="AL32" i="16"/>
  <c r="AM32" i="16"/>
  <c r="AN32" i="16"/>
  <c r="AO32" i="16"/>
  <c r="AP32" i="16"/>
  <c r="K33" i="16"/>
  <c r="L33" i="16"/>
  <c r="M33" i="16"/>
  <c r="N33" i="16"/>
  <c r="O33" i="16"/>
  <c r="P33" i="16"/>
  <c r="Q33" i="16"/>
  <c r="R33" i="16"/>
  <c r="S33" i="16"/>
  <c r="T33" i="16"/>
  <c r="U33" i="16"/>
  <c r="V33" i="16"/>
  <c r="W33" i="16"/>
  <c r="X33" i="16"/>
  <c r="Y33" i="16"/>
  <c r="Z33" i="16"/>
  <c r="AA33" i="16"/>
  <c r="AB33" i="16"/>
  <c r="AC33" i="16"/>
  <c r="AD33" i="16"/>
  <c r="AE33" i="16"/>
  <c r="AF33" i="16"/>
  <c r="AG33" i="16"/>
  <c r="AH33" i="16"/>
  <c r="AI33" i="16"/>
  <c r="AJ33" i="16"/>
  <c r="AK33" i="16"/>
  <c r="AL33" i="16"/>
  <c r="AM33" i="16"/>
  <c r="AN33" i="16"/>
  <c r="AO33" i="16"/>
  <c r="AP33" i="16"/>
  <c r="K34" i="16"/>
  <c r="L34" i="16"/>
  <c r="M34" i="16"/>
  <c r="N34" i="16"/>
  <c r="O34" i="16"/>
  <c r="P34" i="16"/>
  <c r="Q34" i="16"/>
  <c r="R34" i="16"/>
  <c r="S34" i="16"/>
  <c r="T34" i="16"/>
  <c r="U34" i="16"/>
  <c r="V34" i="16"/>
  <c r="W34" i="16"/>
  <c r="X34" i="16"/>
  <c r="Y34" i="16"/>
  <c r="Z34" i="16"/>
  <c r="AA34" i="16"/>
  <c r="AB34" i="16"/>
  <c r="AC34" i="16"/>
  <c r="AD34" i="16"/>
  <c r="AE34" i="16"/>
  <c r="AF34" i="16"/>
  <c r="AG34" i="16"/>
  <c r="AH34" i="16"/>
  <c r="AI34" i="16"/>
  <c r="AJ34" i="16"/>
  <c r="AK34" i="16"/>
  <c r="AL34" i="16"/>
  <c r="AM34" i="16"/>
  <c r="AN34" i="16"/>
  <c r="AO34" i="16"/>
  <c r="AP34" i="16"/>
  <c r="K35" i="16"/>
  <c r="L35" i="16"/>
  <c r="M35" i="16"/>
  <c r="N35" i="16"/>
  <c r="O35" i="16"/>
  <c r="P35" i="16"/>
  <c r="Q35" i="16"/>
  <c r="R35" i="16"/>
  <c r="S35" i="16"/>
  <c r="T35" i="16"/>
  <c r="U35" i="16"/>
  <c r="V35" i="16"/>
  <c r="W35" i="16"/>
  <c r="X35" i="16"/>
  <c r="Y35" i="16"/>
  <c r="Z35" i="16"/>
  <c r="AA35" i="16"/>
  <c r="AB35" i="16"/>
  <c r="AC35" i="16"/>
  <c r="AD35" i="16"/>
  <c r="AE35" i="16"/>
  <c r="AF35" i="16"/>
  <c r="AG35" i="16"/>
  <c r="AH35" i="16"/>
  <c r="AI35" i="16"/>
  <c r="AJ35" i="16"/>
  <c r="AK35" i="16"/>
  <c r="AL35" i="16"/>
  <c r="AM35" i="16"/>
  <c r="AN35" i="16"/>
  <c r="AO35" i="16"/>
  <c r="AP35" i="16"/>
  <c r="K36" i="16"/>
  <c r="L36" i="16"/>
  <c r="M36" i="16"/>
  <c r="N36" i="16"/>
  <c r="O36" i="16"/>
  <c r="P36" i="16"/>
  <c r="Q36" i="16"/>
  <c r="R36" i="16"/>
  <c r="S36" i="16"/>
  <c r="T36" i="16"/>
  <c r="U36" i="16"/>
  <c r="V36" i="16"/>
  <c r="W36" i="16"/>
  <c r="X36" i="16"/>
  <c r="Y36" i="16"/>
  <c r="Z36" i="16"/>
  <c r="AA36" i="16"/>
  <c r="AB36" i="16"/>
  <c r="AC36" i="16"/>
  <c r="AD36" i="16"/>
  <c r="AE36" i="16"/>
  <c r="AF36" i="16"/>
  <c r="AG36" i="16"/>
  <c r="AH36" i="16"/>
  <c r="AI36" i="16"/>
  <c r="AJ36" i="16"/>
  <c r="AK36" i="16"/>
  <c r="AL36" i="16"/>
  <c r="AM36" i="16"/>
  <c r="AN36" i="16"/>
  <c r="AO36" i="16"/>
  <c r="AP36" i="16"/>
  <c r="K37" i="16"/>
  <c r="L37" i="16"/>
  <c r="M37" i="16"/>
  <c r="N37" i="16"/>
  <c r="O37" i="16"/>
  <c r="P37" i="16"/>
  <c r="Q37" i="16"/>
  <c r="R37" i="16"/>
  <c r="S37" i="16"/>
  <c r="T37" i="16"/>
  <c r="U37" i="16"/>
  <c r="V37" i="16"/>
  <c r="W37" i="16"/>
  <c r="X37" i="16"/>
  <c r="Y37" i="16"/>
  <c r="Z37" i="16"/>
  <c r="AA37" i="16"/>
  <c r="AB37" i="16"/>
  <c r="AC37" i="16"/>
  <c r="AD37" i="16"/>
  <c r="AE37" i="16"/>
  <c r="AF37" i="16"/>
  <c r="AG37" i="16"/>
  <c r="AH37" i="16"/>
  <c r="AI37" i="16"/>
  <c r="AJ37" i="16"/>
  <c r="AK37" i="16"/>
  <c r="AL37" i="16"/>
  <c r="AM37" i="16"/>
  <c r="AN37" i="16"/>
  <c r="AO37" i="16"/>
  <c r="AP37" i="16"/>
  <c r="K38" i="16"/>
  <c r="L38" i="16"/>
  <c r="M38" i="16"/>
  <c r="N38" i="16"/>
  <c r="O38" i="16"/>
  <c r="P38" i="16"/>
  <c r="Q38" i="16"/>
  <c r="R38" i="16"/>
  <c r="S38" i="16"/>
  <c r="T38" i="16"/>
  <c r="U38" i="16"/>
  <c r="V38" i="16"/>
  <c r="W38" i="16"/>
  <c r="X38" i="16"/>
  <c r="Y38" i="16"/>
  <c r="Z38" i="16"/>
  <c r="AA38" i="16"/>
  <c r="AB38" i="16"/>
  <c r="AC38" i="16"/>
  <c r="AD38" i="16"/>
  <c r="AE38" i="16"/>
  <c r="AF38" i="16"/>
  <c r="AG38" i="16"/>
  <c r="AH38" i="16"/>
  <c r="AI38" i="16"/>
  <c r="AJ38" i="16"/>
  <c r="AK38" i="16"/>
  <c r="AL38" i="16"/>
  <c r="AM38" i="16"/>
  <c r="AN38" i="16"/>
  <c r="AO38" i="16"/>
  <c r="AP38" i="16"/>
  <c r="K39" i="16"/>
  <c r="L39" i="16"/>
  <c r="M39" i="16"/>
  <c r="N39" i="16"/>
  <c r="O39" i="16"/>
  <c r="P39" i="16"/>
  <c r="Q39" i="16"/>
  <c r="R39" i="16"/>
  <c r="S39" i="16"/>
  <c r="T39" i="16"/>
  <c r="U39" i="16"/>
  <c r="V39" i="16"/>
  <c r="W39" i="16"/>
  <c r="X39" i="16"/>
  <c r="Y39" i="16"/>
  <c r="Z39" i="16"/>
  <c r="AA39" i="16"/>
  <c r="AB39" i="16"/>
  <c r="AC39" i="16"/>
  <c r="AD39" i="16"/>
  <c r="AE39" i="16"/>
  <c r="AF39" i="16"/>
  <c r="AG39" i="16"/>
  <c r="AH39" i="16"/>
  <c r="AI39" i="16"/>
  <c r="AJ39" i="16"/>
  <c r="AK39" i="16"/>
  <c r="AL39" i="16"/>
  <c r="AM39" i="16"/>
  <c r="AN39" i="16"/>
  <c r="AO39" i="16"/>
  <c r="AP39" i="16"/>
  <c r="K40" i="16"/>
  <c r="L40" i="16"/>
  <c r="M40" i="16"/>
  <c r="N40" i="16"/>
  <c r="O40" i="16"/>
  <c r="P40" i="16"/>
  <c r="Q40" i="16"/>
  <c r="R40" i="16"/>
  <c r="S40" i="16"/>
  <c r="T40" i="16"/>
  <c r="U40" i="16"/>
  <c r="V40" i="16"/>
  <c r="W40" i="16"/>
  <c r="X40" i="16"/>
  <c r="Y40" i="16"/>
  <c r="Z40" i="16"/>
  <c r="AA40" i="16"/>
  <c r="AB40" i="16"/>
  <c r="AC40" i="16"/>
  <c r="AD40" i="16"/>
  <c r="AE40" i="16"/>
  <c r="AF40" i="16"/>
  <c r="AG40" i="16"/>
  <c r="AH40" i="16"/>
  <c r="AI40" i="16"/>
  <c r="AJ40" i="16"/>
  <c r="AK40" i="16"/>
  <c r="AL40" i="16"/>
  <c r="AM40" i="16"/>
  <c r="AN40" i="16"/>
  <c r="AO40" i="16"/>
  <c r="AP40" i="16"/>
  <c r="K41" i="16"/>
  <c r="L41" i="16"/>
  <c r="M41" i="16"/>
  <c r="N41" i="16"/>
  <c r="O41" i="16"/>
  <c r="P41" i="16"/>
  <c r="Q41" i="16"/>
  <c r="R41" i="16"/>
  <c r="S41" i="16"/>
  <c r="T41" i="16"/>
  <c r="U41" i="16"/>
  <c r="V41" i="16"/>
  <c r="W41" i="16"/>
  <c r="X41" i="16"/>
  <c r="Y41" i="16"/>
  <c r="Z41" i="16"/>
  <c r="AA41" i="16"/>
  <c r="AB41" i="16"/>
  <c r="AC41" i="16"/>
  <c r="AD41" i="16"/>
  <c r="AE41" i="16"/>
  <c r="AF41" i="16"/>
  <c r="AG41" i="16"/>
  <c r="AH41" i="16"/>
  <c r="AI41" i="16"/>
  <c r="AJ41" i="16"/>
  <c r="AK41" i="16"/>
  <c r="AL41" i="16"/>
  <c r="AM41" i="16"/>
  <c r="AN41" i="16"/>
  <c r="AO41" i="16"/>
  <c r="AP41" i="16"/>
  <c r="L25" i="16"/>
  <c r="M25" i="16"/>
  <c r="N25" i="16"/>
  <c r="O25" i="16"/>
  <c r="P25" i="16"/>
  <c r="Q25" i="16"/>
  <c r="R25" i="16"/>
  <c r="S25" i="16"/>
  <c r="T25" i="16"/>
  <c r="U25" i="16"/>
  <c r="V25" i="16"/>
  <c r="W25" i="16"/>
  <c r="X25" i="16"/>
  <c r="Y25" i="16"/>
  <c r="Z25" i="16"/>
  <c r="AA25" i="16"/>
  <c r="AB25" i="16"/>
  <c r="AC25" i="16"/>
  <c r="AD25" i="16"/>
  <c r="AE25" i="16"/>
  <c r="AF25" i="16"/>
  <c r="AG25" i="16"/>
  <c r="AH25" i="16"/>
  <c r="AI25" i="16"/>
  <c r="AJ25" i="16"/>
  <c r="AK25" i="16"/>
  <c r="AL25" i="16"/>
  <c r="AM25" i="16"/>
  <c r="AN25" i="16"/>
  <c r="AO25" i="16"/>
  <c r="AP25" i="16"/>
  <c r="K25" i="16"/>
  <c r="K19" i="16"/>
  <c r="L19" i="16"/>
  <c r="M19" i="16"/>
  <c r="N19" i="16"/>
  <c r="O19" i="16"/>
  <c r="P19" i="16"/>
  <c r="Q19" i="16"/>
  <c r="R19" i="16"/>
  <c r="S19" i="16"/>
  <c r="T19" i="16"/>
  <c r="U19" i="16"/>
  <c r="V19" i="16"/>
  <c r="W19" i="16"/>
  <c r="X19" i="16"/>
  <c r="Y19" i="16"/>
  <c r="Z19" i="16"/>
  <c r="AA19" i="16"/>
  <c r="AB19" i="16"/>
  <c r="AC19" i="16"/>
  <c r="AD19" i="16"/>
  <c r="AE19" i="16"/>
  <c r="AF19" i="16"/>
  <c r="AG19" i="16"/>
  <c r="AH19" i="16"/>
  <c r="AI19" i="16"/>
  <c r="AJ19" i="16"/>
  <c r="AK19" i="16"/>
  <c r="AL19" i="16"/>
  <c r="AM19" i="16"/>
  <c r="AN19" i="16"/>
  <c r="AO19" i="16"/>
  <c r="AP19" i="16"/>
  <c r="K20" i="16"/>
  <c r="L20" i="16"/>
  <c r="M20" i="16"/>
  <c r="N20" i="16"/>
  <c r="O20" i="16"/>
  <c r="P20" i="16"/>
  <c r="Q20" i="16"/>
  <c r="R20" i="16"/>
  <c r="S20" i="16"/>
  <c r="T20" i="16"/>
  <c r="U20" i="16"/>
  <c r="V20" i="16"/>
  <c r="W20" i="16"/>
  <c r="X20" i="16"/>
  <c r="Y20" i="16"/>
  <c r="Z20" i="16"/>
  <c r="AA20" i="16"/>
  <c r="AB20" i="16"/>
  <c r="AC20" i="16"/>
  <c r="AD20" i="16"/>
  <c r="AE20" i="16"/>
  <c r="AF20" i="16"/>
  <c r="AG20" i="16"/>
  <c r="AH20" i="16"/>
  <c r="AI20" i="16"/>
  <c r="AJ20" i="16"/>
  <c r="AK20" i="16"/>
  <c r="AL20" i="16"/>
  <c r="AM20" i="16"/>
  <c r="AN20" i="16"/>
  <c r="AO20" i="16"/>
  <c r="AP20" i="16"/>
  <c r="K21" i="16"/>
  <c r="L21" i="16"/>
  <c r="M21" i="16"/>
  <c r="N21" i="16"/>
  <c r="O21" i="16"/>
  <c r="P21" i="16"/>
  <c r="Q21" i="16"/>
  <c r="R21" i="16"/>
  <c r="S21" i="16"/>
  <c r="T21" i="16"/>
  <c r="U21" i="16"/>
  <c r="V21" i="16"/>
  <c r="W21" i="16"/>
  <c r="X21" i="16"/>
  <c r="Y21" i="16"/>
  <c r="Z21" i="16"/>
  <c r="AA21" i="16"/>
  <c r="AB21" i="16"/>
  <c r="AC21" i="16"/>
  <c r="AD21" i="16"/>
  <c r="AE21" i="16"/>
  <c r="AF21" i="16"/>
  <c r="AG21" i="16"/>
  <c r="AH21" i="16"/>
  <c r="AI21" i="16"/>
  <c r="AJ21" i="16"/>
  <c r="AK21" i="16"/>
  <c r="AL21" i="16"/>
  <c r="AM21" i="16"/>
  <c r="AN21" i="16"/>
  <c r="AO21" i="16"/>
  <c r="AP21" i="16"/>
  <c r="K22" i="16"/>
  <c r="L22" i="16"/>
  <c r="M22" i="16"/>
  <c r="N22" i="16"/>
  <c r="O22" i="16"/>
  <c r="P22" i="16"/>
  <c r="Q22" i="16"/>
  <c r="R22" i="16"/>
  <c r="S22" i="16"/>
  <c r="T22" i="16"/>
  <c r="U22" i="16"/>
  <c r="V22" i="16"/>
  <c r="W22" i="16"/>
  <c r="X22" i="16"/>
  <c r="Y22" i="16"/>
  <c r="Z22" i="16"/>
  <c r="AA22" i="16"/>
  <c r="AB22" i="16"/>
  <c r="AC22" i="16"/>
  <c r="AD22" i="16"/>
  <c r="AE22" i="16"/>
  <c r="AF22" i="16"/>
  <c r="AG22" i="16"/>
  <c r="AH22" i="16"/>
  <c r="AI22" i="16"/>
  <c r="AJ22" i="16"/>
  <c r="AK22" i="16"/>
  <c r="AL22" i="16"/>
  <c r="AM22" i="16"/>
  <c r="AN22" i="16"/>
  <c r="AO22" i="16"/>
  <c r="AP22" i="16"/>
  <c r="K23" i="16"/>
  <c r="L23" i="16"/>
  <c r="M23" i="16"/>
  <c r="N23" i="16"/>
  <c r="O23" i="16"/>
  <c r="P23" i="16"/>
  <c r="Q23" i="16"/>
  <c r="R23" i="16"/>
  <c r="S23" i="16"/>
  <c r="T23" i="16"/>
  <c r="U23" i="16"/>
  <c r="V23" i="16"/>
  <c r="W23" i="16"/>
  <c r="X23" i="16"/>
  <c r="Y23" i="16"/>
  <c r="Z23" i="16"/>
  <c r="AA23" i="16"/>
  <c r="AB23" i="16"/>
  <c r="AC23" i="16"/>
  <c r="AD23" i="16"/>
  <c r="AE23" i="16"/>
  <c r="AF23" i="16"/>
  <c r="AG23" i="16"/>
  <c r="AH23" i="16"/>
  <c r="AI23" i="16"/>
  <c r="AJ23" i="16"/>
  <c r="AK23" i="16"/>
  <c r="AL23" i="16"/>
  <c r="AM23" i="16"/>
  <c r="AN23" i="16"/>
  <c r="AO23" i="16"/>
  <c r="AP23" i="16"/>
  <c r="L18" i="16"/>
  <c r="M18" i="16"/>
  <c r="N18" i="16"/>
  <c r="O18" i="16"/>
  <c r="P18" i="16"/>
  <c r="Q18" i="16"/>
  <c r="R18" i="16"/>
  <c r="S18" i="16"/>
  <c r="T18" i="16"/>
  <c r="U18" i="16"/>
  <c r="V18" i="16"/>
  <c r="W18" i="16"/>
  <c r="X18" i="16"/>
  <c r="Y18" i="16"/>
  <c r="Z18" i="16"/>
  <c r="AA18" i="16"/>
  <c r="AB18" i="16"/>
  <c r="AC18" i="16"/>
  <c r="AD18" i="16"/>
  <c r="AE18" i="16"/>
  <c r="AF18" i="16"/>
  <c r="AG18" i="16"/>
  <c r="AH18" i="16"/>
  <c r="AI18" i="16"/>
  <c r="AJ18" i="16"/>
  <c r="AK18" i="16"/>
  <c r="AL18" i="16"/>
  <c r="AM18" i="16"/>
  <c r="AN18" i="16"/>
  <c r="AO18" i="16"/>
  <c r="AP18" i="16"/>
  <c r="K18" i="16"/>
  <c r="F57" i="16"/>
  <c r="G57" i="16"/>
  <c r="H57" i="16"/>
  <c r="I57" i="16"/>
  <c r="F58" i="16"/>
  <c r="G58" i="16"/>
  <c r="H58" i="16"/>
  <c r="I58" i="16"/>
  <c r="F59" i="16"/>
  <c r="G59" i="16"/>
  <c r="H59" i="16"/>
  <c r="I59" i="16"/>
  <c r="G56" i="16"/>
  <c r="H56" i="16"/>
  <c r="I56" i="16"/>
  <c r="F56" i="16"/>
  <c r="F54" i="16"/>
  <c r="G54" i="16"/>
  <c r="H54" i="16"/>
  <c r="I54" i="16"/>
  <c r="G53" i="16"/>
  <c r="H53" i="16"/>
  <c r="I53" i="16"/>
  <c r="F53" i="16"/>
  <c r="F48" i="16"/>
  <c r="G48" i="16"/>
  <c r="H48" i="16"/>
  <c r="I48" i="16"/>
  <c r="F49" i="16"/>
  <c r="G49" i="16"/>
  <c r="H49" i="16"/>
  <c r="I49" i="16"/>
  <c r="F50" i="16"/>
  <c r="G50" i="16"/>
  <c r="H50" i="16"/>
  <c r="I50" i="16"/>
  <c r="F51" i="16"/>
  <c r="G51" i="16"/>
  <c r="H51" i="16"/>
  <c r="I51" i="16"/>
  <c r="G47" i="16"/>
  <c r="H47" i="16"/>
  <c r="I47" i="16"/>
  <c r="F47" i="16"/>
  <c r="F44" i="16"/>
  <c r="G44" i="16"/>
  <c r="H44" i="16"/>
  <c r="I44" i="16"/>
  <c r="F45" i="16"/>
  <c r="G45" i="16"/>
  <c r="H45" i="16"/>
  <c r="I45" i="16"/>
  <c r="G43" i="16"/>
  <c r="H43" i="16"/>
  <c r="I43" i="16"/>
  <c r="F43" i="16"/>
  <c r="F26" i="16"/>
  <c r="G26" i="16"/>
  <c r="H26" i="16"/>
  <c r="I26" i="16"/>
  <c r="F27" i="16"/>
  <c r="G27" i="16"/>
  <c r="H27" i="16"/>
  <c r="I27" i="16"/>
  <c r="F28" i="16"/>
  <c r="G28" i="16"/>
  <c r="H28" i="16"/>
  <c r="I28" i="16"/>
  <c r="F29" i="16"/>
  <c r="G29" i="16"/>
  <c r="H29" i="16"/>
  <c r="I29" i="16"/>
  <c r="F30" i="16"/>
  <c r="G30" i="16"/>
  <c r="H30" i="16"/>
  <c r="I30" i="16"/>
  <c r="F31" i="16"/>
  <c r="G31" i="16"/>
  <c r="H31" i="16"/>
  <c r="I31" i="16"/>
  <c r="F32" i="16"/>
  <c r="G32" i="16"/>
  <c r="H32" i="16"/>
  <c r="I32" i="16"/>
  <c r="F33" i="16"/>
  <c r="G33" i="16"/>
  <c r="H33" i="16"/>
  <c r="I33" i="16"/>
  <c r="F34" i="16"/>
  <c r="G34" i="16"/>
  <c r="H34" i="16"/>
  <c r="I34" i="16"/>
  <c r="F35" i="16"/>
  <c r="G35" i="16"/>
  <c r="H35" i="16"/>
  <c r="I35" i="16"/>
  <c r="F36" i="16"/>
  <c r="G36" i="16"/>
  <c r="H36" i="16"/>
  <c r="I36" i="16"/>
  <c r="F37" i="16"/>
  <c r="G37" i="16"/>
  <c r="H37" i="16"/>
  <c r="I37" i="16"/>
  <c r="F38" i="16"/>
  <c r="G38" i="16"/>
  <c r="H38" i="16"/>
  <c r="I38" i="16"/>
  <c r="F39" i="16"/>
  <c r="G39" i="16"/>
  <c r="H39" i="16"/>
  <c r="I39" i="16"/>
  <c r="F40" i="16"/>
  <c r="G40" i="16"/>
  <c r="H40" i="16"/>
  <c r="I40" i="16"/>
  <c r="F41" i="16"/>
  <c r="G41" i="16"/>
  <c r="H41" i="16"/>
  <c r="I41" i="16"/>
  <c r="G25" i="16"/>
  <c r="H25" i="16"/>
  <c r="I25" i="16"/>
  <c r="F25" i="16"/>
  <c r="F19" i="16"/>
  <c r="G19" i="16"/>
  <c r="H19" i="16"/>
  <c r="I19" i="16"/>
  <c r="F20" i="16"/>
  <c r="G20" i="16"/>
  <c r="H20" i="16"/>
  <c r="I20" i="16"/>
  <c r="F21" i="16"/>
  <c r="G21" i="16"/>
  <c r="H21" i="16"/>
  <c r="I21" i="16"/>
  <c r="F22" i="16"/>
  <c r="G22" i="16"/>
  <c r="H22" i="16"/>
  <c r="I22" i="16"/>
  <c r="F23" i="16"/>
  <c r="G23" i="16"/>
  <c r="H23" i="16"/>
  <c r="I23" i="16"/>
  <c r="G18" i="16"/>
  <c r="H18" i="16"/>
  <c r="I18" i="16"/>
  <c r="F18" i="16"/>
  <c r="K57" i="15"/>
  <c r="L57" i="15"/>
  <c r="M57" i="15"/>
  <c r="N57" i="15"/>
  <c r="O57" i="15"/>
  <c r="P57" i="15"/>
  <c r="Q57" i="15"/>
  <c r="R57" i="15"/>
  <c r="S57" i="15"/>
  <c r="T57" i="15"/>
  <c r="U57" i="15"/>
  <c r="V57" i="15"/>
  <c r="W57" i="15"/>
  <c r="X57" i="15"/>
  <c r="Y57" i="15"/>
  <c r="Z57" i="15"/>
  <c r="AA57" i="15"/>
  <c r="AB57" i="15"/>
  <c r="AC57" i="15"/>
  <c r="AD57" i="15"/>
  <c r="AE57" i="15"/>
  <c r="AF57" i="15"/>
  <c r="AG57" i="15"/>
  <c r="AH57" i="15"/>
  <c r="AI57" i="15"/>
  <c r="AJ57" i="15"/>
  <c r="AK57" i="15"/>
  <c r="AL57" i="15"/>
  <c r="AM57" i="15"/>
  <c r="AN57" i="15"/>
  <c r="AO57" i="15"/>
  <c r="AP57" i="15"/>
  <c r="K58" i="15"/>
  <c r="L58" i="15"/>
  <c r="M58" i="15"/>
  <c r="N58" i="15"/>
  <c r="O58" i="15"/>
  <c r="P58" i="15"/>
  <c r="Q58" i="15"/>
  <c r="R58" i="15"/>
  <c r="S58" i="15"/>
  <c r="T58" i="15"/>
  <c r="U58" i="15"/>
  <c r="V58" i="15"/>
  <c r="W58" i="15"/>
  <c r="X58" i="15"/>
  <c r="Y58" i="15"/>
  <c r="Z58" i="15"/>
  <c r="AA58" i="15"/>
  <c r="AB58" i="15"/>
  <c r="AC58" i="15"/>
  <c r="AD58" i="15"/>
  <c r="AE58" i="15"/>
  <c r="AF58" i="15"/>
  <c r="AG58" i="15"/>
  <c r="AH58" i="15"/>
  <c r="AI58" i="15"/>
  <c r="AJ58" i="15"/>
  <c r="AK58" i="15"/>
  <c r="AL58" i="15"/>
  <c r="AM58" i="15"/>
  <c r="AN58" i="15"/>
  <c r="AO58" i="15"/>
  <c r="AP58" i="15"/>
  <c r="L56" i="15"/>
  <c r="M56" i="15"/>
  <c r="N56" i="15"/>
  <c r="O56" i="15"/>
  <c r="P56" i="15"/>
  <c r="Q56" i="15"/>
  <c r="R56" i="15"/>
  <c r="S56" i="15"/>
  <c r="T56" i="15"/>
  <c r="U56" i="15"/>
  <c r="V56" i="15"/>
  <c r="W56" i="15"/>
  <c r="X56" i="15"/>
  <c r="Y56" i="15"/>
  <c r="Z56" i="15"/>
  <c r="AA56" i="15"/>
  <c r="AB56" i="15"/>
  <c r="AC56" i="15"/>
  <c r="AD56" i="15"/>
  <c r="AE56" i="15"/>
  <c r="AF56" i="15"/>
  <c r="AG56" i="15"/>
  <c r="AH56" i="15"/>
  <c r="AI56" i="15"/>
  <c r="AJ56" i="15"/>
  <c r="AK56" i="15"/>
  <c r="AL56" i="15"/>
  <c r="AM56" i="15"/>
  <c r="AN56" i="15"/>
  <c r="AO56" i="15"/>
  <c r="AP56" i="15"/>
  <c r="K56" i="15"/>
  <c r="K54" i="15"/>
  <c r="L54" i="15"/>
  <c r="M54" i="15"/>
  <c r="N54" i="15"/>
  <c r="O54" i="15"/>
  <c r="P54" i="15"/>
  <c r="Q54" i="15"/>
  <c r="R54" i="15"/>
  <c r="S54" i="15"/>
  <c r="T54" i="15"/>
  <c r="U54" i="15"/>
  <c r="V54" i="15"/>
  <c r="W54" i="15"/>
  <c r="X54" i="15"/>
  <c r="Y54" i="15"/>
  <c r="Z54" i="15"/>
  <c r="AA54" i="15"/>
  <c r="AB54" i="15"/>
  <c r="AC54" i="15"/>
  <c r="AD54" i="15"/>
  <c r="AE54" i="15"/>
  <c r="AF54" i="15"/>
  <c r="AG54" i="15"/>
  <c r="AH54" i="15"/>
  <c r="AI54" i="15"/>
  <c r="AJ54" i="15"/>
  <c r="AK54" i="15"/>
  <c r="AL54" i="15"/>
  <c r="AM54" i="15"/>
  <c r="AN54" i="15"/>
  <c r="AO54" i="15"/>
  <c r="AP54" i="15"/>
  <c r="L53" i="15"/>
  <c r="M53" i="15"/>
  <c r="N53" i="15"/>
  <c r="O53" i="15"/>
  <c r="O52" i="15" s="1"/>
  <c r="P53" i="15"/>
  <c r="Q53" i="15"/>
  <c r="R53" i="15"/>
  <c r="S53" i="15"/>
  <c r="T53" i="15"/>
  <c r="U53" i="15"/>
  <c r="V53" i="15"/>
  <c r="W53" i="15"/>
  <c r="X53" i="15"/>
  <c r="Y53" i="15"/>
  <c r="Z53" i="15"/>
  <c r="AA53" i="15"/>
  <c r="AA52" i="15" s="1"/>
  <c r="AB53" i="15"/>
  <c r="AC53" i="15"/>
  <c r="AD53" i="15"/>
  <c r="AE53" i="15"/>
  <c r="AF53" i="15"/>
  <c r="AG53" i="15"/>
  <c r="AH53" i="15"/>
  <c r="AI53" i="15"/>
  <c r="AJ53" i="15"/>
  <c r="AK53" i="15"/>
  <c r="AL53" i="15"/>
  <c r="AM53" i="15"/>
  <c r="AM52" i="15" s="1"/>
  <c r="AN53" i="15"/>
  <c r="AO53" i="15"/>
  <c r="AP53" i="15"/>
  <c r="K53" i="15"/>
  <c r="K48" i="15"/>
  <c r="L48" i="15"/>
  <c r="M48" i="15"/>
  <c r="N48" i="15"/>
  <c r="O48" i="15"/>
  <c r="P48" i="15"/>
  <c r="Q48" i="15"/>
  <c r="R48" i="15"/>
  <c r="S48" i="15"/>
  <c r="T48" i="15"/>
  <c r="U48" i="15"/>
  <c r="V48" i="15"/>
  <c r="W48" i="15"/>
  <c r="X48" i="15"/>
  <c r="Y48" i="15"/>
  <c r="Z48" i="15"/>
  <c r="AA48" i="15"/>
  <c r="AB48" i="15"/>
  <c r="AC48" i="15"/>
  <c r="AD48" i="15"/>
  <c r="AE48" i="15"/>
  <c r="AF48" i="15"/>
  <c r="AG48" i="15"/>
  <c r="AH48" i="15"/>
  <c r="AI48" i="15"/>
  <c r="AJ48" i="15"/>
  <c r="AK48" i="15"/>
  <c r="AL48" i="15"/>
  <c r="AM48" i="15"/>
  <c r="AN48" i="15"/>
  <c r="AO48" i="15"/>
  <c r="AP48" i="15"/>
  <c r="K49" i="15"/>
  <c r="L49" i="15"/>
  <c r="M49" i="15"/>
  <c r="N49" i="15"/>
  <c r="O49" i="15"/>
  <c r="P49" i="15"/>
  <c r="Q49" i="15"/>
  <c r="R49" i="15"/>
  <c r="S49" i="15"/>
  <c r="T49" i="15"/>
  <c r="U49" i="15"/>
  <c r="V49" i="15"/>
  <c r="W49" i="15"/>
  <c r="X49" i="15"/>
  <c r="Y49" i="15"/>
  <c r="Z49" i="15"/>
  <c r="AA49" i="15"/>
  <c r="AB49" i="15"/>
  <c r="AC49" i="15"/>
  <c r="AD49" i="15"/>
  <c r="AE49" i="15"/>
  <c r="AF49" i="15"/>
  <c r="AG49" i="15"/>
  <c r="AH49" i="15"/>
  <c r="AI49" i="15"/>
  <c r="AJ49" i="15"/>
  <c r="AK49" i="15"/>
  <c r="AL49" i="15"/>
  <c r="AM49" i="15"/>
  <c r="AN49" i="15"/>
  <c r="AO49" i="15"/>
  <c r="AP49" i="15"/>
  <c r="K50" i="15"/>
  <c r="L50" i="15"/>
  <c r="M50" i="15"/>
  <c r="N50" i="15"/>
  <c r="O50" i="15"/>
  <c r="P50" i="15"/>
  <c r="Q50" i="15"/>
  <c r="R50" i="15"/>
  <c r="S50" i="15"/>
  <c r="T50" i="15"/>
  <c r="U50" i="15"/>
  <c r="V50" i="15"/>
  <c r="W50" i="15"/>
  <c r="X50" i="15"/>
  <c r="Y50" i="15"/>
  <c r="Z50" i="15"/>
  <c r="AA50" i="15"/>
  <c r="AB50" i="15"/>
  <c r="AC50" i="15"/>
  <c r="AD50" i="15"/>
  <c r="AE50" i="15"/>
  <c r="AF50" i="15"/>
  <c r="AG50" i="15"/>
  <c r="AH50" i="15"/>
  <c r="AI50" i="15"/>
  <c r="AJ50" i="15"/>
  <c r="AK50" i="15"/>
  <c r="AL50" i="15"/>
  <c r="AM50" i="15"/>
  <c r="AN50" i="15"/>
  <c r="AO50" i="15"/>
  <c r="AP50" i="15"/>
  <c r="K51" i="15"/>
  <c r="L51" i="15"/>
  <c r="M51" i="15"/>
  <c r="N51" i="15"/>
  <c r="O51" i="15"/>
  <c r="P51" i="15"/>
  <c r="Q51" i="15"/>
  <c r="R51" i="15"/>
  <c r="S51" i="15"/>
  <c r="T51" i="15"/>
  <c r="U51" i="15"/>
  <c r="V51" i="15"/>
  <c r="W51" i="15"/>
  <c r="X51" i="15"/>
  <c r="Y51" i="15"/>
  <c r="Z51" i="15"/>
  <c r="AA51" i="15"/>
  <c r="AB51" i="15"/>
  <c r="AC51" i="15"/>
  <c r="AD51" i="15"/>
  <c r="AE51" i="15"/>
  <c r="AF51" i="15"/>
  <c r="AG51" i="15"/>
  <c r="AH51" i="15"/>
  <c r="AI51" i="15"/>
  <c r="AJ51" i="15"/>
  <c r="AK51" i="15"/>
  <c r="AL51" i="15"/>
  <c r="AM51" i="15"/>
  <c r="AN51" i="15"/>
  <c r="AO51" i="15"/>
  <c r="AP51" i="15"/>
  <c r="L47" i="15"/>
  <c r="M47" i="15"/>
  <c r="N47" i="15"/>
  <c r="O47" i="15"/>
  <c r="P47" i="15"/>
  <c r="Q47" i="15"/>
  <c r="R47" i="15"/>
  <c r="S47" i="15"/>
  <c r="T47" i="15"/>
  <c r="U47" i="15"/>
  <c r="V47" i="15"/>
  <c r="W47" i="15"/>
  <c r="X47" i="15"/>
  <c r="Y47" i="15"/>
  <c r="Z47" i="15"/>
  <c r="AA47" i="15"/>
  <c r="AB47" i="15"/>
  <c r="AC47" i="15"/>
  <c r="AD47" i="15"/>
  <c r="AE47" i="15"/>
  <c r="AF47" i="15"/>
  <c r="AG47" i="15"/>
  <c r="AH47" i="15"/>
  <c r="AI47" i="15"/>
  <c r="AJ47" i="15"/>
  <c r="AK47" i="15"/>
  <c r="AL47" i="15"/>
  <c r="AM47" i="15"/>
  <c r="AN47" i="15"/>
  <c r="AO47" i="15"/>
  <c r="AP47" i="15"/>
  <c r="K47" i="15"/>
  <c r="K44" i="15"/>
  <c r="L44" i="15"/>
  <c r="M44" i="15"/>
  <c r="N44" i="15"/>
  <c r="O44" i="15"/>
  <c r="P44" i="15"/>
  <c r="Q44" i="15"/>
  <c r="R44" i="15"/>
  <c r="S44" i="15"/>
  <c r="T44" i="15"/>
  <c r="U44" i="15"/>
  <c r="V44" i="15"/>
  <c r="W44" i="15"/>
  <c r="X44" i="15"/>
  <c r="Y44" i="15"/>
  <c r="Z44" i="15"/>
  <c r="AA44" i="15"/>
  <c r="AB44" i="15"/>
  <c r="AC44" i="15"/>
  <c r="AD44" i="15"/>
  <c r="AE44" i="15"/>
  <c r="AF44" i="15"/>
  <c r="AG44" i="15"/>
  <c r="AH44" i="15"/>
  <c r="AI44" i="15"/>
  <c r="AJ44" i="15"/>
  <c r="AK44" i="15"/>
  <c r="AL44" i="15"/>
  <c r="AM44" i="15"/>
  <c r="AN44" i="15"/>
  <c r="AO44" i="15"/>
  <c r="AP44" i="15"/>
  <c r="K45" i="15"/>
  <c r="L45" i="15"/>
  <c r="M45" i="15"/>
  <c r="N45" i="15"/>
  <c r="O45" i="15"/>
  <c r="P45" i="15"/>
  <c r="Q45" i="15"/>
  <c r="R45" i="15"/>
  <c r="S45" i="15"/>
  <c r="T45" i="15"/>
  <c r="U45" i="15"/>
  <c r="V45" i="15"/>
  <c r="W45" i="15"/>
  <c r="X45" i="15"/>
  <c r="Y45" i="15"/>
  <c r="Z45" i="15"/>
  <c r="AA45" i="15"/>
  <c r="AB45" i="15"/>
  <c r="AC45" i="15"/>
  <c r="AD45" i="15"/>
  <c r="AE45" i="15"/>
  <c r="AF45" i="15"/>
  <c r="AG45" i="15"/>
  <c r="AH45" i="15"/>
  <c r="AI45" i="15"/>
  <c r="AJ45" i="15"/>
  <c r="AK45" i="15"/>
  <c r="AL45" i="15"/>
  <c r="AM45" i="15"/>
  <c r="AN45" i="15"/>
  <c r="AO45" i="15"/>
  <c r="AP45" i="15"/>
  <c r="L43" i="15"/>
  <c r="M43" i="15"/>
  <c r="N43" i="15"/>
  <c r="O43" i="15"/>
  <c r="P43" i="15"/>
  <c r="Q43" i="15"/>
  <c r="R43" i="15"/>
  <c r="S43" i="15"/>
  <c r="T43" i="15"/>
  <c r="U43" i="15"/>
  <c r="V43" i="15"/>
  <c r="W43" i="15"/>
  <c r="X43" i="15"/>
  <c r="Y43" i="15"/>
  <c r="Z43" i="15"/>
  <c r="AA43" i="15"/>
  <c r="AB43" i="15"/>
  <c r="AC43" i="15"/>
  <c r="AD43" i="15"/>
  <c r="AE43" i="15"/>
  <c r="AF43" i="15"/>
  <c r="AG43" i="15"/>
  <c r="AH43" i="15"/>
  <c r="AI43" i="15"/>
  <c r="AJ43" i="15"/>
  <c r="AK43" i="15"/>
  <c r="AL43" i="15"/>
  <c r="AM43" i="15"/>
  <c r="AN43" i="15"/>
  <c r="AO43" i="15"/>
  <c r="AP43" i="15"/>
  <c r="K43" i="15"/>
  <c r="K26" i="15"/>
  <c r="L26" i="15"/>
  <c r="M26" i="15"/>
  <c r="N26" i="15"/>
  <c r="O26" i="15"/>
  <c r="P26" i="15"/>
  <c r="Q26" i="15"/>
  <c r="R26" i="15"/>
  <c r="S26" i="15"/>
  <c r="T26" i="15"/>
  <c r="U26" i="15"/>
  <c r="V26" i="15"/>
  <c r="W26" i="15"/>
  <c r="X26" i="15"/>
  <c r="Y26" i="15"/>
  <c r="Z26" i="15"/>
  <c r="AA26" i="15"/>
  <c r="AB26" i="15"/>
  <c r="AC26" i="15"/>
  <c r="AD26" i="15"/>
  <c r="AE26" i="15"/>
  <c r="AF26" i="15"/>
  <c r="AG26" i="15"/>
  <c r="AH26" i="15"/>
  <c r="AI26" i="15"/>
  <c r="AJ26" i="15"/>
  <c r="AK26" i="15"/>
  <c r="AL26" i="15"/>
  <c r="AM26" i="15"/>
  <c r="AN26" i="15"/>
  <c r="AO26" i="15"/>
  <c r="AP26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X27" i="15"/>
  <c r="Y27" i="15"/>
  <c r="Z27" i="15"/>
  <c r="AA27" i="15"/>
  <c r="AB27" i="15"/>
  <c r="AC27" i="15"/>
  <c r="AD27" i="15"/>
  <c r="AE27" i="15"/>
  <c r="AF27" i="15"/>
  <c r="AG27" i="15"/>
  <c r="AH27" i="15"/>
  <c r="AI27" i="15"/>
  <c r="AJ27" i="15"/>
  <c r="AK27" i="15"/>
  <c r="AL27" i="15"/>
  <c r="AM27" i="15"/>
  <c r="AN27" i="15"/>
  <c r="AO27" i="15"/>
  <c r="AP27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X28" i="15"/>
  <c r="Y28" i="15"/>
  <c r="Z28" i="15"/>
  <c r="AA28" i="15"/>
  <c r="AB28" i="15"/>
  <c r="AC28" i="15"/>
  <c r="AD28" i="15"/>
  <c r="AE28" i="15"/>
  <c r="AF28" i="15"/>
  <c r="AG28" i="15"/>
  <c r="AH28" i="15"/>
  <c r="AI28" i="15"/>
  <c r="AJ28" i="15"/>
  <c r="AK28" i="15"/>
  <c r="AL28" i="15"/>
  <c r="AM28" i="15"/>
  <c r="AN28" i="15"/>
  <c r="AO28" i="15"/>
  <c r="AP28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X29" i="15"/>
  <c r="Y29" i="15"/>
  <c r="Z29" i="15"/>
  <c r="AA29" i="15"/>
  <c r="AB29" i="15"/>
  <c r="AC29" i="15"/>
  <c r="AD29" i="15"/>
  <c r="AE29" i="15"/>
  <c r="AF29" i="15"/>
  <c r="AG29" i="15"/>
  <c r="AH29" i="15"/>
  <c r="AI29" i="15"/>
  <c r="AJ29" i="15"/>
  <c r="AK29" i="15"/>
  <c r="AL29" i="15"/>
  <c r="AM29" i="15"/>
  <c r="AN29" i="15"/>
  <c r="AO29" i="15"/>
  <c r="AP29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X30" i="15"/>
  <c r="Y30" i="15"/>
  <c r="Z30" i="15"/>
  <c r="AA30" i="15"/>
  <c r="AB30" i="15"/>
  <c r="AC30" i="15"/>
  <c r="AD30" i="15"/>
  <c r="AE30" i="15"/>
  <c r="AF30" i="15"/>
  <c r="AG30" i="15"/>
  <c r="AH30" i="15"/>
  <c r="AI30" i="15"/>
  <c r="AJ30" i="15"/>
  <c r="AK30" i="15"/>
  <c r="AL30" i="15"/>
  <c r="AM30" i="15"/>
  <c r="AN30" i="15"/>
  <c r="AO30" i="15"/>
  <c r="AP30" i="15"/>
  <c r="K31" i="15"/>
  <c r="L31" i="15"/>
  <c r="M31" i="15"/>
  <c r="N31" i="15"/>
  <c r="O31" i="15"/>
  <c r="P31" i="15"/>
  <c r="Q31" i="15"/>
  <c r="R31" i="15"/>
  <c r="S31" i="15"/>
  <c r="T31" i="15"/>
  <c r="U31" i="15"/>
  <c r="V31" i="15"/>
  <c r="W31" i="15"/>
  <c r="X31" i="15"/>
  <c r="Y31" i="15"/>
  <c r="Z31" i="15"/>
  <c r="AA31" i="15"/>
  <c r="AB31" i="15"/>
  <c r="AC31" i="15"/>
  <c r="AD31" i="15"/>
  <c r="AE31" i="15"/>
  <c r="AF31" i="15"/>
  <c r="AG31" i="15"/>
  <c r="AH31" i="15"/>
  <c r="AI31" i="15"/>
  <c r="AJ31" i="15"/>
  <c r="AK31" i="15"/>
  <c r="AL31" i="15"/>
  <c r="AM31" i="15"/>
  <c r="AN31" i="15"/>
  <c r="AO31" i="15"/>
  <c r="AP31" i="15"/>
  <c r="K32" i="15"/>
  <c r="L32" i="15"/>
  <c r="M32" i="15"/>
  <c r="N32" i="15"/>
  <c r="O32" i="15"/>
  <c r="P32" i="15"/>
  <c r="Q32" i="15"/>
  <c r="R32" i="15"/>
  <c r="S32" i="15"/>
  <c r="T32" i="15"/>
  <c r="U32" i="15"/>
  <c r="V32" i="15"/>
  <c r="W32" i="15"/>
  <c r="X32" i="15"/>
  <c r="Y32" i="15"/>
  <c r="Z32" i="15"/>
  <c r="AA32" i="15"/>
  <c r="AB32" i="15"/>
  <c r="AC32" i="15"/>
  <c r="AD32" i="15"/>
  <c r="AE32" i="15"/>
  <c r="AF32" i="15"/>
  <c r="AG32" i="15"/>
  <c r="AH32" i="15"/>
  <c r="AI32" i="15"/>
  <c r="AJ32" i="15"/>
  <c r="AK32" i="15"/>
  <c r="AL32" i="15"/>
  <c r="AM32" i="15"/>
  <c r="AN32" i="15"/>
  <c r="AO32" i="15"/>
  <c r="AP32" i="15"/>
  <c r="K33" i="15"/>
  <c r="L33" i="15"/>
  <c r="M33" i="15"/>
  <c r="N33" i="15"/>
  <c r="O33" i="15"/>
  <c r="P33" i="15"/>
  <c r="Q33" i="15"/>
  <c r="R33" i="15"/>
  <c r="S33" i="15"/>
  <c r="T33" i="15"/>
  <c r="U33" i="15"/>
  <c r="V33" i="15"/>
  <c r="W33" i="15"/>
  <c r="X33" i="15"/>
  <c r="Y33" i="15"/>
  <c r="Z33" i="15"/>
  <c r="AA33" i="15"/>
  <c r="AB33" i="15"/>
  <c r="AC33" i="15"/>
  <c r="AD33" i="15"/>
  <c r="AE33" i="15"/>
  <c r="AF33" i="15"/>
  <c r="AG33" i="15"/>
  <c r="AH33" i="15"/>
  <c r="AI33" i="15"/>
  <c r="AJ33" i="15"/>
  <c r="AK33" i="15"/>
  <c r="AL33" i="15"/>
  <c r="AM33" i="15"/>
  <c r="AN33" i="15"/>
  <c r="AO33" i="15"/>
  <c r="AP33" i="15"/>
  <c r="K34" i="15"/>
  <c r="L34" i="15"/>
  <c r="M34" i="15"/>
  <c r="N34" i="15"/>
  <c r="O34" i="15"/>
  <c r="P34" i="15"/>
  <c r="Q34" i="15"/>
  <c r="R34" i="15"/>
  <c r="S34" i="15"/>
  <c r="T34" i="15"/>
  <c r="U34" i="15"/>
  <c r="V34" i="15"/>
  <c r="W34" i="15"/>
  <c r="X34" i="15"/>
  <c r="Y34" i="15"/>
  <c r="Z34" i="15"/>
  <c r="AA34" i="15"/>
  <c r="AB34" i="15"/>
  <c r="AC34" i="15"/>
  <c r="AD34" i="15"/>
  <c r="AE34" i="15"/>
  <c r="AF34" i="15"/>
  <c r="AG34" i="15"/>
  <c r="AH34" i="15"/>
  <c r="AI34" i="15"/>
  <c r="AJ34" i="15"/>
  <c r="AK34" i="15"/>
  <c r="AL34" i="15"/>
  <c r="AM34" i="15"/>
  <c r="AN34" i="15"/>
  <c r="AO34" i="15"/>
  <c r="AP34" i="15"/>
  <c r="K35" i="15"/>
  <c r="L35" i="15"/>
  <c r="M35" i="15"/>
  <c r="N35" i="15"/>
  <c r="O35" i="15"/>
  <c r="P35" i="15"/>
  <c r="Q35" i="15"/>
  <c r="R35" i="15"/>
  <c r="S35" i="15"/>
  <c r="T35" i="15"/>
  <c r="U35" i="15"/>
  <c r="V35" i="15"/>
  <c r="W35" i="15"/>
  <c r="X35" i="15"/>
  <c r="Y35" i="15"/>
  <c r="Z35" i="15"/>
  <c r="AA35" i="15"/>
  <c r="AB35" i="15"/>
  <c r="AC35" i="15"/>
  <c r="AD35" i="15"/>
  <c r="AE35" i="15"/>
  <c r="AF35" i="15"/>
  <c r="AG35" i="15"/>
  <c r="AH35" i="15"/>
  <c r="AI35" i="15"/>
  <c r="AJ35" i="15"/>
  <c r="AK35" i="15"/>
  <c r="AL35" i="15"/>
  <c r="AM35" i="15"/>
  <c r="AN35" i="15"/>
  <c r="AO35" i="15"/>
  <c r="AP35" i="15"/>
  <c r="K36" i="15"/>
  <c r="L36" i="15"/>
  <c r="M36" i="15"/>
  <c r="N36" i="15"/>
  <c r="O36" i="15"/>
  <c r="P36" i="15"/>
  <c r="Q36" i="15"/>
  <c r="R36" i="15"/>
  <c r="S36" i="15"/>
  <c r="T36" i="15"/>
  <c r="U36" i="15"/>
  <c r="V36" i="15"/>
  <c r="W36" i="15"/>
  <c r="X36" i="15"/>
  <c r="Y36" i="15"/>
  <c r="Z36" i="15"/>
  <c r="AA36" i="15"/>
  <c r="AB36" i="15"/>
  <c r="AC36" i="15"/>
  <c r="AD36" i="15"/>
  <c r="AE36" i="15"/>
  <c r="AF36" i="15"/>
  <c r="AG36" i="15"/>
  <c r="AH36" i="15"/>
  <c r="AI36" i="15"/>
  <c r="AJ36" i="15"/>
  <c r="AK36" i="15"/>
  <c r="AL36" i="15"/>
  <c r="AM36" i="15"/>
  <c r="AN36" i="15"/>
  <c r="AO36" i="15"/>
  <c r="AP36" i="15"/>
  <c r="K37" i="15"/>
  <c r="L37" i="15"/>
  <c r="M37" i="15"/>
  <c r="N37" i="15"/>
  <c r="O37" i="15"/>
  <c r="P37" i="15"/>
  <c r="Q37" i="15"/>
  <c r="R37" i="15"/>
  <c r="S37" i="15"/>
  <c r="T37" i="15"/>
  <c r="U37" i="15"/>
  <c r="V37" i="15"/>
  <c r="W37" i="15"/>
  <c r="X37" i="15"/>
  <c r="Y37" i="15"/>
  <c r="Z37" i="15"/>
  <c r="AA37" i="15"/>
  <c r="AB37" i="15"/>
  <c r="AC37" i="15"/>
  <c r="AD37" i="15"/>
  <c r="AE37" i="15"/>
  <c r="AF37" i="15"/>
  <c r="AG37" i="15"/>
  <c r="AH37" i="15"/>
  <c r="AI37" i="15"/>
  <c r="AJ37" i="15"/>
  <c r="AK37" i="15"/>
  <c r="AL37" i="15"/>
  <c r="AM37" i="15"/>
  <c r="AN37" i="15"/>
  <c r="AO37" i="15"/>
  <c r="AP37" i="15"/>
  <c r="K38" i="15"/>
  <c r="L38" i="15"/>
  <c r="M38" i="15"/>
  <c r="N38" i="15"/>
  <c r="O38" i="15"/>
  <c r="P38" i="15"/>
  <c r="Q38" i="15"/>
  <c r="R38" i="15"/>
  <c r="S38" i="15"/>
  <c r="T38" i="15"/>
  <c r="U38" i="15"/>
  <c r="V38" i="15"/>
  <c r="W38" i="15"/>
  <c r="X38" i="15"/>
  <c r="Y38" i="15"/>
  <c r="Z38" i="15"/>
  <c r="AA38" i="15"/>
  <c r="AB38" i="15"/>
  <c r="AC38" i="15"/>
  <c r="AD38" i="15"/>
  <c r="AE38" i="15"/>
  <c r="AF38" i="15"/>
  <c r="AG38" i="15"/>
  <c r="AH38" i="15"/>
  <c r="AI38" i="15"/>
  <c r="AJ38" i="15"/>
  <c r="AK38" i="15"/>
  <c r="AL38" i="15"/>
  <c r="AM38" i="15"/>
  <c r="AN38" i="15"/>
  <c r="AO38" i="15"/>
  <c r="AP38" i="15"/>
  <c r="K39" i="15"/>
  <c r="L39" i="15"/>
  <c r="M39" i="15"/>
  <c r="N39" i="15"/>
  <c r="O39" i="15"/>
  <c r="P39" i="15"/>
  <c r="Q39" i="15"/>
  <c r="R39" i="15"/>
  <c r="S39" i="15"/>
  <c r="T39" i="15"/>
  <c r="U39" i="15"/>
  <c r="V39" i="15"/>
  <c r="W39" i="15"/>
  <c r="X39" i="15"/>
  <c r="Y39" i="15"/>
  <c r="Z39" i="15"/>
  <c r="AA39" i="15"/>
  <c r="AB39" i="15"/>
  <c r="AC39" i="15"/>
  <c r="AD39" i="15"/>
  <c r="AE39" i="15"/>
  <c r="AF39" i="15"/>
  <c r="AG39" i="15"/>
  <c r="AH39" i="15"/>
  <c r="AI39" i="15"/>
  <c r="AJ39" i="15"/>
  <c r="AK39" i="15"/>
  <c r="AL39" i="15"/>
  <c r="AM39" i="15"/>
  <c r="AN39" i="15"/>
  <c r="AO39" i="15"/>
  <c r="AP39" i="15"/>
  <c r="K40" i="15"/>
  <c r="L40" i="15"/>
  <c r="M40" i="15"/>
  <c r="N40" i="15"/>
  <c r="O40" i="15"/>
  <c r="P40" i="15"/>
  <c r="Q40" i="15"/>
  <c r="R40" i="15"/>
  <c r="S40" i="15"/>
  <c r="T40" i="15"/>
  <c r="U40" i="15"/>
  <c r="V40" i="15"/>
  <c r="W40" i="15"/>
  <c r="X40" i="15"/>
  <c r="Y40" i="15"/>
  <c r="Z40" i="15"/>
  <c r="AA40" i="15"/>
  <c r="AB40" i="15"/>
  <c r="AC40" i="15"/>
  <c r="AD40" i="15"/>
  <c r="AE40" i="15"/>
  <c r="AF40" i="15"/>
  <c r="AG40" i="15"/>
  <c r="AH40" i="15"/>
  <c r="AI40" i="15"/>
  <c r="AJ40" i="15"/>
  <c r="AK40" i="15"/>
  <c r="AL40" i="15"/>
  <c r="AM40" i="15"/>
  <c r="AN40" i="15"/>
  <c r="AO40" i="15"/>
  <c r="AP40" i="15"/>
  <c r="K41" i="15"/>
  <c r="L41" i="15"/>
  <c r="M41" i="15"/>
  <c r="N41" i="15"/>
  <c r="O41" i="15"/>
  <c r="P41" i="15"/>
  <c r="Q41" i="15"/>
  <c r="R41" i="15"/>
  <c r="S41" i="15"/>
  <c r="T41" i="15"/>
  <c r="U41" i="15"/>
  <c r="V41" i="15"/>
  <c r="W41" i="15"/>
  <c r="X41" i="15"/>
  <c r="Y41" i="15"/>
  <c r="Z41" i="15"/>
  <c r="AA41" i="15"/>
  <c r="AB41" i="15"/>
  <c r="AC41" i="15"/>
  <c r="AD41" i="15"/>
  <c r="AE41" i="15"/>
  <c r="AF41" i="15"/>
  <c r="AG41" i="15"/>
  <c r="AH41" i="15"/>
  <c r="AI41" i="15"/>
  <c r="AJ41" i="15"/>
  <c r="AK41" i="15"/>
  <c r="AL41" i="15"/>
  <c r="AM41" i="15"/>
  <c r="AN41" i="15"/>
  <c r="AO41" i="15"/>
  <c r="AP41" i="15"/>
  <c r="L25" i="15"/>
  <c r="M25" i="15"/>
  <c r="N25" i="15"/>
  <c r="O25" i="15"/>
  <c r="P25" i="15"/>
  <c r="Q25" i="15"/>
  <c r="R25" i="15"/>
  <c r="S25" i="15"/>
  <c r="T25" i="15"/>
  <c r="U25" i="15"/>
  <c r="V25" i="15"/>
  <c r="W25" i="15"/>
  <c r="X25" i="15"/>
  <c r="Y25" i="15"/>
  <c r="Z25" i="15"/>
  <c r="AA25" i="15"/>
  <c r="AB25" i="15"/>
  <c r="AC25" i="15"/>
  <c r="AD25" i="15"/>
  <c r="AE25" i="15"/>
  <c r="AF25" i="15"/>
  <c r="AG25" i="15"/>
  <c r="AH25" i="15"/>
  <c r="AI25" i="15"/>
  <c r="AJ25" i="15"/>
  <c r="AK25" i="15"/>
  <c r="AL25" i="15"/>
  <c r="AM25" i="15"/>
  <c r="AN25" i="15"/>
  <c r="AO25" i="15"/>
  <c r="AP25" i="15"/>
  <c r="K25" i="15"/>
  <c r="K19" i="15"/>
  <c r="AY19" i="15" s="1"/>
  <c r="L19" i="15"/>
  <c r="AZ19" i="15" s="1"/>
  <c r="M19" i="15"/>
  <c r="N19" i="15"/>
  <c r="O19" i="15"/>
  <c r="P19" i="15"/>
  <c r="Q19" i="15"/>
  <c r="R19" i="15"/>
  <c r="S19" i="15"/>
  <c r="T19" i="15"/>
  <c r="U19" i="15"/>
  <c r="V19" i="15"/>
  <c r="W19" i="15"/>
  <c r="X19" i="15"/>
  <c r="Y19" i="15"/>
  <c r="Z19" i="15"/>
  <c r="AA19" i="15"/>
  <c r="AB19" i="15"/>
  <c r="AC19" i="15"/>
  <c r="AD19" i="15"/>
  <c r="AE19" i="15"/>
  <c r="AF19" i="15"/>
  <c r="AG19" i="15"/>
  <c r="AH19" i="15"/>
  <c r="AI19" i="15"/>
  <c r="AJ19" i="15"/>
  <c r="AK19" i="15"/>
  <c r="AL19" i="15"/>
  <c r="AM19" i="15"/>
  <c r="AN19" i="15"/>
  <c r="AO19" i="15"/>
  <c r="AP19" i="15"/>
  <c r="K20" i="15"/>
  <c r="AY20" i="15" s="1"/>
  <c r="L20" i="15"/>
  <c r="AZ20" i="15" s="1"/>
  <c r="M20" i="15"/>
  <c r="N20" i="15"/>
  <c r="O20" i="15"/>
  <c r="P20" i="15"/>
  <c r="Q20" i="15"/>
  <c r="R20" i="15"/>
  <c r="S20" i="15"/>
  <c r="T20" i="15"/>
  <c r="U20" i="15"/>
  <c r="V20" i="15"/>
  <c r="W20" i="15"/>
  <c r="X20" i="15"/>
  <c r="Y20" i="15"/>
  <c r="Z20" i="15"/>
  <c r="AA20" i="15"/>
  <c r="AB20" i="15"/>
  <c r="AC20" i="15"/>
  <c r="AD20" i="15"/>
  <c r="AE20" i="15"/>
  <c r="AF20" i="15"/>
  <c r="AG20" i="15"/>
  <c r="AH20" i="15"/>
  <c r="AI20" i="15"/>
  <c r="AJ20" i="15"/>
  <c r="AK20" i="15"/>
  <c r="AL20" i="15"/>
  <c r="AM20" i="15"/>
  <c r="AN20" i="15"/>
  <c r="AO20" i="15"/>
  <c r="AP20" i="15"/>
  <c r="K21" i="15"/>
  <c r="AY21" i="15" s="1"/>
  <c r="L21" i="15"/>
  <c r="AZ21" i="15" s="1"/>
  <c r="M21" i="15"/>
  <c r="N21" i="15"/>
  <c r="O21" i="15"/>
  <c r="P21" i="15"/>
  <c r="Q21" i="15"/>
  <c r="R21" i="15"/>
  <c r="S21" i="15"/>
  <c r="T21" i="15"/>
  <c r="U21" i="15"/>
  <c r="V21" i="15"/>
  <c r="W21" i="15"/>
  <c r="X21" i="15"/>
  <c r="Y21" i="15"/>
  <c r="Z21" i="15"/>
  <c r="AA21" i="15"/>
  <c r="AB21" i="15"/>
  <c r="AC21" i="15"/>
  <c r="AD21" i="15"/>
  <c r="AE21" i="15"/>
  <c r="AF21" i="15"/>
  <c r="AG21" i="15"/>
  <c r="AH21" i="15"/>
  <c r="AI21" i="15"/>
  <c r="AJ21" i="15"/>
  <c r="AK21" i="15"/>
  <c r="AL21" i="15"/>
  <c r="AM21" i="15"/>
  <c r="AN21" i="15"/>
  <c r="AO21" i="15"/>
  <c r="AP21" i="15"/>
  <c r="K22" i="15"/>
  <c r="AY22" i="15" s="1"/>
  <c r="L22" i="15"/>
  <c r="AZ22" i="15" s="1"/>
  <c r="M22" i="15"/>
  <c r="N22" i="15"/>
  <c r="O22" i="15"/>
  <c r="P22" i="15"/>
  <c r="Q22" i="15"/>
  <c r="R22" i="15"/>
  <c r="S22" i="15"/>
  <c r="T22" i="15"/>
  <c r="U22" i="15"/>
  <c r="V22" i="15"/>
  <c r="W22" i="15"/>
  <c r="X22" i="15"/>
  <c r="Y22" i="15"/>
  <c r="Z22" i="15"/>
  <c r="AA22" i="15"/>
  <c r="AB22" i="15"/>
  <c r="AC22" i="15"/>
  <c r="AD22" i="15"/>
  <c r="AE22" i="15"/>
  <c r="AF22" i="15"/>
  <c r="AG22" i="15"/>
  <c r="AH22" i="15"/>
  <c r="AI22" i="15"/>
  <c r="AJ22" i="15"/>
  <c r="AK22" i="15"/>
  <c r="AL22" i="15"/>
  <c r="AM22" i="15"/>
  <c r="AN22" i="15"/>
  <c r="AO22" i="15"/>
  <c r="AP22" i="15"/>
  <c r="K23" i="15"/>
  <c r="L23" i="15"/>
  <c r="M23" i="15"/>
  <c r="N23" i="15"/>
  <c r="O23" i="15"/>
  <c r="P23" i="15"/>
  <c r="Q23" i="15"/>
  <c r="R23" i="15"/>
  <c r="S23" i="15"/>
  <c r="T23" i="15"/>
  <c r="U23" i="15"/>
  <c r="V23" i="15"/>
  <c r="W23" i="15"/>
  <c r="X23" i="15"/>
  <c r="Y23" i="15"/>
  <c r="Z23" i="15"/>
  <c r="AA23" i="15"/>
  <c r="AB23" i="15"/>
  <c r="AC23" i="15"/>
  <c r="AD23" i="15"/>
  <c r="AE23" i="15"/>
  <c r="AF23" i="15"/>
  <c r="AG23" i="15"/>
  <c r="AH23" i="15"/>
  <c r="AI23" i="15"/>
  <c r="AJ23" i="15"/>
  <c r="AK23" i="15"/>
  <c r="AL23" i="15"/>
  <c r="AM23" i="15"/>
  <c r="AN23" i="15"/>
  <c r="AO23" i="15"/>
  <c r="AP23" i="15"/>
  <c r="L18" i="15"/>
  <c r="AZ18" i="15" s="1"/>
  <c r="M18" i="15"/>
  <c r="N18" i="15"/>
  <c r="O18" i="15"/>
  <c r="P18" i="15"/>
  <c r="Q18" i="15"/>
  <c r="R18" i="15"/>
  <c r="S18" i="15"/>
  <c r="T18" i="15"/>
  <c r="U18" i="15"/>
  <c r="V18" i="15"/>
  <c r="W18" i="15"/>
  <c r="X18" i="15"/>
  <c r="Y18" i="15"/>
  <c r="Z18" i="15"/>
  <c r="AA18" i="15"/>
  <c r="AB18" i="15"/>
  <c r="AC18" i="15"/>
  <c r="AD18" i="15"/>
  <c r="AE18" i="15"/>
  <c r="AF18" i="15"/>
  <c r="AG18" i="15"/>
  <c r="AH18" i="15"/>
  <c r="AI18" i="15"/>
  <c r="AJ18" i="15"/>
  <c r="AK18" i="15"/>
  <c r="AL18" i="15"/>
  <c r="AM18" i="15"/>
  <c r="AN18" i="15"/>
  <c r="AO18" i="15"/>
  <c r="AP18" i="15"/>
  <c r="K18" i="15"/>
  <c r="F57" i="15"/>
  <c r="G57" i="15"/>
  <c r="H57" i="15"/>
  <c r="I57" i="15"/>
  <c r="F58" i="15"/>
  <c r="G58" i="15"/>
  <c r="H58" i="15"/>
  <c r="I58" i="15"/>
  <c r="G56" i="15"/>
  <c r="H56" i="15"/>
  <c r="I56" i="15"/>
  <c r="F56" i="15"/>
  <c r="F54" i="15"/>
  <c r="G54" i="15"/>
  <c r="H54" i="15"/>
  <c r="I54" i="15"/>
  <c r="G53" i="15"/>
  <c r="H53" i="15"/>
  <c r="I53" i="15"/>
  <c r="F53" i="15"/>
  <c r="F48" i="15"/>
  <c r="G48" i="15"/>
  <c r="H48" i="15"/>
  <c r="I48" i="15"/>
  <c r="F49" i="15"/>
  <c r="G49" i="15"/>
  <c r="H49" i="15"/>
  <c r="I49" i="15"/>
  <c r="F50" i="15"/>
  <c r="G50" i="15"/>
  <c r="H50" i="15"/>
  <c r="I50" i="15"/>
  <c r="F51" i="15"/>
  <c r="G51" i="15"/>
  <c r="H51" i="15"/>
  <c r="I51" i="15"/>
  <c r="G47" i="15"/>
  <c r="H47" i="15"/>
  <c r="I47" i="15"/>
  <c r="F47" i="15"/>
  <c r="F44" i="15"/>
  <c r="G44" i="15"/>
  <c r="H44" i="15"/>
  <c r="I44" i="15"/>
  <c r="F45" i="15"/>
  <c r="G45" i="15"/>
  <c r="H45" i="15"/>
  <c r="I45" i="15"/>
  <c r="G43" i="15"/>
  <c r="H43" i="15"/>
  <c r="I43" i="15"/>
  <c r="F43" i="15"/>
  <c r="F26" i="15"/>
  <c r="G26" i="15"/>
  <c r="H26" i="15"/>
  <c r="I26" i="15"/>
  <c r="F27" i="15"/>
  <c r="G27" i="15"/>
  <c r="H27" i="15"/>
  <c r="I27" i="15"/>
  <c r="F28" i="15"/>
  <c r="G28" i="15"/>
  <c r="H28" i="15"/>
  <c r="I28" i="15"/>
  <c r="F29" i="15"/>
  <c r="G29" i="15"/>
  <c r="H29" i="15"/>
  <c r="I29" i="15"/>
  <c r="F30" i="15"/>
  <c r="G30" i="15"/>
  <c r="H30" i="15"/>
  <c r="I30" i="15"/>
  <c r="F31" i="15"/>
  <c r="G31" i="15"/>
  <c r="H31" i="15"/>
  <c r="I31" i="15"/>
  <c r="F32" i="15"/>
  <c r="G32" i="15"/>
  <c r="H32" i="15"/>
  <c r="I32" i="15"/>
  <c r="F33" i="15"/>
  <c r="G33" i="15"/>
  <c r="H33" i="15"/>
  <c r="I33" i="15"/>
  <c r="F34" i="15"/>
  <c r="G34" i="15"/>
  <c r="H34" i="15"/>
  <c r="I34" i="15"/>
  <c r="F35" i="15"/>
  <c r="G35" i="15"/>
  <c r="H35" i="15"/>
  <c r="I35" i="15"/>
  <c r="F36" i="15"/>
  <c r="G36" i="15"/>
  <c r="H36" i="15"/>
  <c r="I36" i="15"/>
  <c r="F37" i="15"/>
  <c r="G37" i="15"/>
  <c r="H37" i="15"/>
  <c r="I37" i="15"/>
  <c r="F38" i="15"/>
  <c r="G38" i="15"/>
  <c r="H38" i="15"/>
  <c r="I38" i="15"/>
  <c r="F39" i="15"/>
  <c r="G39" i="15"/>
  <c r="H39" i="15"/>
  <c r="I39" i="15"/>
  <c r="F40" i="15"/>
  <c r="G40" i="15"/>
  <c r="H40" i="15"/>
  <c r="I40" i="15"/>
  <c r="F41" i="15"/>
  <c r="G41" i="15"/>
  <c r="H41" i="15"/>
  <c r="I41" i="15"/>
  <c r="G25" i="15"/>
  <c r="H25" i="15"/>
  <c r="I25" i="15"/>
  <c r="F25" i="15"/>
  <c r="F19" i="15"/>
  <c r="G19" i="15"/>
  <c r="H19" i="15"/>
  <c r="I19" i="15"/>
  <c r="F20" i="15"/>
  <c r="G20" i="15"/>
  <c r="H20" i="15"/>
  <c r="I20" i="15"/>
  <c r="F21" i="15"/>
  <c r="G21" i="15"/>
  <c r="H21" i="15"/>
  <c r="I21" i="15"/>
  <c r="F22" i="15"/>
  <c r="G22" i="15"/>
  <c r="H22" i="15"/>
  <c r="I22" i="15"/>
  <c r="F23" i="15"/>
  <c r="G23" i="15"/>
  <c r="H23" i="15"/>
  <c r="I23" i="15"/>
  <c r="G18" i="15"/>
  <c r="H18" i="15"/>
  <c r="I18" i="15"/>
  <c r="F18" i="15"/>
  <c r="AV58" i="15"/>
  <c r="AS58" i="15"/>
  <c r="AS56" i="15"/>
  <c r="J55" i="15"/>
  <c r="AV54" i="15"/>
  <c r="AX54" i="15" s="1"/>
  <c r="AV53" i="15"/>
  <c r="AS53" i="15"/>
  <c r="AT52" i="15"/>
  <c r="J52" i="15"/>
  <c r="AV51" i="15"/>
  <c r="AX51" i="15" s="1"/>
  <c r="E51" i="15" s="1"/>
  <c r="AS51" i="15"/>
  <c r="AV50" i="15"/>
  <c r="AX50" i="15" s="1"/>
  <c r="E50" i="15" s="1"/>
  <c r="AS50" i="15"/>
  <c r="AV49" i="15"/>
  <c r="AX49" i="15" s="1"/>
  <c r="E49" i="15" s="1"/>
  <c r="AS49" i="15"/>
  <c r="AS47" i="15"/>
  <c r="AT46" i="15"/>
  <c r="J46" i="15"/>
  <c r="AV44" i="15"/>
  <c r="AX44" i="15" s="1"/>
  <c r="E44" i="15" s="1"/>
  <c r="AS44" i="15"/>
  <c r="AS43" i="15"/>
  <c r="J42" i="15"/>
  <c r="AV41" i="15"/>
  <c r="AX41" i="15" s="1"/>
  <c r="E41" i="15" s="1"/>
  <c r="AS41" i="15"/>
  <c r="AV40" i="15"/>
  <c r="AX40" i="15" s="1"/>
  <c r="E40" i="15" s="1"/>
  <c r="AS40" i="15"/>
  <c r="AV39" i="15"/>
  <c r="AX39" i="15" s="1"/>
  <c r="E39" i="15" s="1"/>
  <c r="AS39" i="15"/>
  <c r="AV38" i="15"/>
  <c r="AX38" i="15" s="1"/>
  <c r="E38" i="15" s="1"/>
  <c r="AS38" i="15"/>
  <c r="AV37" i="15"/>
  <c r="AX37" i="15" s="1"/>
  <c r="E37" i="15" s="1"/>
  <c r="AS37" i="15"/>
  <c r="AV36" i="15"/>
  <c r="AX36" i="15" s="1"/>
  <c r="E36" i="15" s="1"/>
  <c r="AS36" i="15"/>
  <c r="AV35" i="15"/>
  <c r="AX35" i="15" s="1"/>
  <c r="E35" i="15" s="1"/>
  <c r="AS35" i="15"/>
  <c r="AV34" i="15"/>
  <c r="AX34" i="15" s="1"/>
  <c r="E34" i="15" s="1"/>
  <c r="AS34" i="15"/>
  <c r="AV33" i="15"/>
  <c r="AX33" i="15" s="1"/>
  <c r="E33" i="15" s="1"/>
  <c r="AS33" i="15"/>
  <c r="AV32" i="15"/>
  <c r="AX32" i="15" s="1"/>
  <c r="E32" i="15" s="1"/>
  <c r="AS32" i="15"/>
  <c r="AV31" i="15"/>
  <c r="AX31" i="15" s="1"/>
  <c r="E31" i="15" s="1"/>
  <c r="AS31" i="15"/>
  <c r="AV30" i="15"/>
  <c r="AX30" i="15" s="1"/>
  <c r="E30" i="15" s="1"/>
  <c r="AS30" i="15"/>
  <c r="AV29" i="15"/>
  <c r="AX29" i="15" s="1"/>
  <c r="E29" i="15" s="1"/>
  <c r="AS29" i="15"/>
  <c r="AV28" i="15"/>
  <c r="AX28" i="15" s="1"/>
  <c r="E28" i="15" s="1"/>
  <c r="AS28" i="15"/>
  <c r="AV27" i="15"/>
  <c r="AX27" i="15" s="1"/>
  <c r="AS27" i="15"/>
  <c r="AV26" i="15"/>
  <c r="AS26" i="15"/>
  <c r="AV25" i="15"/>
  <c r="AX25" i="15" s="1"/>
  <c r="E25" i="15" s="1"/>
  <c r="AS25" i="15"/>
  <c r="AT24" i="15"/>
  <c r="J24" i="15"/>
  <c r="AV23" i="15"/>
  <c r="AV22" i="15"/>
  <c r="AX22" i="15" s="1"/>
  <c r="AV21" i="15"/>
  <c r="AX21" i="15" s="1"/>
  <c r="E21" i="15" s="1"/>
  <c r="AV20" i="15"/>
  <c r="AX20" i="15" s="1"/>
  <c r="E20" i="15" s="1"/>
  <c r="AV19" i="15"/>
  <c r="AX19" i="15" s="1"/>
  <c r="E19" i="15" s="1"/>
  <c r="AV18" i="15"/>
  <c r="AX18" i="15" s="1"/>
  <c r="E18" i="15" s="1"/>
  <c r="AT17" i="15"/>
  <c r="AS17" i="15" s="1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Y57" i="14"/>
  <c r="Z57" i="14"/>
  <c r="AA57" i="14"/>
  <c r="AB57" i="14"/>
  <c r="AC57" i="14"/>
  <c r="AD57" i="14"/>
  <c r="AE57" i="14"/>
  <c r="AF57" i="14"/>
  <c r="AG57" i="14"/>
  <c r="AH57" i="14"/>
  <c r="AI57" i="14"/>
  <c r="AJ57" i="14"/>
  <c r="AK57" i="14"/>
  <c r="AL57" i="14"/>
  <c r="AM57" i="14"/>
  <c r="AN57" i="14"/>
  <c r="AO57" i="14"/>
  <c r="AP57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Y58" i="14"/>
  <c r="Z58" i="14"/>
  <c r="AA58" i="14"/>
  <c r="AB58" i="14"/>
  <c r="AC58" i="14"/>
  <c r="AD58" i="14"/>
  <c r="AE58" i="14"/>
  <c r="AF58" i="14"/>
  <c r="AG58" i="14"/>
  <c r="AH58" i="14"/>
  <c r="AI58" i="14"/>
  <c r="AJ58" i="14"/>
  <c r="AK58" i="14"/>
  <c r="AL58" i="14"/>
  <c r="AM58" i="14"/>
  <c r="AN58" i="14"/>
  <c r="AO58" i="14"/>
  <c r="AP58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Y59" i="14"/>
  <c r="Z59" i="14"/>
  <c r="AA59" i="14"/>
  <c r="AB59" i="14"/>
  <c r="AC59" i="14"/>
  <c r="AD59" i="14"/>
  <c r="AE59" i="14"/>
  <c r="AF59" i="14"/>
  <c r="AG59" i="14"/>
  <c r="AH59" i="14"/>
  <c r="AI59" i="14"/>
  <c r="AJ59" i="14"/>
  <c r="AK59" i="14"/>
  <c r="AL59" i="14"/>
  <c r="AM59" i="14"/>
  <c r="AN59" i="14"/>
  <c r="AO59" i="14"/>
  <c r="AP59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Y56" i="14"/>
  <c r="Z56" i="14"/>
  <c r="AA56" i="14"/>
  <c r="AB56" i="14"/>
  <c r="AC56" i="14"/>
  <c r="AD56" i="14"/>
  <c r="AE56" i="14"/>
  <c r="AF56" i="14"/>
  <c r="AG56" i="14"/>
  <c r="AH56" i="14"/>
  <c r="AI56" i="14"/>
  <c r="AJ56" i="14"/>
  <c r="AK56" i="14"/>
  <c r="AL56" i="14"/>
  <c r="AM56" i="14"/>
  <c r="AN56" i="14"/>
  <c r="AO56" i="14"/>
  <c r="AP56" i="14"/>
  <c r="K56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Y54" i="14"/>
  <c r="Z54" i="14"/>
  <c r="AA54" i="14"/>
  <c r="AB54" i="14"/>
  <c r="AC54" i="14"/>
  <c r="AD54" i="14"/>
  <c r="AE54" i="14"/>
  <c r="AF54" i="14"/>
  <c r="AG54" i="14"/>
  <c r="AH54" i="14"/>
  <c r="AI54" i="14"/>
  <c r="AJ54" i="14"/>
  <c r="AK54" i="14"/>
  <c r="AL54" i="14"/>
  <c r="AM54" i="14"/>
  <c r="AN54" i="14"/>
  <c r="AO54" i="14"/>
  <c r="AP54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Y53" i="14"/>
  <c r="Z53" i="14"/>
  <c r="AA53" i="14"/>
  <c r="AB53" i="14"/>
  <c r="AC53" i="14"/>
  <c r="AD53" i="14"/>
  <c r="AE53" i="14"/>
  <c r="AF53" i="14"/>
  <c r="AG53" i="14"/>
  <c r="AH53" i="14"/>
  <c r="AI53" i="14"/>
  <c r="AJ53" i="14"/>
  <c r="AK53" i="14"/>
  <c r="AL53" i="14"/>
  <c r="AM53" i="14"/>
  <c r="AN53" i="14"/>
  <c r="AO53" i="14"/>
  <c r="AP53" i="14"/>
  <c r="K53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Y48" i="14"/>
  <c r="Z48" i="14"/>
  <c r="AA48" i="14"/>
  <c r="AB48" i="14"/>
  <c r="AC48" i="14"/>
  <c r="AD48" i="14"/>
  <c r="AE48" i="14"/>
  <c r="AF48" i="14"/>
  <c r="AG48" i="14"/>
  <c r="AH48" i="14"/>
  <c r="AI48" i="14"/>
  <c r="AJ48" i="14"/>
  <c r="AK48" i="14"/>
  <c r="AL48" i="14"/>
  <c r="AM48" i="14"/>
  <c r="AN48" i="14"/>
  <c r="AO48" i="14"/>
  <c r="AP48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Y49" i="14"/>
  <c r="Z49" i="14"/>
  <c r="AA49" i="14"/>
  <c r="AB49" i="14"/>
  <c r="AC49" i="14"/>
  <c r="AD49" i="14"/>
  <c r="AE49" i="14"/>
  <c r="AF49" i="14"/>
  <c r="AG49" i="14"/>
  <c r="AH49" i="14"/>
  <c r="AI49" i="14"/>
  <c r="AJ49" i="14"/>
  <c r="AK49" i="14"/>
  <c r="AL49" i="14"/>
  <c r="AM49" i="14"/>
  <c r="AN49" i="14"/>
  <c r="AO49" i="14"/>
  <c r="AP49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Y50" i="14"/>
  <c r="Z50" i="14"/>
  <c r="AA50" i="14"/>
  <c r="AB50" i="14"/>
  <c r="AC50" i="14"/>
  <c r="AD50" i="14"/>
  <c r="AE50" i="14"/>
  <c r="AF50" i="14"/>
  <c r="AG50" i="14"/>
  <c r="AH50" i="14"/>
  <c r="AI50" i="14"/>
  <c r="AJ50" i="14"/>
  <c r="AK50" i="14"/>
  <c r="AL50" i="14"/>
  <c r="AM50" i="14"/>
  <c r="AN50" i="14"/>
  <c r="AO50" i="14"/>
  <c r="AP50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Y51" i="14"/>
  <c r="Z51" i="14"/>
  <c r="AA51" i="14"/>
  <c r="AB51" i="14"/>
  <c r="AC51" i="14"/>
  <c r="AD51" i="14"/>
  <c r="AE51" i="14"/>
  <c r="AF51" i="14"/>
  <c r="AG51" i="14"/>
  <c r="AH51" i="14"/>
  <c r="AI51" i="14"/>
  <c r="AJ51" i="14"/>
  <c r="AK51" i="14"/>
  <c r="AL51" i="14"/>
  <c r="AM51" i="14"/>
  <c r="AN51" i="14"/>
  <c r="AO51" i="14"/>
  <c r="AP51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Y47" i="14"/>
  <c r="Z47" i="14"/>
  <c r="AA47" i="14"/>
  <c r="AB47" i="14"/>
  <c r="AC47" i="14"/>
  <c r="AD47" i="14"/>
  <c r="AE47" i="14"/>
  <c r="AF47" i="14"/>
  <c r="AG47" i="14"/>
  <c r="AH47" i="14"/>
  <c r="AI47" i="14"/>
  <c r="AJ47" i="14"/>
  <c r="AK47" i="14"/>
  <c r="AL47" i="14"/>
  <c r="AM47" i="14"/>
  <c r="AN47" i="14"/>
  <c r="AO47" i="14"/>
  <c r="AP47" i="14"/>
  <c r="K47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Y44" i="14"/>
  <c r="Z44" i="14"/>
  <c r="AA44" i="14"/>
  <c r="AB44" i="14"/>
  <c r="AC44" i="14"/>
  <c r="AD44" i="14"/>
  <c r="AE44" i="14"/>
  <c r="AF44" i="14"/>
  <c r="AG44" i="14"/>
  <c r="AH44" i="14"/>
  <c r="AI44" i="14"/>
  <c r="AJ44" i="14"/>
  <c r="AK44" i="14"/>
  <c r="AL44" i="14"/>
  <c r="AM44" i="14"/>
  <c r="AN44" i="14"/>
  <c r="AO44" i="14"/>
  <c r="AP44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Y45" i="14"/>
  <c r="Z45" i="14"/>
  <c r="AA45" i="14"/>
  <c r="AB45" i="14"/>
  <c r="AC45" i="14"/>
  <c r="AD45" i="14"/>
  <c r="AE45" i="14"/>
  <c r="AF45" i="14"/>
  <c r="AG45" i="14"/>
  <c r="AH45" i="14"/>
  <c r="AI45" i="14"/>
  <c r="AJ45" i="14"/>
  <c r="AK45" i="14"/>
  <c r="AL45" i="14"/>
  <c r="AM45" i="14"/>
  <c r="AN45" i="14"/>
  <c r="AO45" i="14"/>
  <c r="AP45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Y43" i="14"/>
  <c r="Z43" i="14"/>
  <c r="AA43" i="14"/>
  <c r="AB43" i="14"/>
  <c r="AC43" i="14"/>
  <c r="AD43" i="14"/>
  <c r="AE43" i="14"/>
  <c r="AF43" i="14"/>
  <c r="AG43" i="14"/>
  <c r="AH43" i="14"/>
  <c r="AI43" i="14"/>
  <c r="AJ43" i="14"/>
  <c r="AK43" i="14"/>
  <c r="AL43" i="14"/>
  <c r="AM43" i="14"/>
  <c r="AN43" i="14"/>
  <c r="AO43" i="14"/>
  <c r="AP43" i="14"/>
  <c r="K43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Y26" i="14"/>
  <c r="Z26" i="14"/>
  <c r="AA26" i="14"/>
  <c r="AB26" i="14"/>
  <c r="AC26" i="14"/>
  <c r="AD26" i="14"/>
  <c r="AE26" i="14"/>
  <c r="AF26" i="14"/>
  <c r="AG26" i="14"/>
  <c r="AH26" i="14"/>
  <c r="AI26" i="14"/>
  <c r="AJ26" i="14"/>
  <c r="AK26" i="14"/>
  <c r="AL26" i="14"/>
  <c r="AM26" i="14"/>
  <c r="AN26" i="14"/>
  <c r="AO26" i="14"/>
  <c r="AP26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Y27" i="14"/>
  <c r="Z27" i="14"/>
  <c r="AA27" i="14"/>
  <c r="AB27" i="14"/>
  <c r="AC27" i="14"/>
  <c r="AD27" i="14"/>
  <c r="AE27" i="14"/>
  <c r="AF27" i="14"/>
  <c r="AG27" i="14"/>
  <c r="AH27" i="14"/>
  <c r="AI27" i="14"/>
  <c r="AJ27" i="14"/>
  <c r="AK27" i="14"/>
  <c r="AL27" i="14"/>
  <c r="AM27" i="14"/>
  <c r="AN27" i="14"/>
  <c r="AO27" i="14"/>
  <c r="AP27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Y28" i="14"/>
  <c r="Z28" i="14"/>
  <c r="AA28" i="14"/>
  <c r="AB28" i="14"/>
  <c r="AC28" i="14"/>
  <c r="AD28" i="14"/>
  <c r="AE28" i="14"/>
  <c r="AF28" i="14"/>
  <c r="AG28" i="14"/>
  <c r="AH28" i="14"/>
  <c r="AI28" i="14"/>
  <c r="AJ28" i="14"/>
  <c r="AK28" i="14"/>
  <c r="AL28" i="14"/>
  <c r="AM28" i="14"/>
  <c r="AN28" i="14"/>
  <c r="AO28" i="14"/>
  <c r="AP28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Y29" i="14"/>
  <c r="Z29" i="14"/>
  <c r="AA29" i="14"/>
  <c r="AB29" i="14"/>
  <c r="AC29" i="14"/>
  <c r="AD29" i="14"/>
  <c r="AE29" i="14"/>
  <c r="AF29" i="14"/>
  <c r="AG29" i="14"/>
  <c r="AH29" i="14"/>
  <c r="AI29" i="14"/>
  <c r="AJ29" i="14"/>
  <c r="AK29" i="14"/>
  <c r="AL29" i="14"/>
  <c r="AM29" i="14"/>
  <c r="AN29" i="14"/>
  <c r="AO29" i="14"/>
  <c r="AP29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Y30" i="14"/>
  <c r="Z30" i="14"/>
  <c r="AA30" i="14"/>
  <c r="AB30" i="14"/>
  <c r="AC30" i="14"/>
  <c r="AD30" i="14"/>
  <c r="AE30" i="14"/>
  <c r="AF30" i="14"/>
  <c r="AG30" i="14"/>
  <c r="AH30" i="14"/>
  <c r="AI30" i="14"/>
  <c r="AJ30" i="14"/>
  <c r="AK30" i="14"/>
  <c r="AL30" i="14"/>
  <c r="AM30" i="14"/>
  <c r="AN30" i="14"/>
  <c r="AO30" i="14"/>
  <c r="AP30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Y31" i="14"/>
  <c r="Z31" i="14"/>
  <c r="AA31" i="14"/>
  <c r="AB31" i="14"/>
  <c r="AC31" i="14"/>
  <c r="AD31" i="14"/>
  <c r="AE31" i="14"/>
  <c r="AF31" i="14"/>
  <c r="AG31" i="14"/>
  <c r="AH31" i="14"/>
  <c r="AI31" i="14"/>
  <c r="AJ31" i="14"/>
  <c r="AK31" i="14"/>
  <c r="AL31" i="14"/>
  <c r="AM31" i="14"/>
  <c r="AN31" i="14"/>
  <c r="AO31" i="14"/>
  <c r="AP31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Y32" i="14"/>
  <c r="Z32" i="14"/>
  <c r="AA32" i="14"/>
  <c r="AB32" i="14"/>
  <c r="AC32" i="14"/>
  <c r="AD32" i="14"/>
  <c r="AE32" i="14"/>
  <c r="AF32" i="14"/>
  <c r="AG32" i="14"/>
  <c r="AH32" i="14"/>
  <c r="AI32" i="14"/>
  <c r="AJ32" i="14"/>
  <c r="AK32" i="14"/>
  <c r="AL32" i="14"/>
  <c r="AM32" i="14"/>
  <c r="AN32" i="14"/>
  <c r="AO32" i="14"/>
  <c r="AP32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Y33" i="14"/>
  <c r="Z33" i="14"/>
  <c r="AA33" i="14"/>
  <c r="AB33" i="14"/>
  <c r="AC33" i="14"/>
  <c r="AD33" i="14"/>
  <c r="AE33" i="14"/>
  <c r="AF33" i="14"/>
  <c r="AG33" i="14"/>
  <c r="AH33" i="14"/>
  <c r="AI33" i="14"/>
  <c r="AJ33" i="14"/>
  <c r="AK33" i="14"/>
  <c r="AL33" i="14"/>
  <c r="AM33" i="14"/>
  <c r="AN33" i="14"/>
  <c r="AO33" i="14"/>
  <c r="AP33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Y34" i="14"/>
  <c r="Z34" i="14"/>
  <c r="AA34" i="14"/>
  <c r="AB34" i="14"/>
  <c r="AC34" i="14"/>
  <c r="AD34" i="14"/>
  <c r="AE34" i="14"/>
  <c r="AF34" i="14"/>
  <c r="AG34" i="14"/>
  <c r="AH34" i="14"/>
  <c r="AI34" i="14"/>
  <c r="AJ34" i="14"/>
  <c r="AK34" i="14"/>
  <c r="AL34" i="14"/>
  <c r="AM34" i="14"/>
  <c r="AN34" i="14"/>
  <c r="AO34" i="14"/>
  <c r="AP34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Y35" i="14"/>
  <c r="Z35" i="14"/>
  <c r="AA35" i="14"/>
  <c r="AB35" i="14"/>
  <c r="AC35" i="14"/>
  <c r="AD35" i="14"/>
  <c r="AE35" i="14"/>
  <c r="AF35" i="14"/>
  <c r="AG35" i="14"/>
  <c r="AH35" i="14"/>
  <c r="AI35" i="14"/>
  <c r="AJ35" i="14"/>
  <c r="AK35" i="14"/>
  <c r="AL35" i="14"/>
  <c r="AM35" i="14"/>
  <c r="AN35" i="14"/>
  <c r="AO35" i="14"/>
  <c r="AP35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Y36" i="14"/>
  <c r="Z36" i="14"/>
  <c r="AA36" i="14"/>
  <c r="AB36" i="14"/>
  <c r="AC36" i="14"/>
  <c r="AD36" i="14"/>
  <c r="AE36" i="14"/>
  <c r="AF36" i="14"/>
  <c r="AG36" i="14"/>
  <c r="AH36" i="14"/>
  <c r="AI36" i="14"/>
  <c r="AJ36" i="14"/>
  <c r="AK36" i="14"/>
  <c r="AL36" i="14"/>
  <c r="AM36" i="14"/>
  <c r="AN36" i="14"/>
  <c r="AO36" i="14"/>
  <c r="AP36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Y37" i="14"/>
  <c r="Z37" i="14"/>
  <c r="AA37" i="14"/>
  <c r="AB37" i="14"/>
  <c r="AC37" i="14"/>
  <c r="AD37" i="14"/>
  <c r="AE37" i="14"/>
  <c r="AF37" i="14"/>
  <c r="AG37" i="14"/>
  <c r="AH37" i="14"/>
  <c r="AI37" i="14"/>
  <c r="AJ37" i="14"/>
  <c r="AK37" i="14"/>
  <c r="AL37" i="14"/>
  <c r="AM37" i="14"/>
  <c r="AN37" i="14"/>
  <c r="AO37" i="14"/>
  <c r="AP37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Y38" i="14"/>
  <c r="Z38" i="14"/>
  <c r="AA38" i="14"/>
  <c r="AB38" i="14"/>
  <c r="AC38" i="14"/>
  <c r="AD38" i="14"/>
  <c r="AE38" i="14"/>
  <c r="AF38" i="14"/>
  <c r="AG38" i="14"/>
  <c r="AH38" i="14"/>
  <c r="AI38" i="14"/>
  <c r="AJ38" i="14"/>
  <c r="AK38" i="14"/>
  <c r="AL38" i="14"/>
  <c r="AM38" i="14"/>
  <c r="AN38" i="14"/>
  <c r="AO38" i="14"/>
  <c r="AP38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Y39" i="14"/>
  <c r="Z39" i="14"/>
  <c r="AA39" i="14"/>
  <c r="AB39" i="14"/>
  <c r="AC39" i="14"/>
  <c r="AD39" i="14"/>
  <c r="AE39" i="14"/>
  <c r="AF39" i="14"/>
  <c r="AG39" i="14"/>
  <c r="AH39" i="14"/>
  <c r="AI39" i="14"/>
  <c r="AJ39" i="14"/>
  <c r="AK39" i="14"/>
  <c r="AL39" i="14"/>
  <c r="AM39" i="14"/>
  <c r="AN39" i="14"/>
  <c r="AO39" i="14"/>
  <c r="AP39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Y40" i="14"/>
  <c r="Z40" i="14"/>
  <c r="AA40" i="14"/>
  <c r="AB40" i="14"/>
  <c r="AC40" i="14"/>
  <c r="AD40" i="14"/>
  <c r="AE40" i="14"/>
  <c r="AF40" i="14"/>
  <c r="AG40" i="14"/>
  <c r="AH40" i="14"/>
  <c r="AI40" i="14"/>
  <c r="AJ40" i="14"/>
  <c r="AK40" i="14"/>
  <c r="AL40" i="14"/>
  <c r="AM40" i="14"/>
  <c r="AN40" i="14"/>
  <c r="AO40" i="14"/>
  <c r="AP40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Y41" i="14"/>
  <c r="Z41" i="14"/>
  <c r="AA41" i="14"/>
  <c r="AB41" i="14"/>
  <c r="AC41" i="14"/>
  <c r="AD41" i="14"/>
  <c r="AE41" i="14"/>
  <c r="AF41" i="14"/>
  <c r="AG41" i="14"/>
  <c r="AH41" i="14"/>
  <c r="AI41" i="14"/>
  <c r="AJ41" i="14"/>
  <c r="AK41" i="14"/>
  <c r="AL41" i="14"/>
  <c r="AM41" i="14"/>
  <c r="AN41" i="14"/>
  <c r="AO41" i="14"/>
  <c r="AP41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Y25" i="14"/>
  <c r="Z25" i="14"/>
  <c r="AA25" i="14"/>
  <c r="AB25" i="14"/>
  <c r="AC25" i="14"/>
  <c r="AD25" i="14"/>
  <c r="AE25" i="14"/>
  <c r="AF25" i="14"/>
  <c r="AG25" i="14"/>
  <c r="AH25" i="14"/>
  <c r="AI25" i="14"/>
  <c r="AJ25" i="14"/>
  <c r="AK25" i="14"/>
  <c r="AL25" i="14"/>
  <c r="AM25" i="14"/>
  <c r="AN25" i="14"/>
  <c r="AO25" i="14"/>
  <c r="AP25" i="14"/>
  <c r="K25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Y19" i="14"/>
  <c r="Z19" i="14"/>
  <c r="AA19" i="14"/>
  <c r="AB19" i="14"/>
  <c r="AC19" i="14"/>
  <c r="AD19" i="14"/>
  <c r="AE19" i="14"/>
  <c r="AF19" i="14"/>
  <c r="AG19" i="14"/>
  <c r="AH19" i="14"/>
  <c r="AI19" i="14"/>
  <c r="AJ19" i="14"/>
  <c r="AK19" i="14"/>
  <c r="AL19" i="14"/>
  <c r="AM19" i="14"/>
  <c r="AN19" i="14"/>
  <c r="AO19" i="14"/>
  <c r="AP19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Y20" i="14"/>
  <c r="Z20" i="14"/>
  <c r="AA20" i="14"/>
  <c r="AB20" i="14"/>
  <c r="AC20" i="14"/>
  <c r="AD20" i="14"/>
  <c r="AE20" i="14"/>
  <c r="AF20" i="14"/>
  <c r="AG20" i="14"/>
  <c r="AH20" i="14"/>
  <c r="AI20" i="14"/>
  <c r="AJ20" i="14"/>
  <c r="AK20" i="14"/>
  <c r="AL20" i="14"/>
  <c r="AM20" i="14"/>
  <c r="AN20" i="14"/>
  <c r="AO20" i="14"/>
  <c r="AP20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Y21" i="14"/>
  <c r="Z21" i="14"/>
  <c r="AA21" i="14"/>
  <c r="AB21" i="14"/>
  <c r="AC21" i="14"/>
  <c r="AD21" i="14"/>
  <c r="AE21" i="14"/>
  <c r="AF21" i="14"/>
  <c r="AG21" i="14"/>
  <c r="AH21" i="14"/>
  <c r="AI21" i="14"/>
  <c r="AJ21" i="14"/>
  <c r="AK21" i="14"/>
  <c r="AL21" i="14"/>
  <c r="AM21" i="14"/>
  <c r="AN21" i="14"/>
  <c r="AO21" i="14"/>
  <c r="AP21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Y22" i="14"/>
  <c r="Z22" i="14"/>
  <c r="AA22" i="14"/>
  <c r="AB22" i="14"/>
  <c r="AC22" i="14"/>
  <c r="AD22" i="14"/>
  <c r="AE22" i="14"/>
  <c r="AF22" i="14"/>
  <c r="AG22" i="14"/>
  <c r="AH22" i="14"/>
  <c r="AI22" i="14"/>
  <c r="AJ22" i="14"/>
  <c r="AK22" i="14"/>
  <c r="AL22" i="14"/>
  <c r="AM22" i="14"/>
  <c r="AN22" i="14"/>
  <c r="AO22" i="14"/>
  <c r="AP22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Y23" i="14"/>
  <c r="Z23" i="14"/>
  <c r="AA23" i="14"/>
  <c r="AB23" i="14"/>
  <c r="AC23" i="14"/>
  <c r="AD23" i="14"/>
  <c r="AE23" i="14"/>
  <c r="AF23" i="14"/>
  <c r="AG23" i="14"/>
  <c r="AH23" i="14"/>
  <c r="AI23" i="14"/>
  <c r="AJ23" i="14"/>
  <c r="AK23" i="14"/>
  <c r="AL23" i="14"/>
  <c r="AM23" i="14"/>
  <c r="AN23" i="14"/>
  <c r="AO23" i="14"/>
  <c r="AP23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Y18" i="14"/>
  <c r="Z18" i="14"/>
  <c r="AA18" i="14"/>
  <c r="AB18" i="14"/>
  <c r="AC18" i="14"/>
  <c r="AD18" i="14"/>
  <c r="AE18" i="14"/>
  <c r="AF18" i="14"/>
  <c r="AG18" i="14"/>
  <c r="AH18" i="14"/>
  <c r="AI18" i="14"/>
  <c r="AJ18" i="14"/>
  <c r="AK18" i="14"/>
  <c r="AL18" i="14"/>
  <c r="AM18" i="14"/>
  <c r="AN18" i="14"/>
  <c r="AO18" i="14"/>
  <c r="AP18" i="14"/>
  <c r="K18" i="14"/>
  <c r="AP52" i="15" l="1"/>
  <c r="AD52" i="15"/>
  <c r="AF52" i="15"/>
  <c r="T52" i="15"/>
  <c r="AS46" i="32"/>
  <c r="AV42" i="33"/>
  <c r="AX42" i="33" s="1"/>
  <c r="BA28" i="33"/>
  <c r="R52" i="15"/>
  <c r="AO52" i="15"/>
  <c r="AC52" i="15"/>
  <c r="Q52" i="15"/>
  <c r="F42" i="15"/>
  <c r="AE24" i="15"/>
  <c r="H52" i="15"/>
  <c r="U17" i="15"/>
  <c r="AK42" i="15"/>
  <c r="Y42" i="15"/>
  <c r="F52" i="15"/>
  <c r="AN42" i="15"/>
  <c r="AB42" i="15"/>
  <c r="P42" i="15"/>
  <c r="AS17" i="34"/>
  <c r="AQ17" i="34"/>
  <c r="AU17" i="34" s="1"/>
  <c r="AW17" i="34" s="1"/>
  <c r="BA39" i="33"/>
  <c r="AK52" i="15"/>
  <c r="Y52" i="15"/>
  <c r="AO55" i="15"/>
  <c r="AE42" i="15"/>
  <c r="S42" i="15"/>
  <c r="AA55" i="15"/>
  <c r="AJ52" i="15"/>
  <c r="AE52" i="15"/>
  <c r="AM17" i="15"/>
  <c r="AA17" i="15"/>
  <c r="O17" i="15"/>
  <c r="AE17" i="15"/>
  <c r="AM42" i="15"/>
  <c r="AA42" i="15"/>
  <c r="AI42" i="15"/>
  <c r="K42" i="15"/>
  <c r="AE46" i="15"/>
  <c r="K55" i="15"/>
  <c r="AI52" i="15"/>
  <c r="W52" i="15"/>
  <c r="L24" i="15"/>
  <c r="AJ42" i="15"/>
  <c r="X42" i="15"/>
  <c r="L42" i="15"/>
  <c r="AN46" i="15"/>
  <c r="AB46" i="15"/>
  <c r="P46" i="15"/>
  <c r="AG52" i="15"/>
  <c r="U52" i="15"/>
  <c r="AN52" i="15"/>
  <c r="AB52" i="15"/>
  <c r="P52" i="15"/>
  <c r="AF55" i="15"/>
  <c r="AP42" i="15"/>
  <c r="AD42" i="15"/>
  <c r="R42" i="15"/>
  <c r="O46" i="15"/>
  <c r="AP46" i="15"/>
  <c r="K52" i="15"/>
  <c r="AL52" i="15"/>
  <c r="Z52" i="15"/>
  <c r="N52" i="15"/>
  <c r="AV17" i="32"/>
  <c r="AX17" i="32" s="1"/>
  <c r="AV46" i="34"/>
  <c r="AX46" i="34" s="1"/>
  <c r="AX17" i="34"/>
  <c r="AV24" i="32"/>
  <c r="AX24" i="32" s="1"/>
  <c r="BA19" i="34"/>
  <c r="AR17" i="34"/>
  <c r="AQ55" i="33"/>
  <c r="AU55" i="33" s="1"/>
  <c r="AW55" i="33" s="1"/>
  <c r="AS24" i="33"/>
  <c r="AQ46" i="33"/>
  <c r="AU46" i="33" s="1"/>
  <c r="AW46" i="33" s="1"/>
  <c r="G46" i="15"/>
  <c r="AB17" i="15"/>
  <c r="AB24" i="15"/>
  <c r="AF42" i="15"/>
  <c r="T46" i="15"/>
  <c r="AS17" i="33"/>
  <c r="G42" i="15"/>
  <c r="AN17" i="15"/>
  <c r="P17" i="15"/>
  <c r="AN24" i="15"/>
  <c r="P24" i="15"/>
  <c r="T42" i="15"/>
  <c r="AF46" i="15"/>
  <c r="AX46" i="33"/>
  <c r="AS46" i="33"/>
  <c r="AG17" i="15"/>
  <c r="AO17" i="15"/>
  <c r="Q17" i="15"/>
  <c r="AQ19" i="15"/>
  <c r="AU19" i="15" s="1"/>
  <c r="AW19" i="15" s="1"/>
  <c r="D19" i="15" s="1"/>
  <c r="AK24" i="15"/>
  <c r="AG24" i="15"/>
  <c r="U24" i="15"/>
  <c r="AO24" i="15"/>
  <c r="Q24" i="15"/>
  <c r="AG42" i="15"/>
  <c r="U42" i="15"/>
  <c r="AK46" i="15"/>
  <c r="Y46" i="15"/>
  <c r="M46" i="15"/>
  <c r="AG46" i="15"/>
  <c r="U46" i="15"/>
  <c r="M52" i="15"/>
  <c r="AG55" i="15"/>
  <c r="U55" i="15"/>
  <c r="AC55" i="15"/>
  <c r="Q55" i="15"/>
  <c r="BA37" i="33"/>
  <c r="AQ42" i="33"/>
  <c r="AU42" i="33" s="1"/>
  <c r="AW42" i="33" s="1"/>
  <c r="AQ24" i="33"/>
  <c r="AU24" i="33" s="1"/>
  <c r="AW24" i="33" s="1"/>
  <c r="L17" i="15"/>
  <c r="AQ57" i="15"/>
  <c r="AU57" i="15" s="1"/>
  <c r="F17" i="15"/>
  <c r="F24" i="15"/>
  <c r="AQ23" i="15"/>
  <c r="AU23" i="15" s="1"/>
  <c r="AW23" i="15" s="1"/>
  <c r="D23" i="15" s="1"/>
  <c r="AY23" i="15" s="1"/>
  <c r="AQ22" i="15"/>
  <c r="AU22" i="15" s="1"/>
  <c r="AW22" i="15" s="1"/>
  <c r="D22" i="15" s="1"/>
  <c r="AQ20" i="15"/>
  <c r="AU20" i="15" s="1"/>
  <c r="AW20" i="15" s="1"/>
  <c r="D20" i="15" s="1"/>
  <c r="AQ41" i="15"/>
  <c r="AU41" i="15" s="1"/>
  <c r="AW41" i="15" s="1"/>
  <c r="D41" i="15" s="1"/>
  <c r="AY41" i="15" s="1"/>
  <c r="AQ40" i="15"/>
  <c r="AU40" i="15" s="1"/>
  <c r="AW40" i="15" s="1"/>
  <c r="D40" i="15" s="1"/>
  <c r="AY40" i="15" s="1"/>
  <c r="AQ39" i="15"/>
  <c r="AU39" i="15" s="1"/>
  <c r="AW39" i="15" s="1"/>
  <c r="D39" i="15" s="1"/>
  <c r="AY39" i="15" s="1"/>
  <c r="AQ38" i="15"/>
  <c r="AU38" i="15" s="1"/>
  <c r="AW38" i="15" s="1"/>
  <c r="D38" i="15" s="1"/>
  <c r="AY38" i="15" s="1"/>
  <c r="AQ37" i="15"/>
  <c r="AU37" i="15" s="1"/>
  <c r="AW37" i="15" s="1"/>
  <c r="D37" i="15" s="1"/>
  <c r="AY37" i="15" s="1"/>
  <c r="AQ36" i="15"/>
  <c r="AU36" i="15" s="1"/>
  <c r="AW36" i="15" s="1"/>
  <c r="D36" i="15" s="1"/>
  <c r="AY36" i="15" s="1"/>
  <c r="AQ35" i="15"/>
  <c r="AU35" i="15" s="1"/>
  <c r="AW35" i="15" s="1"/>
  <c r="D35" i="15" s="1"/>
  <c r="AY35" i="15" s="1"/>
  <c r="AQ34" i="15"/>
  <c r="AU34" i="15" s="1"/>
  <c r="AW34" i="15" s="1"/>
  <c r="D34" i="15" s="1"/>
  <c r="AY34" i="15" s="1"/>
  <c r="AQ33" i="15"/>
  <c r="AU33" i="15" s="1"/>
  <c r="AW33" i="15" s="1"/>
  <c r="D33" i="15" s="1"/>
  <c r="AY33" i="15" s="1"/>
  <c r="AQ32" i="15"/>
  <c r="AU32" i="15" s="1"/>
  <c r="AW32" i="15" s="1"/>
  <c r="D32" i="15" s="1"/>
  <c r="AY32" i="15" s="1"/>
  <c r="AQ31" i="15"/>
  <c r="AU31" i="15" s="1"/>
  <c r="AW31" i="15" s="1"/>
  <c r="D31" i="15" s="1"/>
  <c r="AY31" i="15" s="1"/>
  <c r="AQ30" i="15"/>
  <c r="AU30" i="15" s="1"/>
  <c r="AW30" i="15" s="1"/>
  <c r="D30" i="15" s="1"/>
  <c r="AY30" i="15" s="1"/>
  <c r="AQ29" i="15"/>
  <c r="AU29" i="15" s="1"/>
  <c r="AW29" i="15" s="1"/>
  <c r="D29" i="15" s="1"/>
  <c r="AY29" i="15" s="1"/>
  <c r="AQ28" i="15"/>
  <c r="AU28" i="15" s="1"/>
  <c r="AW28" i="15" s="1"/>
  <c r="D28" i="15" s="1"/>
  <c r="AY28" i="15" s="1"/>
  <c r="AM24" i="15"/>
  <c r="AA24" i="15"/>
  <c r="AQ27" i="15"/>
  <c r="AU27" i="15" s="1"/>
  <c r="AW27" i="15" s="1"/>
  <c r="D27" i="15" s="1"/>
  <c r="AY27" i="15" s="1"/>
  <c r="AI24" i="15"/>
  <c r="W24" i="15"/>
  <c r="K24" i="15"/>
  <c r="AQ45" i="15"/>
  <c r="AU45" i="15" s="1"/>
  <c r="AW45" i="15" s="1"/>
  <c r="AQ44" i="15"/>
  <c r="AU44" i="15" s="1"/>
  <c r="AW44" i="15" s="1"/>
  <c r="D44" i="15" s="1"/>
  <c r="AY44" i="15" s="1"/>
  <c r="AQ51" i="15"/>
  <c r="AU51" i="15" s="1"/>
  <c r="AW51" i="15" s="1"/>
  <c r="D51" i="15" s="1"/>
  <c r="AY51" i="15" s="1"/>
  <c r="AQ50" i="15"/>
  <c r="AU50" i="15" s="1"/>
  <c r="AW50" i="15" s="1"/>
  <c r="D50" i="15" s="1"/>
  <c r="AY50" i="15" s="1"/>
  <c r="AQ49" i="15"/>
  <c r="AU49" i="15" s="1"/>
  <c r="AW49" i="15" s="1"/>
  <c r="D49" i="15" s="1"/>
  <c r="AY49" i="15" s="1"/>
  <c r="AM46" i="15"/>
  <c r="AA46" i="15"/>
  <c r="AQ48" i="15"/>
  <c r="AU48" i="15" s="1"/>
  <c r="X52" i="15"/>
  <c r="L52" i="15"/>
  <c r="AQ54" i="15"/>
  <c r="AU54" i="15" s="1"/>
  <c r="AN55" i="15"/>
  <c r="AB55" i="15"/>
  <c r="AE55" i="15"/>
  <c r="AM55" i="15"/>
  <c r="O55" i="15"/>
  <c r="AR42" i="33"/>
  <c r="AR52" i="33"/>
  <c r="AL42" i="15"/>
  <c r="Z42" i="15"/>
  <c r="N42" i="15"/>
  <c r="AR46" i="33"/>
  <c r="H17" i="15"/>
  <c r="H24" i="15"/>
  <c r="G24" i="15"/>
  <c r="AK17" i="15"/>
  <c r="Y17" i="15"/>
  <c r="AJ17" i="15"/>
  <c r="X17" i="15"/>
  <c r="AF17" i="15"/>
  <c r="T17" i="15"/>
  <c r="Y24" i="15"/>
  <c r="M24" i="15"/>
  <c r="AR39" i="15"/>
  <c r="BA39" i="15" s="1"/>
  <c r="AJ24" i="15"/>
  <c r="X24" i="15"/>
  <c r="AR26" i="15"/>
  <c r="T24" i="15"/>
  <c r="AO42" i="15"/>
  <c r="AC42" i="15"/>
  <c r="Q42" i="15"/>
  <c r="AR44" i="15"/>
  <c r="BA44" i="15" s="1"/>
  <c r="AO46" i="15"/>
  <c r="AC46" i="15"/>
  <c r="Q46" i="15"/>
  <c r="AJ46" i="15"/>
  <c r="X46" i="15"/>
  <c r="L46" i="15"/>
  <c r="AR54" i="15"/>
  <c r="AK55" i="15"/>
  <c r="Y55" i="15"/>
  <c r="AJ55" i="15"/>
  <c r="X55" i="15"/>
  <c r="L55" i="15"/>
  <c r="T55" i="15"/>
  <c r="AQ52" i="33"/>
  <c r="AU52" i="33" s="1"/>
  <c r="AW52" i="33" s="1"/>
  <c r="BA41" i="33"/>
  <c r="AR41" i="15"/>
  <c r="BA41" i="15" s="1"/>
  <c r="AR40" i="15"/>
  <c r="BA40" i="15" s="1"/>
  <c r="AR38" i="15"/>
  <c r="BA38" i="15" s="1"/>
  <c r="AR37" i="15"/>
  <c r="BA37" i="15" s="1"/>
  <c r="AR36" i="15"/>
  <c r="BA36" i="15" s="1"/>
  <c r="AR35" i="15"/>
  <c r="BA35" i="15" s="1"/>
  <c r="AR34" i="15"/>
  <c r="BA34" i="15" s="1"/>
  <c r="AR33" i="15"/>
  <c r="BA33" i="15" s="1"/>
  <c r="AR32" i="15"/>
  <c r="BA32" i="15" s="1"/>
  <c r="AR31" i="15"/>
  <c r="BA31" i="15" s="1"/>
  <c r="AR30" i="15"/>
  <c r="BA30" i="15" s="1"/>
  <c r="AR29" i="15"/>
  <c r="BA29" i="15" s="1"/>
  <c r="AP24" i="15"/>
  <c r="AD24" i="15"/>
  <c r="R24" i="15"/>
  <c r="AL24" i="15"/>
  <c r="Z24" i="15"/>
  <c r="N24" i="15"/>
  <c r="AH24" i="15"/>
  <c r="AH42" i="15"/>
  <c r="V42" i="15"/>
  <c r="K46" i="15"/>
  <c r="AP55" i="15"/>
  <c r="AD55" i="15"/>
  <c r="R55" i="15"/>
  <c r="AL55" i="15"/>
  <c r="Z55" i="15"/>
  <c r="N55" i="15"/>
  <c r="AH55" i="15"/>
  <c r="V55" i="15"/>
  <c r="AQ21" i="15"/>
  <c r="AU21" i="15" s="1"/>
  <c r="AW21" i="15" s="1"/>
  <c r="D21" i="15" s="1"/>
  <c r="S52" i="15"/>
  <c r="AR24" i="33"/>
  <c r="O24" i="15"/>
  <c r="AQ26" i="15"/>
  <c r="AU26" i="15" s="1"/>
  <c r="AW26" i="15" s="1"/>
  <c r="D26" i="15" s="1"/>
  <c r="AY26" i="15" s="1"/>
  <c r="AQ58" i="15"/>
  <c r="AU58" i="15" s="1"/>
  <c r="AW58" i="15" s="1"/>
  <c r="D58" i="15" s="1"/>
  <c r="AY58" i="15" s="1"/>
  <c r="AR18" i="15"/>
  <c r="BA18" i="15" s="1"/>
  <c r="AR51" i="15"/>
  <c r="BA51" i="15" s="1"/>
  <c r="AD46" i="15"/>
  <c r="R46" i="15"/>
  <c r="AL46" i="15"/>
  <c r="Z46" i="15"/>
  <c r="AR49" i="15"/>
  <c r="BA49" i="15" s="1"/>
  <c r="AR48" i="15"/>
  <c r="V46" i="15"/>
  <c r="AR56" i="15"/>
  <c r="W55" i="15"/>
  <c r="S55" i="15"/>
  <c r="I52" i="15"/>
  <c r="O42" i="15"/>
  <c r="AF24" i="15"/>
  <c r="AZ41" i="33"/>
  <c r="K17" i="15"/>
  <c r="AR23" i="15"/>
  <c r="AR22" i="15"/>
  <c r="AP17" i="15"/>
  <c r="AD17" i="15"/>
  <c r="R17" i="15"/>
  <c r="AL17" i="15"/>
  <c r="Z17" i="15"/>
  <c r="AR20" i="15"/>
  <c r="BA20" i="15" s="1"/>
  <c r="AR19" i="15"/>
  <c r="BA19" i="15" s="1"/>
  <c r="V17" i="15"/>
  <c r="AR43" i="15"/>
  <c r="W42" i="15"/>
  <c r="AR47" i="15"/>
  <c r="AQ47" i="15"/>
  <c r="AU47" i="15" s="1"/>
  <c r="H42" i="15"/>
  <c r="AV42" i="34"/>
  <c r="AX42" i="34" s="1"/>
  <c r="AQ46" i="34"/>
  <c r="AU46" i="34" s="1"/>
  <c r="AW46" i="34" s="1"/>
  <c r="BA22" i="32"/>
  <c r="AX55" i="34"/>
  <c r="BA43" i="34"/>
  <c r="AV55" i="32"/>
  <c r="AX55" i="32" s="1"/>
  <c r="AQ24" i="32"/>
  <c r="AU24" i="32" s="1"/>
  <c r="AW24" i="32" s="1"/>
  <c r="BA21" i="32"/>
  <c r="AR52" i="32"/>
  <c r="AR52" i="34"/>
  <c r="AQ55" i="32"/>
  <c r="AU55" i="32" s="1"/>
  <c r="AW55" i="32" s="1"/>
  <c r="AS55" i="34"/>
  <c r="AS42" i="32"/>
  <c r="AQ52" i="34"/>
  <c r="AU52" i="34" s="1"/>
  <c r="AW52" i="34" s="1"/>
  <c r="BA45" i="32"/>
  <c r="BA19" i="32"/>
  <c r="AQ42" i="32"/>
  <c r="AU42" i="32" s="1"/>
  <c r="AW42" i="32" s="1"/>
  <c r="AR42" i="34"/>
  <c r="AR24" i="34"/>
  <c r="AQ42" i="34"/>
  <c r="AU42" i="34" s="1"/>
  <c r="AW42" i="34" s="1"/>
  <c r="AV24" i="34"/>
  <c r="AX24" i="34" s="1"/>
  <c r="AR42" i="32"/>
  <c r="AR55" i="34"/>
  <c r="AQ24" i="34"/>
  <c r="AU24" i="34" s="1"/>
  <c r="AW24" i="34" s="1"/>
  <c r="AR55" i="32"/>
  <c r="AQ46" i="32"/>
  <c r="AU46" i="32" s="1"/>
  <c r="AW46" i="32" s="1"/>
  <c r="D57" i="34"/>
  <c r="AY57" i="34" s="1"/>
  <c r="D53" i="34"/>
  <c r="AY53" i="34" s="1"/>
  <c r="AR46" i="34"/>
  <c r="BA45" i="34"/>
  <c r="E53" i="34"/>
  <c r="E52" i="34" s="1"/>
  <c r="AQ55" i="34"/>
  <c r="AU55" i="34" s="1"/>
  <c r="AW55" i="34" s="1"/>
  <c r="E57" i="34"/>
  <c r="AZ57" i="34" s="1"/>
  <c r="BA48" i="34"/>
  <c r="BA36" i="33"/>
  <c r="AQ17" i="33"/>
  <c r="AU17" i="33" s="1"/>
  <c r="AW17" i="33" s="1"/>
  <c r="D53" i="33"/>
  <c r="AY53" i="33" s="1"/>
  <c r="AR55" i="33"/>
  <c r="AZ45" i="33"/>
  <c r="BA45" i="33"/>
  <c r="AR17" i="33"/>
  <c r="D27" i="33"/>
  <c r="AY27" i="33" s="1"/>
  <c r="AX27" i="33"/>
  <c r="E27" i="33" s="1"/>
  <c r="E59" i="33"/>
  <c r="AZ59" i="33" s="1"/>
  <c r="AR46" i="32"/>
  <c r="AQ52" i="32"/>
  <c r="AU52" i="32" s="1"/>
  <c r="AW52" i="32" s="1"/>
  <c r="D53" i="32"/>
  <c r="AY53" i="32" s="1"/>
  <c r="AR24" i="32"/>
  <c r="AZ23" i="32"/>
  <c r="AZ17" i="32" s="1"/>
  <c r="BA23" i="32"/>
  <c r="BA20" i="32"/>
  <c r="AY17" i="32"/>
  <c r="AR17" i="32"/>
  <c r="AQ17" i="32"/>
  <c r="AU17" i="32" s="1"/>
  <c r="D27" i="32"/>
  <c r="AY27" i="32" s="1"/>
  <c r="E27" i="32"/>
  <c r="BA27" i="32" s="1"/>
  <c r="AX57" i="32"/>
  <c r="E57" i="32" s="1"/>
  <c r="E58" i="32"/>
  <c r="BA58" i="32" s="1"/>
  <c r="BA35" i="34"/>
  <c r="AZ35" i="34"/>
  <c r="BA34" i="34"/>
  <c r="AZ34" i="34"/>
  <c r="BA33" i="34"/>
  <c r="AZ33" i="34"/>
  <c r="BA32" i="34"/>
  <c r="AZ32" i="34"/>
  <c r="BA41" i="34"/>
  <c r="AZ41" i="34"/>
  <c r="BA39" i="34"/>
  <c r="AZ39" i="34"/>
  <c r="AZ27" i="34"/>
  <c r="BA27" i="34"/>
  <c r="BA38" i="34"/>
  <c r="AZ38" i="34"/>
  <c r="AZ23" i="34"/>
  <c r="AZ17" i="34" s="1"/>
  <c r="BA23" i="34"/>
  <c r="BA47" i="34"/>
  <c r="AZ47" i="34"/>
  <c r="AZ46" i="34" s="1"/>
  <c r="E46" i="34"/>
  <c r="AW49" i="34"/>
  <c r="D49" i="34" s="1"/>
  <c r="AY49" i="34" s="1"/>
  <c r="BA30" i="34"/>
  <c r="AZ30" i="34"/>
  <c r="BA25" i="34"/>
  <c r="AZ25" i="34"/>
  <c r="AZ43" i="34"/>
  <c r="AZ42" i="34" s="1"/>
  <c r="E42" i="34"/>
  <c r="BA31" i="34"/>
  <c r="AZ31" i="34"/>
  <c r="AY25" i="34"/>
  <c r="BA37" i="34"/>
  <c r="AZ37" i="34"/>
  <c r="E58" i="34"/>
  <c r="AW23" i="34"/>
  <c r="D23" i="34" s="1"/>
  <c r="BA54" i="34"/>
  <c r="BA40" i="34"/>
  <c r="AZ40" i="34"/>
  <c r="E56" i="34"/>
  <c r="BA29" i="34"/>
  <c r="AZ29" i="34"/>
  <c r="D47" i="34"/>
  <c r="BA28" i="34"/>
  <c r="AZ28" i="34"/>
  <c r="E59" i="34"/>
  <c r="E17" i="34"/>
  <c r="D27" i="34"/>
  <c r="AY27" i="34" s="1"/>
  <c r="D43" i="34"/>
  <c r="D54" i="34"/>
  <c r="AY54" i="34" s="1"/>
  <c r="AY56" i="34"/>
  <c r="BA36" i="34"/>
  <c r="AZ36" i="34"/>
  <c r="AS52" i="34"/>
  <c r="AV52" i="34"/>
  <c r="AX52" i="34" s="1"/>
  <c r="AX26" i="34"/>
  <c r="E26" i="34" s="1"/>
  <c r="E24" i="34" s="1"/>
  <c r="AZ23" i="33"/>
  <c r="AZ17" i="33" s="1"/>
  <c r="BA23" i="33"/>
  <c r="BA19" i="33"/>
  <c r="E17" i="33"/>
  <c r="BA25" i="33"/>
  <c r="AZ25" i="33"/>
  <c r="E52" i="33"/>
  <c r="AZ53" i="33"/>
  <c r="BA53" i="33"/>
  <c r="AZ54" i="33"/>
  <c r="BA54" i="33"/>
  <c r="AY47" i="33"/>
  <c r="AW43" i="33"/>
  <c r="D43" i="33" s="1"/>
  <c r="AS52" i="33"/>
  <c r="AV52" i="33"/>
  <c r="AX52" i="33" s="1"/>
  <c r="E56" i="33"/>
  <c r="D45" i="33"/>
  <c r="AY45" i="33" s="1"/>
  <c r="D59" i="33"/>
  <c r="AY59" i="33" s="1"/>
  <c r="AW54" i="33"/>
  <c r="D54" i="33" s="1"/>
  <c r="AW48" i="33"/>
  <c r="D48" i="33" s="1"/>
  <c r="E43" i="33"/>
  <c r="E57" i="33"/>
  <c r="BA47" i="33"/>
  <c r="AZ47" i="33"/>
  <c r="AZ46" i="33" s="1"/>
  <c r="E46" i="33"/>
  <c r="AW49" i="33"/>
  <c r="D49" i="33" s="1"/>
  <c r="AY49" i="33" s="1"/>
  <c r="BA48" i="33"/>
  <c r="AY25" i="33"/>
  <c r="AW56" i="33"/>
  <c r="D56" i="33" s="1"/>
  <c r="AW23" i="33"/>
  <c r="D23" i="33" s="1"/>
  <c r="E26" i="33"/>
  <c r="AV55" i="33"/>
  <c r="AX55" i="33" s="1"/>
  <c r="AS55" i="33"/>
  <c r="AX58" i="33"/>
  <c r="E58" i="33" s="1"/>
  <c r="AZ54" i="32"/>
  <c r="BA54" i="32"/>
  <c r="AY25" i="32"/>
  <c r="AZ47" i="32"/>
  <c r="AZ46" i="32" s="1"/>
  <c r="E46" i="32"/>
  <c r="BA47" i="32"/>
  <c r="AZ43" i="32"/>
  <c r="AZ42" i="32" s="1"/>
  <c r="E42" i="32"/>
  <c r="BA43" i="32"/>
  <c r="D17" i="32"/>
  <c r="AS52" i="32"/>
  <c r="AV52" i="32"/>
  <c r="AX52" i="32" s="1"/>
  <c r="BA26" i="32"/>
  <c r="AZ26" i="32"/>
  <c r="AY56" i="32"/>
  <c r="E53" i="32"/>
  <c r="AW43" i="32"/>
  <c r="D43" i="32" s="1"/>
  <c r="D59" i="32"/>
  <c r="AY59" i="32" s="1"/>
  <c r="D45" i="32"/>
  <c r="AY45" i="32" s="1"/>
  <c r="D47" i="32"/>
  <c r="E59" i="32"/>
  <c r="BA56" i="32"/>
  <c r="AZ56" i="32"/>
  <c r="AW54" i="32"/>
  <c r="D54" i="32" s="1"/>
  <c r="BA25" i="32"/>
  <c r="AZ25" i="32"/>
  <c r="AW49" i="32"/>
  <c r="D49" i="32" s="1"/>
  <c r="AY49" i="32" s="1"/>
  <c r="E17" i="32"/>
  <c r="BA18" i="32"/>
  <c r="BA48" i="32"/>
  <c r="AR58" i="15"/>
  <c r="AR57" i="15"/>
  <c r="AI55" i="15"/>
  <c r="AQ56" i="15"/>
  <c r="AU56" i="15" s="1"/>
  <c r="AW56" i="15" s="1"/>
  <c r="D56" i="15" s="1"/>
  <c r="AH52" i="15"/>
  <c r="V52" i="15"/>
  <c r="AH46" i="15"/>
  <c r="N46" i="15"/>
  <c r="AR50" i="15"/>
  <c r="BA50" i="15" s="1"/>
  <c r="AI46" i="15"/>
  <c r="W46" i="15"/>
  <c r="AR45" i="15"/>
  <c r="AQ43" i="15"/>
  <c r="AU43" i="15" s="1"/>
  <c r="AW43" i="15" s="1"/>
  <c r="AR28" i="15"/>
  <c r="BA28" i="15" s="1"/>
  <c r="V24" i="15"/>
  <c r="AR25" i="15"/>
  <c r="BA25" i="15" s="1"/>
  <c r="N17" i="15"/>
  <c r="AR21" i="15"/>
  <c r="BA21" i="15" s="1"/>
  <c r="AH17" i="15"/>
  <c r="AX23" i="15"/>
  <c r="E23" i="15" s="1"/>
  <c r="AZ23" i="15" s="1"/>
  <c r="AZ17" i="15" s="1"/>
  <c r="W17" i="15"/>
  <c r="AI17" i="15"/>
  <c r="AQ18" i="15"/>
  <c r="AU18" i="15" s="1"/>
  <c r="AW18" i="15" s="1"/>
  <c r="D18" i="15" s="1"/>
  <c r="AY18" i="15"/>
  <c r="I55" i="15"/>
  <c r="H55" i="15"/>
  <c r="G55" i="15"/>
  <c r="F55" i="15"/>
  <c r="G52" i="15"/>
  <c r="F46" i="15"/>
  <c r="I46" i="15"/>
  <c r="H46" i="15"/>
  <c r="I42" i="15"/>
  <c r="I24" i="15"/>
  <c r="I17" i="15"/>
  <c r="G17" i="15"/>
  <c r="E54" i="15"/>
  <c r="AZ54" i="15" s="1"/>
  <c r="AX26" i="15"/>
  <c r="E26" i="15" s="1"/>
  <c r="AV17" i="15"/>
  <c r="AX17" i="15" s="1"/>
  <c r="AZ44" i="15"/>
  <c r="AZ28" i="15"/>
  <c r="AZ32" i="15"/>
  <c r="AZ36" i="15"/>
  <c r="AZ40" i="15"/>
  <c r="AZ25" i="15"/>
  <c r="AZ29" i="15"/>
  <c r="AZ33" i="15"/>
  <c r="AZ37" i="15"/>
  <c r="AZ41" i="15"/>
  <c r="AZ49" i="15"/>
  <c r="AZ50" i="15"/>
  <c r="AZ30" i="15"/>
  <c r="AZ34" i="15"/>
  <c r="AZ38" i="15"/>
  <c r="AZ51" i="15"/>
  <c r="AZ31" i="15"/>
  <c r="AZ35" i="15"/>
  <c r="AZ39" i="15"/>
  <c r="AX53" i="15"/>
  <c r="E53" i="15" s="1"/>
  <c r="M17" i="15"/>
  <c r="AS45" i="15"/>
  <c r="S46" i="15"/>
  <c r="AS57" i="15"/>
  <c r="E22" i="15"/>
  <c r="AC24" i="15"/>
  <c r="M42" i="15"/>
  <c r="AV43" i="15"/>
  <c r="AS46" i="15"/>
  <c r="M55" i="15"/>
  <c r="AV56" i="15"/>
  <c r="AX56" i="15" s="1"/>
  <c r="E56" i="15" s="1"/>
  <c r="AC17" i="15"/>
  <c r="AS23" i="15"/>
  <c r="S24" i="15"/>
  <c r="AS48" i="15"/>
  <c r="AV57" i="15"/>
  <c r="AX57" i="15" s="1"/>
  <c r="AQ25" i="15"/>
  <c r="AU25" i="15" s="1"/>
  <c r="E27" i="15"/>
  <c r="AZ27" i="15" s="1"/>
  <c r="AV46" i="15"/>
  <c r="AX46" i="15" s="1"/>
  <c r="AQ53" i="15"/>
  <c r="AU53" i="15" s="1"/>
  <c r="P55" i="15"/>
  <c r="AV45" i="15"/>
  <c r="AX45" i="15" s="1"/>
  <c r="S17" i="15"/>
  <c r="AS24" i="15"/>
  <c r="AV47" i="15"/>
  <c r="AX47" i="15" s="1"/>
  <c r="AS52" i="15"/>
  <c r="AR53" i="15"/>
  <c r="AX58" i="15"/>
  <c r="E58" i="15" s="1"/>
  <c r="AR27" i="15"/>
  <c r="AV48" i="15"/>
  <c r="AS54" i="15"/>
  <c r="AV24" i="15"/>
  <c r="AX24" i="15" s="1"/>
  <c r="AV52" i="15"/>
  <c r="AX52" i="15" s="1"/>
  <c r="AT42" i="15"/>
  <c r="AT55" i="15"/>
  <c r="BA17" i="34" l="1"/>
  <c r="BA22" i="15"/>
  <c r="AR52" i="15"/>
  <c r="BA56" i="15"/>
  <c r="AQ55" i="15"/>
  <c r="AU55" i="15" s="1"/>
  <c r="AW55" i="15" s="1"/>
  <c r="BA46" i="33"/>
  <c r="BA24" i="34"/>
  <c r="AQ52" i="15"/>
  <c r="AU52" i="15" s="1"/>
  <c r="AW52" i="15" s="1"/>
  <c r="E24" i="15"/>
  <c r="BA54" i="15"/>
  <c r="AR42" i="15"/>
  <c r="AQ42" i="15"/>
  <c r="AU42" i="15" s="1"/>
  <c r="AW42" i="15" s="1"/>
  <c r="AQ24" i="15"/>
  <c r="AU24" i="15" s="1"/>
  <c r="AW24" i="15" s="1"/>
  <c r="AR46" i="15"/>
  <c r="BA52" i="33"/>
  <c r="BA59" i="33"/>
  <c r="AR24" i="15"/>
  <c r="BA52" i="34"/>
  <c r="AZ27" i="32"/>
  <c r="AZ24" i="32" s="1"/>
  <c r="BA42" i="32"/>
  <c r="E24" i="32"/>
  <c r="BA24" i="32" s="1"/>
  <c r="BA42" i="34"/>
  <c r="AW17" i="32"/>
  <c r="BA46" i="32"/>
  <c r="BA57" i="34"/>
  <c r="BA53" i="34"/>
  <c r="AZ53" i="34"/>
  <c r="BA46" i="34"/>
  <c r="AY24" i="34"/>
  <c r="BA17" i="33"/>
  <c r="D24" i="32"/>
  <c r="BA27" i="15"/>
  <c r="D24" i="33"/>
  <c r="AY24" i="33"/>
  <c r="AZ27" i="33"/>
  <c r="BA27" i="33"/>
  <c r="E24" i="33"/>
  <c r="BA24" i="33" s="1"/>
  <c r="AY24" i="32"/>
  <c r="BA17" i="32"/>
  <c r="AZ57" i="32"/>
  <c r="BA57" i="32"/>
  <c r="D55" i="32"/>
  <c r="E55" i="32"/>
  <c r="BA55" i="32" s="1"/>
  <c r="AZ58" i="32"/>
  <c r="AY23" i="34"/>
  <c r="AY17" i="34" s="1"/>
  <c r="D17" i="34"/>
  <c r="D55" i="34"/>
  <c r="BA58" i="34"/>
  <c r="AZ58" i="34"/>
  <c r="AY43" i="34"/>
  <c r="AY42" i="34" s="1"/>
  <c r="D42" i="34"/>
  <c r="D24" i="34"/>
  <c r="AZ26" i="34"/>
  <c r="AZ24" i="34" s="1"/>
  <c r="BA26" i="34"/>
  <c r="E55" i="34"/>
  <c r="BA55" i="34" s="1"/>
  <c r="BA56" i="34"/>
  <c r="AZ56" i="34"/>
  <c r="AZ59" i="34"/>
  <c r="BA59" i="34"/>
  <c r="AY47" i="34"/>
  <c r="AY46" i="34" s="1"/>
  <c r="D46" i="34"/>
  <c r="D52" i="34"/>
  <c r="AY54" i="33"/>
  <c r="D52" i="33"/>
  <c r="BA58" i="33"/>
  <c r="AZ58" i="33"/>
  <c r="D55" i="33"/>
  <c r="AY56" i="33"/>
  <c r="AY23" i="33"/>
  <c r="AY17" i="33" s="1"/>
  <c r="D17" i="33"/>
  <c r="AY48" i="33"/>
  <c r="AY46" i="33" s="1"/>
  <c r="D46" i="33"/>
  <c r="AY43" i="33"/>
  <c r="AY42" i="33" s="1"/>
  <c r="D42" i="33"/>
  <c r="AZ43" i="33"/>
  <c r="AZ42" i="33" s="1"/>
  <c r="E42" i="33"/>
  <c r="BA42" i="33" s="1"/>
  <c r="BA43" i="33"/>
  <c r="AZ26" i="33"/>
  <c r="AZ24" i="33" s="1"/>
  <c r="BA26" i="33"/>
  <c r="E55" i="33"/>
  <c r="BA55" i="33" s="1"/>
  <c r="BA56" i="33"/>
  <c r="AZ56" i="33"/>
  <c r="AZ57" i="33"/>
  <c r="BA57" i="33"/>
  <c r="AY54" i="32"/>
  <c r="D52" i="32"/>
  <c r="E52" i="32"/>
  <c r="BA52" i="32" s="1"/>
  <c r="AZ53" i="32"/>
  <c r="BA53" i="32"/>
  <c r="BA59" i="32"/>
  <c r="AZ59" i="32"/>
  <c r="D46" i="32"/>
  <c r="AY47" i="32"/>
  <c r="AY46" i="32" s="1"/>
  <c r="AY43" i="32"/>
  <c r="AY42" i="32" s="1"/>
  <c r="D42" i="32"/>
  <c r="AW57" i="15"/>
  <c r="D57" i="15" s="1"/>
  <c r="AY57" i="15" s="1"/>
  <c r="AR55" i="15"/>
  <c r="AQ46" i="15"/>
  <c r="AU46" i="15" s="1"/>
  <c r="AW46" i="15" s="1"/>
  <c r="D43" i="15"/>
  <c r="AY43" i="15" s="1"/>
  <c r="BA23" i="15"/>
  <c r="AQ17" i="15"/>
  <c r="AU17" i="15" s="1"/>
  <c r="AW17" i="15" s="1"/>
  <c r="AR17" i="15"/>
  <c r="AY17" i="15"/>
  <c r="D45" i="15"/>
  <c r="AY45" i="15" s="1"/>
  <c r="AX43" i="15"/>
  <c r="E43" i="15" s="1"/>
  <c r="E45" i="15"/>
  <c r="AZ45" i="15" s="1"/>
  <c r="E57" i="15"/>
  <c r="BA57" i="15" s="1"/>
  <c r="E17" i="15"/>
  <c r="BA53" i="15"/>
  <c r="AZ53" i="15"/>
  <c r="AZ52" i="15" s="1"/>
  <c r="E52" i="15"/>
  <c r="AW53" i="15"/>
  <c r="D53" i="15" s="1"/>
  <c r="AZ58" i="15"/>
  <c r="BA58" i="15"/>
  <c r="AS55" i="15"/>
  <c r="AV55" i="15"/>
  <c r="AX55" i="15" s="1"/>
  <c r="AZ26" i="15"/>
  <c r="AZ24" i="15" s="1"/>
  <c r="BA26" i="15"/>
  <c r="AY56" i="15"/>
  <c r="AW25" i="15"/>
  <c r="D25" i="15" s="1"/>
  <c r="AW54" i="15"/>
  <c r="D54" i="15" s="1"/>
  <c r="AY54" i="15" s="1"/>
  <c r="AW47" i="15"/>
  <c r="D47" i="15" s="1"/>
  <c r="AW48" i="15"/>
  <c r="D48" i="15" s="1"/>
  <c r="AY48" i="15" s="1"/>
  <c r="AZ56" i="15"/>
  <c r="AS42" i="15"/>
  <c r="AV42" i="15"/>
  <c r="AX42" i="15" s="1"/>
  <c r="D17" i="15"/>
  <c r="E47" i="15"/>
  <c r="AX48" i="15"/>
  <c r="E48" i="15" s="1"/>
  <c r="BA24" i="15" l="1"/>
  <c r="BA52" i="15"/>
  <c r="E55" i="15"/>
  <c r="BA55" i="15" s="1"/>
  <c r="AZ57" i="15"/>
  <c r="AY42" i="15"/>
  <c r="D42" i="15"/>
  <c r="BA17" i="15"/>
  <c r="AZ43" i="15"/>
  <c r="AZ42" i="15" s="1"/>
  <c r="BA43" i="15"/>
  <c r="E42" i="15"/>
  <c r="BA42" i="15" s="1"/>
  <c r="BA45" i="15"/>
  <c r="AY55" i="15"/>
  <c r="D55" i="15"/>
  <c r="AY47" i="15"/>
  <c r="AY46" i="15" s="1"/>
  <c r="D46" i="15"/>
  <c r="AY53" i="15"/>
  <c r="AY52" i="15" s="1"/>
  <c r="D52" i="15"/>
  <c r="AZ48" i="15"/>
  <c r="BA48" i="15"/>
  <c r="D24" i="15"/>
  <c r="AY25" i="15"/>
  <c r="AY24" i="15" s="1"/>
  <c r="AZ47" i="15"/>
  <c r="E46" i="15"/>
  <c r="BA46" i="15" s="1"/>
  <c r="BA47" i="15"/>
  <c r="AZ55" i="15" l="1"/>
  <c r="AZ46" i="15"/>
  <c r="F57" i="14" l="1"/>
  <c r="G57" i="14"/>
  <c r="H57" i="14"/>
  <c r="I57" i="14"/>
  <c r="F58" i="14"/>
  <c r="G58" i="14"/>
  <c r="H58" i="14"/>
  <c r="I58" i="14"/>
  <c r="F59" i="14"/>
  <c r="G59" i="14"/>
  <c r="H59" i="14"/>
  <c r="I59" i="14"/>
  <c r="G56" i="14"/>
  <c r="H56" i="14"/>
  <c r="I56" i="14"/>
  <c r="F56" i="14"/>
  <c r="F54" i="14"/>
  <c r="G54" i="14"/>
  <c r="H54" i="14"/>
  <c r="I54" i="14"/>
  <c r="I52" i="14" s="1"/>
  <c r="G53" i="14"/>
  <c r="H53" i="14"/>
  <c r="I53" i="14"/>
  <c r="F53" i="14"/>
  <c r="F48" i="14"/>
  <c r="G48" i="14"/>
  <c r="H48" i="14"/>
  <c r="I48" i="14"/>
  <c r="F49" i="14"/>
  <c r="G49" i="14"/>
  <c r="H49" i="14"/>
  <c r="I49" i="14"/>
  <c r="F50" i="14"/>
  <c r="G50" i="14"/>
  <c r="H50" i="14"/>
  <c r="I50" i="14"/>
  <c r="F51" i="14"/>
  <c r="G51" i="14"/>
  <c r="H51" i="14"/>
  <c r="I51" i="14"/>
  <c r="G47" i="14"/>
  <c r="H47" i="14"/>
  <c r="I47" i="14"/>
  <c r="F47" i="14"/>
  <c r="G43" i="14"/>
  <c r="H43" i="14"/>
  <c r="I43" i="14"/>
  <c r="F43" i="14"/>
  <c r="F26" i="14"/>
  <c r="G26" i="14"/>
  <c r="H26" i="14"/>
  <c r="I26" i="14"/>
  <c r="F27" i="14"/>
  <c r="G27" i="14"/>
  <c r="H27" i="14"/>
  <c r="I27" i="14"/>
  <c r="F28" i="14"/>
  <c r="G28" i="14"/>
  <c r="H28" i="14"/>
  <c r="I28" i="14"/>
  <c r="F29" i="14"/>
  <c r="G29" i="14"/>
  <c r="H29" i="14"/>
  <c r="I29" i="14"/>
  <c r="F30" i="14"/>
  <c r="G30" i="14"/>
  <c r="H30" i="14"/>
  <c r="I30" i="14"/>
  <c r="F31" i="14"/>
  <c r="G31" i="14"/>
  <c r="H31" i="14"/>
  <c r="I31" i="14"/>
  <c r="F32" i="14"/>
  <c r="G32" i="14"/>
  <c r="H32" i="14"/>
  <c r="I32" i="14"/>
  <c r="F33" i="14"/>
  <c r="G33" i="14"/>
  <c r="H33" i="14"/>
  <c r="I33" i="14"/>
  <c r="F34" i="14"/>
  <c r="G34" i="14"/>
  <c r="H34" i="14"/>
  <c r="I34" i="14"/>
  <c r="F35" i="14"/>
  <c r="G35" i="14"/>
  <c r="H35" i="14"/>
  <c r="I35" i="14"/>
  <c r="F36" i="14"/>
  <c r="G36" i="14"/>
  <c r="H36" i="14"/>
  <c r="I36" i="14"/>
  <c r="F37" i="14"/>
  <c r="G37" i="14"/>
  <c r="H37" i="14"/>
  <c r="I37" i="14"/>
  <c r="F38" i="14"/>
  <c r="G38" i="14"/>
  <c r="H38" i="14"/>
  <c r="I38" i="14"/>
  <c r="F39" i="14"/>
  <c r="G39" i="14"/>
  <c r="H39" i="14"/>
  <c r="I39" i="14"/>
  <c r="F40" i="14"/>
  <c r="G40" i="14"/>
  <c r="H40" i="14"/>
  <c r="I40" i="14"/>
  <c r="F41" i="14"/>
  <c r="G41" i="14"/>
  <c r="H41" i="14"/>
  <c r="I41" i="14"/>
  <c r="G25" i="14"/>
  <c r="H25" i="14"/>
  <c r="I25" i="14"/>
  <c r="F25" i="14"/>
  <c r="F19" i="14"/>
  <c r="G19" i="14"/>
  <c r="H19" i="14"/>
  <c r="I19" i="14"/>
  <c r="F20" i="14"/>
  <c r="G20" i="14"/>
  <c r="H20" i="14"/>
  <c r="I20" i="14"/>
  <c r="F21" i="14"/>
  <c r="G21" i="14"/>
  <c r="H21" i="14"/>
  <c r="I21" i="14"/>
  <c r="F22" i="14"/>
  <c r="G22" i="14"/>
  <c r="H22" i="14"/>
  <c r="I22" i="14"/>
  <c r="F23" i="14"/>
  <c r="G23" i="14"/>
  <c r="H23" i="14"/>
  <c r="I23" i="14"/>
  <c r="G18" i="14"/>
  <c r="H18" i="14"/>
  <c r="I18" i="14"/>
  <c r="F18" i="14"/>
  <c r="AE55" i="16"/>
  <c r="S55" i="16"/>
  <c r="F55" i="16"/>
  <c r="AV59" i="16"/>
  <c r="AX59" i="16" s="1"/>
  <c r="E59" i="16" s="1"/>
  <c r="AS59" i="16"/>
  <c r="AR59" i="16"/>
  <c r="AK55" i="16"/>
  <c r="Y55" i="16"/>
  <c r="M55" i="16"/>
  <c r="G55" i="16"/>
  <c r="AV58" i="16"/>
  <c r="AS58" i="16"/>
  <c r="AL55" i="16"/>
  <c r="AG55" i="16"/>
  <c r="Z55" i="16"/>
  <c r="U55" i="16"/>
  <c r="N55" i="16"/>
  <c r="AQ58" i="16"/>
  <c r="H55" i="16"/>
  <c r="AQ57" i="16"/>
  <c r="AR57" i="16"/>
  <c r="I55" i="16"/>
  <c r="AS56" i="16"/>
  <c r="AO55" i="16"/>
  <c r="AI55" i="16"/>
  <c r="AF55" i="16"/>
  <c r="AC55" i="16"/>
  <c r="W55" i="16"/>
  <c r="T55" i="16"/>
  <c r="AQ56" i="16"/>
  <c r="AU56" i="16" s="1"/>
  <c r="Q55" i="16"/>
  <c r="AR56" i="16"/>
  <c r="K55" i="16"/>
  <c r="AT55" i="16"/>
  <c r="AP55" i="16"/>
  <c r="AN55" i="16"/>
  <c r="AM55" i="16"/>
  <c r="AJ55" i="16"/>
  <c r="AH55" i="16"/>
  <c r="AD55" i="16"/>
  <c r="AB55" i="16"/>
  <c r="AA55" i="16"/>
  <c r="X55" i="16"/>
  <c r="V55" i="16"/>
  <c r="R55" i="16"/>
  <c r="P55" i="16"/>
  <c r="O55" i="16"/>
  <c r="L55" i="16"/>
  <c r="J55" i="16"/>
  <c r="AV54" i="16"/>
  <c r="AS54" i="16"/>
  <c r="AR54" i="16"/>
  <c r="AQ54" i="16"/>
  <c r="L52" i="16"/>
  <c r="G52" i="16"/>
  <c r="AK52" i="16"/>
  <c r="AH52" i="16"/>
  <c r="AE52" i="16"/>
  <c r="Y52" i="16"/>
  <c r="V52" i="16"/>
  <c r="S52" i="16"/>
  <c r="AR53" i="16"/>
  <c r="AQ53" i="16"/>
  <c r="AP52" i="16"/>
  <c r="AO52" i="16"/>
  <c r="AN52" i="16"/>
  <c r="AM52" i="16"/>
  <c r="AL52" i="16"/>
  <c r="AJ52" i="16"/>
  <c r="AI52" i="16"/>
  <c r="AG52" i="16"/>
  <c r="AF52" i="16"/>
  <c r="AD52" i="16"/>
  <c r="AC52" i="16"/>
  <c r="AB52" i="16"/>
  <c r="AA52" i="16"/>
  <c r="Z52" i="16"/>
  <c r="X52" i="16"/>
  <c r="W52" i="16"/>
  <c r="U52" i="16"/>
  <c r="T52" i="16"/>
  <c r="R52" i="16"/>
  <c r="Q52" i="16"/>
  <c r="P52" i="16"/>
  <c r="O52" i="16"/>
  <c r="N52" i="16"/>
  <c r="K52" i="16"/>
  <c r="J52" i="16"/>
  <c r="I52" i="16"/>
  <c r="H52" i="16"/>
  <c r="F52" i="16"/>
  <c r="AV51" i="16"/>
  <c r="AX51" i="16" s="1"/>
  <c r="E51" i="16" s="1"/>
  <c r="AS51" i="16"/>
  <c r="AR51" i="16"/>
  <c r="AQ51" i="16"/>
  <c r="AU51" i="16" s="1"/>
  <c r="AV50" i="16"/>
  <c r="AX50" i="16" s="1"/>
  <c r="E50" i="16" s="1"/>
  <c r="AS50" i="16"/>
  <c r="AR50" i="16"/>
  <c r="AQ50" i="16"/>
  <c r="AU50" i="16" s="1"/>
  <c r="AV49" i="16"/>
  <c r="AX49" i="16" s="1"/>
  <c r="E49" i="16" s="1"/>
  <c r="AS49" i="16"/>
  <c r="AK46" i="16"/>
  <c r="Y46" i="16"/>
  <c r="AR49" i="16"/>
  <c r="M46" i="16"/>
  <c r="AV48" i="16"/>
  <c r="AL46" i="16"/>
  <c r="Z46" i="16"/>
  <c r="N46" i="16"/>
  <c r="AQ48" i="16"/>
  <c r="AV47" i="16"/>
  <c r="AS47" i="16"/>
  <c r="AM46" i="16"/>
  <c r="AA46" i="16"/>
  <c r="O46" i="16"/>
  <c r="AR47" i="16"/>
  <c r="AQ47" i="16"/>
  <c r="AT46" i="16"/>
  <c r="AP46" i="16"/>
  <c r="AO46" i="16"/>
  <c r="AN46" i="16"/>
  <c r="AJ46" i="16"/>
  <c r="AI46" i="16"/>
  <c r="AH46" i="16"/>
  <c r="AG46" i="16"/>
  <c r="AF46" i="16"/>
  <c r="AE46" i="16"/>
  <c r="AD46" i="16"/>
  <c r="AC46" i="16"/>
  <c r="AB46" i="16"/>
  <c r="X46" i="16"/>
  <c r="W46" i="16"/>
  <c r="V46" i="16"/>
  <c r="U46" i="16"/>
  <c r="T46" i="16"/>
  <c r="S46" i="16"/>
  <c r="R46" i="16"/>
  <c r="Q46" i="16"/>
  <c r="P46" i="16"/>
  <c r="L46" i="16"/>
  <c r="K46" i="16"/>
  <c r="J46" i="16"/>
  <c r="I46" i="16"/>
  <c r="H46" i="16"/>
  <c r="G46" i="16"/>
  <c r="F46" i="16"/>
  <c r="AR45" i="16"/>
  <c r="AQ45" i="16"/>
  <c r="AV44" i="16"/>
  <c r="AX44" i="16" s="1"/>
  <c r="E44" i="16" s="1"/>
  <c r="AS44" i="16"/>
  <c r="AP42" i="16"/>
  <c r="AD42" i="16"/>
  <c r="R42" i="16"/>
  <c r="AR44" i="16"/>
  <c r="AQ44" i="16"/>
  <c r="AU44" i="16" s="1"/>
  <c r="AV43" i="16"/>
  <c r="AX43" i="16" s="1"/>
  <c r="E43" i="16" s="1"/>
  <c r="AS43" i="16"/>
  <c r="AE42" i="16"/>
  <c r="AQ43" i="16"/>
  <c r="AU43" i="16" s="1"/>
  <c r="AR43" i="16"/>
  <c r="F42" i="16"/>
  <c r="AT42" i="16"/>
  <c r="AV42" i="16" s="1"/>
  <c r="AX42" i="16" s="1"/>
  <c r="AO42" i="16"/>
  <c r="AN42" i="16"/>
  <c r="AM42" i="16"/>
  <c r="AL42" i="16"/>
  <c r="AK42" i="16"/>
  <c r="AJ42" i="16"/>
  <c r="AI42" i="16"/>
  <c r="AH42" i="16"/>
  <c r="AG42" i="16"/>
  <c r="AF42" i="16"/>
  <c r="AC42" i="16"/>
  <c r="AB42" i="16"/>
  <c r="AA42" i="16"/>
  <c r="Z42" i="16"/>
  <c r="Y42" i="16"/>
  <c r="X42" i="16"/>
  <c r="W42" i="16"/>
  <c r="V42" i="16"/>
  <c r="U42" i="16"/>
  <c r="T42" i="16"/>
  <c r="Q42" i="16"/>
  <c r="P42" i="16"/>
  <c r="O42" i="16"/>
  <c r="N42" i="16"/>
  <c r="M42" i="16"/>
  <c r="L42" i="16"/>
  <c r="K42" i="16"/>
  <c r="J42" i="16"/>
  <c r="I42" i="16"/>
  <c r="H42" i="16"/>
  <c r="G42" i="16"/>
  <c r="AV41" i="16"/>
  <c r="AX41" i="16" s="1"/>
  <c r="E41" i="16" s="1"/>
  <c r="AS41" i="16"/>
  <c r="AR41" i="16"/>
  <c r="AQ41" i="16"/>
  <c r="AU41" i="16" s="1"/>
  <c r="AV40" i="16"/>
  <c r="AX40" i="16" s="1"/>
  <c r="E40" i="16" s="1"/>
  <c r="AS40" i="16"/>
  <c r="AR40" i="16"/>
  <c r="AQ40" i="16"/>
  <c r="AU40" i="16" s="1"/>
  <c r="AV39" i="16"/>
  <c r="AX39" i="16" s="1"/>
  <c r="E39" i="16" s="1"/>
  <c r="AS39" i="16"/>
  <c r="AR39" i="16"/>
  <c r="AQ39" i="16"/>
  <c r="AU39" i="16" s="1"/>
  <c r="AV38" i="16"/>
  <c r="AX38" i="16" s="1"/>
  <c r="E38" i="16" s="1"/>
  <c r="AS38" i="16"/>
  <c r="AR38" i="16"/>
  <c r="AQ38" i="16"/>
  <c r="AU38" i="16" s="1"/>
  <c r="AV37" i="16"/>
  <c r="AX37" i="16" s="1"/>
  <c r="E37" i="16" s="1"/>
  <c r="AS37" i="16"/>
  <c r="AR37" i="16"/>
  <c r="AQ37" i="16"/>
  <c r="AU37" i="16" s="1"/>
  <c r="AV36" i="16"/>
  <c r="AX36" i="16" s="1"/>
  <c r="E36" i="16" s="1"/>
  <c r="AS36" i="16"/>
  <c r="AR36" i="16"/>
  <c r="AQ36" i="16"/>
  <c r="AU36" i="16" s="1"/>
  <c r="AV35" i="16"/>
  <c r="AS35" i="16"/>
  <c r="AR35" i="16"/>
  <c r="AQ35" i="16"/>
  <c r="AU35" i="16" s="1"/>
  <c r="AV34" i="16"/>
  <c r="AX34" i="16" s="1"/>
  <c r="E34" i="16" s="1"/>
  <c r="AS34" i="16"/>
  <c r="AR34" i="16"/>
  <c r="AQ34" i="16"/>
  <c r="AU34" i="16" s="1"/>
  <c r="AV33" i="16"/>
  <c r="AX33" i="16" s="1"/>
  <c r="AS33" i="16"/>
  <c r="AR33" i="16"/>
  <c r="AQ33" i="16"/>
  <c r="AU33" i="16" s="1"/>
  <c r="AV32" i="16"/>
  <c r="AX32" i="16" s="1"/>
  <c r="E32" i="16" s="1"/>
  <c r="AS32" i="16"/>
  <c r="AR32" i="16"/>
  <c r="AQ32" i="16"/>
  <c r="AU32" i="16" s="1"/>
  <c r="AV31" i="16"/>
  <c r="AX31" i="16" s="1"/>
  <c r="E31" i="16" s="1"/>
  <c r="AS31" i="16"/>
  <c r="AR31" i="16"/>
  <c r="AQ31" i="16"/>
  <c r="AU31" i="16" s="1"/>
  <c r="AV30" i="16"/>
  <c r="AX30" i="16" s="1"/>
  <c r="E30" i="16" s="1"/>
  <c r="AS30" i="16"/>
  <c r="AR30" i="16"/>
  <c r="AQ30" i="16"/>
  <c r="AU30" i="16" s="1"/>
  <c r="AV29" i="16"/>
  <c r="AX29" i="16" s="1"/>
  <c r="E29" i="16" s="1"/>
  <c r="AS29" i="16"/>
  <c r="AR29" i="16"/>
  <c r="AQ29" i="16"/>
  <c r="AU29" i="16" s="1"/>
  <c r="AV28" i="16"/>
  <c r="AX28" i="16" s="1"/>
  <c r="E28" i="16" s="1"/>
  <c r="AS28" i="16"/>
  <c r="AG24" i="16"/>
  <c r="U24" i="16"/>
  <c r="AR28" i="16"/>
  <c r="AQ28" i="16"/>
  <c r="AU28" i="16" s="1"/>
  <c r="H24" i="16"/>
  <c r="AT24" i="16"/>
  <c r="AH24" i="16"/>
  <c r="V24" i="16"/>
  <c r="AR27" i="16"/>
  <c r="AQ27" i="16"/>
  <c r="I24" i="16"/>
  <c r="AS26" i="16"/>
  <c r="AR26" i="16"/>
  <c r="AQ26" i="16"/>
  <c r="AU26" i="16" s="1"/>
  <c r="AV25" i="16"/>
  <c r="AS25" i="16"/>
  <c r="AI24" i="16"/>
  <c r="W24" i="16"/>
  <c r="AR25" i="16"/>
  <c r="AQ25" i="16"/>
  <c r="AU25" i="16" s="1"/>
  <c r="K24" i="16"/>
  <c r="AP24" i="16"/>
  <c r="AO24" i="16"/>
  <c r="AN24" i="16"/>
  <c r="AM24" i="16"/>
  <c r="AL24" i="16"/>
  <c r="AK24" i="16"/>
  <c r="AJ24" i="16"/>
  <c r="AF24" i="16"/>
  <c r="AE24" i="16"/>
  <c r="AD24" i="16"/>
  <c r="AC24" i="16"/>
  <c r="AB24" i="16"/>
  <c r="AA24" i="16"/>
  <c r="Z24" i="16"/>
  <c r="Y24" i="16"/>
  <c r="X24" i="16"/>
  <c r="T24" i="16"/>
  <c r="S24" i="16"/>
  <c r="R24" i="16"/>
  <c r="Q24" i="16"/>
  <c r="P24" i="16"/>
  <c r="O24" i="16"/>
  <c r="N24" i="16"/>
  <c r="M24" i="16"/>
  <c r="L24" i="16"/>
  <c r="J24" i="16"/>
  <c r="G24" i="16"/>
  <c r="F24" i="16"/>
  <c r="AV23" i="16"/>
  <c r="AL17" i="16"/>
  <c r="Z17" i="16"/>
  <c r="AR23" i="16"/>
  <c r="AQ23" i="16"/>
  <c r="AY22" i="16"/>
  <c r="AV22" i="16"/>
  <c r="AX22" i="16" s="1"/>
  <c r="E22" i="16" s="1"/>
  <c r="AK17" i="16"/>
  <c r="Y17" i="16"/>
  <c r="AR22" i="16"/>
  <c r="AQ22" i="16"/>
  <c r="AU22" i="16" s="1"/>
  <c r="AZ22" i="16"/>
  <c r="AV21" i="16"/>
  <c r="AX21" i="16" s="1"/>
  <c r="E21" i="16" s="1"/>
  <c r="AR21" i="16"/>
  <c r="AQ21" i="16"/>
  <c r="AU21" i="16" s="1"/>
  <c r="AZ21" i="16"/>
  <c r="AY21" i="16"/>
  <c r="AV20" i="16"/>
  <c r="AX20" i="16" s="1"/>
  <c r="E20" i="16" s="1"/>
  <c r="AI17" i="16"/>
  <c r="W17" i="16"/>
  <c r="AR20" i="16"/>
  <c r="AQ20" i="16"/>
  <c r="AU20" i="16" s="1"/>
  <c r="AZ20" i="16"/>
  <c r="AY20" i="16"/>
  <c r="AV19" i="16"/>
  <c r="AR19" i="16"/>
  <c r="AQ19" i="16"/>
  <c r="AU19" i="16" s="1"/>
  <c r="AZ19" i="16"/>
  <c r="AY19" i="16"/>
  <c r="AV18" i="16"/>
  <c r="AX18" i="16" s="1"/>
  <c r="E18" i="16" s="1"/>
  <c r="AJ17" i="16"/>
  <c r="AG17" i="16"/>
  <c r="X17" i="16"/>
  <c r="U17" i="16"/>
  <c r="AR18" i="16"/>
  <c r="AQ18" i="16"/>
  <c r="AU18" i="16" s="1"/>
  <c r="AZ18" i="16"/>
  <c r="AY18" i="16"/>
  <c r="H17" i="16"/>
  <c r="AT17" i="16"/>
  <c r="AP17" i="16"/>
  <c r="AO17" i="16"/>
  <c r="AN17" i="16"/>
  <c r="AM17" i="16"/>
  <c r="AH17" i="16"/>
  <c r="AF17" i="16"/>
  <c r="AE17" i="16"/>
  <c r="AD17" i="16"/>
  <c r="AC17" i="16"/>
  <c r="AB17" i="16"/>
  <c r="AA17" i="16"/>
  <c r="V17" i="16"/>
  <c r="T17" i="16"/>
  <c r="S17" i="16"/>
  <c r="R17" i="16"/>
  <c r="Q17" i="16"/>
  <c r="P17" i="16"/>
  <c r="O17" i="16"/>
  <c r="I17" i="16"/>
  <c r="G17" i="16"/>
  <c r="F17" i="16"/>
  <c r="AL55" i="14"/>
  <c r="Z55" i="14"/>
  <c r="N55" i="14"/>
  <c r="AV59" i="14"/>
  <c r="AO55" i="14"/>
  <c r="AC55" i="14"/>
  <c r="Q55" i="14"/>
  <c r="AR59" i="14"/>
  <c r="AQ59" i="14"/>
  <c r="AN55" i="14"/>
  <c r="AB55" i="14"/>
  <c r="AQ58" i="14"/>
  <c r="AU58" i="14" s="1"/>
  <c r="P55" i="14"/>
  <c r="AR58" i="14"/>
  <c r="AV57" i="14"/>
  <c r="AX57" i="14" s="1"/>
  <c r="E57" i="14" s="1"/>
  <c r="AZ57" i="14" s="1"/>
  <c r="AQ57" i="14"/>
  <c r="AU57" i="14" s="1"/>
  <c r="AR57" i="14"/>
  <c r="AS56" i="14"/>
  <c r="AP55" i="14"/>
  <c r="AM55" i="14"/>
  <c r="AG55" i="14"/>
  <c r="AF55" i="14"/>
  <c r="AD55" i="14"/>
  <c r="AA55" i="14"/>
  <c r="U55" i="14"/>
  <c r="T55" i="14"/>
  <c r="AQ56" i="14"/>
  <c r="R55" i="14"/>
  <c r="O55" i="14"/>
  <c r="AT55" i="14"/>
  <c r="AK55" i="14"/>
  <c r="AJ55" i="14"/>
  <c r="AI55" i="14"/>
  <c r="AH55" i="14"/>
  <c r="AE55" i="14"/>
  <c r="Y55" i="14"/>
  <c r="X55" i="14"/>
  <c r="W55" i="14"/>
  <c r="V55" i="14"/>
  <c r="S55" i="14"/>
  <c r="M55" i="14"/>
  <c r="L55" i="14"/>
  <c r="K55" i="14"/>
  <c r="J55" i="14"/>
  <c r="AS54" i="14"/>
  <c r="AR54" i="14"/>
  <c r="AQ54" i="14"/>
  <c r="AO52" i="14"/>
  <c r="AI52" i="14"/>
  <c r="AH52" i="14"/>
  <c r="AF52" i="14"/>
  <c r="AC52" i="14"/>
  <c r="W52" i="14"/>
  <c r="V52" i="14"/>
  <c r="T52" i="14"/>
  <c r="Q52" i="14"/>
  <c r="AQ53" i="14"/>
  <c r="K52" i="14"/>
  <c r="AP52" i="14"/>
  <c r="AN52" i="14"/>
  <c r="AM52" i="14"/>
  <c r="AL52" i="14"/>
  <c r="AK52" i="14"/>
  <c r="AJ52" i="14"/>
  <c r="AG52" i="14"/>
  <c r="AE52" i="14"/>
  <c r="AD52" i="14"/>
  <c r="AB52" i="14"/>
  <c r="AA52" i="14"/>
  <c r="Z52" i="14"/>
  <c r="Y52" i="14"/>
  <c r="X52" i="14"/>
  <c r="U52" i="14"/>
  <c r="S52" i="14"/>
  <c r="R52" i="14"/>
  <c r="P52" i="14"/>
  <c r="O52" i="14"/>
  <c r="N52" i="14"/>
  <c r="M52" i="14"/>
  <c r="L52" i="14"/>
  <c r="J52" i="14"/>
  <c r="AV51" i="14"/>
  <c r="AS51" i="14"/>
  <c r="AR51" i="14"/>
  <c r="AQ51" i="14"/>
  <c r="AU51" i="14" s="1"/>
  <c r="AV50" i="14"/>
  <c r="AS50" i="14"/>
  <c r="AR50" i="14"/>
  <c r="AQ50" i="14"/>
  <c r="AU50" i="14" s="1"/>
  <c r="AV49" i="14"/>
  <c r="AS49" i="14"/>
  <c r="AR49" i="14"/>
  <c r="T46" i="14"/>
  <c r="AQ49" i="14"/>
  <c r="AU49" i="14" s="1"/>
  <c r="AV48" i="14"/>
  <c r="AS48" i="14"/>
  <c r="AI46" i="14"/>
  <c r="AG46" i="14"/>
  <c r="W46" i="14"/>
  <c r="U46" i="14"/>
  <c r="AR48" i="14"/>
  <c r="AQ48" i="14"/>
  <c r="AU48" i="14" s="1"/>
  <c r="K46" i="14"/>
  <c r="AV47" i="14"/>
  <c r="AJ46" i="14"/>
  <c r="AH46" i="14"/>
  <c r="X46" i="14"/>
  <c r="V46" i="14"/>
  <c r="AR47" i="14"/>
  <c r="AQ47" i="14"/>
  <c r="L46" i="14"/>
  <c r="AP46" i="14"/>
  <c r="AO46" i="14"/>
  <c r="AN46" i="14"/>
  <c r="AM46" i="14"/>
  <c r="AL46" i="14"/>
  <c r="AK46" i="14"/>
  <c r="AE46" i="14"/>
  <c r="AD46" i="14"/>
  <c r="AC46" i="14"/>
  <c r="AB46" i="14"/>
  <c r="AA46" i="14"/>
  <c r="Z46" i="14"/>
  <c r="Y46" i="14"/>
  <c r="S46" i="14"/>
  <c r="R46" i="14"/>
  <c r="Q46" i="14"/>
  <c r="P46" i="14"/>
  <c r="O46" i="14"/>
  <c r="N46" i="14"/>
  <c r="M46" i="14"/>
  <c r="J46" i="14"/>
  <c r="AV45" i="14"/>
  <c r="AR45" i="14"/>
  <c r="AQ45" i="14"/>
  <c r="I45" i="14"/>
  <c r="H45" i="14"/>
  <c r="G45" i="14"/>
  <c r="F45" i="14"/>
  <c r="AV44" i="14"/>
  <c r="AX44" i="14" s="1"/>
  <c r="E44" i="14" s="1"/>
  <c r="AS44" i="14"/>
  <c r="AM42" i="14"/>
  <c r="AK42" i="14"/>
  <c r="AA42" i="14"/>
  <c r="Y42" i="14"/>
  <c r="O42" i="14"/>
  <c r="AR44" i="14"/>
  <c r="M42" i="14"/>
  <c r="I44" i="14"/>
  <c r="H44" i="14"/>
  <c r="G44" i="14"/>
  <c r="F44" i="14"/>
  <c r="AV43" i="14"/>
  <c r="AX43" i="14" s="1"/>
  <c r="E43" i="14" s="1"/>
  <c r="AN42" i="14"/>
  <c r="AL42" i="14"/>
  <c r="AB42" i="14"/>
  <c r="Z42" i="14"/>
  <c r="P42" i="14"/>
  <c r="N42" i="14"/>
  <c r="AQ43" i="14"/>
  <c r="AU43" i="14" s="1"/>
  <c r="AT42" i="14"/>
  <c r="AV42" i="14" s="1"/>
  <c r="AP42" i="14"/>
  <c r="AO42" i="14"/>
  <c r="AJ42" i="14"/>
  <c r="AI42" i="14"/>
  <c r="AH42" i="14"/>
  <c r="AG42" i="14"/>
  <c r="AF42" i="14"/>
  <c r="AE42" i="14"/>
  <c r="AD42" i="14"/>
  <c r="AC42" i="14"/>
  <c r="X42" i="14"/>
  <c r="W42" i="14"/>
  <c r="V42" i="14"/>
  <c r="U42" i="14"/>
  <c r="T42" i="14"/>
  <c r="S42" i="14"/>
  <c r="R42" i="14"/>
  <c r="Q42" i="14"/>
  <c r="L42" i="14"/>
  <c r="K42" i="14"/>
  <c r="J42" i="14"/>
  <c r="AV41" i="14"/>
  <c r="AX41" i="14" s="1"/>
  <c r="E41" i="14" s="1"/>
  <c r="AS41" i="14"/>
  <c r="AQ41" i="14"/>
  <c r="AU41" i="14" s="1"/>
  <c r="AR41" i="14"/>
  <c r="AV40" i="14"/>
  <c r="AX40" i="14" s="1"/>
  <c r="E40" i="14" s="1"/>
  <c r="AS40" i="14"/>
  <c r="AQ40" i="14"/>
  <c r="AU40" i="14" s="1"/>
  <c r="AR40" i="14"/>
  <c r="AV39" i="14"/>
  <c r="AX39" i="14" s="1"/>
  <c r="E39" i="14" s="1"/>
  <c r="AS39" i="14"/>
  <c r="AQ39" i="14"/>
  <c r="AU39" i="14" s="1"/>
  <c r="AR39" i="14"/>
  <c r="AV38" i="14"/>
  <c r="AX38" i="14" s="1"/>
  <c r="E38" i="14" s="1"/>
  <c r="AS38" i="14"/>
  <c r="AQ38" i="14"/>
  <c r="AU38" i="14" s="1"/>
  <c r="AR38" i="14"/>
  <c r="AV37" i="14"/>
  <c r="AX37" i="14" s="1"/>
  <c r="E37" i="14" s="1"/>
  <c r="AS37" i="14"/>
  <c r="AQ37" i="14"/>
  <c r="AU37" i="14" s="1"/>
  <c r="AR37" i="14"/>
  <c r="AV36" i="14"/>
  <c r="AX36" i="14" s="1"/>
  <c r="E36" i="14" s="1"/>
  <c r="AS36" i="14"/>
  <c r="AQ36" i="14"/>
  <c r="AU36" i="14" s="1"/>
  <c r="AR36" i="14"/>
  <c r="AV35" i="14"/>
  <c r="AX35" i="14" s="1"/>
  <c r="E35" i="14" s="1"/>
  <c r="AS35" i="14"/>
  <c r="AQ35" i="14"/>
  <c r="AU35" i="14" s="1"/>
  <c r="AR35" i="14"/>
  <c r="AV34" i="14"/>
  <c r="AX34" i="14" s="1"/>
  <c r="E34" i="14" s="1"/>
  <c r="AS34" i="14"/>
  <c r="AQ34" i="14"/>
  <c r="AU34" i="14" s="1"/>
  <c r="AR34" i="14"/>
  <c r="AV33" i="14"/>
  <c r="AX33" i="14" s="1"/>
  <c r="E33" i="14" s="1"/>
  <c r="AS33" i="14"/>
  <c r="AQ33" i="14"/>
  <c r="AU33" i="14" s="1"/>
  <c r="AR33" i="14"/>
  <c r="AV32" i="14"/>
  <c r="AS32" i="14"/>
  <c r="AQ32" i="14"/>
  <c r="AU32" i="14" s="1"/>
  <c r="AR32" i="14"/>
  <c r="AV31" i="14"/>
  <c r="AX31" i="14" s="1"/>
  <c r="E31" i="14" s="1"/>
  <c r="AS31" i="14"/>
  <c r="AQ31" i="14"/>
  <c r="AU31" i="14" s="1"/>
  <c r="AR31" i="14"/>
  <c r="AV30" i="14"/>
  <c r="AX30" i="14" s="1"/>
  <c r="E30" i="14" s="1"/>
  <c r="AS30" i="14"/>
  <c r="AR30" i="14"/>
  <c r="AQ30" i="14"/>
  <c r="AU30" i="14" s="1"/>
  <c r="AV29" i="14"/>
  <c r="AX29" i="14" s="1"/>
  <c r="E29" i="14" s="1"/>
  <c r="AS29" i="14"/>
  <c r="AR29" i="14"/>
  <c r="AQ29" i="14"/>
  <c r="AU29" i="14" s="1"/>
  <c r="AV28" i="14"/>
  <c r="AX28" i="14" s="1"/>
  <c r="E28" i="14" s="1"/>
  <c r="AS28" i="14"/>
  <c r="AN24" i="14"/>
  <c r="AB24" i="14"/>
  <c r="P24" i="14"/>
  <c r="AR28" i="14"/>
  <c r="AQ28" i="14"/>
  <c r="AU28" i="14" s="1"/>
  <c r="AQ27" i="14"/>
  <c r="AO24" i="14"/>
  <c r="AC24" i="14"/>
  <c r="Q24" i="14"/>
  <c r="AR27" i="14"/>
  <c r="AS26" i="14"/>
  <c r="AR26" i="14"/>
  <c r="AQ26" i="14"/>
  <c r="AV25" i="14"/>
  <c r="AX25" i="14" s="1"/>
  <c r="E25" i="14" s="1"/>
  <c r="AS25" i="14"/>
  <c r="AP24" i="14"/>
  <c r="AF24" i="14"/>
  <c r="AD24" i="14"/>
  <c r="T24" i="14"/>
  <c r="R24" i="14"/>
  <c r="AQ25" i="14"/>
  <c r="AU25" i="14" s="1"/>
  <c r="AT24" i="14"/>
  <c r="AV24" i="14" s="1"/>
  <c r="AX24" i="14" s="1"/>
  <c r="AM24" i="14"/>
  <c r="AL24" i="14"/>
  <c r="AK24" i="14"/>
  <c r="AJ24" i="14"/>
  <c r="AI24" i="14"/>
  <c r="AH24" i="14"/>
  <c r="AG24" i="14"/>
  <c r="AE24" i="14"/>
  <c r="AA24" i="14"/>
  <c r="Z24" i="14"/>
  <c r="Y24" i="14"/>
  <c r="X24" i="14"/>
  <c r="W24" i="14"/>
  <c r="V24" i="14"/>
  <c r="U24" i="14"/>
  <c r="S24" i="14"/>
  <c r="O24" i="14"/>
  <c r="N24" i="14"/>
  <c r="M24" i="14"/>
  <c r="L24" i="14"/>
  <c r="K24" i="14"/>
  <c r="J24" i="14"/>
  <c r="AV23" i="14"/>
  <c r="AS23" i="14"/>
  <c r="AI17" i="14"/>
  <c r="W17" i="14"/>
  <c r="AR23" i="14"/>
  <c r="AQ23" i="14"/>
  <c r="AU23" i="14" s="1"/>
  <c r="K17" i="14"/>
  <c r="AV22" i="14"/>
  <c r="AH17" i="14"/>
  <c r="AR22" i="14"/>
  <c r="V17" i="14"/>
  <c r="AQ22" i="14"/>
  <c r="AU22" i="14" s="1"/>
  <c r="AZ22" i="14"/>
  <c r="AY22" i="14"/>
  <c r="AV21" i="14"/>
  <c r="AG17" i="14"/>
  <c r="AE17" i="14"/>
  <c r="U17" i="14"/>
  <c r="S17" i="14"/>
  <c r="AR21" i="14"/>
  <c r="AZ21" i="14"/>
  <c r="AY21" i="14"/>
  <c r="AV20" i="14"/>
  <c r="AX20" i="14" s="1"/>
  <c r="E20" i="14" s="1"/>
  <c r="AF17" i="14"/>
  <c r="T17" i="14"/>
  <c r="AR20" i="14"/>
  <c r="AQ20" i="14"/>
  <c r="AU20" i="14" s="1"/>
  <c r="AZ20" i="14"/>
  <c r="AY20" i="14"/>
  <c r="AV19" i="14"/>
  <c r="AX19" i="14" s="1"/>
  <c r="E19" i="14" s="1"/>
  <c r="AQ19" i="14"/>
  <c r="AU19" i="14" s="1"/>
  <c r="AR19" i="14"/>
  <c r="AZ19" i="14"/>
  <c r="AY19" i="14"/>
  <c r="AV18" i="14"/>
  <c r="AX18" i="14" s="1"/>
  <c r="E18" i="14" s="1"/>
  <c r="AP17" i="14"/>
  <c r="AN17" i="14"/>
  <c r="AD17" i="14"/>
  <c r="AB17" i="14"/>
  <c r="R17" i="14"/>
  <c r="P17" i="14"/>
  <c r="AR18" i="14"/>
  <c r="AQ18" i="14"/>
  <c r="AU18" i="14" s="1"/>
  <c r="AZ18" i="14"/>
  <c r="AY18" i="14"/>
  <c r="AT17" i="14"/>
  <c r="AO17" i="14"/>
  <c r="AM17" i="14"/>
  <c r="AL17" i="14"/>
  <c r="AK17" i="14"/>
  <c r="AJ17" i="14"/>
  <c r="AC17" i="14"/>
  <c r="AA17" i="14"/>
  <c r="Z17" i="14"/>
  <c r="Y17" i="14"/>
  <c r="X17" i="14"/>
  <c r="Q17" i="14"/>
  <c r="O17" i="14"/>
  <c r="N17" i="14"/>
  <c r="M17" i="14"/>
  <c r="L17" i="14"/>
  <c r="J55" i="13"/>
  <c r="J52" i="13"/>
  <c r="J46" i="13"/>
  <c r="J42" i="13"/>
  <c r="J24" i="13"/>
  <c r="F48" i="13"/>
  <c r="G48" i="13"/>
  <c r="H48" i="13"/>
  <c r="I48" i="13"/>
  <c r="K48" i="13"/>
  <c r="L48" i="13"/>
  <c r="M48" i="13"/>
  <c r="N48" i="13"/>
  <c r="O48" i="13"/>
  <c r="P48" i="13"/>
  <c r="Q48" i="13"/>
  <c r="R48" i="13"/>
  <c r="S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AJ48" i="13"/>
  <c r="AK48" i="13"/>
  <c r="AL48" i="13"/>
  <c r="AM48" i="13"/>
  <c r="AN48" i="13"/>
  <c r="AO48" i="13"/>
  <c r="AP48" i="13"/>
  <c r="F49" i="13"/>
  <c r="G49" i="13"/>
  <c r="H49" i="13"/>
  <c r="I49" i="13"/>
  <c r="K49" i="13"/>
  <c r="L49" i="13"/>
  <c r="M49" i="13"/>
  <c r="N49" i="13"/>
  <c r="O49" i="13"/>
  <c r="P49" i="13"/>
  <c r="Q49" i="13"/>
  <c r="R49" i="13"/>
  <c r="S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AJ49" i="13"/>
  <c r="AK49" i="13"/>
  <c r="AL49" i="13"/>
  <c r="AM49" i="13"/>
  <c r="AN49" i="13"/>
  <c r="AO49" i="13"/>
  <c r="AP49" i="13"/>
  <c r="F50" i="13"/>
  <c r="G50" i="13"/>
  <c r="H50" i="13"/>
  <c r="I50" i="13"/>
  <c r="K50" i="13"/>
  <c r="L50" i="13"/>
  <c r="M50" i="13"/>
  <c r="N50" i="13"/>
  <c r="O50" i="13"/>
  <c r="P50" i="13"/>
  <c r="Q50" i="13"/>
  <c r="R50" i="13"/>
  <c r="S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AJ50" i="13"/>
  <c r="AK50" i="13"/>
  <c r="AL50" i="13"/>
  <c r="AM50" i="13"/>
  <c r="AN50" i="13"/>
  <c r="AO50" i="13"/>
  <c r="AP50" i="13"/>
  <c r="F51" i="13"/>
  <c r="G51" i="13"/>
  <c r="H51" i="13"/>
  <c r="I51" i="13"/>
  <c r="K51" i="13"/>
  <c r="L51" i="13"/>
  <c r="M51" i="13"/>
  <c r="N51" i="13"/>
  <c r="O51" i="13"/>
  <c r="P51" i="13"/>
  <c r="Q51" i="13"/>
  <c r="R51" i="13"/>
  <c r="S51" i="13"/>
  <c r="T51" i="13"/>
  <c r="U51" i="13"/>
  <c r="V51" i="13"/>
  <c r="W51" i="13"/>
  <c r="X51" i="13"/>
  <c r="Y51" i="13"/>
  <c r="Z51" i="13"/>
  <c r="AA51" i="13"/>
  <c r="AB51" i="13"/>
  <c r="AC51" i="13"/>
  <c r="AD51" i="13"/>
  <c r="AE51" i="13"/>
  <c r="AF51" i="13"/>
  <c r="AG51" i="13"/>
  <c r="AH51" i="13"/>
  <c r="AI51" i="13"/>
  <c r="AJ51" i="13"/>
  <c r="AK51" i="13"/>
  <c r="AL51" i="13"/>
  <c r="AM51" i="13"/>
  <c r="AN51" i="13"/>
  <c r="AO51" i="13"/>
  <c r="AP51" i="13"/>
  <c r="F44" i="13"/>
  <c r="G44" i="13"/>
  <c r="H44" i="13"/>
  <c r="I44" i="13"/>
  <c r="K44" i="13"/>
  <c r="L44" i="13"/>
  <c r="M44" i="13"/>
  <c r="N44" i="13"/>
  <c r="O44" i="13"/>
  <c r="P44" i="13"/>
  <c r="Q44" i="13"/>
  <c r="R44" i="13"/>
  <c r="S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AJ44" i="13"/>
  <c r="AK44" i="13"/>
  <c r="AL44" i="13"/>
  <c r="AM44" i="13"/>
  <c r="AN44" i="13"/>
  <c r="AO44" i="13"/>
  <c r="AP44" i="13"/>
  <c r="F45" i="13"/>
  <c r="G45" i="13"/>
  <c r="H45" i="13"/>
  <c r="I45" i="13"/>
  <c r="K45" i="13"/>
  <c r="L45" i="13"/>
  <c r="M45" i="13"/>
  <c r="N45" i="13"/>
  <c r="O45" i="13"/>
  <c r="P45" i="13"/>
  <c r="Q45" i="13"/>
  <c r="R45" i="13"/>
  <c r="S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AJ45" i="13"/>
  <c r="AK45" i="13"/>
  <c r="AL45" i="13"/>
  <c r="AM45" i="13"/>
  <c r="AN45" i="13"/>
  <c r="AO45" i="13"/>
  <c r="AP45" i="13"/>
  <c r="K26" i="13"/>
  <c r="L26" i="13"/>
  <c r="M26" i="13"/>
  <c r="N26" i="13"/>
  <c r="O26" i="13"/>
  <c r="P26" i="13"/>
  <c r="Q26" i="13"/>
  <c r="R26" i="13"/>
  <c r="S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AJ26" i="13"/>
  <c r="AK26" i="13"/>
  <c r="AL26" i="13"/>
  <c r="AM26" i="13"/>
  <c r="AN26" i="13"/>
  <c r="AO26" i="13"/>
  <c r="AP26" i="13"/>
  <c r="K27" i="13"/>
  <c r="L27" i="13"/>
  <c r="M27" i="13"/>
  <c r="N27" i="13"/>
  <c r="O27" i="13"/>
  <c r="P27" i="13"/>
  <c r="Q27" i="13"/>
  <c r="R27" i="13"/>
  <c r="S27" i="13"/>
  <c r="T27" i="13"/>
  <c r="U27" i="13"/>
  <c r="V27" i="13"/>
  <c r="W27" i="13"/>
  <c r="X27" i="13"/>
  <c r="Y27" i="13"/>
  <c r="Z27" i="13"/>
  <c r="AA27" i="13"/>
  <c r="AB27" i="13"/>
  <c r="AC27" i="13"/>
  <c r="AD27" i="13"/>
  <c r="AE27" i="13"/>
  <c r="AF27" i="13"/>
  <c r="AG27" i="13"/>
  <c r="AH27" i="13"/>
  <c r="AI27" i="13"/>
  <c r="AJ27" i="13"/>
  <c r="AK27" i="13"/>
  <c r="AL27" i="13"/>
  <c r="AM27" i="13"/>
  <c r="AN27" i="13"/>
  <c r="AO27" i="13"/>
  <c r="AP27" i="13"/>
  <c r="K28" i="13"/>
  <c r="L28" i="13"/>
  <c r="M28" i="13"/>
  <c r="N28" i="13"/>
  <c r="O28" i="13"/>
  <c r="P28" i="13"/>
  <c r="Q28" i="13"/>
  <c r="R28" i="13"/>
  <c r="S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AJ28" i="13"/>
  <c r="AK28" i="13"/>
  <c r="AL28" i="13"/>
  <c r="AM28" i="13"/>
  <c r="AN28" i="13"/>
  <c r="AO28" i="13"/>
  <c r="AP28" i="13"/>
  <c r="K29" i="13"/>
  <c r="L29" i="13"/>
  <c r="M29" i="13"/>
  <c r="N29" i="13"/>
  <c r="O29" i="13"/>
  <c r="P29" i="13"/>
  <c r="Q29" i="13"/>
  <c r="R29" i="13"/>
  <c r="S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AJ29" i="13"/>
  <c r="AK29" i="13"/>
  <c r="AL29" i="13"/>
  <c r="AM29" i="13"/>
  <c r="AN29" i="13"/>
  <c r="AO29" i="13"/>
  <c r="AP29" i="13"/>
  <c r="K30" i="13"/>
  <c r="L30" i="13"/>
  <c r="M30" i="13"/>
  <c r="N30" i="13"/>
  <c r="O30" i="13"/>
  <c r="P30" i="13"/>
  <c r="Q30" i="13"/>
  <c r="R30" i="13"/>
  <c r="S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AJ30" i="13"/>
  <c r="AK30" i="13"/>
  <c r="AL30" i="13"/>
  <c r="AM30" i="13"/>
  <c r="AN30" i="13"/>
  <c r="AO30" i="13"/>
  <c r="AP30" i="13"/>
  <c r="K31" i="13"/>
  <c r="L31" i="13"/>
  <c r="M31" i="13"/>
  <c r="N31" i="13"/>
  <c r="O31" i="13"/>
  <c r="P31" i="13"/>
  <c r="Q31" i="13"/>
  <c r="R31" i="13"/>
  <c r="S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AJ31" i="13"/>
  <c r="AK31" i="13"/>
  <c r="AL31" i="13"/>
  <c r="AM31" i="13"/>
  <c r="AN31" i="13"/>
  <c r="AO31" i="13"/>
  <c r="AP31" i="13"/>
  <c r="K32" i="13"/>
  <c r="L32" i="13"/>
  <c r="M32" i="13"/>
  <c r="N32" i="13"/>
  <c r="O32" i="13"/>
  <c r="P32" i="13"/>
  <c r="Q32" i="13"/>
  <c r="R32" i="13"/>
  <c r="S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AJ32" i="13"/>
  <c r="AK32" i="13"/>
  <c r="AL32" i="13"/>
  <c r="AM32" i="13"/>
  <c r="AN32" i="13"/>
  <c r="AO32" i="13"/>
  <c r="AP32" i="13"/>
  <c r="K33" i="13"/>
  <c r="L33" i="13"/>
  <c r="M33" i="13"/>
  <c r="N33" i="13"/>
  <c r="O33" i="13"/>
  <c r="P33" i="13"/>
  <c r="Q33" i="13"/>
  <c r="R33" i="13"/>
  <c r="S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AJ33" i="13"/>
  <c r="AK33" i="13"/>
  <c r="AL33" i="13"/>
  <c r="AM33" i="13"/>
  <c r="AN33" i="13"/>
  <c r="AO33" i="13"/>
  <c r="AP33" i="13"/>
  <c r="K34" i="13"/>
  <c r="L34" i="13"/>
  <c r="M34" i="13"/>
  <c r="N34" i="13"/>
  <c r="O34" i="13"/>
  <c r="P34" i="13"/>
  <c r="Q34" i="13"/>
  <c r="R34" i="13"/>
  <c r="S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AJ34" i="13"/>
  <c r="AK34" i="13"/>
  <c r="AL34" i="13"/>
  <c r="AM34" i="13"/>
  <c r="AN34" i="13"/>
  <c r="AO34" i="13"/>
  <c r="AP34" i="13"/>
  <c r="K35" i="13"/>
  <c r="L35" i="13"/>
  <c r="M35" i="13"/>
  <c r="N35" i="13"/>
  <c r="O35" i="13"/>
  <c r="P35" i="13"/>
  <c r="Q35" i="13"/>
  <c r="R35" i="13"/>
  <c r="S35" i="13"/>
  <c r="T35" i="13"/>
  <c r="U35" i="13"/>
  <c r="V35" i="13"/>
  <c r="W35" i="13"/>
  <c r="X35" i="13"/>
  <c r="Y35" i="13"/>
  <c r="Z35" i="13"/>
  <c r="AA35" i="13"/>
  <c r="AB35" i="13"/>
  <c r="AC35" i="13"/>
  <c r="AD35" i="13"/>
  <c r="AE35" i="13"/>
  <c r="AF35" i="13"/>
  <c r="AG35" i="13"/>
  <c r="AH35" i="13"/>
  <c r="AI35" i="13"/>
  <c r="AJ35" i="13"/>
  <c r="AK35" i="13"/>
  <c r="AL35" i="13"/>
  <c r="AM35" i="13"/>
  <c r="AN35" i="13"/>
  <c r="AO35" i="13"/>
  <c r="AP35" i="13"/>
  <c r="K36" i="13"/>
  <c r="L36" i="13"/>
  <c r="M36" i="13"/>
  <c r="N36" i="13"/>
  <c r="O36" i="13"/>
  <c r="P36" i="13"/>
  <c r="Q36" i="13"/>
  <c r="R36" i="13"/>
  <c r="S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AJ36" i="13"/>
  <c r="AK36" i="13"/>
  <c r="AL36" i="13"/>
  <c r="AM36" i="13"/>
  <c r="AN36" i="13"/>
  <c r="AO36" i="13"/>
  <c r="AP36" i="13"/>
  <c r="K37" i="13"/>
  <c r="L37" i="13"/>
  <c r="M37" i="13"/>
  <c r="N37" i="13"/>
  <c r="O37" i="13"/>
  <c r="P37" i="13"/>
  <c r="Q37" i="13"/>
  <c r="R37" i="13"/>
  <c r="S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AJ37" i="13"/>
  <c r="AK37" i="13"/>
  <c r="AL37" i="13"/>
  <c r="AM37" i="13"/>
  <c r="AN37" i="13"/>
  <c r="AO37" i="13"/>
  <c r="AP37" i="13"/>
  <c r="K38" i="13"/>
  <c r="L38" i="13"/>
  <c r="M38" i="13"/>
  <c r="N38" i="13"/>
  <c r="O38" i="13"/>
  <c r="P38" i="13"/>
  <c r="Q38" i="13"/>
  <c r="R38" i="13"/>
  <c r="S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AJ38" i="13"/>
  <c r="AK38" i="13"/>
  <c r="AL38" i="13"/>
  <c r="AM38" i="13"/>
  <c r="AN38" i="13"/>
  <c r="AO38" i="13"/>
  <c r="AP38" i="13"/>
  <c r="K39" i="13"/>
  <c r="L39" i="13"/>
  <c r="M39" i="13"/>
  <c r="N39" i="13"/>
  <c r="O39" i="13"/>
  <c r="P39" i="13"/>
  <c r="Q39" i="13"/>
  <c r="R39" i="13"/>
  <c r="S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AJ39" i="13"/>
  <c r="AK39" i="13"/>
  <c r="AL39" i="13"/>
  <c r="AM39" i="13"/>
  <c r="AN39" i="13"/>
  <c r="AO39" i="13"/>
  <c r="AP39" i="13"/>
  <c r="K40" i="13"/>
  <c r="L40" i="13"/>
  <c r="M40" i="13"/>
  <c r="N40" i="13"/>
  <c r="O40" i="13"/>
  <c r="P40" i="13"/>
  <c r="Q40" i="13"/>
  <c r="R40" i="13"/>
  <c r="S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AJ40" i="13"/>
  <c r="AK40" i="13"/>
  <c r="AL40" i="13"/>
  <c r="AM40" i="13"/>
  <c r="AN40" i="13"/>
  <c r="AO40" i="13"/>
  <c r="AP40" i="13"/>
  <c r="K41" i="13"/>
  <c r="L41" i="13"/>
  <c r="M41" i="13"/>
  <c r="N41" i="13"/>
  <c r="O41" i="13"/>
  <c r="P41" i="13"/>
  <c r="Q41" i="13"/>
  <c r="R41" i="13"/>
  <c r="S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AJ41" i="13"/>
  <c r="AK41" i="13"/>
  <c r="AL41" i="13"/>
  <c r="AM41" i="13"/>
  <c r="AN41" i="13"/>
  <c r="AO41" i="13"/>
  <c r="AP41" i="13"/>
  <c r="K25" i="13"/>
  <c r="L25" i="13"/>
  <c r="M25" i="13"/>
  <c r="N25" i="13"/>
  <c r="O25" i="13"/>
  <c r="P25" i="13"/>
  <c r="Q25" i="13"/>
  <c r="R25" i="13"/>
  <c r="S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AJ25" i="13"/>
  <c r="AK25" i="13"/>
  <c r="AL25" i="13"/>
  <c r="AM25" i="13"/>
  <c r="AN25" i="13"/>
  <c r="AO25" i="13"/>
  <c r="AP25" i="13"/>
  <c r="F28" i="13"/>
  <c r="G28" i="13"/>
  <c r="H28" i="13"/>
  <c r="I28" i="13"/>
  <c r="F29" i="13"/>
  <c r="G29" i="13"/>
  <c r="H29" i="13"/>
  <c r="I29" i="13"/>
  <c r="F30" i="13"/>
  <c r="G30" i="13"/>
  <c r="H30" i="13"/>
  <c r="I30" i="13"/>
  <c r="F31" i="13"/>
  <c r="G31" i="13"/>
  <c r="H31" i="13"/>
  <c r="I31" i="13"/>
  <c r="F32" i="13"/>
  <c r="G32" i="13"/>
  <c r="H32" i="13"/>
  <c r="I32" i="13"/>
  <c r="F33" i="13"/>
  <c r="G33" i="13"/>
  <c r="H33" i="13"/>
  <c r="I33" i="13"/>
  <c r="F34" i="13"/>
  <c r="G34" i="13"/>
  <c r="H34" i="13"/>
  <c r="I34" i="13"/>
  <c r="F35" i="13"/>
  <c r="G35" i="13"/>
  <c r="H35" i="13"/>
  <c r="I35" i="13"/>
  <c r="F36" i="13"/>
  <c r="G36" i="13"/>
  <c r="H36" i="13"/>
  <c r="I36" i="13"/>
  <c r="F37" i="13"/>
  <c r="G37" i="13"/>
  <c r="H37" i="13"/>
  <c r="I37" i="13"/>
  <c r="F38" i="13"/>
  <c r="G38" i="13"/>
  <c r="H38" i="13"/>
  <c r="I38" i="13"/>
  <c r="F39" i="13"/>
  <c r="G39" i="13"/>
  <c r="H39" i="13"/>
  <c r="I39" i="13"/>
  <c r="F40" i="13"/>
  <c r="G40" i="13"/>
  <c r="H40" i="13"/>
  <c r="I40" i="13"/>
  <c r="F41" i="13"/>
  <c r="G41" i="13"/>
  <c r="H41" i="13"/>
  <c r="I41" i="13"/>
  <c r="F25" i="13"/>
  <c r="G25" i="13"/>
  <c r="H25" i="13"/>
  <c r="I25" i="13"/>
  <c r="K18" i="13"/>
  <c r="L18" i="13"/>
  <c r="M18" i="13"/>
  <c r="N18" i="13"/>
  <c r="O18" i="13"/>
  <c r="P18" i="13"/>
  <c r="Q18" i="13"/>
  <c r="R18" i="13"/>
  <c r="S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AJ18" i="13"/>
  <c r="AK18" i="13"/>
  <c r="AL18" i="13"/>
  <c r="AM18" i="13"/>
  <c r="AN18" i="13"/>
  <c r="AO18" i="13"/>
  <c r="AP18" i="13"/>
  <c r="K19" i="13"/>
  <c r="L19" i="13"/>
  <c r="M19" i="13"/>
  <c r="N19" i="13"/>
  <c r="O19" i="13"/>
  <c r="P19" i="13"/>
  <c r="Q19" i="13"/>
  <c r="R19" i="13"/>
  <c r="S19" i="13"/>
  <c r="T19" i="13"/>
  <c r="U19" i="13"/>
  <c r="V19" i="13"/>
  <c r="W19" i="13"/>
  <c r="X19" i="13"/>
  <c r="Y19" i="13"/>
  <c r="Z19" i="13"/>
  <c r="AA19" i="13"/>
  <c r="AB19" i="13"/>
  <c r="AC19" i="13"/>
  <c r="AD19" i="13"/>
  <c r="AE19" i="13"/>
  <c r="AF19" i="13"/>
  <c r="AG19" i="13"/>
  <c r="AH19" i="13"/>
  <c r="AI19" i="13"/>
  <c r="AJ19" i="13"/>
  <c r="AK19" i="13"/>
  <c r="AL19" i="13"/>
  <c r="AM19" i="13"/>
  <c r="AN19" i="13"/>
  <c r="AO19" i="13"/>
  <c r="AP19" i="13"/>
  <c r="K20" i="13"/>
  <c r="L20" i="13"/>
  <c r="M20" i="13"/>
  <c r="N20" i="13"/>
  <c r="O20" i="13"/>
  <c r="P20" i="13"/>
  <c r="Q20" i="13"/>
  <c r="R20" i="13"/>
  <c r="S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AJ20" i="13"/>
  <c r="AK20" i="13"/>
  <c r="AL20" i="13"/>
  <c r="AM20" i="13"/>
  <c r="AN20" i="13"/>
  <c r="AO20" i="13"/>
  <c r="AP20" i="13"/>
  <c r="K21" i="13"/>
  <c r="L21" i="13"/>
  <c r="M21" i="13"/>
  <c r="N21" i="13"/>
  <c r="O21" i="13"/>
  <c r="P21" i="13"/>
  <c r="Q21" i="13"/>
  <c r="R21" i="13"/>
  <c r="S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AJ21" i="13"/>
  <c r="AK21" i="13"/>
  <c r="AL21" i="13"/>
  <c r="AM21" i="13"/>
  <c r="AN21" i="13"/>
  <c r="AO21" i="13"/>
  <c r="AP21" i="13"/>
  <c r="K22" i="13"/>
  <c r="L22" i="13"/>
  <c r="M22" i="13"/>
  <c r="N22" i="13"/>
  <c r="O22" i="13"/>
  <c r="P22" i="13"/>
  <c r="Q22" i="13"/>
  <c r="R22" i="13"/>
  <c r="S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AJ22" i="13"/>
  <c r="AK22" i="13"/>
  <c r="AL22" i="13"/>
  <c r="AM22" i="13"/>
  <c r="AN22" i="13"/>
  <c r="AO22" i="13"/>
  <c r="AP22" i="13"/>
  <c r="F18" i="13"/>
  <c r="G18" i="13"/>
  <c r="H18" i="13"/>
  <c r="I18" i="13"/>
  <c r="F19" i="13"/>
  <c r="G19" i="13"/>
  <c r="H19" i="13"/>
  <c r="I19" i="13"/>
  <c r="F20" i="13"/>
  <c r="G20" i="13"/>
  <c r="H20" i="13"/>
  <c r="I20" i="13"/>
  <c r="F21" i="13"/>
  <c r="G21" i="13"/>
  <c r="H21" i="13"/>
  <c r="I21" i="13"/>
  <c r="F22" i="13"/>
  <c r="G22" i="13"/>
  <c r="H22" i="13"/>
  <c r="I22" i="13"/>
  <c r="H17" i="14" l="1"/>
  <c r="BA21" i="16"/>
  <c r="H46" i="14"/>
  <c r="AG24" i="13"/>
  <c r="F17" i="14"/>
  <c r="I17" i="14"/>
  <c r="F46" i="14"/>
  <c r="G52" i="14"/>
  <c r="F55" i="14"/>
  <c r="F52" i="14"/>
  <c r="U24" i="13"/>
  <c r="AQ26" i="13"/>
  <c r="I42" i="14"/>
  <c r="AQ51" i="13"/>
  <c r="AQ50" i="13"/>
  <c r="AQ31" i="13"/>
  <c r="AU31" i="13" s="1"/>
  <c r="AE24" i="13"/>
  <c r="S24" i="13"/>
  <c r="AQ38" i="13"/>
  <c r="AQ33" i="13"/>
  <c r="AQ29" i="13"/>
  <c r="AU29" i="13" s="1"/>
  <c r="AL24" i="13"/>
  <c r="Z24" i="13"/>
  <c r="G42" i="14"/>
  <c r="AQ41" i="13"/>
  <c r="AQ32" i="13"/>
  <c r="AQ34" i="13"/>
  <c r="AQ28" i="13"/>
  <c r="AU28" i="13" s="1"/>
  <c r="AO24" i="13"/>
  <c r="AC24" i="13"/>
  <c r="Q24" i="13"/>
  <c r="AQ40" i="13"/>
  <c r="AQ35" i="13"/>
  <c r="AQ27" i="13"/>
  <c r="AQ30" i="13"/>
  <c r="AU30" i="13" s="1"/>
  <c r="AK24" i="13"/>
  <c r="Y24" i="13"/>
  <c r="M24" i="13"/>
  <c r="AJ24" i="13"/>
  <c r="X24" i="13"/>
  <c r="L24" i="13"/>
  <c r="BA20" i="16"/>
  <c r="I46" i="14"/>
  <c r="H55" i="14"/>
  <c r="H52" i="14"/>
  <c r="I55" i="14"/>
  <c r="G24" i="14"/>
  <c r="G46" i="14"/>
  <c r="G17" i="14"/>
  <c r="G55" i="14"/>
  <c r="F42" i="14"/>
  <c r="I24" i="14"/>
  <c r="AM24" i="13"/>
  <c r="AA24" i="13"/>
  <c r="O24" i="13"/>
  <c r="AR36" i="13"/>
  <c r="AI24" i="13"/>
  <c r="W24" i="13"/>
  <c r="K24" i="13"/>
  <c r="AQ39" i="13"/>
  <c r="AQ37" i="13"/>
  <c r="AQ36" i="13"/>
  <c r="H42" i="14"/>
  <c r="AQ22" i="13"/>
  <c r="AH24" i="13"/>
  <c r="V24" i="13"/>
  <c r="N24" i="13"/>
  <c r="AQ20" i="13"/>
  <c r="AR22" i="13"/>
  <c r="AR21" i="13"/>
  <c r="AF24" i="13"/>
  <c r="T24" i="13"/>
  <c r="AR50" i="13"/>
  <c r="AP24" i="13"/>
  <c r="AD24" i="13"/>
  <c r="R24" i="13"/>
  <c r="AQ19" i="13"/>
  <c r="AN24" i="13"/>
  <c r="AB24" i="13"/>
  <c r="P24" i="13"/>
  <c r="AR25" i="13"/>
  <c r="AQ25" i="13"/>
  <c r="AR20" i="13"/>
  <c r="AR19" i="13"/>
  <c r="AR51" i="13"/>
  <c r="AQ18" i="13"/>
  <c r="AR41" i="13"/>
  <c r="AR39" i="13"/>
  <c r="AR37" i="13"/>
  <c r="AR35" i="13"/>
  <c r="AR34" i="13"/>
  <c r="AR33" i="13"/>
  <c r="AR32" i="13"/>
  <c r="AR31" i="13"/>
  <c r="AR30" i="13"/>
  <c r="AR29" i="13"/>
  <c r="AR28" i="13"/>
  <c r="AR27" i="13"/>
  <c r="AR26" i="13"/>
  <c r="AQ48" i="13"/>
  <c r="AR40" i="13"/>
  <c r="AR38" i="13"/>
  <c r="AR48" i="13"/>
  <c r="AR44" i="13"/>
  <c r="AQ44" i="13"/>
  <c r="AQ49" i="13"/>
  <c r="AQ21" i="13"/>
  <c r="AR49" i="13"/>
  <c r="AR45" i="13"/>
  <c r="AQ45" i="13"/>
  <c r="E33" i="16"/>
  <c r="BA33" i="16" s="1"/>
  <c r="AX54" i="16"/>
  <c r="E54" i="16" s="1"/>
  <c r="BA30" i="16"/>
  <c r="BA31" i="16"/>
  <c r="AX35" i="16"/>
  <c r="E35" i="16" s="1"/>
  <c r="AQ24" i="16"/>
  <c r="AU24" i="16" s="1"/>
  <c r="AW24" i="16" s="1"/>
  <c r="AR46" i="16"/>
  <c r="AQ46" i="16"/>
  <c r="AU46" i="16" s="1"/>
  <c r="AW46" i="16" s="1"/>
  <c r="AR52" i="16"/>
  <c r="AR55" i="16"/>
  <c r="AR24" i="16"/>
  <c r="BA29" i="14"/>
  <c r="AS24" i="14"/>
  <c r="AV17" i="14"/>
  <c r="AX17" i="14" s="1"/>
  <c r="BA57" i="14"/>
  <c r="AR52" i="14"/>
  <c r="AQ46" i="14"/>
  <c r="AX42" i="14"/>
  <c r="AQ42" i="14"/>
  <c r="AU42" i="14" s="1"/>
  <c r="AW42" i="14" s="1"/>
  <c r="AX32" i="14"/>
  <c r="E32" i="14" s="1"/>
  <c r="AQ24" i="14"/>
  <c r="AU24" i="14" s="1"/>
  <c r="AW24" i="14" s="1"/>
  <c r="BA20" i="14"/>
  <c r="AX21" i="14"/>
  <c r="E21" i="14" s="1"/>
  <c r="BA21" i="14" s="1"/>
  <c r="H24" i="14"/>
  <c r="F24" i="14"/>
  <c r="AW33" i="16"/>
  <c r="D33" i="16" s="1"/>
  <c r="AY33" i="16" s="1"/>
  <c r="AW36" i="16"/>
  <c r="D36" i="16" s="1"/>
  <c r="AY36" i="16" s="1"/>
  <c r="BA38" i="16"/>
  <c r="AZ38" i="16"/>
  <c r="AQ55" i="16"/>
  <c r="AU55" i="16" s="1"/>
  <c r="AW55" i="16" s="1"/>
  <c r="BA51" i="16"/>
  <c r="AZ51" i="16"/>
  <c r="AS24" i="16"/>
  <c r="AV24" i="16"/>
  <c r="AX24" i="16" s="1"/>
  <c r="AW50" i="16"/>
  <c r="D50" i="16" s="1"/>
  <c r="AY50" i="16" s="1"/>
  <c r="AW37" i="16"/>
  <c r="D37" i="16" s="1"/>
  <c r="AY37" i="16" s="1"/>
  <c r="AW43" i="16"/>
  <c r="D43" i="16" s="1"/>
  <c r="AW30" i="16"/>
  <c r="D30" i="16" s="1"/>
  <c r="AY30" i="16" s="1"/>
  <c r="BA39" i="16"/>
  <c r="AZ39" i="16"/>
  <c r="AW18" i="16"/>
  <c r="D18" i="16" s="1"/>
  <c r="BA22" i="16"/>
  <c r="BA28" i="16"/>
  <c r="AZ28" i="16"/>
  <c r="BA32" i="16"/>
  <c r="AZ32" i="16"/>
  <c r="AW34" i="16"/>
  <c r="D34" i="16" s="1"/>
  <c r="AY34" i="16" s="1"/>
  <c r="BA40" i="16"/>
  <c r="AZ40" i="16"/>
  <c r="BA43" i="16"/>
  <c r="AZ43" i="16"/>
  <c r="AR42" i="16"/>
  <c r="AX48" i="16"/>
  <c r="E48" i="16" s="1"/>
  <c r="AW25" i="16"/>
  <c r="D25" i="16" s="1"/>
  <c r="BA36" i="16"/>
  <c r="AW38" i="16"/>
  <c r="D38" i="16" s="1"/>
  <c r="AY38" i="16" s="1"/>
  <c r="AW51" i="16"/>
  <c r="D51" i="16" s="1"/>
  <c r="AY51" i="16" s="1"/>
  <c r="AX58" i="16"/>
  <c r="E58" i="16" s="1"/>
  <c r="AW19" i="16"/>
  <c r="D19" i="16" s="1"/>
  <c r="AX23" i="16"/>
  <c r="E23" i="16" s="1"/>
  <c r="AZ23" i="16" s="1"/>
  <c r="AZ17" i="16" s="1"/>
  <c r="BA29" i="16"/>
  <c r="AZ29" i="16"/>
  <c r="AW31" i="16"/>
  <c r="D31" i="16" s="1"/>
  <c r="AY31" i="16" s="1"/>
  <c r="BA41" i="16"/>
  <c r="AZ41" i="16"/>
  <c r="BA44" i="16"/>
  <c r="AZ44" i="16"/>
  <c r="AU53" i="16"/>
  <c r="AW53" i="16" s="1"/>
  <c r="AW20" i="16"/>
  <c r="D20" i="16" s="1"/>
  <c r="AW39" i="16"/>
  <c r="D39" i="16" s="1"/>
  <c r="AY39" i="16" s="1"/>
  <c r="BA49" i="16"/>
  <c r="AZ49" i="16"/>
  <c r="AW21" i="16"/>
  <c r="D21" i="16" s="1"/>
  <c r="AW35" i="16"/>
  <c r="D35" i="16" s="1"/>
  <c r="AY35" i="16" s="1"/>
  <c r="AW28" i="16"/>
  <c r="D28" i="16" s="1"/>
  <c r="AY28" i="16" s="1"/>
  <c r="AW32" i="16"/>
  <c r="D32" i="16" s="1"/>
  <c r="AY32" i="16" s="1"/>
  <c r="BA34" i="16"/>
  <c r="AW40" i="16"/>
  <c r="D40" i="16" s="1"/>
  <c r="AY40" i="16" s="1"/>
  <c r="BA59" i="16"/>
  <c r="AZ59" i="16"/>
  <c r="AW22" i="16"/>
  <c r="D22" i="16" s="1"/>
  <c r="BA37" i="16"/>
  <c r="AZ37" i="16"/>
  <c r="BA50" i="16"/>
  <c r="AZ50" i="16"/>
  <c r="BA18" i="16"/>
  <c r="AW29" i="16"/>
  <c r="D29" i="16" s="1"/>
  <c r="AY29" i="16" s="1"/>
  <c r="AW41" i="16"/>
  <c r="D41" i="16" s="1"/>
  <c r="AY41" i="16" s="1"/>
  <c r="AW44" i="16"/>
  <c r="D44" i="16" s="1"/>
  <c r="AY44" i="16" s="1"/>
  <c r="AS17" i="16"/>
  <c r="AS27" i="16"/>
  <c r="S42" i="16"/>
  <c r="AQ42" i="16" s="1"/>
  <c r="AU42" i="16" s="1"/>
  <c r="AW42" i="16" s="1"/>
  <c r="AX47" i="16"/>
  <c r="E47" i="16" s="1"/>
  <c r="BA47" i="16" s="1"/>
  <c r="AV53" i="16"/>
  <c r="AX53" i="16" s="1"/>
  <c r="AU54" i="16"/>
  <c r="AW54" i="16" s="1"/>
  <c r="AS55" i="16"/>
  <c r="AS57" i="16"/>
  <c r="AR58" i="16"/>
  <c r="AQ59" i="16"/>
  <c r="AU59" i="16" s="1"/>
  <c r="K17" i="16"/>
  <c r="AV26" i="16"/>
  <c r="AU27" i="16"/>
  <c r="AW27" i="16" s="1"/>
  <c r="AS42" i="16"/>
  <c r="M52" i="16"/>
  <c r="AQ52" i="16" s="1"/>
  <c r="AV56" i="16"/>
  <c r="AX56" i="16" s="1"/>
  <c r="AU57" i="16"/>
  <c r="AW57" i="16" s="1"/>
  <c r="D57" i="16" s="1"/>
  <c r="AY57" i="16" s="1"/>
  <c r="L17" i="16"/>
  <c r="AV17" i="16"/>
  <c r="AX17" i="16" s="1"/>
  <c r="AX19" i="16"/>
  <c r="E19" i="16" s="1"/>
  <c r="AX25" i="16"/>
  <c r="E25" i="16" s="1"/>
  <c r="AW26" i="16"/>
  <c r="D26" i="16" s="1"/>
  <c r="AY26" i="16" s="1"/>
  <c r="AV27" i="16"/>
  <c r="AX27" i="16" s="1"/>
  <c r="E27" i="16" s="1"/>
  <c r="AV55" i="16"/>
  <c r="AX55" i="16" s="1"/>
  <c r="AW56" i="16"/>
  <c r="D56" i="16" s="1"/>
  <c r="AV57" i="16"/>
  <c r="AX57" i="16" s="1"/>
  <c r="AU58" i="16"/>
  <c r="M17" i="16"/>
  <c r="AQ17" i="16" s="1"/>
  <c r="AU17" i="16" s="1"/>
  <c r="AW17" i="16" s="1"/>
  <c r="AS45" i="16"/>
  <c r="N17" i="16"/>
  <c r="AR17" i="16" s="1"/>
  <c r="AU45" i="16"/>
  <c r="AW45" i="16" s="1"/>
  <c r="AS46" i="16"/>
  <c r="AZ30" i="16"/>
  <c r="AZ31" i="16"/>
  <c r="AZ34" i="16"/>
  <c r="AZ36" i="16"/>
  <c r="AV45" i="16"/>
  <c r="AX45" i="16" s="1"/>
  <c r="AR48" i="16"/>
  <c r="AQ49" i="16"/>
  <c r="AU49" i="16" s="1"/>
  <c r="AS23" i="16"/>
  <c r="AS48" i="16"/>
  <c r="AV46" i="16"/>
  <c r="AX46" i="16" s="1"/>
  <c r="AU47" i="16"/>
  <c r="AS53" i="16"/>
  <c r="AU23" i="16"/>
  <c r="AW23" i="16" s="1"/>
  <c r="AU48" i="16"/>
  <c r="AW48" i="16" s="1"/>
  <c r="AT52" i="16"/>
  <c r="AQ17" i="14"/>
  <c r="AU17" i="14" s="1"/>
  <c r="AW17" i="14" s="1"/>
  <c r="AW32" i="14"/>
  <c r="D32" i="14" s="1"/>
  <c r="AY32" i="14" s="1"/>
  <c r="BA37" i="14"/>
  <c r="AZ37" i="14"/>
  <c r="AW43" i="14"/>
  <c r="D43" i="14" s="1"/>
  <c r="AQ52" i="14"/>
  <c r="AW18" i="14"/>
  <c r="D18" i="14" s="1"/>
  <c r="AW30" i="14"/>
  <c r="D30" i="14" s="1"/>
  <c r="AY30" i="14" s="1"/>
  <c r="AW38" i="14"/>
  <c r="D38" i="14" s="1"/>
  <c r="AY38" i="14" s="1"/>
  <c r="AW25" i="14"/>
  <c r="D25" i="14" s="1"/>
  <c r="BA28" i="14"/>
  <c r="AZ28" i="14"/>
  <c r="BA38" i="14"/>
  <c r="AZ38" i="14"/>
  <c r="AZ43" i="14"/>
  <c r="AW49" i="14"/>
  <c r="D49" i="14" s="1"/>
  <c r="AY49" i="14" s="1"/>
  <c r="AR17" i="14"/>
  <c r="BA33" i="14"/>
  <c r="AZ33" i="14"/>
  <c r="BA39" i="14"/>
  <c r="AZ39" i="14"/>
  <c r="AU53" i="14"/>
  <c r="AW53" i="14" s="1"/>
  <c r="AW20" i="14"/>
  <c r="D20" i="14" s="1"/>
  <c r="AW33" i="14"/>
  <c r="D33" i="14" s="1"/>
  <c r="AY33" i="14" s="1"/>
  <c r="AW39" i="14"/>
  <c r="D39" i="14" s="1"/>
  <c r="AY39" i="14" s="1"/>
  <c r="AW57" i="14"/>
  <c r="D57" i="14" s="1"/>
  <c r="AY57" i="14" s="1"/>
  <c r="AR55" i="14"/>
  <c r="AW34" i="14"/>
  <c r="D34" i="14" s="1"/>
  <c r="AY34" i="14" s="1"/>
  <c r="AW40" i="14"/>
  <c r="D40" i="14" s="1"/>
  <c r="AY40" i="14" s="1"/>
  <c r="BA44" i="14"/>
  <c r="AZ44" i="14"/>
  <c r="AW50" i="14"/>
  <c r="D50" i="14" s="1"/>
  <c r="AY50" i="14" s="1"/>
  <c r="BA34" i="14"/>
  <c r="AZ34" i="14"/>
  <c r="BA18" i="14"/>
  <c r="AW22" i="14"/>
  <c r="D22" i="14" s="1"/>
  <c r="AW28" i="14"/>
  <c r="D28" i="14" s="1"/>
  <c r="AY28" i="14" s="1"/>
  <c r="AW35" i="14"/>
  <c r="D35" i="14" s="1"/>
  <c r="AY35" i="14" s="1"/>
  <c r="AW41" i="14"/>
  <c r="D41" i="14" s="1"/>
  <c r="AY41" i="14" s="1"/>
  <c r="AR42" i="14"/>
  <c r="AW51" i="14"/>
  <c r="D51" i="14" s="1"/>
  <c r="AY51" i="14" s="1"/>
  <c r="AX59" i="14"/>
  <c r="E59" i="14" s="1"/>
  <c r="BA40" i="14"/>
  <c r="AZ40" i="14"/>
  <c r="AX45" i="14"/>
  <c r="E45" i="14" s="1"/>
  <c r="AW58" i="14"/>
  <c r="D58" i="14" s="1"/>
  <c r="AY58" i="14" s="1"/>
  <c r="AW19" i="14"/>
  <c r="D19" i="14" s="1"/>
  <c r="BA19" i="14"/>
  <c r="BA30" i="14"/>
  <c r="AZ30" i="14"/>
  <c r="BA35" i="14"/>
  <c r="AZ35" i="14"/>
  <c r="BA41" i="14"/>
  <c r="AZ41" i="14"/>
  <c r="AQ55" i="14"/>
  <c r="AU55" i="14" s="1"/>
  <c r="AW55" i="14" s="1"/>
  <c r="AZ25" i="14"/>
  <c r="AW31" i="14"/>
  <c r="D31" i="14" s="1"/>
  <c r="AY31" i="14" s="1"/>
  <c r="AW36" i="14"/>
  <c r="D36" i="14" s="1"/>
  <c r="AY36" i="14" s="1"/>
  <c r="AW29" i="14"/>
  <c r="D29" i="14" s="1"/>
  <c r="AY29" i="14" s="1"/>
  <c r="BA31" i="14"/>
  <c r="AZ31" i="14"/>
  <c r="BA36" i="14"/>
  <c r="AZ36" i="14"/>
  <c r="AR24" i="14"/>
  <c r="AW37" i="14"/>
  <c r="D37" i="14" s="1"/>
  <c r="AY37" i="14" s="1"/>
  <c r="AS17" i="14"/>
  <c r="AX22" i="14"/>
  <c r="E22" i="14" s="1"/>
  <c r="AW23" i="14"/>
  <c r="D23" i="14" s="1"/>
  <c r="AY23" i="14" s="1"/>
  <c r="AY17" i="14" s="1"/>
  <c r="AS27" i="14"/>
  <c r="AX47" i="14"/>
  <c r="E47" i="14" s="1"/>
  <c r="AW48" i="14"/>
  <c r="D48" i="14" s="1"/>
  <c r="AY48" i="14" s="1"/>
  <c r="AV53" i="14"/>
  <c r="AX53" i="14" s="1"/>
  <c r="AU54" i="14"/>
  <c r="AW54" i="14" s="1"/>
  <c r="D54" i="14" s="1"/>
  <c r="AY54" i="14" s="1"/>
  <c r="AS55" i="14"/>
  <c r="AS57" i="14"/>
  <c r="AX23" i="14"/>
  <c r="E23" i="14" s="1"/>
  <c r="AU26" i="14"/>
  <c r="AX48" i="14"/>
  <c r="E48" i="14" s="1"/>
  <c r="AX49" i="14"/>
  <c r="E49" i="14" s="1"/>
  <c r="AX50" i="14"/>
  <c r="E50" i="14" s="1"/>
  <c r="AX51" i="14"/>
  <c r="E51" i="14" s="1"/>
  <c r="AV54" i="14"/>
  <c r="AX54" i="14" s="1"/>
  <c r="E54" i="14" s="1"/>
  <c r="AU56" i="14"/>
  <c r="AW56" i="14" s="1"/>
  <c r="AS58" i="14"/>
  <c r="AV26" i="14"/>
  <c r="AX26" i="14" s="1"/>
  <c r="AU27" i="14"/>
  <c r="AS42" i="14"/>
  <c r="AR43" i="14"/>
  <c r="BA43" i="14" s="1"/>
  <c r="AQ44" i="14"/>
  <c r="AU44" i="14" s="1"/>
  <c r="AV56" i="14"/>
  <c r="AX56" i="14" s="1"/>
  <c r="AS59" i="14"/>
  <c r="AV27" i="14"/>
  <c r="AX27" i="14" s="1"/>
  <c r="AS43" i="14"/>
  <c r="AV55" i="14"/>
  <c r="AX55" i="14" s="1"/>
  <c r="AS45" i="14"/>
  <c r="AV58" i="14"/>
  <c r="AU59" i="14"/>
  <c r="AR25" i="14"/>
  <c r="BA25" i="14" s="1"/>
  <c r="AR56" i="14"/>
  <c r="AF46" i="14"/>
  <c r="AR46" i="14" s="1"/>
  <c r="AU45" i="14"/>
  <c r="AZ29" i="14"/>
  <c r="AT46" i="14"/>
  <c r="AS47" i="14"/>
  <c r="AQ21" i="14"/>
  <c r="AU21" i="14" s="1"/>
  <c r="AR53" i="14"/>
  <c r="AU47" i="14"/>
  <c r="AW47" i="14" s="1"/>
  <c r="D47" i="14" s="1"/>
  <c r="AS53" i="14"/>
  <c r="AT52" i="14"/>
  <c r="E146" i="35"/>
  <c r="E92" i="35"/>
  <c r="E145" i="35"/>
  <c r="E91" i="35"/>
  <c r="E144" i="35"/>
  <c r="E142" i="35"/>
  <c r="E88" i="35"/>
  <c r="E141" i="35"/>
  <c r="E87" i="35"/>
  <c r="E140" i="35"/>
  <c r="E139" i="35"/>
  <c r="E112" i="35"/>
  <c r="E85" i="35"/>
  <c r="E138" i="35"/>
  <c r="E137" i="35"/>
  <c r="E83" i="35"/>
  <c r="E136" i="35"/>
  <c r="AV18" i="1"/>
  <c r="AX18" i="1" s="1"/>
  <c r="AV19" i="1"/>
  <c r="AX19" i="1" s="1"/>
  <c r="AV20" i="1"/>
  <c r="AX20" i="1" s="1"/>
  <c r="AV21" i="1"/>
  <c r="AX21" i="1" s="1"/>
  <c r="AV22" i="1"/>
  <c r="AX22" i="1" s="1"/>
  <c r="AV23" i="1"/>
  <c r="AV25" i="1"/>
  <c r="AX25" i="1" s="1"/>
  <c r="E25" i="1" s="1"/>
  <c r="AV26" i="1"/>
  <c r="AV27" i="1"/>
  <c r="AV28" i="1"/>
  <c r="AX28" i="1" s="1"/>
  <c r="E28" i="1" s="1"/>
  <c r="AV29" i="1"/>
  <c r="AX29" i="1" s="1"/>
  <c r="E29" i="1" s="1"/>
  <c r="AV30" i="1"/>
  <c r="AX30" i="1" s="1"/>
  <c r="E30" i="1" s="1"/>
  <c r="AV31" i="1"/>
  <c r="AX31" i="1" s="1"/>
  <c r="E31" i="1" s="1"/>
  <c r="AV32" i="1"/>
  <c r="AX32" i="1" s="1"/>
  <c r="AV33" i="1"/>
  <c r="AX33" i="1" s="1"/>
  <c r="E33" i="1" s="1"/>
  <c r="AV34" i="1"/>
  <c r="AX34" i="1" s="1"/>
  <c r="E34" i="1" s="1"/>
  <c r="AV35" i="1"/>
  <c r="AX35" i="1" s="1"/>
  <c r="AV36" i="1"/>
  <c r="AX36" i="1" s="1"/>
  <c r="AV37" i="1"/>
  <c r="AX37" i="1" s="1"/>
  <c r="E37" i="1" s="1"/>
  <c r="AV38" i="1"/>
  <c r="AX38" i="1" s="1"/>
  <c r="AV39" i="1"/>
  <c r="AX39" i="1" s="1"/>
  <c r="E39" i="1" s="1"/>
  <c r="AV40" i="1"/>
  <c r="AV41" i="1"/>
  <c r="AX41" i="1" s="1"/>
  <c r="AV42" i="1"/>
  <c r="AX42" i="1" s="1"/>
  <c r="AV43" i="1"/>
  <c r="AV44" i="1"/>
  <c r="AX44" i="1" s="1"/>
  <c r="AV45" i="1"/>
  <c r="AX45" i="1" s="1"/>
  <c r="AV46" i="1"/>
  <c r="AX46" i="1" s="1"/>
  <c r="E81" i="35" s="1"/>
  <c r="AV47" i="1"/>
  <c r="AV48" i="1"/>
  <c r="AV49" i="1"/>
  <c r="AX49" i="1" s="1"/>
  <c r="E49" i="1" s="1"/>
  <c r="AV50" i="1"/>
  <c r="AX50" i="1" s="1"/>
  <c r="AV51" i="1"/>
  <c r="AX51" i="1" s="1"/>
  <c r="AV52" i="1"/>
  <c r="AX52" i="1" s="1"/>
  <c r="E108" i="35" s="1"/>
  <c r="AV53" i="1"/>
  <c r="AX53" i="1" s="1"/>
  <c r="AV54" i="1"/>
  <c r="AV55" i="1"/>
  <c r="AX55" i="1" s="1"/>
  <c r="AV56" i="1"/>
  <c r="AV57" i="1"/>
  <c r="AV58" i="1"/>
  <c r="AR58" i="1"/>
  <c r="AQ58" i="1"/>
  <c r="AU58" i="1" s="1"/>
  <c r="AW58" i="1" s="1"/>
  <c r="AR57" i="1"/>
  <c r="AQ57" i="1"/>
  <c r="AU57" i="1" s="1"/>
  <c r="AW57" i="1" s="1"/>
  <c r="AR56" i="1"/>
  <c r="AQ56" i="1"/>
  <c r="AU56" i="1" s="1"/>
  <c r="AW56" i="1" s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F55" i="1"/>
  <c r="AR54" i="1"/>
  <c r="AQ54" i="1"/>
  <c r="AU54" i="1" s="1"/>
  <c r="AW54" i="1" s="1"/>
  <c r="AR53" i="1"/>
  <c r="AQ53" i="1"/>
  <c r="AU53" i="1" s="1"/>
  <c r="AW53" i="1" s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I52" i="1"/>
  <c r="H52" i="1"/>
  <c r="F52" i="1"/>
  <c r="AR51" i="1"/>
  <c r="AQ51" i="1"/>
  <c r="AU51" i="1" s="1"/>
  <c r="AW51" i="1" s="1"/>
  <c r="AR50" i="1"/>
  <c r="AQ50" i="1"/>
  <c r="AU50" i="1" s="1"/>
  <c r="AW50" i="1" s="1"/>
  <c r="AR49" i="1"/>
  <c r="AQ49" i="1"/>
  <c r="AU49" i="1" s="1"/>
  <c r="AW49" i="1" s="1"/>
  <c r="D49" i="1" s="1"/>
  <c r="AY49" i="1" s="1"/>
  <c r="AR48" i="1"/>
  <c r="AQ48" i="1"/>
  <c r="AU48" i="1" s="1"/>
  <c r="AW48" i="1" s="1"/>
  <c r="AR47" i="1"/>
  <c r="AQ47" i="1"/>
  <c r="AU47" i="1" s="1"/>
  <c r="AW47" i="1" s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I46" i="1"/>
  <c r="H46" i="1"/>
  <c r="F46" i="1"/>
  <c r="AR45" i="1"/>
  <c r="AQ45" i="1"/>
  <c r="AU45" i="1" s="1"/>
  <c r="AW45" i="1" s="1"/>
  <c r="AR44" i="1"/>
  <c r="AQ44" i="1"/>
  <c r="AU44" i="1" s="1"/>
  <c r="AW44" i="1" s="1"/>
  <c r="AR43" i="1"/>
  <c r="AQ43" i="1"/>
  <c r="AU43" i="1" s="1"/>
  <c r="AW43" i="1" s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I42" i="1"/>
  <c r="H42" i="1"/>
  <c r="F42" i="1"/>
  <c r="AR41" i="1"/>
  <c r="AQ41" i="1"/>
  <c r="AU41" i="1" s="1"/>
  <c r="AW41" i="1" s="1"/>
  <c r="AR40" i="1"/>
  <c r="AQ40" i="1"/>
  <c r="AU40" i="1" s="1"/>
  <c r="AW40" i="1" s="1"/>
  <c r="AR39" i="1"/>
  <c r="AQ39" i="1"/>
  <c r="AU39" i="1" s="1"/>
  <c r="AW39" i="1" s="1"/>
  <c r="AR38" i="1"/>
  <c r="AQ38" i="1"/>
  <c r="AU38" i="1" s="1"/>
  <c r="AW38" i="1" s="1"/>
  <c r="AR37" i="1"/>
  <c r="AQ37" i="1"/>
  <c r="AU37" i="1" s="1"/>
  <c r="AW37" i="1" s="1"/>
  <c r="AR36" i="1"/>
  <c r="AQ36" i="1"/>
  <c r="AU36" i="1" s="1"/>
  <c r="AW36" i="1" s="1"/>
  <c r="D36" i="1" s="1"/>
  <c r="AY36" i="1" s="1"/>
  <c r="AR35" i="1"/>
  <c r="AQ35" i="1"/>
  <c r="AU35" i="1" s="1"/>
  <c r="AW35" i="1" s="1"/>
  <c r="AR34" i="1"/>
  <c r="AQ34" i="1"/>
  <c r="AU34" i="1" s="1"/>
  <c r="AW34" i="1" s="1"/>
  <c r="AR33" i="1"/>
  <c r="AQ33" i="1"/>
  <c r="AU33" i="1" s="1"/>
  <c r="AW33" i="1" s="1"/>
  <c r="AR32" i="1"/>
  <c r="AQ32" i="1"/>
  <c r="AU32" i="1" s="1"/>
  <c r="AW32" i="1" s="1"/>
  <c r="AR31" i="1"/>
  <c r="AQ31" i="1"/>
  <c r="AU31" i="1" s="1"/>
  <c r="AW31" i="1" s="1"/>
  <c r="AR30" i="1"/>
  <c r="AQ30" i="1"/>
  <c r="AU30" i="1" s="1"/>
  <c r="AW30" i="1" s="1"/>
  <c r="AR29" i="1"/>
  <c r="AQ29" i="1"/>
  <c r="AU29" i="1" s="1"/>
  <c r="AW29" i="1" s="1"/>
  <c r="AR28" i="1"/>
  <c r="AQ28" i="1"/>
  <c r="AU28" i="1" s="1"/>
  <c r="AW28" i="1" s="1"/>
  <c r="D28" i="1" s="1"/>
  <c r="AY28" i="1" s="1"/>
  <c r="AR27" i="1"/>
  <c r="AQ27" i="1"/>
  <c r="AU27" i="1" s="1"/>
  <c r="AR26" i="1"/>
  <c r="AQ26" i="1"/>
  <c r="AU26" i="1" s="1"/>
  <c r="AW26" i="1" s="1"/>
  <c r="AR25" i="1"/>
  <c r="AQ25" i="1"/>
  <c r="AU25" i="1" s="1"/>
  <c r="AW25" i="1" s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I24" i="1"/>
  <c r="H24" i="1"/>
  <c r="F24" i="1"/>
  <c r="AS23" i="1"/>
  <c r="AR23" i="1"/>
  <c r="AQ23" i="1"/>
  <c r="AU23" i="1" s="1"/>
  <c r="AW23" i="1" s="1"/>
  <c r="AZ22" i="1"/>
  <c r="AY22" i="1"/>
  <c r="AS22" i="1"/>
  <c r="AR22" i="1"/>
  <c r="AQ22" i="1"/>
  <c r="AU22" i="1" s="1"/>
  <c r="AW22" i="1" s="1"/>
  <c r="AZ21" i="1"/>
  <c r="AY21" i="1"/>
  <c r="AS21" i="1"/>
  <c r="AR21" i="1"/>
  <c r="AQ21" i="1"/>
  <c r="AU21" i="1" s="1"/>
  <c r="AW21" i="1" s="1"/>
  <c r="AZ20" i="1"/>
  <c r="AY20" i="1"/>
  <c r="AS20" i="1"/>
  <c r="AR20" i="1"/>
  <c r="AQ20" i="1"/>
  <c r="AU20" i="1" s="1"/>
  <c r="AW20" i="1" s="1"/>
  <c r="AZ19" i="1"/>
  <c r="AY19" i="1"/>
  <c r="AS19" i="1"/>
  <c r="AR19" i="1"/>
  <c r="AQ19" i="1"/>
  <c r="AU19" i="1" s="1"/>
  <c r="AW19" i="1" s="1"/>
  <c r="AZ18" i="1"/>
  <c r="AY18" i="1"/>
  <c r="AS18" i="1"/>
  <c r="AR18" i="1"/>
  <c r="AQ18" i="1"/>
  <c r="AU18" i="1" s="1"/>
  <c r="AW18" i="1" s="1"/>
  <c r="AV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AZ17" i="1" s="1"/>
  <c r="K17" i="1"/>
  <c r="AY17" i="1" s="1"/>
  <c r="I17" i="1"/>
  <c r="H17" i="1"/>
  <c r="E84" i="35"/>
  <c r="E86" i="35"/>
  <c r="E143" i="35"/>
  <c r="E89" i="35"/>
  <c r="E90" i="35"/>
  <c r="AS25" i="13"/>
  <c r="AS28" i="13"/>
  <c r="AS29" i="13"/>
  <c r="AS30" i="13"/>
  <c r="AS31" i="13"/>
  <c r="AS32" i="13"/>
  <c r="AS33" i="13"/>
  <c r="AS34" i="13"/>
  <c r="AS35" i="13"/>
  <c r="AS36" i="13"/>
  <c r="AS37" i="13"/>
  <c r="AS38" i="13"/>
  <c r="AS39" i="13"/>
  <c r="AS40" i="13"/>
  <c r="AS41" i="13"/>
  <c r="AS44" i="13"/>
  <c r="AS49" i="13"/>
  <c r="AS50" i="13"/>
  <c r="AS51" i="13"/>
  <c r="AV25" i="13"/>
  <c r="AV28" i="13"/>
  <c r="AV29" i="13"/>
  <c r="AV30" i="13"/>
  <c r="AV31" i="13"/>
  <c r="AV32" i="13"/>
  <c r="AV33" i="13"/>
  <c r="AV34" i="13"/>
  <c r="AV35" i="13"/>
  <c r="AV36" i="13"/>
  <c r="AV37" i="13"/>
  <c r="AV38" i="13"/>
  <c r="AV39" i="13"/>
  <c r="AV40" i="13"/>
  <c r="AV41" i="13"/>
  <c r="AV44" i="13"/>
  <c r="AV49" i="13"/>
  <c r="AV50" i="13"/>
  <c r="AV51" i="13"/>
  <c r="AV18" i="13"/>
  <c r="AV19" i="13"/>
  <c r="AV20" i="13"/>
  <c r="AV21" i="13"/>
  <c r="AV22" i="13"/>
  <c r="E114" i="35"/>
  <c r="E113" i="35"/>
  <c r="C118" i="35"/>
  <c r="C117" i="35"/>
  <c r="C116" i="35"/>
  <c r="C115" i="35"/>
  <c r="C111" i="35"/>
  <c r="C110" i="35"/>
  <c r="C109" i="35"/>
  <c r="C82" i="35"/>
  <c r="C146" i="35"/>
  <c r="C145" i="35"/>
  <c r="C144" i="35"/>
  <c r="C143" i="35"/>
  <c r="C142" i="35"/>
  <c r="C141" i="35"/>
  <c r="C140" i="35"/>
  <c r="C139" i="35"/>
  <c r="C138" i="35"/>
  <c r="C137" i="35"/>
  <c r="C136" i="35"/>
  <c r="C112" i="35"/>
  <c r="C92" i="35"/>
  <c r="C91" i="35"/>
  <c r="C90" i="35"/>
  <c r="C89" i="35"/>
  <c r="C88" i="35"/>
  <c r="C87" i="35"/>
  <c r="C86" i="35"/>
  <c r="C85" i="35"/>
  <c r="C84" i="35"/>
  <c r="C83" i="35"/>
  <c r="AX47" i="1" l="1"/>
  <c r="E47" i="1" s="1"/>
  <c r="AX23" i="1"/>
  <c r="E23" i="1"/>
  <c r="AX54" i="1"/>
  <c r="E54" i="1"/>
  <c r="E45" i="1"/>
  <c r="E53" i="1"/>
  <c r="AW27" i="1"/>
  <c r="D27" i="1"/>
  <c r="AY27" i="1" s="1"/>
  <c r="AX43" i="1"/>
  <c r="E43" i="1" s="1"/>
  <c r="AX58" i="1"/>
  <c r="E58" i="1" s="1"/>
  <c r="AX57" i="1"/>
  <c r="E57" i="1" s="1"/>
  <c r="AX27" i="1"/>
  <c r="E27" i="1" s="1"/>
  <c r="BA27" i="1" s="1"/>
  <c r="AX56" i="1"/>
  <c r="E56" i="1" s="1"/>
  <c r="AX48" i="1"/>
  <c r="E48" i="1" s="1"/>
  <c r="AX26" i="1"/>
  <c r="E26" i="1"/>
  <c r="AX40" i="1"/>
  <c r="E40" i="1" s="1"/>
  <c r="E21" i="1"/>
  <c r="E18" i="1"/>
  <c r="BA18" i="1" s="1"/>
  <c r="E19" i="1"/>
  <c r="C135" i="35"/>
  <c r="AQ24" i="13"/>
  <c r="E22" i="1"/>
  <c r="E20" i="1"/>
  <c r="BA20" i="1" s="1"/>
  <c r="AR17" i="1"/>
  <c r="AR52" i="1"/>
  <c r="AR24" i="13"/>
  <c r="AR42" i="1"/>
  <c r="AR24" i="1"/>
  <c r="BA28" i="1"/>
  <c r="AQ24" i="1"/>
  <c r="AU24" i="1" s="1"/>
  <c r="AW24" i="1" s="1"/>
  <c r="D24" i="1" s="1"/>
  <c r="AY24" i="1" s="1"/>
  <c r="AQ46" i="1"/>
  <c r="AU46" i="1" s="1"/>
  <c r="AW46" i="1" s="1"/>
  <c r="AQ55" i="1"/>
  <c r="AU55" i="1" s="1"/>
  <c r="AW55" i="1" s="1"/>
  <c r="D135" i="35" s="1"/>
  <c r="AV24" i="1"/>
  <c r="AX24" i="1" s="1"/>
  <c r="AQ52" i="1"/>
  <c r="AU52" i="1" s="1"/>
  <c r="AW52" i="1" s="1"/>
  <c r="D108" i="35" s="1"/>
  <c r="AR46" i="1"/>
  <c r="AR55" i="1"/>
  <c r="AQ17" i="1"/>
  <c r="AU17" i="1" s="1"/>
  <c r="AW17" i="1" s="1"/>
  <c r="D17" i="1" s="1"/>
  <c r="AQ42" i="1"/>
  <c r="AU42" i="1" s="1"/>
  <c r="AW42" i="1" s="1"/>
  <c r="AZ33" i="16"/>
  <c r="D53" i="16"/>
  <c r="AY53" i="16" s="1"/>
  <c r="BA35" i="16"/>
  <c r="AZ35" i="16"/>
  <c r="BA23" i="16"/>
  <c r="E53" i="14"/>
  <c r="E52" i="14" s="1"/>
  <c r="BA52" i="14" s="1"/>
  <c r="D53" i="14"/>
  <c r="D52" i="14" s="1"/>
  <c r="BA32" i="14"/>
  <c r="AZ32" i="14"/>
  <c r="AY25" i="16"/>
  <c r="AZ48" i="16"/>
  <c r="BA48" i="16"/>
  <c r="AZ27" i="16"/>
  <c r="BA27" i="16"/>
  <c r="BA58" i="16"/>
  <c r="AZ58" i="16"/>
  <c r="BA25" i="16"/>
  <c r="AZ25" i="16"/>
  <c r="BA19" i="16"/>
  <c r="E17" i="16"/>
  <c r="BA17" i="16" s="1"/>
  <c r="AX26" i="16"/>
  <c r="E26" i="16" s="1"/>
  <c r="BA54" i="16"/>
  <c r="AZ54" i="16"/>
  <c r="AY43" i="16"/>
  <c r="AW58" i="16"/>
  <c r="D58" i="16" s="1"/>
  <c r="AY58" i="16" s="1"/>
  <c r="E56" i="16"/>
  <c r="E45" i="16"/>
  <c r="AW59" i="16"/>
  <c r="D59" i="16" s="1"/>
  <c r="AY59" i="16" s="1"/>
  <c r="AV52" i="16"/>
  <c r="AX52" i="16" s="1"/>
  <c r="AS52" i="16"/>
  <c r="AU52" i="16"/>
  <c r="AW52" i="16" s="1"/>
  <c r="AY56" i="16"/>
  <c r="D48" i="16"/>
  <c r="AY48" i="16" s="1"/>
  <c r="D27" i="16"/>
  <c r="AY27" i="16" s="1"/>
  <c r="D23" i="16"/>
  <c r="AY23" i="16" s="1"/>
  <c r="AY17" i="16" s="1"/>
  <c r="D45" i="16"/>
  <c r="AY45" i="16" s="1"/>
  <c r="D54" i="16"/>
  <c r="AY54" i="16" s="1"/>
  <c r="E57" i="16"/>
  <c r="AZ47" i="16"/>
  <c r="E46" i="16"/>
  <c r="BA46" i="16" s="1"/>
  <c r="AW49" i="16"/>
  <c r="D49" i="16" s="1"/>
  <c r="AY49" i="16" s="1"/>
  <c r="E53" i="16"/>
  <c r="AW47" i="16"/>
  <c r="D47" i="16" s="1"/>
  <c r="AZ23" i="14"/>
  <c r="AZ17" i="14" s="1"/>
  <c r="BA23" i="14"/>
  <c r="AY25" i="14"/>
  <c r="AZ45" i="14"/>
  <c r="AZ42" i="14" s="1"/>
  <c r="E42" i="14"/>
  <c r="BA42" i="14" s="1"/>
  <c r="BA45" i="14"/>
  <c r="AZ54" i="14"/>
  <c r="BA54" i="14"/>
  <c r="AZ47" i="14"/>
  <c r="E46" i="14"/>
  <c r="BA46" i="14" s="1"/>
  <c r="BA47" i="14"/>
  <c r="BA51" i="14"/>
  <c r="AZ51" i="14"/>
  <c r="BA50" i="14"/>
  <c r="AZ50" i="14"/>
  <c r="BA49" i="14"/>
  <c r="AZ49" i="14"/>
  <c r="BA22" i="14"/>
  <c r="E17" i="14"/>
  <c r="BA17" i="14" s="1"/>
  <c r="AZ48" i="14"/>
  <c r="BA48" i="14"/>
  <c r="AY47" i="14"/>
  <c r="AY46" i="14" s="1"/>
  <c r="D46" i="14"/>
  <c r="AY43" i="14"/>
  <c r="AW59" i="14"/>
  <c r="D59" i="14" s="1"/>
  <c r="AY59" i="14" s="1"/>
  <c r="AX58" i="14"/>
  <c r="E58" i="14" s="1"/>
  <c r="AW44" i="14"/>
  <c r="D44" i="14" s="1"/>
  <c r="AY44" i="14" s="1"/>
  <c r="AS52" i="14"/>
  <c r="AV52" i="14"/>
  <c r="AX52" i="14" s="1"/>
  <c r="AU52" i="14"/>
  <c r="AW52" i="14" s="1"/>
  <c r="AW45" i="14"/>
  <c r="D45" i="14" s="1"/>
  <c r="E27" i="14"/>
  <c r="E26" i="14"/>
  <c r="AW26" i="14"/>
  <c r="D26" i="14" s="1"/>
  <c r="AW27" i="14"/>
  <c r="D27" i="14" s="1"/>
  <c r="AY27" i="14" s="1"/>
  <c r="AW21" i="14"/>
  <c r="D21" i="14" s="1"/>
  <c r="D17" i="14" s="1"/>
  <c r="D56" i="14"/>
  <c r="AZ59" i="14"/>
  <c r="BA59" i="14"/>
  <c r="E56" i="14"/>
  <c r="AV46" i="14"/>
  <c r="AX46" i="14" s="1"/>
  <c r="AU46" i="14"/>
  <c r="AW46" i="14" s="1"/>
  <c r="AS46" i="14"/>
  <c r="AX51" i="13"/>
  <c r="E51" i="13" s="1"/>
  <c r="BA51" i="13" s="1"/>
  <c r="AX50" i="13"/>
  <c r="E50" i="13" s="1"/>
  <c r="BA50" i="13" s="1"/>
  <c r="AX49" i="13"/>
  <c r="E49" i="13" s="1"/>
  <c r="BA49" i="13" s="1"/>
  <c r="AX44" i="13"/>
  <c r="E44" i="13" s="1"/>
  <c r="AX31" i="13"/>
  <c r="E31" i="13" s="1"/>
  <c r="AX30" i="13"/>
  <c r="E30" i="13" s="1"/>
  <c r="AX41" i="13"/>
  <c r="E41" i="13" s="1"/>
  <c r="AX29" i="13"/>
  <c r="E29" i="13" s="1"/>
  <c r="AW29" i="13"/>
  <c r="D29" i="13" s="1"/>
  <c r="AY29" i="13" s="1"/>
  <c r="AX40" i="13"/>
  <c r="E40" i="13" s="1"/>
  <c r="AX28" i="13"/>
  <c r="E28" i="13" s="1"/>
  <c r="AX39" i="13"/>
  <c r="E39" i="13" s="1"/>
  <c r="AX38" i="13"/>
  <c r="E38" i="13" s="1"/>
  <c r="AX32" i="13"/>
  <c r="E32" i="13" s="1"/>
  <c r="AX37" i="13"/>
  <c r="E37" i="13" s="1"/>
  <c r="AX36" i="13"/>
  <c r="E36" i="13" s="1"/>
  <c r="AX35" i="13"/>
  <c r="E35" i="13" s="1"/>
  <c r="AW31" i="13"/>
  <c r="D31" i="13" s="1"/>
  <c r="AY31" i="13" s="1"/>
  <c r="AX34" i="13"/>
  <c r="E34" i="13" s="1"/>
  <c r="AW28" i="13"/>
  <c r="D28" i="13" s="1"/>
  <c r="AY28" i="13" s="1"/>
  <c r="AW30" i="13"/>
  <c r="D30" i="13" s="1"/>
  <c r="AY30" i="13" s="1"/>
  <c r="AX33" i="13"/>
  <c r="E33" i="13" s="1"/>
  <c r="AX25" i="13"/>
  <c r="E25" i="13" s="1"/>
  <c r="AX22" i="13"/>
  <c r="E22" i="13" s="1"/>
  <c r="BA22" i="13" s="1"/>
  <c r="AX21" i="13"/>
  <c r="E21" i="13" s="1"/>
  <c r="BA21" i="13" s="1"/>
  <c r="AX20" i="13"/>
  <c r="E20" i="13" s="1"/>
  <c r="BA20" i="13" s="1"/>
  <c r="AX19" i="13"/>
  <c r="E19" i="13" s="1"/>
  <c r="AX18" i="13"/>
  <c r="E18" i="13" s="1"/>
  <c r="E11" i="35"/>
  <c r="AZ37" i="1"/>
  <c r="BA37" i="1"/>
  <c r="BA25" i="1"/>
  <c r="AZ25" i="1"/>
  <c r="D50" i="1"/>
  <c r="AY50" i="1" s="1"/>
  <c r="D51" i="1"/>
  <c r="AY51" i="1" s="1"/>
  <c r="D58" i="1"/>
  <c r="AY58" i="1" s="1"/>
  <c r="BA30" i="1"/>
  <c r="AZ30" i="1"/>
  <c r="D39" i="1"/>
  <c r="AY39" i="1" s="1"/>
  <c r="D48" i="1"/>
  <c r="AY48" i="1" s="1"/>
  <c r="D53" i="1"/>
  <c r="D31" i="1"/>
  <c r="AY31" i="1" s="1"/>
  <c r="BA39" i="1"/>
  <c r="AZ39" i="1"/>
  <c r="D26" i="1"/>
  <c r="AY26" i="1" s="1"/>
  <c r="BA34" i="1"/>
  <c r="AZ34" i="1"/>
  <c r="D44" i="1"/>
  <c r="AY44" i="1" s="1"/>
  <c r="D54" i="1"/>
  <c r="AY54" i="1" s="1"/>
  <c r="D23" i="1"/>
  <c r="AY23" i="1" s="1"/>
  <c r="BA31" i="1"/>
  <c r="AZ31" i="1"/>
  <c r="D35" i="1"/>
  <c r="AY35" i="1" s="1"/>
  <c r="AX17" i="1"/>
  <c r="E17" i="1" s="1"/>
  <c r="AZ23" i="1"/>
  <c r="BA23" i="1"/>
  <c r="D32" i="1"/>
  <c r="AY32" i="1" s="1"/>
  <c r="D29" i="1"/>
  <c r="AY29" i="1" s="1"/>
  <c r="D45" i="1"/>
  <c r="AY45" i="1" s="1"/>
  <c r="BA49" i="1"/>
  <c r="AZ49" i="1"/>
  <c r="D30" i="1"/>
  <c r="AY30" i="1" s="1"/>
  <c r="E32" i="1"/>
  <c r="D57" i="1"/>
  <c r="AY57" i="1" s="1"/>
  <c r="D41" i="1"/>
  <c r="AY41" i="1" s="1"/>
  <c r="BA33" i="1"/>
  <c r="AZ33" i="1"/>
  <c r="BA29" i="1"/>
  <c r="AZ29" i="1"/>
  <c r="D33" i="1"/>
  <c r="AY33" i="1" s="1"/>
  <c r="D38" i="1"/>
  <c r="AY38" i="1" s="1"/>
  <c r="D47" i="1"/>
  <c r="BA19" i="1"/>
  <c r="BA21" i="1"/>
  <c r="BA22" i="1"/>
  <c r="E51" i="1"/>
  <c r="D18" i="1"/>
  <c r="D19" i="1"/>
  <c r="D20" i="1"/>
  <c r="D21" i="1"/>
  <c r="D22" i="1"/>
  <c r="D25" i="1"/>
  <c r="AY25" i="1" s="1"/>
  <c r="D37" i="1"/>
  <c r="AY37" i="1" s="1"/>
  <c r="E38" i="1"/>
  <c r="E50" i="1"/>
  <c r="E36" i="1"/>
  <c r="AS17" i="1"/>
  <c r="D34" i="1"/>
  <c r="AY34" i="1" s="1"/>
  <c r="E35" i="1"/>
  <c r="D40" i="1"/>
  <c r="AY40" i="1" s="1"/>
  <c r="E41" i="1"/>
  <c r="D43" i="1"/>
  <c r="E44" i="1"/>
  <c r="D56" i="1"/>
  <c r="AZ28" i="1"/>
  <c r="B57" i="35"/>
  <c r="C57" i="35"/>
  <c r="E119" i="35"/>
  <c r="C119" i="35"/>
  <c r="E66" i="35"/>
  <c r="C66" i="35"/>
  <c r="D92" i="35"/>
  <c r="B92" i="35"/>
  <c r="D119" i="35"/>
  <c r="B119" i="35"/>
  <c r="B66" i="35"/>
  <c r="B145" i="35"/>
  <c r="D145" i="35"/>
  <c r="D118" i="35"/>
  <c r="B118" i="35"/>
  <c r="B65" i="35"/>
  <c r="E12" i="35"/>
  <c r="D116" i="35"/>
  <c r="B116" i="35"/>
  <c r="B142" i="35"/>
  <c r="D142" i="35"/>
  <c r="D113" i="35"/>
  <c r="B113" i="35"/>
  <c r="C60" i="35"/>
  <c r="B112" i="35"/>
  <c r="D111" i="35"/>
  <c r="B111" i="35"/>
  <c r="B58" i="35"/>
  <c r="D58" i="35"/>
  <c r="D110" i="35"/>
  <c r="B110" i="35"/>
  <c r="D109" i="35"/>
  <c r="B109" i="35"/>
  <c r="C81" i="35"/>
  <c r="C108" i="35"/>
  <c r="E135" i="35"/>
  <c r="B146" i="35"/>
  <c r="D146" i="35"/>
  <c r="D91" i="35"/>
  <c r="B91" i="35"/>
  <c r="E118" i="35"/>
  <c r="B90" i="35"/>
  <c r="D90" i="35"/>
  <c r="B12" i="35"/>
  <c r="D12" i="35"/>
  <c r="D117" i="35"/>
  <c r="B117" i="35"/>
  <c r="B144" i="35"/>
  <c r="D144" i="35"/>
  <c r="E117" i="35"/>
  <c r="D89" i="35"/>
  <c r="B89" i="35"/>
  <c r="B143" i="35"/>
  <c r="D143" i="35"/>
  <c r="E116" i="35"/>
  <c r="D88" i="35"/>
  <c r="B88" i="35"/>
  <c r="B115" i="35"/>
  <c r="D115" i="35"/>
  <c r="C10" i="35"/>
  <c r="E115" i="35"/>
  <c r="B61" i="35"/>
  <c r="D141" i="35"/>
  <c r="B141" i="35"/>
  <c r="D87" i="35"/>
  <c r="B87" i="35"/>
  <c r="B9" i="35"/>
  <c r="B114" i="35"/>
  <c r="D114" i="35"/>
  <c r="C114" i="35"/>
  <c r="D86" i="35"/>
  <c r="B86" i="35"/>
  <c r="B140" i="35"/>
  <c r="D140" i="35"/>
  <c r="C113" i="35"/>
  <c r="B60" i="35"/>
  <c r="D60" i="35"/>
  <c r="B139" i="35"/>
  <c r="D139" i="35"/>
  <c r="C7" i="35"/>
  <c r="B85" i="35"/>
  <c r="D85" i="35"/>
  <c r="D112" i="35"/>
  <c r="C59" i="35"/>
  <c r="B138" i="35"/>
  <c r="D138" i="35"/>
  <c r="B84" i="35"/>
  <c r="D84" i="35"/>
  <c r="E111" i="35"/>
  <c r="B137" i="35"/>
  <c r="D137" i="35"/>
  <c r="B83" i="35"/>
  <c r="D83" i="35"/>
  <c r="C5" i="35"/>
  <c r="E110" i="35"/>
  <c r="B136" i="35"/>
  <c r="D136" i="35"/>
  <c r="E56" i="35"/>
  <c r="C56" i="35"/>
  <c r="B82" i="35"/>
  <c r="D82" i="35"/>
  <c r="E82" i="35"/>
  <c r="E109" i="35"/>
  <c r="AT59" i="13"/>
  <c r="AT58" i="13"/>
  <c r="AT57" i="13"/>
  <c r="AT56" i="13"/>
  <c r="AT54" i="13"/>
  <c r="AT53" i="13"/>
  <c r="AT48" i="13"/>
  <c r="AT47" i="13"/>
  <c r="AT45" i="13"/>
  <c r="AT43" i="13"/>
  <c r="AT27" i="13"/>
  <c r="AT26" i="13"/>
  <c r="AT23" i="13"/>
  <c r="AT17" i="13" s="1"/>
  <c r="AV17" i="13" s="1"/>
  <c r="AX17" i="13" s="1"/>
  <c r="AP59" i="13"/>
  <c r="AO59" i="13"/>
  <c r="AN59" i="13"/>
  <c r="AM59" i="13"/>
  <c r="AL59" i="13"/>
  <c r="AK59" i="13"/>
  <c r="AJ59" i="13"/>
  <c r="AI59" i="13"/>
  <c r="AH59" i="13"/>
  <c r="AG59" i="13"/>
  <c r="AF59" i="13"/>
  <c r="AE59" i="13"/>
  <c r="AD59" i="13"/>
  <c r="AC59" i="13"/>
  <c r="AB59" i="13"/>
  <c r="AA59" i="13"/>
  <c r="Z59" i="13"/>
  <c r="Y59" i="13"/>
  <c r="X59" i="13"/>
  <c r="W59" i="13"/>
  <c r="V59" i="13"/>
  <c r="U59" i="13"/>
  <c r="T59" i="13"/>
  <c r="S59" i="13"/>
  <c r="R59" i="13"/>
  <c r="Q59" i="13"/>
  <c r="P59" i="13"/>
  <c r="O59" i="13"/>
  <c r="N59" i="13"/>
  <c r="M59" i="13"/>
  <c r="L59" i="13"/>
  <c r="K59" i="13"/>
  <c r="AP58" i="13"/>
  <c r="AO58" i="13"/>
  <c r="AN58" i="13"/>
  <c r="AM58" i="13"/>
  <c r="AL58" i="13"/>
  <c r="AK58" i="13"/>
  <c r="AJ58" i="13"/>
  <c r="AI58" i="13"/>
  <c r="AH58" i="13"/>
  <c r="AG58" i="13"/>
  <c r="AF58" i="13"/>
  <c r="AE58" i="13"/>
  <c r="AD58" i="13"/>
  <c r="AC58" i="13"/>
  <c r="AB58" i="13"/>
  <c r="AA58" i="13"/>
  <c r="Z58" i="13"/>
  <c r="Y58" i="13"/>
  <c r="X58" i="13"/>
  <c r="W58" i="13"/>
  <c r="V58" i="13"/>
  <c r="U58" i="13"/>
  <c r="T58" i="13"/>
  <c r="S58" i="13"/>
  <c r="R58" i="13"/>
  <c r="Q58" i="13"/>
  <c r="P58" i="13"/>
  <c r="O58" i="13"/>
  <c r="N58" i="13"/>
  <c r="M58" i="13"/>
  <c r="L58" i="13"/>
  <c r="K58" i="13"/>
  <c r="AP57" i="13"/>
  <c r="AO57" i="13"/>
  <c r="AN57" i="13"/>
  <c r="AM57" i="13"/>
  <c r="AL57" i="13"/>
  <c r="AK57" i="13"/>
  <c r="AJ57" i="13"/>
  <c r="AI57" i="13"/>
  <c r="AH57" i="13"/>
  <c r="AG57" i="13"/>
  <c r="AF57" i="13"/>
  <c r="AE57" i="13"/>
  <c r="AD57" i="13"/>
  <c r="AC57" i="13"/>
  <c r="AB57" i="13"/>
  <c r="AA57" i="13"/>
  <c r="Z57" i="13"/>
  <c r="Y57" i="13"/>
  <c r="X57" i="13"/>
  <c r="W57" i="13"/>
  <c r="V57" i="13"/>
  <c r="U57" i="13"/>
  <c r="T57" i="13"/>
  <c r="S57" i="13"/>
  <c r="R57" i="13"/>
  <c r="Q57" i="13"/>
  <c r="P57" i="13"/>
  <c r="O57" i="13"/>
  <c r="N57" i="13"/>
  <c r="M57" i="13"/>
  <c r="L57" i="13"/>
  <c r="K57" i="13"/>
  <c r="AP56" i="13"/>
  <c r="AO56" i="13"/>
  <c r="AN56" i="13"/>
  <c r="AM56" i="13"/>
  <c r="AL56" i="13"/>
  <c r="AK56" i="13"/>
  <c r="AJ56" i="13"/>
  <c r="AI56" i="13"/>
  <c r="AH56" i="13"/>
  <c r="AG56" i="13"/>
  <c r="AF56" i="13"/>
  <c r="AE56" i="13"/>
  <c r="AD56" i="13"/>
  <c r="AC56" i="13"/>
  <c r="AB56" i="13"/>
  <c r="AA56" i="13"/>
  <c r="Z56" i="13"/>
  <c r="Y56" i="13"/>
  <c r="X56" i="13"/>
  <c r="W56" i="13"/>
  <c r="V56" i="13"/>
  <c r="U56" i="13"/>
  <c r="T56" i="13"/>
  <c r="S56" i="13"/>
  <c r="R56" i="13"/>
  <c r="Q56" i="13"/>
  <c r="P56" i="13"/>
  <c r="O56" i="13"/>
  <c r="N56" i="13"/>
  <c r="M56" i="13"/>
  <c r="L56" i="13"/>
  <c r="K56" i="13"/>
  <c r="AP54" i="13"/>
  <c r="AO54" i="13"/>
  <c r="AN54" i="13"/>
  <c r="AM54" i="13"/>
  <c r="AL54" i="13"/>
  <c r="AK54" i="13"/>
  <c r="AJ54" i="13"/>
  <c r="AI54" i="13"/>
  <c r="AH54" i="13"/>
  <c r="AG54" i="13"/>
  <c r="AF54" i="13"/>
  <c r="AE54" i="13"/>
  <c r="AD54" i="13"/>
  <c r="AC54" i="13"/>
  <c r="AB54" i="13"/>
  <c r="AA54" i="13"/>
  <c r="Z54" i="13"/>
  <c r="Y54" i="13"/>
  <c r="X54" i="13"/>
  <c r="W54" i="13"/>
  <c r="V54" i="13"/>
  <c r="U54" i="13"/>
  <c r="T54" i="13"/>
  <c r="S54" i="13"/>
  <c r="R54" i="13"/>
  <c r="Q54" i="13"/>
  <c r="P54" i="13"/>
  <c r="O54" i="13"/>
  <c r="N54" i="13"/>
  <c r="M54" i="13"/>
  <c r="L54" i="13"/>
  <c r="K54" i="13"/>
  <c r="AP53" i="13"/>
  <c r="AO53" i="13"/>
  <c r="AN53" i="13"/>
  <c r="AM53" i="13"/>
  <c r="AL53" i="13"/>
  <c r="AK53" i="13"/>
  <c r="AJ53" i="13"/>
  <c r="AI53" i="13"/>
  <c r="AH53" i="13"/>
  <c r="AG53" i="13"/>
  <c r="AF53" i="13"/>
  <c r="AE53" i="13"/>
  <c r="AD53" i="13"/>
  <c r="AC53" i="13"/>
  <c r="AB53" i="13"/>
  <c r="AA53" i="13"/>
  <c r="Z53" i="13"/>
  <c r="Y53" i="13"/>
  <c r="X53" i="13"/>
  <c r="W53" i="13"/>
  <c r="V53" i="13"/>
  <c r="U53" i="13"/>
  <c r="T53" i="13"/>
  <c r="S53" i="13"/>
  <c r="R53" i="13"/>
  <c r="Q53" i="13"/>
  <c r="P53" i="13"/>
  <c r="O53" i="13"/>
  <c r="N53" i="13"/>
  <c r="M53" i="13"/>
  <c r="L53" i="13"/>
  <c r="K53" i="13"/>
  <c r="AP47" i="13"/>
  <c r="AP46" i="13" s="1"/>
  <c r="AO47" i="13"/>
  <c r="AO46" i="13" s="1"/>
  <c r="AN47" i="13"/>
  <c r="AN46" i="13" s="1"/>
  <c r="AM47" i="13"/>
  <c r="AM46" i="13" s="1"/>
  <c r="AL47" i="13"/>
  <c r="AL46" i="13" s="1"/>
  <c r="AK47" i="13"/>
  <c r="AK46" i="13" s="1"/>
  <c r="AJ47" i="13"/>
  <c r="AJ46" i="13" s="1"/>
  <c r="AI47" i="13"/>
  <c r="AI46" i="13" s="1"/>
  <c r="AH47" i="13"/>
  <c r="AH46" i="13" s="1"/>
  <c r="AG47" i="13"/>
  <c r="AG46" i="13" s="1"/>
  <c r="AF47" i="13"/>
  <c r="AF46" i="13" s="1"/>
  <c r="AE47" i="13"/>
  <c r="AE46" i="13" s="1"/>
  <c r="AD47" i="13"/>
  <c r="AD46" i="13" s="1"/>
  <c r="AC47" i="13"/>
  <c r="AC46" i="13" s="1"/>
  <c r="AB47" i="13"/>
  <c r="AB46" i="13" s="1"/>
  <c r="AA47" i="13"/>
  <c r="AA46" i="13" s="1"/>
  <c r="Z47" i="13"/>
  <c r="Z46" i="13" s="1"/>
  <c r="Y47" i="13"/>
  <c r="Y46" i="13" s="1"/>
  <c r="X47" i="13"/>
  <c r="X46" i="13" s="1"/>
  <c r="W47" i="13"/>
  <c r="W46" i="13" s="1"/>
  <c r="V47" i="13"/>
  <c r="V46" i="13" s="1"/>
  <c r="U47" i="13"/>
  <c r="U46" i="13" s="1"/>
  <c r="T47" i="13"/>
  <c r="T46" i="13" s="1"/>
  <c r="S47" i="13"/>
  <c r="S46" i="13" s="1"/>
  <c r="R47" i="13"/>
  <c r="R46" i="13" s="1"/>
  <c r="Q47" i="13"/>
  <c r="Q46" i="13" s="1"/>
  <c r="P47" i="13"/>
  <c r="P46" i="13" s="1"/>
  <c r="O47" i="13"/>
  <c r="O46" i="13" s="1"/>
  <c r="N47" i="13"/>
  <c r="M47" i="13"/>
  <c r="L47" i="13"/>
  <c r="L46" i="13" s="1"/>
  <c r="K47" i="13"/>
  <c r="K46" i="13" s="1"/>
  <c r="AP43" i="13"/>
  <c r="AP42" i="13" s="1"/>
  <c r="AO43" i="13"/>
  <c r="AO42" i="13" s="1"/>
  <c r="AN43" i="13"/>
  <c r="AN42" i="13" s="1"/>
  <c r="AM43" i="13"/>
  <c r="AM42" i="13" s="1"/>
  <c r="AL43" i="13"/>
  <c r="AL42" i="13" s="1"/>
  <c r="AK43" i="13"/>
  <c r="AK42" i="13" s="1"/>
  <c r="AJ43" i="13"/>
  <c r="AJ42" i="13" s="1"/>
  <c r="AI43" i="13"/>
  <c r="AI42" i="13" s="1"/>
  <c r="AH43" i="13"/>
  <c r="AH42" i="13" s="1"/>
  <c r="AG43" i="13"/>
  <c r="AG42" i="13" s="1"/>
  <c r="AF43" i="13"/>
  <c r="AF42" i="13" s="1"/>
  <c r="AE43" i="13"/>
  <c r="AE42" i="13" s="1"/>
  <c r="AD43" i="13"/>
  <c r="AD42" i="13" s="1"/>
  <c r="AC43" i="13"/>
  <c r="AC42" i="13" s="1"/>
  <c r="AB43" i="13"/>
  <c r="AB42" i="13" s="1"/>
  <c r="AA43" i="13"/>
  <c r="AA42" i="13" s="1"/>
  <c r="Z43" i="13"/>
  <c r="Z42" i="13" s="1"/>
  <c r="Y43" i="13"/>
  <c r="Y42" i="13" s="1"/>
  <c r="X43" i="13"/>
  <c r="X42" i="13" s="1"/>
  <c r="W43" i="13"/>
  <c r="W42" i="13" s="1"/>
  <c r="V43" i="13"/>
  <c r="V42" i="13" s="1"/>
  <c r="U43" i="13"/>
  <c r="U42" i="13" s="1"/>
  <c r="T43" i="13"/>
  <c r="T42" i="13" s="1"/>
  <c r="S43" i="13"/>
  <c r="S42" i="13" s="1"/>
  <c r="R43" i="13"/>
  <c r="R42" i="13" s="1"/>
  <c r="Q43" i="13"/>
  <c r="Q42" i="13" s="1"/>
  <c r="P43" i="13"/>
  <c r="P42" i="13" s="1"/>
  <c r="O43" i="13"/>
  <c r="O42" i="13" s="1"/>
  <c r="N43" i="13"/>
  <c r="M43" i="13"/>
  <c r="L43" i="13"/>
  <c r="L42" i="13" s="1"/>
  <c r="K43" i="13"/>
  <c r="K42" i="13" s="1"/>
  <c r="I59" i="13"/>
  <c r="H59" i="13"/>
  <c r="G59" i="13"/>
  <c r="F59" i="13"/>
  <c r="I58" i="13"/>
  <c r="H58" i="13"/>
  <c r="G58" i="13"/>
  <c r="F58" i="13"/>
  <c r="I57" i="13"/>
  <c r="H57" i="13"/>
  <c r="G57" i="13"/>
  <c r="F57" i="13"/>
  <c r="I56" i="13"/>
  <c r="H56" i="13"/>
  <c r="G56" i="13"/>
  <c r="F56" i="13"/>
  <c r="I54" i="13"/>
  <c r="H54" i="13"/>
  <c r="G54" i="13"/>
  <c r="F54" i="13"/>
  <c r="I53" i="13"/>
  <c r="H53" i="13"/>
  <c r="G53" i="13"/>
  <c r="F53" i="13"/>
  <c r="I47" i="13"/>
  <c r="I46" i="13" s="1"/>
  <c r="H47" i="13"/>
  <c r="H46" i="13" s="1"/>
  <c r="G47" i="13"/>
  <c r="G46" i="13" s="1"/>
  <c r="F47" i="13"/>
  <c r="F46" i="13" s="1"/>
  <c r="I43" i="13"/>
  <c r="I42" i="13" s="1"/>
  <c r="H43" i="13"/>
  <c r="H42" i="13" s="1"/>
  <c r="G43" i="13"/>
  <c r="G42" i="13" s="1"/>
  <c r="F43" i="13"/>
  <c r="F42" i="13" s="1"/>
  <c r="I27" i="13"/>
  <c r="H27" i="13"/>
  <c r="G27" i="13"/>
  <c r="F27" i="13"/>
  <c r="I26" i="13"/>
  <c r="H26" i="13"/>
  <c r="G26" i="13"/>
  <c r="F26" i="13"/>
  <c r="AD23" i="13"/>
  <c r="AD17" i="13" s="1"/>
  <c r="AE23" i="13"/>
  <c r="AE17" i="13" s="1"/>
  <c r="AF23" i="13"/>
  <c r="AF17" i="13" s="1"/>
  <c r="AG23" i="13"/>
  <c r="AG17" i="13" s="1"/>
  <c r="AH23" i="13"/>
  <c r="AH17" i="13" s="1"/>
  <c r="AI23" i="13"/>
  <c r="AI17" i="13" s="1"/>
  <c r="AJ23" i="13"/>
  <c r="AJ17" i="13" s="1"/>
  <c r="AK23" i="13"/>
  <c r="AK17" i="13" s="1"/>
  <c r="AL23" i="13"/>
  <c r="AL17" i="13" s="1"/>
  <c r="AM23" i="13"/>
  <c r="AM17" i="13" s="1"/>
  <c r="AN23" i="13"/>
  <c r="AN17" i="13" s="1"/>
  <c r="AO23" i="13"/>
  <c r="AO17" i="13" s="1"/>
  <c r="AP23" i="13"/>
  <c r="AP17" i="13" s="1"/>
  <c r="L23" i="13"/>
  <c r="L17" i="13" s="1"/>
  <c r="M23" i="13"/>
  <c r="N23" i="13"/>
  <c r="O23" i="13"/>
  <c r="O17" i="13" s="1"/>
  <c r="P23" i="13"/>
  <c r="P17" i="13" s="1"/>
  <c r="Q23" i="13"/>
  <c r="Q17" i="13" s="1"/>
  <c r="R23" i="13"/>
  <c r="R17" i="13" s="1"/>
  <c r="S23" i="13"/>
  <c r="S17" i="13" s="1"/>
  <c r="T23" i="13"/>
  <c r="T17" i="13" s="1"/>
  <c r="U23" i="13"/>
  <c r="U17" i="13" s="1"/>
  <c r="V23" i="13"/>
  <c r="V17" i="13" s="1"/>
  <c r="W23" i="13"/>
  <c r="W17" i="13" s="1"/>
  <c r="X23" i="13"/>
  <c r="X17" i="13" s="1"/>
  <c r="Y23" i="13"/>
  <c r="Y17" i="13" s="1"/>
  <c r="Z23" i="13"/>
  <c r="Z17" i="13" s="1"/>
  <c r="AA23" i="13"/>
  <c r="AA17" i="13" s="1"/>
  <c r="AB23" i="13"/>
  <c r="AB17" i="13" s="1"/>
  <c r="AC23" i="13"/>
  <c r="AC17" i="13" s="1"/>
  <c r="K23" i="13"/>
  <c r="K17" i="13" s="1"/>
  <c r="H23" i="13"/>
  <c r="H17" i="13" s="1"/>
  <c r="I23" i="13"/>
  <c r="I17" i="13" s="1"/>
  <c r="G23" i="13"/>
  <c r="G17" i="13" s="1"/>
  <c r="F23" i="13"/>
  <c r="F17" i="13" s="1"/>
  <c r="AU51" i="13"/>
  <c r="AU50" i="13"/>
  <c r="AU49" i="13"/>
  <c r="AU37" i="13"/>
  <c r="AU36" i="13"/>
  <c r="AU35" i="13"/>
  <c r="AU34" i="13"/>
  <c r="AZ22" i="13"/>
  <c r="AY22" i="13"/>
  <c r="AU22" i="13"/>
  <c r="AZ21" i="13"/>
  <c r="AY21" i="13"/>
  <c r="AU21" i="13"/>
  <c r="AZ20" i="13"/>
  <c r="AY20" i="13"/>
  <c r="AZ19" i="13"/>
  <c r="AY19" i="13"/>
  <c r="AZ18" i="13"/>
  <c r="AY18" i="13"/>
  <c r="AR18" i="13"/>
  <c r="BA43" i="1" l="1"/>
  <c r="AZ43" i="1"/>
  <c r="AZ48" i="1"/>
  <c r="BA48" i="1"/>
  <c r="BA56" i="1"/>
  <c r="AZ56" i="1"/>
  <c r="AZ27" i="1"/>
  <c r="BA17" i="1"/>
  <c r="E24" i="1"/>
  <c r="AZ53" i="14"/>
  <c r="AZ52" i="14" s="1"/>
  <c r="AZ40" i="1"/>
  <c r="BA40" i="1"/>
  <c r="B81" i="35"/>
  <c r="S52" i="13"/>
  <c r="AE52" i="13"/>
  <c r="B135" i="35"/>
  <c r="V52" i="13"/>
  <c r="AH52" i="13"/>
  <c r="I24" i="13"/>
  <c r="Q52" i="13"/>
  <c r="AC52" i="13"/>
  <c r="AO52" i="13"/>
  <c r="F24" i="13"/>
  <c r="F55" i="13"/>
  <c r="K52" i="13"/>
  <c r="W52" i="13"/>
  <c r="AI52" i="13"/>
  <c r="S55" i="13"/>
  <c r="AE55" i="13"/>
  <c r="G24" i="13"/>
  <c r="Z52" i="13"/>
  <c r="AL52" i="13"/>
  <c r="V55" i="13"/>
  <c r="AH55" i="13"/>
  <c r="AR57" i="13"/>
  <c r="E42" i="1"/>
  <c r="AZ42" i="1" s="1"/>
  <c r="H52" i="13"/>
  <c r="Y55" i="13"/>
  <c r="AK55" i="13"/>
  <c r="B108" i="35"/>
  <c r="D17" i="16"/>
  <c r="G52" i="13"/>
  <c r="AQ59" i="13"/>
  <c r="I52" i="13"/>
  <c r="G55" i="13"/>
  <c r="L52" i="13"/>
  <c r="X52" i="13"/>
  <c r="AJ52" i="13"/>
  <c r="T55" i="13"/>
  <c r="AF55" i="13"/>
  <c r="AR47" i="13"/>
  <c r="N46" i="13"/>
  <c r="AR46" i="13" s="1"/>
  <c r="R52" i="13"/>
  <c r="AD52" i="13"/>
  <c r="AP52" i="13"/>
  <c r="AR56" i="13"/>
  <c r="N55" i="13"/>
  <c r="Z55" i="13"/>
  <c r="AL55" i="13"/>
  <c r="AR59" i="13"/>
  <c r="M46" i="13"/>
  <c r="AQ46" i="13" s="1"/>
  <c r="AQ47" i="13"/>
  <c r="AQ56" i="13"/>
  <c r="M55" i="13"/>
  <c r="AR23" i="13"/>
  <c r="N17" i="13"/>
  <c r="AR17" i="13" s="1"/>
  <c r="O55" i="13"/>
  <c r="AA55" i="13"/>
  <c r="AM55" i="13"/>
  <c r="AS17" i="13"/>
  <c r="AQ23" i="13"/>
  <c r="AU23" i="13" s="1"/>
  <c r="AW23" i="13" s="1"/>
  <c r="D23" i="13" s="1"/>
  <c r="AY23" i="13" s="1"/>
  <c r="AY17" i="13" s="1"/>
  <c r="M17" i="13"/>
  <c r="AQ17" i="13" s="1"/>
  <c r="AU17" i="13" s="1"/>
  <c r="AW17" i="13" s="1"/>
  <c r="T52" i="13"/>
  <c r="AF52" i="13"/>
  <c r="P55" i="13"/>
  <c r="AB55" i="13"/>
  <c r="AN55" i="13"/>
  <c r="AT24" i="13"/>
  <c r="M42" i="13"/>
  <c r="AQ42" i="13" s="1"/>
  <c r="AQ43" i="13"/>
  <c r="U52" i="13"/>
  <c r="AQ54" i="13"/>
  <c r="Q55" i="13"/>
  <c r="AC55" i="13"/>
  <c r="AO55" i="13"/>
  <c r="AQ58" i="13"/>
  <c r="I55" i="13"/>
  <c r="AG52" i="13"/>
  <c r="AR43" i="13"/>
  <c r="N42" i="13"/>
  <c r="AR42" i="13" s="1"/>
  <c r="AR54" i="13"/>
  <c r="R55" i="13"/>
  <c r="AD55" i="13"/>
  <c r="AP55" i="13"/>
  <c r="AR58" i="13"/>
  <c r="AT42" i="13"/>
  <c r="AT46" i="13"/>
  <c r="H24" i="13"/>
  <c r="H55" i="13"/>
  <c r="AQ53" i="13"/>
  <c r="M52" i="13"/>
  <c r="Y52" i="13"/>
  <c r="AK52" i="13"/>
  <c r="U55" i="13"/>
  <c r="AG55" i="13"/>
  <c r="AQ57" i="13"/>
  <c r="AR53" i="13"/>
  <c r="N52" i="13"/>
  <c r="AT52" i="13"/>
  <c r="F52" i="13"/>
  <c r="O52" i="13"/>
  <c r="AA52" i="13"/>
  <c r="AM52" i="13"/>
  <c r="K55" i="13"/>
  <c r="W55" i="13"/>
  <c r="AI55" i="13"/>
  <c r="P52" i="13"/>
  <c r="AB52" i="13"/>
  <c r="AN52" i="13"/>
  <c r="L55" i="13"/>
  <c r="X55" i="13"/>
  <c r="AJ55" i="13"/>
  <c r="AT55" i="13"/>
  <c r="BA53" i="14"/>
  <c r="AY53" i="14"/>
  <c r="AY52" i="14" s="1"/>
  <c r="AZ46" i="16"/>
  <c r="AY42" i="16"/>
  <c r="D52" i="16"/>
  <c r="BA44" i="13"/>
  <c r="AZ44" i="13"/>
  <c r="BA38" i="13"/>
  <c r="AZ38" i="13"/>
  <c r="BA29" i="13"/>
  <c r="AZ29" i="13"/>
  <c r="BA39" i="13"/>
  <c r="AZ39" i="13"/>
  <c r="BA28" i="13"/>
  <c r="AZ28" i="13"/>
  <c r="BA40" i="13"/>
  <c r="AZ40" i="13"/>
  <c r="BA34" i="13"/>
  <c r="AZ34" i="13"/>
  <c r="BA33" i="13"/>
  <c r="AZ33" i="13"/>
  <c r="BA35" i="13"/>
  <c r="AZ35" i="13"/>
  <c r="BA36" i="13"/>
  <c r="AZ36" i="13"/>
  <c r="BA41" i="13"/>
  <c r="AZ41" i="13"/>
  <c r="BA37" i="13"/>
  <c r="AZ37" i="13"/>
  <c r="BA32" i="13"/>
  <c r="AZ32" i="13"/>
  <c r="BA30" i="13"/>
  <c r="AZ30" i="13"/>
  <c r="BA31" i="13"/>
  <c r="AZ31" i="13"/>
  <c r="BA18" i="13"/>
  <c r="AZ26" i="16"/>
  <c r="AZ24" i="16" s="1"/>
  <c r="BA26" i="16"/>
  <c r="E24" i="16"/>
  <c r="BA24" i="16" s="1"/>
  <c r="AY47" i="16"/>
  <c r="AY46" i="16" s="1"/>
  <c r="D46" i="16"/>
  <c r="AZ45" i="16"/>
  <c r="AZ42" i="16" s="1"/>
  <c r="E42" i="16"/>
  <c r="BA42" i="16" s="1"/>
  <c r="BA45" i="16"/>
  <c r="D42" i="16"/>
  <c r="E52" i="16"/>
  <c r="BA52" i="16" s="1"/>
  <c r="AZ53" i="16"/>
  <c r="BA53" i="16"/>
  <c r="D55" i="16"/>
  <c r="E55" i="16"/>
  <c r="BA55" i="16" s="1"/>
  <c r="BA56" i="16"/>
  <c r="AZ56" i="16"/>
  <c r="AY24" i="16"/>
  <c r="AZ57" i="16"/>
  <c r="BA57" i="16"/>
  <c r="D24" i="16"/>
  <c r="AY26" i="14"/>
  <c r="AY24" i="14" s="1"/>
  <c r="D24" i="14"/>
  <c r="BA58" i="14"/>
  <c r="AZ58" i="14"/>
  <c r="AY45" i="14"/>
  <c r="AY42" i="14" s="1"/>
  <c r="D42" i="14"/>
  <c r="D55" i="14"/>
  <c r="AY56" i="14"/>
  <c r="AY55" i="14" s="1"/>
  <c r="E55" i="14"/>
  <c r="BA55" i="14" s="1"/>
  <c r="BA56" i="14"/>
  <c r="AZ56" i="14"/>
  <c r="AZ26" i="14"/>
  <c r="BA26" i="14"/>
  <c r="E24" i="14"/>
  <c r="BA24" i="14" s="1"/>
  <c r="BA27" i="14"/>
  <c r="AZ27" i="14"/>
  <c r="AZ46" i="14"/>
  <c r="AW51" i="13"/>
  <c r="D51" i="13" s="1"/>
  <c r="AW34" i="13"/>
  <c r="D34" i="13" s="1"/>
  <c r="AY34" i="13" s="1"/>
  <c r="AW35" i="13"/>
  <c r="D35" i="13" s="1"/>
  <c r="AY35" i="13" s="1"/>
  <c r="BA25" i="13"/>
  <c r="AZ25" i="13"/>
  <c r="AW22" i="13"/>
  <c r="D22" i="13" s="1"/>
  <c r="AW21" i="13"/>
  <c r="D21" i="13" s="1"/>
  <c r="AW49" i="13"/>
  <c r="AW50" i="13"/>
  <c r="D50" i="13" s="1"/>
  <c r="AY50" i="13" s="1"/>
  <c r="AW36" i="13"/>
  <c r="D36" i="13" s="1"/>
  <c r="AY36" i="13" s="1"/>
  <c r="AW37" i="13"/>
  <c r="C11" i="35"/>
  <c r="D7" i="35"/>
  <c r="B7" i="35"/>
  <c r="C58" i="35"/>
  <c r="AY47" i="1"/>
  <c r="D46" i="1"/>
  <c r="AY46" i="1" s="1"/>
  <c r="BA50" i="1"/>
  <c r="AZ50" i="1"/>
  <c r="BA41" i="1"/>
  <c r="AZ41" i="1"/>
  <c r="BA51" i="1"/>
  <c r="AZ51" i="1"/>
  <c r="AY53" i="1"/>
  <c r="D52" i="1"/>
  <c r="AY52" i="1" s="1"/>
  <c r="BA35" i="1"/>
  <c r="AZ35" i="1"/>
  <c r="BA54" i="1"/>
  <c r="AZ54" i="1"/>
  <c r="C55" i="35"/>
  <c r="AZ58" i="1"/>
  <c r="BA58" i="1"/>
  <c r="BA26" i="1"/>
  <c r="AZ26" i="1"/>
  <c r="AZ45" i="1"/>
  <c r="BA45" i="1"/>
  <c r="BA57" i="1"/>
  <c r="AZ57" i="1"/>
  <c r="BA36" i="1"/>
  <c r="AZ36" i="1"/>
  <c r="BA47" i="1"/>
  <c r="AZ47" i="1"/>
  <c r="E46" i="1"/>
  <c r="BA38" i="1"/>
  <c r="AZ38" i="1"/>
  <c r="AY55" i="1"/>
  <c r="AY56" i="1"/>
  <c r="BA32" i="1"/>
  <c r="AZ32" i="1"/>
  <c r="BA44" i="1"/>
  <c r="AZ44" i="1"/>
  <c r="D42" i="1"/>
  <c r="AY42" i="1" s="1"/>
  <c r="AY43" i="1"/>
  <c r="BA53" i="1"/>
  <c r="AZ53" i="1"/>
  <c r="E52" i="1"/>
  <c r="AV56" i="13"/>
  <c r="AX56" i="13" s="1"/>
  <c r="E56" i="13" s="1"/>
  <c r="AS56" i="13"/>
  <c r="B5" i="35"/>
  <c r="AS57" i="13"/>
  <c r="AV57" i="13"/>
  <c r="AS58" i="13"/>
  <c r="AV58" i="13"/>
  <c r="AX58" i="13" s="1"/>
  <c r="E58" i="13" s="1"/>
  <c r="AV23" i="13"/>
  <c r="AX23" i="13" s="1"/>
  <c r="E23" i="13" s="1"/>
  <c r="AZ23" i="13" s="1"/>
  <c r="AZ17" i="13" s="1"/>
  <c r="AS23" i="13"/>
  <c r="AS59" i="13"/>
  <c r="AV59" i="13"/>
  <c r="AX59" i="13" s="1"/>
  <c r="E57" i="35"/>
  <c r="AS26" i="13"/>
  <c r="AV26" i="13"/>
  <c r="AX26" i="13" s="1"/>
  <c r="AS53" i="13"/>
  <c r="AV53" i="13"/>
  <c r="AS27" i="13"/>
  <c r="AV27" i="13"/>
  <c r="AX27" i="13" s="1"/>
  <c r="AV43" i="13"/>
  <c r="AX43" i="13" s="1"/>
  <c r="AS43" i="13"/>
  <c r="AS48" i="13"/>
  <c r="AV48" i="13"/>
  <c r="AV54" i="13"/>
  <c r="AS54" i="13"/>
  <c r="AS45" i="13"/>
  <c r="AV45" i="13"/>
  <c r="AS47" i="13"/>
  <c r="AV47" i="13"/>
  <c r="D59" i="35"/>
  <c r="B59" i="35"/>
  <c r="E10" i="35"/>
  <c r="E63" i="35"/>
  <c r="AU32" i="13"/>
  <c r="AU18" i="13"/>
  <c r="AU40" i="13"/>
  <c r="AU33" i="13"/>
  <c r="AU39" i="13"/>
  <c r="AU41" i="13"/>
  <c r="AU25" i="13"/>
  <c r="AU20" i="13"/>
  <c r="AU19" i="13"/>
  <c r="AU44" i="13"/>
  <c r="AU38" i="13"/>
  <c r="BA19" i="13"/>
  <c r="E14" i="35"/>
  <c r="D65" i="35"/>
  <c r="E13" i="35"/>
  <c r="B13" i="35"/>
  <c r="C12" i="35"/>
  <c r="B64" i="35"/>
  <c r="C64" i="35"/>
  <c r="E64" i="35"/>
  <c r="B11" i="35"/>
  <c r="B10" i="35"/>
  <c r="B62" i="35"/>
  <c r="E61" i="35"/>
  <c r="C61" i="35"/>
  <c r="E9" i="35"/>
  <c r="C9" i="35"/>
  <c r="B8" i="35"/>
  <c r="E58" i="35"/>
  <c r="E6" i="35"/>
  <c r="B6" i="35"/>
  <c r="E5" i="35"/>
  <c r="D57" i="35"/>
  <c r="B4" i="35"/>
  <c r="D81" i="35"/>
  <c r="B55" i="35"/>
  <c r="D66" i="35"/>
  <c r="C65" i="35"/>
  <c r="D64" i="35"/>
  <c r="B63" i="35"/>
  <c r="C63" i="35"/>
  <c r="C62" i="35"/>
  <c r="D9" i="35"/>
  <c r="D61" i="35"/>
  <c r="E7" i="35"/>
  <c r="C6" i="35"/>
  <c r="D5" i="35"/>
  <c r="B56" i="35"/>
  <c r="AU48" i="13"/>
  <c r="AZ51" i="13"/>
  <c r="BA42" i="1" l="1"/>
  <c r="AQ55" i="13"/>
  <c r="AU55" i="13" s="1"/>
  <c r="AW55" i="13" s="1"/>
  <c r="BA58" i="13"/>
  <c r="AZ55" i="14"/>
  <c r="AQ52" i="13"/>
  <c r="AU52" i="13" s="1"/>
  <c r="AW52" i="13" s="1"/>
  <c r="AZ56" i="13"/>
  <c r="BA56" i="13"/>
  <c r="AV42" i="13"/>
  <c r="AX42" i="13" s="1"/>
  <c r="AU42" i="13"/>
  <c r="AW42" i="13" s="1"/>
  <c r="AS42" i="13"/>
  <c r="AX53" i="13"/>
  <c r="E53" i="13" s="1"/>
  <c r="AR55" i="13"/>
  <c r="AS52" i="13"/>
  <c r="AV52" i="13"/>
  <c r="AX52" i="13" s="1"/>
  <c r="AU24" i="13"/>
  <c r="AW24" i="13" s="1"/>
  <c r="AS24" i="13"/>
  <c r="AV24" i="13"/>
  <c r="AX24" i="13" s="1"/>
  <c r="AX54" i="13"/>
  <c r="E54" i="13" s="1"/>
  <c r="AX47" i="13"/>
  <c r="E47" i="13" s="1"/>
  <c r="AX57" i="13"/>
  <c r="E57" i="13" s="1"/>
  <c r="AR52" i="13"/>
  <c r="E17" i="13"/>
  <c r="BA17" i="13" s="1"/>
  <c r="AS55" i="13"/>
  <c r="AV55" i="13"/>
  <c r="AX55" i="13" s="1"/>
  <c r="AS46" i="13"/>
  <c r="AV46" i="13"/>
  <c r="AX46" i="13" s="1"/>
  <c r="AU46" i="13"/>
  <c r="AW46" i="13" s="1"/>
  <c r="AZ24" i="14"/>
  <c r="AX48" i="13"/>
  <c r="E48" i="13" s="1"/>
  <c r="AW48" i="13"/>
  <c r="D48" i="13" s="1"/>
  <c r="AY51" i="13"/>
  <c r="D49" i="13"/>
  <c r="AY49" i="13" s="1"/>
  <c r="AX45" i="13"/>
  <c r="E45" i="13" s="1"/>
  <c r="AW41" i="13"/>
  <c r="D41" i="13" s="1"/>
  <c r="AY41" i="13" s="1"/>
  <c r="D37" i="13"/>
  <c r="AY37" i="13" s="1"/>
  <c r="AW25" i="13"/>
  <c r="D25" i="13" s="1"/>
  <c r="AW20" i="13"/>
  <c r="D20" i="13" s="1"/>
  <c r="AW39" i="13"/>
  <c r="D39" i="13" s="1"/>
  <c r="AY39" i="13" s="1"/>
  <c r="AW33" i="13"/>
  <c r="AW40" i="13"/>
  <c r="D40" i="13" s="1"/>
  <c r="AY40" i="13" s="1"/>
  <c r="AW18" i="13"/>
  <c r="D18" i="13" s="1"/>
  <c r="AW32" i="13"/>
  <c r="AW38" i="13"/>
  <c r="AW19" i="13"/>
  <c r="D19" i="13" s="1"/>
  <c r="AW44" i="13"/>
  <c r="D44" i="13" s="1"/>
  <c r="AZ24" i="1"/>
  <c r="BA24" i="1"/>
  <c r="AZ52" i="1"/>
  <c r="BA52" i="1"/>
  <c r="E55" i="35"/>
  <c r="BA46" i="1"/>
  <c r="AZ46" i="1"/>
  <c r="BA55" i="1"/>
  <c r="AZ55" i="1"/>
  <c r="E59" i="13"/>
  <c r="E43" i="13"/>
  <c r="E27" i="13"/>
  <c r="E26" i="13"/>
  <c r="AU57" i="13"/>
  <c r="AU45" i="13"/>
  <c r="AU58" i="13"/>
  <c r="AU43" i="13"/>
  <c r="AU56" i="13"/>
  <c r="AU54" i="13"/>
  <c r="AU53" i="13"/>
  <c r="AU27" i="13"/>
  <c r="AU26" i="13"/>
  <c r="AU47" i="13"/>
  <c r="AU59" i="13"/>
  <c r="B14" i="35"/>
  <c r="C14" i="35"/>
  <c r="C13" i="35"/>
  <c r="D10" i="35"/>
  <c r="D62" i="35"/>
  <c r="C8" i="35"/>
  <c r="E8" i="35"/>
  <c r="C4" i="35"/>
  <c r="E4" i="35"/>
  <c r="E3" i="35"/>
  <c r="C3" i="35"/>
  <c r="B3" i="35"/>
  <c r="D55" i="35"/>
  <c r="D14" i="35"/>
  <c r="E65" i="35"/>
  <c r="D11" i="35"/>
  <c r="D63" i="35"/>
  <c r="E62" i="35"/>
  <c r="E60" i="35"/>
  <c r="E59" i="35"/>
  <c r="D6" i="35"/>
  <c r="D56" i="35"/>
  <c r="AZ58" i="13"/>
  <c r="BA23" i="13"/>
  <c r="AZ50" i="13"/>
  <c r="AZ49" i="13"/>
  <c r="AZ57" i="13" l="1"/>
  <c r="BA57" i="13"/>
  <c r="E55" i="13"/>
  <c r="AZ47" i="13"/>
  <c r="BA47" i="13"/>
  <c r="AZ53" i="13"/>
  <c r="E52" i="13"/>
  <c r="BA52" i="13" s="1"/>
  <c r="BA53" i="13"/>
  <c r="BA55" i="13"/>
  <c r="AZ59" i="13"/>
  <c r="BA59" i="13"/>
  <c r="E46" i="13"/>
  <c r="BA46" i="13" s="1"/>
  <c r="BA27" i="13"/>
  <c r="AZ27" i="13"/>
  <c r="AZ43" i="13"/>
  <c r="BA43" i="13"/>
  <c r="AZ54" i="13"/>
  <c r="BA54" i="13"/>
  <c r="AZ26" i="13"/>
  <c r="E24" i="13"/>
  <c r="BA24" i="13" s="1"/>
  <c r="AY48" i="13"/>
  <c r="AY44" i="13"/>
  <c r="BA45" i="13"/>
  <c r="AZ45" i="13"/>
  <c r="E42" i="13"/>
  <c r="BA42" i="13" s="1"/>
  <c r="AY25" i="13"/>
  <c r="D17" i="13"/>
  <c r="BA48" i="13"/>
  <c r="AZ48" i="13"/>
  <c r="AZ46" i="13" s="1"/>
  <c r="D38" i="13"/>
  <c r="AY38" i="13" s="1"/>
  <c r="D32" i="13"/>
  <c r="AY32" i="13" s="1"/>
  <c r="BA26" i="13"/>
  <c r="D33" i="13"/>
  <c r="AY33" i="13" s="1"/>
  <c r="AW43" i="13"/>
  <c r="D43" i="13" s="1"/>
  <c r="AY43" i="13" s="1"/>
  <c r="AW58" i="13"/>
  <c r="D58" i="13" s="1"/>
  <c r="AY58" i="13" s="1"/>
  <c r="AW57" i="13"/>
  <c r="D57" i="13" s="1"/>
  <c r="AY57" i="13" s="1"/>
  <c r="AW47" i="13"/>
  <c r="D47" i="13" s="1"/>
  <c r="AY47" i="13" s="1"/>
  <c r="AW59" i="13"/>
  <c r="D59" i="13" s="1"/>
  <c r="AY59" i="13" s="1"/>
  <c r="AW56" i="13"/>
  <c r="D56" i="13" s="1"/>
  <c r="AW53" i="13"/>
  <c r="D53" i="13" s="1"/>
  <c r="AW54" i="13"/>
  <c r="D54" i="13" s="1"/>
  <c r="AY54" i="13" s="1"/>
  <c r="AW26" i="13"/>
  <c r="D26" i="13" s="1"/>
  <c r="AY26" i="13" s="1"/>
  <c r="AW27" i="13"/>
  <c r="D27" i="13" s="1"/>
  <c r="AY27" i="13" s="1"/>
  <c r="AW45" i="13"/>
  <c r="D45" i="13" s="1"/>
  <c r="AY45" i="13" s="1"/>
  <c r="D13" i="35"/>
  <c r="D8" i="35"/>
  <c r="D4" i="35"/>
  <c r="D3" i="35"/>
  <c r="D46" i="13" l="1"/>
  <c r="AY46" i="13"/>
  <c r="AZ24" i="13"/>
  <c r="AZ42" i="13"/>
  <c r="AZ55" i="13"/>
  <c r="AZ52" i="13"/>
  <c r="AY53" i="13"/>
  <c r="AY52" i="13" s="1"/>
  <c r="D52" i="13"/>
  <c r="AY56" i="13"/>
  <c r="AY55" i="13" s="1"/>
  <c r="D55" i="13"/>
  <c r="AY42" i="13"/>
  <c r="D42" i="13"/>
  <c r="D24" i="13"/>
  <c r="AY24" i="13"/>
</calcChain>
</file>

<file path=xl/sharedStrings.xml><?xml version="1.0" encoding="utf-8"?>
<sst xmlns="http://schemas.openxmlformats.org/spreadsheetml/2006/main" count="3659" uniqueCount="155">
  <si>
    <t>Общий</t>
  </si>
  <si>
    <t>Пробег, км</t>
  </si>
  <si>
    <t>Тип оборудования, марка</t>
  </si>
  <si>
    <t>Хоз. номер</t>
  </si>
  <si>
    <t xml:space="preserve">Объем работ </t>
  </si>
  <si>
    <t>Планируемые</t>
  </si>
  <si>
    <t>Не планируемые</t>
  </si>
  <si>
    <t>Аварийный ремонт</t>
  </si>
  <si>
    <t>Отсутствие</t>
  </si>
  <si>
    <t>Факт</t>
  </si>
  <si>
    <t>ТО</t>
  </si>
  <si>
    <t>ДВС</t>
  </si>
  <si>
    <t>Трансмиссия</t>
  </si>
  <si>
    <t>Ходовая часть</t>
  </si>
  <si>
    <t>Навесное об-ие</t>
  </si>
  <si>
    <t>Электр. часть</t>
  </si>
  <si>
    <t>Гидравл. часть</t>
  </si>
  <si>
    <t>Автошины</t>
  </si>
  <si>
    <t>Прочие</t>
  </si>
  <si>
    <t>Фронта работ</t>
  </si>
  <si>
    <t>Зап.частей</t>
  </si>
  <si>
    <t>ГСМ</t>
  </si>
  <si>
    <t>Персонала</t>
  </si>
  <si>
    <t>HITACHI EX-1200 № 22 (Обр)</t>
  </si>
  <si>
    <t>HITACHI EX-1200 №23 (Обр)</t>
  </si>
  <si>
    <t>HITACHI ZX-470 № 24 (Обр)</t>
  </si>
  <si>
    <t>HITACHI ZX-470 № 24 с гидромолотом</t>
  </si>
  <si>
    <t>ЭШ 6/45 №17</t>
  </si>
  <si>
    <t>БелАЗ-754701 №30</t>
  </si>
  <si>
    <t>БелАЗ-754701 №32</t>
  </si>
  <si>
    <t>БелАЗ-754701 №35</t>
  </si>
  <si>
    <t>Komatsu HD 465-7 №39</t>
  </si>
  <si>
    <t>Komatsu HD 465-7 №40</t>
  </si>
  <si>
    <t>Komatsu HD 465-7 №41</t>
  </si>
  <si>
    <t>Komatsu HD 465-7 №42</t>
  </si>
  <si>
    <t>Komatsu HD 465-7 №43</t>
  </si>
  <si>
    <t>Komatsu HD 465-7 №44</t>
  </si>
  <si>
    <t>Komatsu HD 465-7 №45</t>
  </si>
  <si>
    <t>Komatsu HD 465-7 №46</t>
  </si>
  <si>
    <t>Komatsu HD 465-7 №47</t>
  </si>
  <si>
    <t>Komatsu HD 465-7 №48</t>
  </si>
  <si>
    <t>Komatsu HD 465-7 №49</t>
  </si>
  <si>
    <t>Komatsu HD 465-7 №50</t>
  </si>
  <si>
    <t>Komatsu HD 465-7 №51</t>
  </si>
  <si>
    <t>Komatsu HD 465-7 №52</t>
  </si>
  <si>
    <t>Caterpillar D-9R №33</t>
  </si>
  <si>
    <t>Caterpillar D-6R №28</t>
  </si>
  <si>
    <t>Caterpillar D-9R №36</t>
  </si>
  <si>
    <t>Caterpillar D-10Т №35</t>
  </si>
  <si>
    <t>Автогрейдеры</t>
  </si>
  <si>
    <t>Komatsu 825 №5</t>
  </si>
  <si>
    <t>Caterpillar 140М №4</t>
  </si>
  <si>
    <t>Погрузчики</t>
  </si>
  <si>
    <t>CAT-962 №15</t>
  </si>
  <si>
    <t>CAT-988Н №16</t>
  </si>
  <si>
    <t>м3</t>
  </si>
  <si>
    <t>Утверждаю:</t>
  </si>
  <si>
    <t>Форма ПО-6</t>
  </si>
  <si>
    <t>Отчёт по работе основного самоходного горного оборудования</t>
  </si>
  <si>
    <t>Общий фонд времени</t>
  </si>
  <si>
    <t>Время в работе</t>
  </si>
  <si>
    <t>План</t>
  </si>
  <si>
    <t>Простои, мтч</t>
  </si>
  <si>
    <t>HITACHI EX-1200 №25 (Обр)</t>
  </si>
  <si>
    <t>Колесный САТ - 837К</t>
  </si>
  <si>
    <t>Управляющий директор</t>
  </si>
  <si>
    <t>Трактор МТЗ-82</t>
  </si>
  <si>
    <t>Трактор с бульд.нав. ДТ-75</t>
  </si>
  <si>
    <t>т*км</t>
  </si>
  <si>
    <t>Простои всего, час</t>
  </si>
  <si>
    <t>КТГ</t>
  </si>
  <si>
    <t>КИО</t>
  </si>
  <si>
    <t>Производительность</t>
  </si>
  <si>
    <t>Проверка баланса</t>
  </si>
  <si>
    <t>Тр</t>
  </si>
  <si>
    <t>Кр</t>
  </si>
  <si>
    <t>БВР</t>
  </si>
  <si>
    <t>Метеоусловия</t>
  </si>
  <si>
    <t>С грузом</t>
  </si>
  <si>
    <t>Экскаваторы</t>
  </si>
  <si>
    <t>Автосамосвалы</t>
  </si>
  <si>
    <t>Вспомогательная техника</t>
  </si>
  <si>
    <t>Бульдозеры</t>
  </si>
  <si>
    <t>км</t>
  </si>
  <si>
    <t>Зачистка забоев/перегон</t>
  </si>
  <si>
    <t>"_____"____________________  20___ г.</t>
  </si>
  <si>
    <t xml:space="preserve">Регламентированные технологические простои (заправка ГСМ, резерв) </t>
  </si>
  <si>
    <t>Экскаваторы: Коэфф.  готовности об-ия (Кг) -план</t>
  </si>
  <si>
    <t>Экскаваторы: Коэфф.  готовности об-ия (Кг) - факт</t>
  </si>
  <si>
    <t>Экскаваторы: Коэфф. тех. использования об-ия (Кио) - план</t>
  </si>
  <si>
    <t>Экскаваторы: Коэфф. тех. использования об-ия (Кио) - факт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</si>
  <si>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</si>
  <si>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</si>
  <si>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</si>
  <si>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</si>
  <si>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</si>
  <si>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</si>
  <si>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</si>
  <si>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</si>
  <si>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</si>
  <si>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</si>
  <si>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</si>
  <si>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</si>
  <si>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Автосамосвалы Komatsu: Коэфф.  готовности об-ия (Кг) -план</t>
  </si>
  <si>
    <t>Автосамосвалы Komatsu: Коэфф.  готовности об-ия (Кг) - факт</t>
  </si>
  <si>
    <t>Автосамосвалы Komatsu: Коэфф. тех. использования об-ия (Кио) - план</t>
  </si>
  <si>
    <t>Автосамосвалы Komatsu: Коэфф. тех. использования об-ия (Кио) - факт</t>
  </si>
  <si>
    <t>Автосамосвалы Белаз: Коэфф.  готовности об-ия (Кг) -план</t>
  </si>
  <si>
    <t>Автосамосвалы Белаз: Коэфф.  готовности об-ия (Кг) - факт</t>
  </si>
  <si>
    <t>Автосамосвалы Белаз: Коэфф. тех. использования об-ия (Кио) - план</t>
  </si>
  <si>
    <t>Автосамосвалы Белаз: Коэфф. тех. использования об-ия (Кио) - факт</t>
  </si>
  <si>
    <t>Бульдозеры: Коэфф.  готовности об-ия (Кг) -план</t>
  </si>
  <si>
    <t>Бульдозеры: Коэфф.  готовности об-ия (Кг) - факт</t>
  </si>
  <si>
    <t>Бульдозеры: Коэфф. тех. использования об-ия (Кио) - план</t>
  </si>
  <si>
    <t>Бульдозеры: Коэфф. тех. использования об-ия (Кио) - факт</t>
  </si>
  <si>
    <t>Погрузчики: Коэфф.  готовности об-ия (Кг) -план</t>
  </si>
  <si>
    <t>Погрузчики: Коэфф.  готовности об-ия (Кг) - факт</t>
  </si>
  <si>
    <t>Погрузчики: Коэфф. тех. использования об-ия (Кио) - план</t>
  </si>
  <si>
    <t>Погрузчики: Коэфф. тех. использования об-ия (Кио) - факт</t>
  </si>
  <si>
    <t>Автогрейдеры: Коэфф.  готовности об-ия (Кг) -план</t>
  </si>
  <si>
    <t>Автогрейдеры: Коэфф.  готовности об-ия (Кг) - факт</t>
  </si>
  <si>
    <t>Автогрейдеры: Коэфф. тех. использования об-ия (Кио) - план</t>
  </si>
  <si>
    <t>Автогрейдеры: Коэфф. тех. использования об-ия (Кио) - факт</t>
  </si>
  <si>
    <t>АО "Золото Северного Урала"</t>
  </si>
  <si>
    <t>Shantui SL60W №26</t>
  </si>
  <si>
    <t>Shantui SL60W №30</t>
  </si>
  <si>
    <t>Главный инженер   ___________________Арсланов И.И.</t>
  </si>
  <si>
    <t>Начальник ПТО    ___________________Герасимов Р.Ю.</t>
  </si>
  <si>
    <t>Главный механик   ___________________Цитцер Д.А.</t>
  </si>
  <si>
    <t>Инв. номер</t>
  </si>
  <si>
    <t>Стрела</t>
  </si>
  <si>
    <t>Наработка моточасов факт</t>
  </si>
  <si>
    <t>Приём-передача смены</t>
  </si>
  <si>
    <t>Пояснение по отклонениям</t>
  </si>
  <si>
    <t>АО "Полиметалл УК"</t>
  </si>
  <si>
    <t xml:space="preserve">Ед. изм. </t>
  </si>
  <si>
    <t>Перерывы на обед</t>
  </si>
  <si>
    <t xml:space="preserve">ЗС002871 </t>
  </si>
  <si>
    <t xml:space="preserve">ЗС002828 </t>
  </si>
  <si>
    <t>ЗС001682</t>
  </si>
  <si>
    <t>УФ0001213</t>
  </si>
  <si>
    <t>ЗС002874</t>
  </si>
  <si>
    <t>ЗС003303</t>
  </si>
  <si>
    <t>ЗС003602</t>
  </si>
  <si>
    <t>ЗС003002</t>
  </si>
  <si>
    <t>ЗС002556</t>
  </si>
  <si>
    <t>ЗСУ000670</t>
  </si>
  <si>
    <t>ЗСУ001006</t>
  </si>
  <si>
    <t>ЗС001788</t>
  </si>
  <si>
    <t/>
  </si>
  <si>
    <t>ЗСУ001292</t>
  </si>
  <si>
    <t>Shantui L58K-B5 №32</t>
  </si>
  <si>
    <t>CAT-962 №24</t>
  </si>
  <si>
    <t>ЗСУ000481</t>
  </si>
  <si>
    <t>ЗСУ000751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</si>
</sst>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h]:mm"/>
    <numFmt numFmtId="165" formatCode="0.0"/>
    <numFmt numFmtId="166" formatCode="_-* #,##0.00[$€-1]_-;\-* #,##0.00[$€-1]_-;_-* &quot;-&quot;??[$€-1]_-"/>
    <numFmt numFmtId="167" formatCode="0.000"/>
  </numFmts>
  <fonts count="12" x14ac:knownFonts="1"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sz val="11"/>
      <color theme="0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sz val="10"/>
      <color theme="1"/>
      <name val="Times New Roman"/>
      <family val="1"/>
      <charset val="204"/>
    </font>
    <font>
      <sz val="11"/>
      <color theme="0"/>
      <name val="Arial"/>
      <family val="2"/>
      <charset val="204"/>
    </font>
    <font>
      <sz val="11"/>
      <color theme="1"/>
      <name val="Times New Roman"/>
      <family val="1"/>
      <charset val="204"/>
    </font>
    <font>
      <b/>
      <sz val="12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0" fontId="4" fillId="0" borderId="0"/>
    <xf numFmtId="166" fontId="4" fillId="0" borderId="0"/>
  </cellStyleXfs>
  <cellXfs count="201">
    <xf numFmtId="0" fontId="0" fillId="0" borderId="0" xfId="0"/>
    <xf numFmtId="1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4" fontId="7" fillId="0" borderId="0" xfId="0" applyNumberFormat="1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 wrapText="1"/>
    </xf>
    <xf numFmtId="0" fontId="8" fillId="0" borderId="0" xfId="0" applyFont="1"/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 wrapText="1"/>
    </xf>
    <xf numFmtId="164" fontId="8" fillId="0" borderId="4" xfId="0" applyNumberFormat="1" applyFont="1" applyBorder="1" applyAlignment="1">
      <alignment horizontal="center" vertical="center" wrapText="1"/>
    </xf>
    <xf numFmtId="164" fontId="8" fillId="0" borderId="5" xfId="0" applyNumberFormat="1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0" fontId="6" fillId="0" borderId="0" xfId="0" applyFont="1"/>
    <xf numFmtId="2" fontId="9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/>
    <xf numFmtId="0" fontId="10" fillId="0" borderId="6" xfId="0" applyFont="1" applyBorder="1"/>
    <xf numFmtId="0" fontId="10" fillId="0" borderId="7" xfId="0" applyFont="1" applyBorder="1" applyAlignment="1">
      <alignment wrapText="1"/>
    </xf>
    <xf numFmtId="0" fontId="10" fillId="0" borderId="8" xfId="0" applyFont="1" applyBorder="1" applyAlignment="1">
      <alignment wrapText="1"/>
    </xf>
    <xf numFmtId="0" fontId="10" fillId="0" borderId="9" xfId="0" applyFont="1" applyBorder="1" applyAlignment="1">
      <alignment wrapText="1"/>
    </xf>
    <xf numFmtId="0" fontId="10" fillId="0" borderId="10" xfId="0" applyFont="1" applyBorder="1"/>
    <xf numFmtId="2" fontId="10" fillId="0" borderId="11" xfId="0" applyNumberFormat="1" applyFont="1" applyBorder="1" applyAlignment="1">
      <alignment horizontal="center" vertical="center"/>
    </xf>
    <xf numFmtId="2" fontId="10" fillId="0" borderId="12" xfId="0" applyNumberFormat="1" applyFont="1" applyBorder="1" applyAlignment="1">
      <alignment horizontal="center" vertical="center"/>
    </xf>
    <xf numFmtId="2" fontId="10" fillId="0" borderId="13" xfId="0" applyNumberFormat="1" applyFont="1" applyBorder="1" applyAlignment="1">
      <alignment horizontal="center" vertical="center"/>
    </xf>
    <xf numFmtId="0" fontId="10" fillId="0" borderId="14" xfId="0" applyFont="1" applyBorder="1"/>
    <xf numFmtId="2" fontId="10" fillId="0" borderId="2" xfId="0" applyNumberFormat="1" applyFont="1" applyBorder="1" applyAlignment="1">
      <alignment horizontal="center" vertical="center"/>
    </xf>
    <xf numFmtId="2" fontId="10" fillId="0" borderId="15" xfId="0" applyNumberFormat="1" applyFont="1" applyBorder="1" applyAlignment="1">
      <alignment horizontal="center" vertical="center"/>
    </xf>
    <xf numFmtId="2" fontId="10" fillId="0" borderId="16" xfId="0" applyNumberFormat="1" applyFont="1" applyBorder="1" applyAlignment="1">
      <alignment horizontal="center" vertical="center"/>
    </xf>
    <xf numFmtId="0" fontId="10" fillId="0" borderId="17" xfId="0" applyFont="1" applyBorder="1"/>
    <xf numFmtId="2" fontId="10" fillId="0" borderId="18" xfId="0" applyNumberFormat="1" applyFont="1" applyBorder="1" applyAlignment="1">
      <alignment horizontal="center" vertical="center"/>
    </xf>
    <xf numFmtId="2" fontId="10" fillId="0" borderId="19" xfId="0" applyNumberFormat="1" applyFont="1" applyBorder="1" applyAlignment="1">
      <alignment horizontal="center" vertical="center"/>
    </xf>
    <xf numFmtId="2" fontId="10" fillId="0" borderId="20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wrapText="1"/>
    </xf>
    <xf numFmtId="2" fontId="10" fillId="0" borderId="22" xfId="0" applyNumberFormat="1" applyFont="1" applyBorder="1" applyAlignment="1">
      <alignment horizontal="center" vertical="center"/>
    </xf>
    <xf numFmtId="2" fontId="10" fillId="0" borderId="23" xfId="0" applyNumberFormat="1" applyFont="1" applyBorder="1" applyAlignment="1">
      <alignment horizontal="center" vertical="center"/>
    </xf>
    <xf numFmtId="2" fontId="10" fillId="0" borderId="24" xfId="0" applyNumberFormat="1" applyFont="1" applyBorder="1" applyAlignment="1">
      <alignment horizontal="center" vertical="center"/>
    </xf>
    <xf numFmtId="0" fontId="10" fillId="0" borderId="25" xfId="0" applyFont="1" applyBorder="1" applyAlignment="1">
      <alignment horizontal="left" vertical="center" wrapText="1"/>
    </xf>
    <xf numFmtId="0" fontId="10" fillId="0" borderId="26" xfId="0" applyFont="1" applyBorder="1" applyAlignment="1">
      <alignment horizontal="left" vertical="center" wrapText="1"/>
    </xf>
    <xf numFmtId="0" fontId="10" fillId="0" borderId="27" xfId="0" applyFont="1" applyBorder="1" applyAlignment="1">
      <alignment horizontal="left" vertical="center" wrapText="1"/>
    </xf>
    <xf numFmtId="0" fontId="10" fillId="0" borderId="28" xfId="0" applyFont="1" applyBorder="1" applyAlignment="1">
      <alignment horizontal="left" vertical="center" wrapText="1"/>
    </xf>
    <xf numFmtId="0" fontId="10" fillId="0" borderId="29" xfId="0" applyFont="1" applyBorder="1"/>
    <xf numFmtId="2" fontId="10" fillId="0" borderId="30" xfId="0" applyNumberFormat="1" applyFont="1" applyBorder="1" applyAlignment="1">
      <alignment horizontal="center" vertical="center"/>
    </xf>
    <xf numFmtId="0" fontId="10" fillId="0" borderId="31" xfId="0" applyFont="1" applyBorder="1"/>
    <xf numFmtId="2" fontId="10" fillId="0" borderId="32" xfId="0" applyNumberFormat="1" applyFont="1" applyBorder="1" applyAlignment="1">
      <alignment horizontal="center" vertical="center"/>
    </xf>
    <xf numFmtId="0" fontId="10" fillId="0" borderId="33" xfId="0" applyFont="1" applyBorder="1"/>
    <xf numFmtId="2" fontId="10" fillId="0" borderId="34" xfId="0" applyNumberFormat="1" applyFont="1" applyBorder="1" applyAlignment="1">
      <alignment horizontal="center" vertical="center"/>
    </xf>
    <xf numFmtId="0" fontId="10" fillId="0" borderId="25" xfId="0" applyFont="1" applyBorder="1" applyAlignment="1">
      <alignment wrapText="1"/>
    </xf>
    <xf numFmtId="0" fontId="10" fillId="0" borderId="28" xfId="0" applyFont="1" applyBorder="1" applyAlignment="1">
      <alignment wrapText="1"/>
    </xf>
    <xf numFmtId="0" fontId="10" fillId="0" borderId="27" xfId="0" applyFont="1" applyBorder="1" applyAlignment="1">
      <alignment wrapText="1"/>
    </xf>
    <xf numFmtId="0" fontId="10" fillId="0" borderId="35" xfId="0" applyFont="1" applyBorder="1"/>
    <xf numFmtId="2" fontId="10" fillId="0" borderId="1" xfId="0" applyNumberFormat="1" applyFont="1" applyBorder="1" applyAlignment="1">
      <alignment horizontal="center" vertical="center"/>
    </xf>
    <xf numFmtId="2" fontId="10" fillId="0" borderId="37" xfId="0" applyNumberFormat="1" applyFont="1" applyBorder="1" applyAlignment="1">
      <alignment horizontal="center" vertical="center"/>
    </xf>
    <xf numFmtId="164" fontId="8" fillId="0" borderId="37" xfId="0" applyNumberFormat="1" applyFont="1" applyBorder="1" applyAlignment="1">
      <alignment horizontal="center" vertical="center" wrapText="1"/>
    </xf>
    <xf numFmtId="164" fontId="1" fillId="0" borderId="37" xfId="0" applyNumberFormat="1" applyFont="1" applyFill="1" applyBorder="1" applyAlignment="1">
      <alignment horizontal="center" vertical="center" wrapText="1"/>
    </xf>
    <xf numFmtId="2" fontId="8" fillId="0" borderId="37" xfId="0" applyNumberFormat="1" applyFont="1" applyBorder="1" applyAlignment="1">
      <alignment horizontal="center" vertical="center" wrapText="1"/>
    </xf>
    <xf numFmtId="0" fontId="1" fillId="0" borderId="37" xfId="0" applyFont="1" applyFill="1" applyBorder="1" applyAlignment="1">
      <alignment horizontal="center" vertical="center"/>
    </xf>
    <xf numFmtId="1" fontId="8" fillId="0" borderId="37" xfId="0" applyNumberFormat="1" applyFont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left"/>
    </xf>
    <xf numFmtId="0" fontId="1" fillId="0" borderId="14" xfId="0" applyFont="1" applyFill="1" applyBorder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0" borderId="14" xfId="0" applyFont="1" applyFill="1" applyBorder="1" applyAlignment="1">
      <alignment horizontal="left" vertical="center"/>
    </xf>
    <xf numFmtId="0" fontId="1" fillId="4" borderId="14" xfId="0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 wrapText="1"/>
    </xf>
    <xf numFmtId="164" fontId="8" fillId="0" borderId="3" xfId="0" applyNumberFormat="1" applyFont="1" applyBorder="1" applyAlignment="1">
      <alignment horizontal="center" vertical="center" wrapText="1"/>
    </xf>
    <xf numFmtId="0" fontId="0" fillId="0" borderId="32" xfId="0" applyBorder="1"/>
    <xf numFmtId="0" fontId="0" fillId="0" borderId="34" xfId="0" applyBorder="1"/>
    <xf numFmtId="0" fontId="1" fillId="3" borderId="37" xfId="0" applyFont="1" applyFill="1" applyBorder="1" applyAlignment="1">
      <alignment horizontal="center" vertical="center" wrapText="1"/>
    </xf>
    <xf numFmtId="0" fontId="8" fillId="0" borderId="39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left"/>
    </xf>
    <xf numFmtId="164" fontId="1" fillId="0" borderId="5" xfId="0" applyNumberFormat="1" applyFont="1" applyFill="1" applyBorder="1" applyAlignment="1">
      <alignment horizontal="center" vertical="center" wrapText="1"/>
    </xf>
    <xf numFmtId="2" fontId="8" fillId="0" borderId="5" xfId="0" applyNumberFormat="1" applyFont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 wrapText="1"/>
    </xf>
    <xf numFmtId="164" fontId="8" fillId="0" borderId="40" xfId="0" applyNumberFormat="1" applyFont="1" applyBorder="1" applyAlignment="1">
      <alignment horizontal="center" vertical="center" wrapText="1"/>
    </xf>
    <xf numFmtId="0" fontId="0" fillId="0" borderId="41" xfId="0" applyBorder="1"/>
    <xf numFmtId="0" fontId="2" fillId="2" borderId="6" xfId="0" applyFont="1" applyFill="1" applyBorder="1" applyAlignment="1">
      <alignment vertical="center" wrapText="1"/>
    </xf>
    <xf numFmtId="0" fontId="2" fillId="2" borderId="39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1" fillId="0" borderId="42" xfId="0" applyFont="1" applyFill="1" applyBorder="1" applyAlignment="1">
      <alignment horizontal="left"/>
    </xf>
    <xf numFmtId="164" fontId="1" fillId="0" borderId="4" xfId="0" applyNumberFormat="1" applyFont="1" applyFill="1" applyBorder="1" applyAlignment="1">
      <alignment horizontal="center" vertical="center" wrapText="1"/>
    </xf>
    <xf numFmtId="2" fontId="8" fillId="0" borderId="4" xfId="0" applyNumberFormat="1" applyFont="1" applyBorder="1" applyAlignment="1">
      <alignment horizontal="center" vertical="center" wrapText="1"/>
    </xf>
    <xf numFmtId="0" fontId="1" fillId="0" borderId="43" xfId="0" applyFont="1" applyFill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 wrapText="1"/>
    </xf>
    <xf numFmtId="164" fontId="8" fillId="0" borderId="44" xfId="0" applyNumberFormat="1" applyFont="1" applyBorder="1" applyAlignment="1">
      <alignment horizontal="center" vertical="center" wrapText="1"/>
    </xf>
    <xf numFmtId="0" fontId="0" fillId="0" borderId="45" xfId="0" applyBorder="1"/>
    <xf numFmtId="0" fontId="1" fillId="0" borderId="10" xfId="0" applyFont="1" applyFill="1" applyBorder="1" applyAlignment="1">
      <alignment horizontal="left" vertical="center"/>
    </xf>
    <xf numFmtId="0" fontId="8" fillId="0" borderId="11" xfId="0" applyFont="1" applyFill="1" applyBorder="1" applyAlignment="1">
      <alignment horizontal="center" vertical="center"/>
    </xf>
    <xf numFmtId="164" fontId="2" fillId="2" borderId="8" xfId="0" applyNumberFormat="1" applyFont="1" applyFill="1" applyBorder="1" applyAlignment="1">
      <alignment vertical="center" wrapText="1"/>
    </xf>
    <xf numFmtId="0" fontId="1" fillId="4" borderId="42" xfId="0" applyFont="1" applyFill="1" applyBorder="1" applyAlignment="1">
      <alignment horizontal="left" vertical="center"/>
    </xf>
    <xf numFmtId="0" fontId="8" fillId="0" borderId="4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/>
    </xf>
    <xf numFmtId="0" fontId="1" fillId="0" borderId="42" xfId="0" applyFont="1" applyFill="1" applyBorder="1" applyAlignment="1">
      <alignment horizontal="left" vertical="center"/>
    </xf>
    <xf numFmtId="0" fontId="1" fillId="3" borderId="42" xfId="0" applyFont="1" applyFill="1" applyBorder="1" applyAlignment="1">
      <alignment horizontal="left" vertical="center"/>
    </xf>
    <xf numFmtId="0" fontId="8" fillId="0" borderId="7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4" borderId="10" xfId="0" applyNumberFormat="1" applyFont="1" applyFill="1" applyBorder="1" applyAlignment="1">
      <alignment horizontal="center" vertical="center" wrapText="1"/>
    </xf>
    <xf numFmtId="0" fontId="1" fillId="4" borderId="14" xfId="0" applyNumberFormat="1" applyFont="1" applyFill="1" applyBorder="1" applyAlignment="1">
      <alignment horizontal="center" vertical="center" wrapText="1"/>
    </xf>
    <xf numFmtId="0" fontId="1" fillId="0" borderId="14" xfId="0" applyNumberFormat="1" applyFont="1" applyFill="1" applyBorder="1" applyAlignment="1">
      <alignment horizontal="center" vertical="center" wrapText="1"/>
    </xf>
    <xf numFmtId="0" fontId="1" fillId="3" borderId="14" xfId="0" applyNumberFormat="1" applyFont="1" applyFill="1" applyBorder="1" applyAlignment="1">
      <alignment horizontal="center" vertical="center" wrapText="1"/>
    </xf>
    <xf numFmtId="0" fontId="1" fillId="0" borderId="42" xfId="0" applyNumberFormat="1" applyFont="1" applyFill="1" applyBorder="1" applyAlignment="1">
      <alignment horizontal="center" vertical="center" wrapText="1"/>
    </xf>
    <xf numFmtId="0" fontId="1" fillId="0" borderId="10" xfId="0" applyNumberFormat="1" applyFont="1" applyFill="1" applyBorder="1" applyAlignment="1">
      <alignment horizontal="center" vertical="center" wrapText="1"/>
    </xf>
    <xf numFmtId="0" fontId="1" fillId="4" borderId="42" xfId="0" applyNumberFormat="1" applyFont="1" applyFill="1" applyBorder="1" applyAlignment="1">
      <alignment horizontal="center" vertical="center" wrapText="1"/>
    </xf>
    <xf numFmtId="0" fontId="1" fillId="3" borderId="42" xfId="0" applyNumberFormat="1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164" fontId="8" fillId="0" borderId="11" xfId="0" applyNumberFormat="1" applyFont="1" applyBorder="1" applyAlignment="1">
      <alignment horizontal="center" vertical="center" wrapText="1"/>
    </xf>
    <xf numFmtId="164" fontId="8" fillId="0" borderId="2" xfId="0" applyNumberFormat="1" applyFont="1" applyBorder="1" applyAlignment="1">
      <alignment horizontal="center" vertical="center" wrapText="1"/>
    </xf>
    <xf numFmtId="164" fontId="8" fillId="0" borderId="43" xfId="0" applyNumberFormat="1" applyFont="1" applyBorder="1" applyAlignment="1">
      <alignment horizontal="center" vertical="center" wrapText="1"/>
    </xf>
    <xf numFmtId="164" fontId="8" fillId="0" borderId="18" xfId="0" applyNumberFormat="1" applyFont="1" applyBorder="1" applyAlignment="1">
      <alignment horizontal="center" vertical="center" wrapText="1"/>
    </xf>
    <xf numFmtId="0" fontId="1" fillId="0" borderId="4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1" fillId="0" borderId="17" xfId="0" applyFont="1" applyFill="1" applyBorder="1" applyAlignment="1">
      <alignment horizontal="center"/>
    </xf>
    <xf numFmtId="2" fontId="10" fillId="0" borderId="3" xfId="0" applyNumberFormat="1" applyFont="1" applyBorder="1" applyAlignment="1">
      <alignment horizontal="center" vertical="center"/>
    </xf>
    <xf numFmtId="2" fontId="10" fillId="0" borderId="38" xfId="0" applyNumberFormat="1" applyFont="1" applyBorder="1" applyAlignment="1">
      <alignment horizontal="center" vertical="center"/>
    </xf>
    <xf numFmtId="2" fontId="10" fillId="0" borderId="58" xfId="0" applyNumberFormat="1" applyFont="1" applyBorder="1" applyAlignment="1">
      <alignment horizontal="center" vertical="center"/>
    </xf>
    <xf numFmtId="164" fontId="2" fillId="2" borderId="39" xfId="0" applyNumberFormat="1" applyFont="1" applyFill="1" applyBorder="1" applyAlignment="1">
      <alignment horizontal="center" vertical="center" wrapText="1"/>
    </xf>
    <xf numFmtId="1" fontId="2" fillId="2" borderId="39" xfId="0" applyNumberFormat="1" applyFont="1" applyFill="1" applyBorder="1" applyAlignment="1">
      <alignment horizontal="center" vertical="center" wrapText="1"/>
    </xf>
    <xf numFmtId="2" fontId="2" fillId="2" borderId="39" xfId="0" applyNumberFormat="1" applyFont="1" applyFill="1" applyBorder="1" applyAlignment="1">
      <alignment horizontal="center" vertical="center" wrapText="1"/>
    </xf>
    <xf numFmtId="164" fontId="2" fillId="2" borderId="7" xfId="0" applyNumberFormat="1" applyFont="1" applyFill="1" applyBorder="1" applyAlignment="1">
      <alignment horizontal="center" vertical="center" wrapText="1"/>
    </xf>
    <xf numFmtId="1" fontId="1" fillId="0" borderId="4" xfId="0" applyNumberFormat="1" applyFont="1" applyFill="1" applyBorder="1" applyAlignment="1">
      <alignment horizontal="center" vertical="center" wrapText="1"/>
    </xf>
    <xf numFmtId="1" fontId="1" fillId="0" borderId="37" xfId="0" applyNumberFormat="1" applyFont="1" applyFill="1" applyBorder="1" applyAlignment="1">
      <alignment horizontal="center" vertical="center" wrapText="1"/>
    </xf>
    <xf numFmtId="2" fontId="1" fillId="0" borderId="4" xfId="0" applyNumberFormat="1" applyFont="1" applyFill="1" applyBorder="1" applyAlignment="1">
      <alignment horizontal="center" vertical="center" wrapText="1"/>
    </xf>
    <xf numFmtId="2" fontId="1" fillId="0" borderId="37" xfId="0" applyNumberFormat="1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5" xfId="0" applyBorder="1" applyAlignment="1">
      <alignment horizontal="center"/>
    </xf>
    <xf numFmtId="164" fontId="2" fillId="2" borderId="8" xfId="0" applyNumberFormat="1" applyFont="1" applyFill="1" applyBorder="1" applyAlignment="1">
      <alignment horizontal="center" vertical="center" wrapText="1"/>
    </xf>
    <xf numFmtId="0" fontId="0" fillId="0" borderId="34" xfId="0" applyBorder="1" applyAlignment="1">
      <alignment horizontal="center"/>
    </xf>
    <xf numFmtId="0" fontId="1" fillId="3" borderId="57" xfId="0" applyFont="1" applyFill="1" applyBorder="1" applyAlignment="1">
      <alignment horizontal="left" vertical="center" wrapText="1"/>
    </xf>
    <xf numFmtId="0" fontId="1" fillId="0" borderId="57" xfId="0" applyNumberFormat="1" applyFont="1" applyFill="1" applyBorder="1" applyAlignment="1">
      <alignment horizontal="center" vertical="center" wrapText="1"/>
    </xf>
    <xf numFmtId="0" fontId="1" fillId="0" borderId="54" xfId="0" applyFont="1" applyFill="1" applyBorder="1" applyAlignment="1">
      <alignment horizontal="left" vertical="center"/>
    </xf>
    <xf numFmtId="0" fontId="1" fillId="0" borderId="54" xfId="0" applyNumberFormat="1" applyFont="1" applyFill="1" applyBorder="1" applyAlignment="1">
      <alignment horizontal="center" vertical="center" wrapText="1"/>
    </xf>
    <xf numFmtId="0" fontId="1" fillId="0" borderId="55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164" fontId="8" fillId="0" borderId="50" xfId="0" applyNumberFormat="1" applyFont="1" applyBorder="1" applyAlignment="1">
      <alignment horizontal="center" vertical="center" wrapText="1"/>
    </xf>
    <xf numFmtId="2" fontId="8" fillId="0" borderId="50" xfId="0" applyNumberFormat="1" applyFont="1" applyBorder="1" applyAlignment="1">
      <alignment horizontal="center" vertical="center" wrapText="1"/>
    </xf>
    <xf numFmtId="164" fontId="8" fillId="0" borderId="38" xfId="0" applyNumberFormat="1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46" xfId="0" applyFont="1" applyFill="1" applyBorder="1" applyAlignment="1">
      <alignment horizontal="center" vertical="center" wrapText="1"/>
    </xf>
    <xf numFmtId="0" fontId="1" fillId="3" borderId="51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55" xfId="0" applyFont="1" applyFill="1" applyBorder="1" applyAlignment="1">
      <alignment horizontal="center" vertical="center" wrapText="1"/>
    </xf>
    <xf numFmtId="0" fontId="1" fillId="3" borderId="56" xfId="0" applyFont="1" applyFill="1" applyBorder="1" applyAlignment="1">
      <alignment horizontal="center" vertical="center" wrapText="1"/>
    </xf>
    <xf numFmtId="0" fontId="1" fillId="3" borderId="57" xfId="0" applyFont="1" applyFill="1" applyBorder="1" applyAlignment="1">
      <alignment horizontal="center" vertical="center" wrapText="1"/>
    </xf>
    <xf numFmtId="0" fontId="1" fillId="3" borderId="55" xfId="1" applyFont="1" applyFill="1" applyBorder="1" applyAlignment="1">
      <alignment horizontal="center" vertical="center" wrapText="1"/>
    </xf>
    <xf numFmtId="0" fontId="1" fillId="3" borderId="56" xfId="1" applyFont="1" applyFill="1" applyBorder="1" applyAlignment="1">
      <alignment horizontal="center" vertical="center" wrapText="1"/>
    </xf>
    <xf numFmtId="0" fontId="1" fillId="3" borderId="57" xfId="1" applyFont="1" applyFill="1" applyBorder="1" applyAlignment="1">
      <alignment horizontal="center" vertical="center" wrapText="1"/>
    </xf>
    <xf numFmtId="0" fontId="1" fillId="3" borderId="62" xfId="0" applyFont="1" applyFill="1" applyBorder="1" applyAlignment="1">
      <alignment horizontal="center" vertical="center" wrapText="1"/>
    </xf>
    <xf numFmtId="0" fontId="1" fillId="3" borderId="63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 wrapText="1"/>
    </xf>
    <xf numFmtId="1" fontId="1" fillId="3" borderId="3" xfId="2" applyNumberFormat="1" applyFont="1" applyFill="1" applyBorder="1" applyAlignment="1">
      <alignment horizontal="center" vertical="center" wrapText="1"/>
    </xf>
    <xf numFmtId="1" fontId="1" fillId="3" borderId="2" xfId="2" applyNumberFormat="1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0" xfId="0" applyFont="1" applyFill="1" applyBorder="1" applyAlignment="1">
      <alignment horizontal="center" vertical="center" wrapText="1"/>
    </xf>
    <xf numFmtId="165" fontId="1" fillId="3" borderId="4" xfId="0" applyNumberFormat="1" applyFont="1" applyFill="1" applyBorder="1" applyAlignment="1">
      <alignment horizontal="center" vertical="center" wrapText="1"/>
    </xf>
    <xf numFmtId="165" fontId="1" fillId="3" borderId="50" xfId="0" applyNumberFormat="1" applyFont="1" applyFill="1" applyBorder="1" applyAlignment="1">
      <alignment horizontal="center" vertical="center" wrapText="1"/>
    </xf>
    <xf numFmtId="0" fontId="1" fillId="3" borderId="58" xfId="0" applyFont="1" applyFill="1" applyBorder="1" applyAlignment="1">
      <alignment horizontal="center" vertical="center" wrapText="1"/>
    </xf>
    <xf numFmtId="0" fontId="1" fillId="3" borderId="61" xfId="0" applyFont="1" applyFill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 wrapText="1"/>
    </xf>
    <xf numFmtId="0" fontId="1" fillId="3" borderId="52" xfId="0" applyFont="1" applyFill="1" applyBorder="1" applyAlignment="1">
      <alignment horizontal="center" vertical="center" wrapText="1"/>
    </xf>
    <xf numFmtId="167" fontId="5" fillId="3" borderId="28" xfId="0" applyNumberFormat="1" applyFont="1" applyFill="1" applyBorder="1" applyAlignment="1">
      <alignment horizontal="center" vertical="center" wrapText="1"/>
    </xf>
    <xf numFmtId="167" fontId="5" fillId="3" borderId="59" xfId="0" applyNumberFormat="1" applyFont="1" applyFill="1" applyBorder="1" applyAlignment="1">
      <alignment horizontal="center" vertical="center" wrapText="1"/>
    </xf>
    <xf numFmtId="167" fontId="5" fillId="3" borderId="60" xfId="0" applyNumberFormat="1" applyFont="1" applyFill="1" applyBorder="1" applyAlignment="1">
      <alignment horizontal="center" vertical="center" wrapText="1"/>
    </xf>
    <xf numFmtId="0" fontId="1" fillId="3" borderId="48" xfId="0" applyFont="1" applyFill="1" applyBorder="1" applyAlignment="1">
      <alignment horizontal="center" vertical="center" wrapText="1"/>
    </xf>
    <xf numFmtId="0" fontId="1" fillId="3" borderId="49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" fillId="3" borderId="48" xfId="0" applyFont="1" applyFill="1" applyBorder="1" applyAlignment="1">
      <alignment horizontal="center" vertical="center" textRotation="90" wrapText="1"/>
    </xf>
    <xf numFmtId="0" fontId="1" fillId="3" borderId="49" xfId="0" applyFont="1" applyFill="1" applyBorder="1" applyAlignment="1">
      <alignment horizontal="center" vertical="center" textRotation="90" wrapText="1"/>
    </xf>
    <xf numFmtId="0" fontId="1" fillId="3" borderId="50" xfId="0" applyFont="1" applyFill="1" applyBorder="1" applyAlignment="1">
      <alignment horizontal="center" vertical="center" textRotation="90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54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1" fontId="1" fillId="3" borderId="5" xfId="2" applyNumberFormat="1" applyFont="1" applyFill="1" applyBorder="1" applyAlignment="1">
      <alignment horizontal="center" vertical="center" wrapText="1"/>
    </xf>
    <xf numFmtId="0" fontId="1" fillId="3" borderId="36" xfId="0" applyFont="1" applyFill="1" applyBorder="1" applyAlignment="1">
      <alignment horizontal="center" vertical="center" wrapText="1"/>
    </xf>
    <xf numFmtId="0" fontId="1" fillId="3" borderId="53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47" xfId="0" applyFont="1" applyFill="1" applyBorder="1" applyAlignment="1">
      <alignment horizontal="center" vertical="center" wrapText="1"/>
    </xf>
    <xf numFmtId="167" fontId="5" fillId="3" borderId="30" xfId="0" applyNumberFormat="1" applyFont="1" applyFill="1" applyBorder="1" applyAlignment="1">
      <alignment horizontal="center" vertical="center" wrapText="1"/>
    </xf>
    <xf numFmtId="167" fontId="5" fillId="3" borderId="32" xfId="0" applyNumberFormat="1" applyFont="1" applyFill="1" applyBorder="1" applyAlignment="1">
      <alignment horizontal="center" vertical="center" wrapText="1"/>
    </xf>
    <xf numFmtId="167" fontId="5" fillId="3" borderId="34" xfId="0" applyNumberFormat="1" applyFont="1" applyFill="1" applyBorder="1" applyAlignment="1">
      <alignment horizontal="center" vertical="center" wrapText="1"/>
    </xf>
  </cellXfs>
  <cellStyles count="3">
    <cellStyle name="Normal_Sheet1 2 2" xfId="1"/>
    <cellStyle name="Обычный" xfId="0" builtinId="0"/>
    <cellStyle name="Обычный 27" xfId="2"/>
  </cellStyles>
  <dxfs count="5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КТГ Экскаваторы</a:t>
            </a:r>
          </a:p>
        </c:rich>
      </c:tx>
      <c:layout>
        <c:manualLayout>
          <c:xMode val="edge"/>
          <c:yMode val="edge"/>
          <c:x val="0.36428429614615004"/>
          <c:y val="2.873571036178617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5483814523184598E-2"/>
          <c:y val="0.17171296296296296"/>
          <c:w val="0.89350218722659669"/>
          <c:h val="0.52665463328711815"/>
        </c:manualLayout>
      </c:layout>
      <c:lineChart>
        <c:grouping val="standard"/>
        <c:varyColors val="0"/>
        <c:ser>
          <c:idx val="0"/>
          <c:order val="0"/>
          <c:tx>
            <c:v>КТГ план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Графики!$A$3:$A$14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Графики!$B$3:$B$14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AA-4C32-873D-7610A43037B5}"/>
            </c:ext>
          </c:extLst>
        </c:ser>
        <c:ser>
          <c:idx val="1"/>
          <c:order val="1"/>
          <c:tx>
            <c:v>КТГ факт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Графики!$A$3:$A$14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Графики!$C$3:$C$14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AA-4C32-873D-7610A4303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7834256"/>
        <c:axId val="1"/>
      </c:lineChart>
      <c:catAx>
        <c:axId val="447834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4783425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0619245861594034"/>
          <c:y val="0.89864022811102107"/>
          <c:w val="0.77656963176632621"/>
          <c:h val="6.82882081600264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69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КИО Экскаваторы</a:t>
            </a:r>
          </a:p>
        </c:rich>
      </c:tx>
      <c:layout>
        <c:manualLayout>
          <c:xMode val="edge"/>
          <c:yMode val="edge"/>
          <c:x val="0.33217068645640074"/>
          <c:y val="3.031086230500256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210992068614374"/>
          <c:y val="0.15803087232981283"/>
          <c:w val="0.85492104470547736"/>
          <c:h val="0.54597954325476761"/>
        </c:manualLayout>
      </c:layout>
      <c:lineChart>
        <c:grouping val="standard"/>
        <c:varyColors val="0"/>
        <c:ser>
          <c:idx val="0"/>
          <c:order val="0"/>
          <c:tx>
            <c:v>КИО план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Графики!$A$3:$A$14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Графики!$D$3:$D$14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42-4C83-8CEB-A72E2A1A06B3}"/>
            </c:ext>
          </c:extLst>
        </c:ser>
        <c:ser>
          <c:idx val="1"/>
          <c:order val="1"/>
          <c:tx>
            <c:v>КИО факт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Графики!$A$3:$A$14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Графики!$E$3:$E$14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42-4C83-8CEB-A72E2A1A0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7836752"/>
        <c:axId val="1"/>
      </c:lineChart>
      <c:catAx>
        <c:axId val="44783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4783675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6.3570235538739472E-2"/>
          <c:y val="0.88914083413991851"/>
          <c:w val="0.90000009739042364"/>
          <c:h val="8.2982882953584247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69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КТГ </a:t>
            </a:r>
            <a:r>
              <a:rPr lang="en-US"/>
              <a:t>Komatsu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713376232670654"/>
          <c:y val="0.18081654055448415"/>
          <c:w val="0.87349273246849357"/>
          <c:h val="0.53514989525391898"/>
        </c:manualLayout>
      </c:layout>
      <c:lineChart>
        <c:grouping val="standard"/>
        <c:varyColors val="0"/>
        <c:ser>
          <c:idx val="0"/>
          <c:order val="0"/>
          <c:tx>
            <c:v>КТГ план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Графики!$A$28:$A$39</c:f>
            </c:multiLvlStrRef>
          </c:cat>
          <c:val>
            <c:numRef>
              <c:f>Графики!$B$28:$B$39</c:f>
            </c:numRef>
          </c:val>
          <c:smooth val="0"/>
          <c:extLst>
            <c:ext xmlns:c16="http://schemas.microsoft.com/office/drawing/2014/chart" uri="{C3380CC4-5D6E-409C-BE32-E72D297353CC}">
              <c16:uniqueId val="{00000000-1707-4DC4-A3CA-9DF6E9BD4143}"/>
            </c:ext>
          </c:extLst>
        </c:ser>
        <c:ser>
          <c:idx val="1"/>
          <c:order val="1"/>
          <c:tx>
            <c:v>КТГ факт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Графики!$A$28:$A$39</c:f>
            </c:multiLvlStrRef>
          </c:cat>
          <c:val>
            <c:numRef>
              <c:f>Графики!$C$28:$C$39</c:f>
            </c:numRef>
          </c:val>
          <c:smooth val="0"/>
          <c:extLst>
            <c:ext xmlns:c16="http://schemas.microsoft.com/office/drawing/2014/chart" uri="{C3380CC4-5D6E-409C-BE32-E72D297353CC}">
              <c16:uniqueId val="{00000001-1707-4DC4-A3CA-9DF6E9BD41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7833424"/>
        <c:axId val="1"/>
      </c:lineChart>
      <c:catAx>
        <c:axId val="44783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4783342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4.0678776539071232E-2"/>
          <c:y val="0.88659844124988962"/>
          <c:w val="0.88969559003144405"/>
          <c:h val="8.226026792522500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69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КИО </a:t>
            </a:r>
            <a:r>
              <a:rPr lang="en-US"/>
              <a:t>Komatsu</a:t>
            </a:r>
          </a:p>
        </c:rich>
      </c:tx>
      <c:layout>
        <c:manualLayout>
          <c:xMode val="edge"/>
          <c:yMode val="edge"/>
          <c:x val="0.39923371420677678"/>
          <c:y val="3.315600793803213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461517031041511"/>
          <c:y val="0.18015782832870486"/>
          <c:w val="0.85778706432645635"/>
          <c:h val="0.5367761346904808"/>
        </c:manualLayout>
      </c:layout>
      <c:lineChart>
        <c:grouping val="standard"/>
        <c:varyColors val="0"/>
        <c:ser>
          <c:idx val="0"/>
          <c:order val="0"/>
          <c:tx>
            <c:v>КИО план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Графики!$A$28:$A$39</c:f>
            </c:multiLvlStrRef>
          </c:cat>
          <c:val>
            <c:numRef>
              <c:f>Графики!$D$28:$D$39</c:f>
            </c:numRef>
          </c:val>
          <c:smooth val="0"/>
          <c:extLst>
            <c:ext xmlns:c16="http://schemas.microsoft.com/office/drawing/2014/chart" uri="{C3380CC4-5D6E-409C-BE32-E72D297353CC}">
              <c16:uniqueId val="{00000000-1E99-44C8-937A-BE2DCB22212D}"/>
            </c:ext>
          </c:extLst>
        </c:ser>
        <c:ser>
          <c:idx val="1"/>
          <c:order val="1"/>
          <c:tx>
            <c:v>КИО факт</c:v>
          </c:tx>
          <c:marker>
            <c:symbol val="none"/>
          </c:marker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Графики!$A$28:$A$39</c:f>
            </c:multiLvlStrRef>
          </c:cat>
          <c:val>
            <c:numRef>
              <c:f>Графики!$E$28:$E$39</c:f>
            </c:numRef>
          </c:val>
          <c:smooth val="0"/>
          <c:extLst>
            <c:ext xmlns:c16="http://schemas.microsoft.com/office/drawing/2014/chart" uri="{C3380CC4-5D6E-409C-BE32-E72D297353CC}">
              <c16:uniqueId val="{00000001-1E99-44C8-937A-BE2DCB2221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8394976"/>
        <c:axId val="1"/>
      </c:lineChart>
      <c:catAx>
        <c:axId val="48839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8839497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5.2476664101197876E-2"/>
          <c:y val="0.89912521605531015"/>
          <c:w val="0.86457403350896922"/>
          <c:h val="7.241949939184433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69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КТГ Бульдозеры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713376232670654"/>
          <c:y val="0.18081654055448415"/>
          <c:w val="0.87349273246849357"/>
          <c:h val="0.47398782689874586"/>
        </c:manualLayout>
      </c:layout>
      <c:lineChart>
        <c:grouping val="standard"/>
        <c:varyColors val="0"/>
        <c:ser>
          <c:idx val="0"/>
          <c:order val="0"/>
          <c:tx>
            <c:v>КТГ план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Графики!$A$81:$A$92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Графики!$B$81:$B$92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FE-47D2-8F4C-3D78156402D7}"/>
            </c:ext>
          </c:extLst>
        </c:ser>
        <c:ser>
          <c:idx val="1"/>
          <c:order val="1"/>
          <c:tx>
            <c:v>КТГ факт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Графики!$A$81:$A$92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Графики!$C$81:$C$92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FE-47D2-8F4C-3D7815640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8400384"/>
        <c:axId val="1"/>
      </c:lineChart>
      <c:catAx>
        <c:axId val="48840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8840038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4.067888747108192E-2"/>
          <c:y val="0.86621109861267342"/>
          <c:w val="0.88969551730934815"/>
          <c:h val="8.226034245719282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69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КИО Бульдозеры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461517031041511"/>
          <c:y val="0.18015782832870486"/>
          <c:w val="0.85778706432645635"/>
          <c:h val="0.5001906591912455"/>
        </c:manualLayout>
      </c:layout>
      <c:lineChart>
        <c:grouping val="standard"/>
        <c:varyColors val="0"/>
        <c:ser>
          <c:idx val="0"/>
          <c:order val="0"/>
          <c:tx>
            <c:v>КИО план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Графики!$A$81:$A$92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Графики!$D$81:$D$92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D6-4965-965C-D44C454811AC}"/>
            </c:ext>
          </c:extLst>
        </c:ser>
        <c:ser>
          <c:idx val="1"/>
          <c:order val="1"/>
          <c:tx>
            <c:v>КИО факт</c:v>
          </c:tx>
          <c:marker>
            <c:symbol val="none"/>
          </c:marker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Графики!$A$81:$A$92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Графики!$E$81:$E$92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D6-4965-965C-D44C45481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8397472"/>
        <c:axId val="1"/>
      </c:lineChart>
      <c:catAx>
        <c:axId val="488397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8839747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5.2476810564425304E-2"/>
          <c:y val="0.86728405218004467"/>
          <c:w val="0.89125853743420191"/>
          <c:h val="6.505425627766681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69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КТГ Автогрейдеры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713376232670654"/>
          <c:y val="0.18081654055448415"/>
          <c:w val="0.87349273246849357"/>
          <c:h val="0.47398782689874586"/>
        </c:manualLayout>
      </c:layout>
      <c:lineChart>
        <c:grouping val="standard"/>
        <c:varyColors val="0"/>
        <c:ser>
          <c:idx val="0"/>
          <c:order val="0"/>
          <c:tx>
            <c:v>КТГ план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Графики!$A$108:$A$119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Графики!$B$108:$B$119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92-4196-A283-65BDAC632E06}"/>
            </c:ext>
          </c:extLst>
        </c:ser>
        <c:ser>
          <c:idx val="1"/>
          <c:order val="1"/>
          <c:tx>
            <c:v>КТГ факт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Графики!$A$108:$A$119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Графики!$C$108:$C$119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92-4196-A283-65BDAC632E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8394560"/>
        <c:axId val="1"/>
      </c:lineChart>
      <c:catAx>
        <c:axId val="48839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8839456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4.0678776539071232E-2"/>
          <c:y val="0.86621095800524928"/>
          <c:w val="0.8896953821366389"/>
          <c:h val="8.226017060367452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69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КИО Автогрейдеры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461517031041511"/>
          <c:y val="0.18015782832870486"/>
          <c:w val="0.85778706432645635"/>
          <c:h val="0.5001906591912455"/>
        </c:manualLayout>
      </c:layout>
      <c:lineChart>
        <c:grouping val="standard"/>
        <c:varyColors val="0"/>
        <c:ser>
          <c:idx val="0"/>
          <c:order val="0"/>
          <c:tx>
            <c:v>КИО план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Графики!$A$108:$A$119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Графики!$D$108:$D$119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00-471A-A90A-3CEA3ED764C2}"/>
            </c:ext>
          </c:extLst>
        </c:ser>
        <c:ser>
          <c:idx val="1"/>
          <c:order val="1"/>
          <c:tx>
            <c:v>КИО факт</c:v>
          </c:tx>
          <c:marker>
            <c:symbol val="none"/>
          </c:marker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Графики!$A$108:$A$119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Графики!$E$108:$E$119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00-471A-A90A-3CEA3ED764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8396224"/>
        <c:axId val="1"/>
      </c:lineChart>
      <c:catAx>
        <c:axId val="488396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8839622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5.2476718188004277E-2"/>
          <c:y val="0.85343439546692168"/>
          <c:w val="0.88139515893846598"/>
          <c:h val="7.179924939289128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69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КТГ Погрузчики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713376232670654"/>
          <c:y val="0.18081654055448415"/>
          <c:w val="0.87349273246849357"/>
          <c:h val="0.47398782689874586"/>
        </c:manualLayout>
      </c:layout>
      <c:lineChart>
        <c:grouping val="standard"/>
        <c:varyColors val="0"/>
        <c:ser>
          <c:idx val="0"/>
          <c:order val="0"/>
          <c:tx>
            <c:v>КТГ план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Графики!$A$135:$A$146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Графики!$B$135:$B$146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8-4211-9B90-3A6927FA44E0}"/>
            </c:ext>
          </c:extLst>
        </c:ser>
        <c:ser>
          <c:idx val="1"/>
          <c:order val="1"/>
          <c:tx>
            <c:v>КТГ факт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Графики!$A$135:$A$146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Графики!$C$135:$C$146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8-4211-9B90-3A6927FA4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8396640"/>
        <c:axId val="1"/>
      </c:lineChart>
      <c:catAx>
        <c:axId val="488396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8839664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4.0678873474149065E-2"/>
          <c:y val="0.86621099877308227"/>
          <c:w val="0.88969545473482492"/>
          <c:h val="8.226001335631860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69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КИО Погрузчики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461517031041511"/>
          <c:y val="0.18015782832870486"/>
          <c:w val="0.85778706432645635"/>
          <c:h val="0.5001906591912455"/>
        </c:manualLayout>
      </c:layout>
      <c:lineChart>
        <c:grouping val="standard"/>
        <c:varyColors val="0"/>
        <c:ser>
          <c:idx val="0"/>
          <c:order val="0"/>
          <c:tx>
            <c:v>КИО план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Графики!$A$135:$A$146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Графики!$D$135:$D$146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24-4F59-8284-F3E299FE1697}"/>
            </c:ext>
          </c:extLst>
        </c:ser>
        <c:ser>
          <c:idx val="1"/>
          <c:order val="1"/>
          <c:tx>
            <c:v>КИО факт</c:v>
          </c:tx>
          <c:marker>
            <c:symbol val="none"/>
          </c:marker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Графики!$A$135:$A$146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Графики!$E$135:$E$146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24-4F59-8284-F3E299FE1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8398304"/>
        <c:axId val="1"/>
      </c:lineChart>
      <c:catAx>
        <c:axId val="48839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8839830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5.2476632511331563E-2"/>
          <c:y val="0.85534375367258197"/>
          <c:w val="0.88126814656642494"/>
          <c:h val="6.9034355780154377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69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КТГ БЕЛАЗ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713376232670654"/>
          <c:y val="0.18081654055448415"/>
          <c:w val="0.87349273246849357"/>
          <c:h val="0.53351174853143368"/>
        </c:manualLayout>
      </c:layout>
      <c:lineChart>
        <c:grouping val="standard"/>
        <c:varyColors val="0"/>
        <c:ser>
          <c:idx val="0"/>
          <c:order val="0"/>
          <c:tx>
            <c:v>КТГ план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Графики!$A$55:$A$66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Графики!$B$55:$B$66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A0-4A0D-A59F-0A8328540FB9}"/>
            </c:ext>
          </c:extLst>
        </c:ser>
        <c:ser>
          <c:idx val="1"/>
          <c:order val="1"/>
          <c:tx>
            <c:v>КТГ факт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Графики!$A$55:$A$66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Графики!$C$55:$C$66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A0-4A0D-A59F-0A8328540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9012512"/>
        <c:axId val="1"/>
      </c:lineChart>
      <c:catAx>
        <c:axId val="48901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8901251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3.5731154907411723E-2"/>
          <c:y val="0.89002030996125492"/>
          <c:w val="0.88969544487412444"/>
          <c:h val="8.226034245719282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69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КИО БЕЛАЗ</a:t>
            </a:r>
          </a:p>
        </c:rich>
      </c:tx>
      <c:layout>
        <c:manualLayout>
          <c:xMode val="edge"/>
          <c:yMode val="edge"/>
          <c:x val="0.42326319379569077"/>
          <c:y val="2.514559940362484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461517031041511"/>
          <c:y val="0.18015782832870486"/>
          <c:w val="0.85778706432645635"/>
          <c:h val="0.53174890120983398"/>
        </c:manualLayout>
      </c:layout>
      <c:lineChart>
        <c:grouping val="standard"/>
        <c:varyColors val="0"/>
        <c:ser>
          <c:idx val="0"/>
          <c:order val="0"/>
          <c:tx>
            <c:v>КИО план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Графики!$A$55:$A$66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Графики!$D$55:$D$67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B7-4D7B-841D-D3B510E9C628}"/>
            </c:ext>
          </c:extLst>
        </c:ser>
        <c:ser>
          <c:idx val="1"/>
          <c:order val="1"/>
          <c:tx>
            <c:v>КИО факт</c:v>
          </c:tx>
          <c:marker>
            <c:symbol val="none"/>
          </c:marker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Графики!$A$55:$A$66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Графики!$E$55:$E$66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B7-4D7B-841D-D3B510E9C6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9005856"/>
        <c:axId val="1"/>
      </c:lineChart>
      <c:catAx>
        <c:axId val="48900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8900585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4.9965646949498545E-2"/>
          <c:y val="0.88729099690940993"/>
          <c:w val="0.86620223319542677"/>
          <c:h val="7.3261271335165912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69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КТГ Экскаваторы</a:t>
            </a:r>
          </a:p>
        </c:rich>
      </c:tx>
      <c:layout>
        <c:manualLayout>
          <c:xMode val="edge"/>
          <c:yMode val="edge"/>
          <c:x val="0.36428429614615004"/>
          <c:y val="2.873571036178617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5483814523184598E-2"/>
          <c:y val="0.17171296296296296"/>
          <c:w val="0.89350218722659669"/>
          <c:h val="0.52665463328711815"/>
        </c:manualLayout>
      </c:layout>
      <c:lineChart>
        <c:grouping val="standard"/>
        <c:varyColors val="0"/>
        <c:ser>
          <c:idx val="0"/>
          <c:order val="0"/>
          <c:tx>
            <c:v>КТГ план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6105662534757411E-2"/>
                  <c:y val="3.76854056033693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0C7B-4A95-A417-869A80C6E272}"/>
                </c:ext>
              </c:extLst>
            </c:dLbl>
            <c:dLbl>
              <c:idx val="1"/>
              <c:layout>
                <c:manualLayout>
                  <c:x val="-5.4026454613965331E-2"/>
                  <c:y val="3.76854056033693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0C7B-4A95-A417-869A80C6E272}"/>
                </c:ext>
              </c:extLst>
            </c:dLbl>
            <c:dLbl>
              <c:idx val="2"/>
              <c:layout>
                <c:manualLayout>
                  <c:x val="-5.9306982666770612E-2"/>
                  <c:y val="2.88260479068023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0C7B-4A95-A417-869A80C6E272}"/>
                </c:ext>
              </c:extLst>
            </c:dLbl>
            <c:dLbl>
              <c:idx val="3"/>
              <c:layout>
                <c:manualLayout>
                  <c:x val="-7.5148566825186461E-2"/>
                  <c:y val="2.43963690585188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0C7B-4A95-A417-869A80C6E272}"/>
                </c:ext>
              </c:extLst>
            </c:dLbl>
            <c:dLbl>
              <c:idx val="4"/>
              <c:layout>
                <c:manualLayout>
                  <c:x val="-5.1386190587562691E-2"/>
                  <c:y val="-5.07208418465706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0C7B-4A95-A417-869A80C6E272}"/>
                </c:ext>
              </c:extLst>
            </c:dLbl>
            <c:dLbl>
              <c:idx val="5"/>
              <c:layout>
                <c:manualLayout>
                  <c:x val="-5.6666718640367972E-2"/>
                  <c:y val="5.87205431516235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0C7B-4A95-A417-869A80C6E272}"/>
                </c:ext>
              </c:extLst>
            </c:dLbl>
            <c:dLbl>
              <c:idx val="6"/>
              <c:layout>
                <c:manualLayout>
                  <c:x val="-5.9306982666770612E-2"/>
                  <c:y val="3.52463734256133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0C7B-4A95-A417-869A80C6E272}"/>
                </c:ext>
              </c:extLst>
            </c:dLbl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Графики!$A$3:$A$14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Графики!$B$3:$B$14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C7B-4A95-A417-869A80C6E272}"/>
            </c:ext>
          </c:extLst>
        </c:ser>
        <c:ser>
          <c:idx val="1"/>
          <c:order val="1"/>
          <c:tx>
            <c:v>КТГ факт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3465398508354784E-2"/>
                  <c:y val="-0.1129236752382696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0C7B-4A95-A417-869A80C6E272}"/>
                </c:ext>
              </c:extLst>
            </c:dLbl>
            <c:dLbl>
              <c:idx val="1"/>
              <c:layout>
                <c:manualLayout>
                  <c:x val="-4.346539850835477E-2"/>
                  <c:y val="-9.96346386934191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0C7B-4A95-A417-869A80C6E272}"/>
                </c:ext>
              </c:extLst>
            </c:dLbl>
            <c:dLbl>
              <c:idx val="4"/>
              <c:layout>
                <c:manualLayout>
                  <c:x val="-4.346539850835477E-2"/>
                  <c:y val="3.99412073708153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0C7B-4A95-A417-869A80C6E272}"/>
                </c:ext>
              </c:extLst>
            </c:dLbl>
            <c:dLbl>
              <c:idx val="5"/>
              <c:layout>
                <c:manualLayout>
                  <c:x val="-4.346539850835477E-2"/>
                  <c:y val="-5.8650305478427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0C7B-4A95-A417-869A80C6E272}"/>
                </c:ext>
              </c:extLst>
            </c:dLbl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Графики!$A$3:$A$14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Графики!$C$3:$C$14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C7B-4A95-A417-869A80C6E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5949103"/>
        <c:axId val="1"/>
      </c:lineChart>
      <c:catAx>
        <c:axId val="2005949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2005949103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0619245861594034"/>
          <c:y val="0.89864022811102107"/>
          <c:w val="0.14715521945895377"/>
          <c:h val="0.1013596165170912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69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КИО Экскаваторы</a:t>
            </a:r>
          </a:p>
        </c:rich>
      </c:tx>
      <c:layout>
        <c:manualLayout>
          <c:xMode val="edge"/>
          <c:yMode val="edge"/>
          <c:x val="0.33217068645640074"/>
          <c:y val="3.031086230500256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210992068614374"/>
          <c:y val="0.15803087232981283"/>
          <c:w val="0.85492104470547736"/>
          <c:h val="0.54597954325476761"/>
        </c:manualLayout>
      </c:layout>
      <c:lineChart>
        <c:grouping val="standard"/>
        <c:varyColors val="0"/>
        <c:ser>
          <c:idx val="0"/>
          <c:order val="0"/>
          <c:tx>
            <c:v>КИО план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0618477885069582E-2"/>
                  <c:y val="2.43963690585188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23EB-4DDD-8CAD-69F663C0F5DD}"/>
                </c:ext>
              </c:extLst>
            </c:dLbl>
            <c:dLbl>
              <c:idx val="1"/>
              <c:layout>
                <c:manualLayout>
                  <c:x val="-5.3092194644500608E-2"/>
                  <c:y val="2.88260479068023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23EB-4DDD-8CAD-69F663C0F5DD}"/>
                </c:ext>
              </c:extLst>
            </c:dLbl>
            <c:dLbl>
              <c:idx val="2"/>
              <c:layout>
                <c:manualLayout>
                  <c:x val="-5.8039628163362694E-2"/>
                  <c:y val="2.43963690585188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23EB-4DDD-8CAD-69F663C0F5DD}"/>
                </c:ext>
              </c:extLst>
            </c:dLbl>
            <c:dLbl>
              <c:idx val="3"/>
              <c:layout>
                <c:manualLayout>
                  <c:x val="-5.5565911403931606E-2"/>
                  <c:y val="4.21150844516528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23EB-4DDD-8CAD-69F663C0F5DD}"/>
                </c:ext>
              </c:extLst>
            </c:dLbl>
            <c:dLbl>
              <c:idx val="4"/>
              <c:layout>
                <c:manualLayout>
                  <c:x val="-6.2987061682224871E-2"/>
                  <c:y val="3.76854056033693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23EB-4DDD-8CAD-69F663C0F5DD}"/>
                </c:ext>
              </c:extLst>
            </c:dLbl>
            <c:dLbl>
              <c:idx val="5"/>
              <c:layout>
                <c:manualLayout>
                  <c:x val="-5.8840928141934035E-2"/>
                  <c:y val="4.93308934974677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23EB-4DDD-8CAD-69F663C0F5DD}"/>
                </c:ext>
              </c:extLst>
            </c:dLbl>
            <c:dLbl>
              <c:idx val="6"/>
              <c:layout>
                <c:manualLayout>
                  <c:x val="-6.1460444071891066E-2"/>
                  <c:y val="4.46360578167165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23EB-4DDD-8CAD-69F663C0F5DD}"/>
                </c:ext>
              </c:extLst>
            </c:dLbl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Графики!$A$3:$A$14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Графики!$D$3:$D$14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3EB-4DDD-8CAD-69F663C0F5DD}"/>
            </c:ext>
          </c:extLst>
        </c:ser>
        <c:ser>
          <c:idx val="1"/>
          <c:order val="1"/>
          <c:tx>
            <c:v>КИО факт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3197327606776449E-2"/>
                  <c:y val="-5.09081713623006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23EB-4DDD-8CAD-69F663C0F5DD}"/>
                </c:ext>
              </c:extLst>
            </c:dLbl>
            <c:dLbl>
              <c:idx val="1"/>
              <c:layout>
                <c:manualLayout>
                  <c:x val="-3.8249894087914356E-2"/>
                  <c:y val="-6.86268867554346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23EB-4DDD-8CAD-69F663C0F5DD}"/>
                </c:ext>
              </c:extLst>
            </c:dLbl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Графики!$A$3:$A$14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Графики!$E$3:$E$14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3EB-4DDD-8CAD-69F663C0F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5948687"/>
        <c:axId val="1"/>
      </c:lineChart>
      <c:catAx>
        <c:axId val="200594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20059486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6.3570235538739472E-2"/>
          <c:y val="0.88914083413991851"/>
          <c:w val="0.90000009739042364"/>
          <c:h val="8.2982882953584247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69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КТГ </a:t>
            </a:r>
            <a:r>
              <a:rPr lang="en-US"/>
              <a:t>Komatsu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713376232670654"/>
          <c:y val="0.18081654055448415"/>
          <c:w val="0.87349273246849357"/>
          <c:h val="0.53514989525391898"/>
        </c:manualLayout>
      </c:layout>
      <c:lineChart>
        <c:grouping val="standard"/>
        <c:varyColors val="0"/>
        <c:ser>
          <c:idx val="0"/>
          <c:order val="0"/>
          <c:tx>
            <c:v>КТГ план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2"/>
              <c:pt idx="0">
                <c:v>Январь</c:v>
              </c:pt>
              <c:pt idx="1">
                <c:v>Февраль</c:v>
              </c:pt>
              <c:pt idx="2">
                <c:v>Март</c:v>
              </c:pt>
              <c:pt idx="3">
                <c:v>Апрель</c:v>
              </c:pt>
              <c:pt idx="4">
                <c:v>Май</c:v>
              </c:pt>
              <c:pt idx="5">
                <c:v>Июнь</c:v>
              </c:pt>
              <c:pt idx="6">
                <c:v>Июль</c:v>
              </c:pt>
              <c:pt idx="7">
                <c:v>Август</c:v>
              </c:pt>
              <c:pt idx="8">
                <c:v>Сентябрь</c:v>
              </c:pt>
              <c:pt idx="9">
                <c:v>Октябрь</c:v>
              </c:pt>
              <c:pt idx="10">
                <c:v>Ноябрь</c:v>
              </c:pt>
              <c:pt idx="11">
                <c:v>Декабрь</c:v>
              </c:pt>
            </c:strLit>
          </c:cat>
          <c:val>
            <c:numLit>
              <c:formatCode>General</c:formatCode>
              <c:ptCount val="12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0A5-406C-9E64-DBACDB78C04E}"/>
            </c:ext>
          </c:extLst>
        </c:ser>
        <c:ser>
          <c:idx val="1"/>
          <c:order val="1"/>
          <c:tx>
            <c:v>КТГ факт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2"/>
              <c:pt idx="0">
                <c:v>Январь</c:v>
              </c:pt>
              <c:pt idx="1">
                <c:v>Февраль</c:v>
              </c:pt>
              <c:pt idx="2">
                <c:v>Март</c:v>
              </c:pt>
              <c:pt idx="3">
                <c:v>Апрель</c:v>
              </c:pt>
              <c:pt idx="4">
                <c:v>Май</c:v>
              </c:pt>
              <c:pt idx="5">
                <c:v>Июнь</c:v>
              </c:pt>
              <c:pt idx="6">
                <c:v>Июль</c:v>
              </c:pt>
              <c:pt idx="7">
                <c:v>Август</c:v>
              </c:pt>
              <c:pt idx="8">
                <c:v>Сентябрь</c:v>
              </c:pt>
              <c:pt idx="9">
                <c:v>Октябрь</c:v>
              </c:pt>
              <c:pt idx="10">
                <c:v>Ноябрь</c:v>
              </c:pt>
              <c:pt idx="11">
                <c:v>Декабрь</c:v>
              </c:pt>
            </c:strLit>
          </c:cat>
          <c:val>
            <c:numLit>
              <c:formatCode>General</c:formatCode>
              <c:ptCount val="12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0A5-406C-9E64-DBACDB78C0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5945775"/>
        <c:axId val="1"/>
      </c:lineChart>
      <c:catAx>
        <c:axId val="2005945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20059457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4.0678776539071232E-2"/>
          <c:y val="0.88659844124988962"/>
          <c:w val="0.88969559003144405"/>
          <c:h val="8.226026792522500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69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КИО </a:t>
            </a:r>
            <a:r>
              <a:rPr lang="en-US"/>
              <a:t>Komatsu</a:t>
            </a:r>
          </a:p>
        </c:rich>
      </c:tx>
      <c:layout>
        <c:manualLayout>
          <c:xMode val="edge"/>
          <c:yMode val="edge"/>
          <c:x val="0.39923371420677678"/>
          <c:y val="3.315600793803213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461517031041511"/>
          <c:y val="0.18015782832870486"/>
          <c:w val="0.85778706432645635"/>
          <c:h val="0.5367761346904808"/>
        </c:manualLayout>
      </c:layout>
      <c:lineChart>
        <c:grouping val="standard"/>
        <c:varyColors val="0"/>
        <c:ser>
          <c:idx val="0"/>
          <c:order val="0"/>
          <c:tx>
            <c:v>КИО план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2"/>
              <c:pt idx="0">
                <c:v>Январь</c:v>
              </c:pt>
              <c:pt idx="1">
                <c:v>Февраль</c:v>
              </c:pt>
              <c:pt idx="2">
                <c:v>Март</c:v>
              </c:pt>
              <c:pt idx="3">
                <c:v>Апрель</c:v>
              </c:pt>
              <c:pt idx="4">
                <c:v>Май</c:v>
              </c:pt>
              <c:pt idx="5">
                <c:v>Июнь</c:v>
              </c:pt>
              <c:pt idx="6">
                <c:v>Июль</c:v>
              </c:pt>
              <c:pt idx="7">
                <c:v>Август</c:v>
              </c:pt>
              <c:pt idx="8">
                <c:v>Сентябрь</c:v>
              </c:pt>
              <c:pt idx="9">
                <c:v>Октябрь</c:v>
              </c:pt>
              <c:pt idx="10">
                <c:v>Ноябрь</c:v>
              </c:pt>
              <c:pt idx="11">
                <c:v>Декабрь</c:v>
              </c:pt>
            </c:strLit>
          </c:cat>
          <c:val>
            <c:numLit>
              <c:formatCode>General</c:formatCode>
              <c:ptCount val="12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65D-4D4B-8405-0E94A135A1E8}"/>
            </c:ext>
          </c:extLst>
        </c:ser>
        <c:ser>
          <c:idx val="1"/>
          <c:order val="1"/>
          <c:tx>
            <c:v>КИО факт</c:v>
          </c:tx>
          <c:marker>
            <c:symbol val="none"/>
          </c:marker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2"/>
              <c:pt idx="0">
                <c:v>Январь</c:v>
              </c:pt>
              <c:pt idx="1">
                <c:v>Февраль</c:v>
              </c:pt>
              <c:pt idx="2">
                <c:v>Март</c:v>
              </c:pt>
              <c:pt idx="3">
                <c:v>Апрель</c:v>
              </c:pt>
              <c:pt idx="4">
                <c:v>Май</c:v>
              </c:pt>
              <c:pt idx="5">
                <c:v>Июнь</c:v>
              </c:pt>
              <c:pt idx="6">
                <c:v>Июль</c:v>
              </c:pt>
              <c:pt idx="7">
                <c:v>Август</c:v>
              </c:pt>
              <c:pt idx="8">
                <c:v>Сентябрь</c:v>
              </c:pt>
              <c:pt idx="9">
                <c:v>Октябрь</c:v>
              </c:pt>
              <c:pt idx="10">
                <c:v>Ноябрь</c:v>
              </c:pt>
              <c:pt idx="11">
                <c:v>Декабрь</c:v>
              </c:pt>
            </c:strLit>
          </c:cat>
          <c:val>
            <c:numLit>
              <c:formatCode>General</c:formatCode>
              <c:ptCount val="12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65D-4D4B-8405-0E94A135A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5946191"/>
        <c:axId val="1"/>
      </c:lineChart>
      <c:catAx>
        <c:axId val="2005946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20059461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5.2476664101197876E-2"/>
          <c:y val="0.89912521605531015"/>
          <c:w val="0.86457403350896922"/>
          <c:h val="7.241949939184433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69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КТГ Бульдозеры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713376232670654"/>
          <c:y val="0.18081654055448415"/>
          <c:w val="0.87349273246849357"/>
          <c:h val="0.47398782689874586"/>
        </c:manualLayout>
      </c:layout>
      <c:lineChart>
        <c:grouping val="standard"/>
        <c:varyColors val="0"/>
        <c:ser>
          <c:idx val="0"/>
          <c:order val="0"/>
          <c:tx>
            <c:v>КТГ план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6554729077837616E-2"/>
                  <c:y val="3.37598425196850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389-4A48-8F16-88811F861B84}"/>
                </c:ext>
              </c:extLst>
            </c:dLbl>
            <c:dLbl>
              <c:idx val="1"/>
              <c:layout>
                <c:manualLayout>
                  <c:x val="-5.6554729077837623E-2"/>
                  <c:y val="4.56646044244469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389-4A48-8F16-88811F861B84}"/>
                </c:ext>
              </c:extLst>
            </c:dLbl>
            <c:dLbl>
              <c:idx val="2"/>
              <c:layout>
                <c:manualLayout>
                  <c:x val="-6.7094913531065531E-2"/>
                  <c:y val="2.97915885514310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389-4A48-8F16-88811F861B84}"/>
                </c:ext>
              </c:extLst>
            </c:dLbl>
            <c:dLbl>
              <c:idx val="3"/>
              <c:layout>
                <c:manualLayout>
                  <c:x val="-6.7094913531065531E-2"/>
                  <c:y val="3.37598425196850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389-4A48-8F16-88811F861B84}"/>
                </c:ext>
              </c:extLst>
            </c:dLbl>
            <c:dLbl>
              <c:idx val="4"/>
              <c:layout>
                <c:manualLayout>
                  <c:x val="-6.1824821304451619E-2"/>
                  <c:y val="3.37598425196850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389-4A48-8F16-88811F861B84}"/>
                </c:ext>
              </c:extLst>
            </c:dLbl>
            <c:dLbl>
              <c:idx val="5"/>
              <c:layout>
                <c:manualLayout>
                  <c:x val="-6.182482130445157E-2"/>
                  <c:y val="4.16963504561929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389-4A48-8F16-88811F861B84}"/>
                </c:ext>
              </c:extLst>
            </c:dLbl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Графики!$A$81:$A$92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Графики!$B$81:$B$92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389-4A48-8F16-88811F861B84}"/>
            </c:ext>
          </c:extLst>
        </c:ser>
        <c:ser>
          <c:idx val="1"/>
          <c:order val="1"/>
          <c:tx>
            <c:v>КТГ факт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Графики!$A$81:$A$92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Графики!$C$81:$C$92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389-4A48-8F16-88811F861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5949519"/>
        <c:axId val="1"/>
      </c:lineChart>
      <c:catAx>
        <c:axId val="2005949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200594951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4.067888747108192E-2"/>
          <c:y val="0.86621109861267342"/>
          <c:w val="0.88969551730934815"/>
          <c:h val="8.226034245719282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69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КИО Бульдозеры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461517031041511"/>
          <c:y val="0.18015782832870486"/>
          <c:w val="0.85778706432645635"/>
          <c:h val="0.5001906591912455"/>
        </c:manualLayout>
      </c:layout>
      <c:lineChart>
        <c:grouping val="standard"/>
        <c:varyColors val="0"/>
        <c:ser>
          <c:idx val="0"/>
          <c:order val="0"/>
          <c:tx>
            <c:v>КИО план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Графики!$A$81:$A$92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Графики!$D$81:$D$92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3C-4211-9DCC-77467A9D840F}"/>
            </c:ext>
          </c:extLst>
        </c:ser>
        <c:ser>
          <c:idx val="1"/>
          <c:order val="1"/>
          <c:tx>
            <c:v>КИО факт</c:v>
          </c:tx>
          <c:marker>
            <c:symbol val="none"/>
          </c:marker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Графики!$A$81:$A$92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Графики!$E$81:$E$92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3C-4211-9DCC-77467A9D84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5950351"/>
        <c:axId val="1"/>
      </c:lineChart>
      <c:catAx>
        <c:axId val="2005950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20059503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5.2476810564425304E-2"/>
          <c:y val="0.86728405218004467"/>
          <c:w val="0.89125853743420191"/>
          <c:h val="6.505425627766681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69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КТГ Автогрейдеры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713376232670654"/>
          <c:y val="0.18081654055448415"/>
          <c:w val="0.87349273246849357"/>
          <c:h val="0.47398782689874586"/>
        </c:manualLayout>
      </c:layout>
      <c:lineChart>
        <c:grouping val="standard"/>
        <c:varyColors val="0"/>
        <c:ser>
          <c:idx val="0"/>
          <c:order val="0"/>
          <c:tx>
            <c:v>КТГ план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3465398508354798E-2"/>
                  <c:y val="3.12811679790025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C10-41B7-A83C-6BFC0DC956A7}"/>
                </c:ext>
              </c:extLst>
            </c:dLbl>
            <c:dLbl>
              <c:idx val="1"/>
              <c:layout>
                <c:manualLayout>
                  <c:x val="-4.6105662534757438E-2"/>
                  <c:y val="2.7114501312335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C10-41B7-A83C-6BFC0DC956A7}"/>
                </c:ext>
              </c:extLst>
            </c:dLbl>
            <c:dLbl>
              <c:idx val="2"/>
              <c:layout>
                <c:manualLayout>
                  <c:x val="-6.4587510719575941E-2"/>
                  <c:y val="2.29478346456692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C10-41B7-A83C-6BFC0DC956A7}"/>
                </c:ext>
              </c:extLst>
            </c:dLbl>
            <c:dLbl>
              <c:idx val="3"/>
              <c:layout>
                <c:manualLayout>
                  <c:x val="-6.986803877238118E-2"/>
                  <c:y val="2.29478346456692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C10-41B7-A83C-6BFC0DC956A7}"/>
                </c:ext>
              </c:extLst>
            </c:dLbl>
            <c:dLbl>
              <c:idx val="4"/>
              <c:layout>
                <c:manualLayout>
                  <c:x val="-5.1386190587562691E-2"/>
                  <c:y val="3.54478346456692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C10-41B7-A83C-6BFC0DC956A7}"/>
                </c:ext>
              </c:extLst>
            </c:dLbl>
            <c:dLbl>
              <c:idx val="5"/>
              <c:layout>
                <c:manualLayout>
                  <c:x val="-6.194724669317335E-2"/>
                  <c:y val="3.54478346456693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C10-41B7-A83C-6BFC0DC956A7}"/>
                </c:ext>
              </c:extLst>
            </c:dLbl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Графики!$A$108:$A$119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Графики!$B$108:$B$119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C10-41B7-A83C-6BFC0DC956A7}"/>
            </c:ext>
          </c:extLst>
        </c:ser>
        <c:ser>
          <c:idx val="1"/>
          <c:order val="1"/>
          <c:tx>
            <c:v>КТГ факт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3465398508354798E-2"/>
                  <c:y val="-4.78854986876640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C10-41B7-A83C-6BFC0DC956A7}"/>
                </c:ext>
              </c:extLst>
            </c:dLbl>
            <c:dLbl>
              <c:idx val="4"/>
              <c:layout>
                <c:manualLayout>
                  <c:x val="-4.3465398508354819E-2"/>
                  <c:y val="-4.37188320209973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C10-41B7-A83C-6BFC0DC956A7}"/>
                </c:ext>
              </c:extLst>
            </c:dLbl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Графики!$A$108:$A$119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Графики!$C$108:$C$119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C10-41B7-A83C-6BFC0DC956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6697967"/>
        <c:axId val="1"/>
      </c:lineChart>
      <c:catAx>
        <c:axId val="2036697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203669796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4.0678776539071232E-2"/>
          <c:y val="0.86621095800524928"/>
          <c:w val="0.8896953821366389"/>
          <c:h val="8.226017060367452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69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КИО Автогрейдеры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461517031041511"/>
          <c:y val="0.18015782832870486"/>
          <c:w val="0.85778706432645635"/>
          <c:h val="0.5001906591912455"/>
        </c:manualLayout>
      </c:layout>
      <c:lineChart>
        <c:grouping val="standard"/>
        <c:varyColors val="0"/>
        <c:ser>
          <c:idx val="0"/>
          <c:order val="0"/>
          <c:tx>
            <c:v>КИО план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0648196753183631E-2"/>
                  <c:y val="-3.94289498859371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334-4914-9996-5C7A857CAFF6}"/>
                </c:ext>
              </c:extLst>
            </c:dLbl>
            <c:dLbl>
              <c:idx val="1"/>
              <c:layout>
                <c:manualLayout>
                  <c:x val="-4.064819675318361E-2"/>
                  <c:y val="-3.52752634892601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334-4914-9996-5C7A857CAFF6}"/>
                </c:ext>
              </c:extLst>
            </c:dLbl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Графики!$A$108:$A$119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Графики!$D$108:$D$119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34-4914-9996-5C7A857CAFF6}"/>
            </c:ext>
          </c:extLst>
        </c:ser>
        <c:ser>
          <c:idx val="1"/>
          <c:order val="1"/>
          <c:tx>
            <c:v>КИО факт</c:v>
          </c:tx>
          <c:marker>
            <c:symbol val="none"/>
          </c:marker>
          <c:dLbls>
            <c:dLbl>
              <c:idx val="0"/>
              <c:layout>
                <c:manualLayout>
                  <c:x val="-5.0253135024788571E-2"/>
                  <c:y val="3.2803656552276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334-4914-9996-5C7A857CAFF6}"/>
                </c:ext>
              </c:extLst>
            </c:dLbl>
            <c:dLbl>
              <c:idx val="1"/>
              <c:layout>
                <c:manualLayout>
                  <c:x val="-4.7783999222319434E-2"/>
                  <c:y val="3.28036565522766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334-4914-9996-5C7A857CAFF6}"/>
                </c:ext>
              </c:extLst>
            </c:dLbl>
            <c:dLbl>
              <c:idx val="2"/>
              <c:layout>
                <c:manualLayout>
                  <c:x val="-6.2598814037134298E-2"/>
                  <c:y val="2.86499701555996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334-4914-9996-5C7A857CAFF6}"/>
                </c:ext>
              </c:extLst>
            </c:dLbl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Графики!$A$108:$A$119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Графики!$E$108:$E$119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334-4914-9996-5C7A857CA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6702543"/>
        <c:axId val="1"/>
      </c:lineChart>
      <c:catAx>
        <c:axId val="2036702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2036702543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5.2476718188004277E-2"/>
          <c:y val="0.85343439546692168"/>
          <c:w val="0.88139515893846598"/>
          <c:h val="7.179924939289128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69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КТГ Погрузчики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242469691288591"/>
          <c:y val="0.18081659910854334"/>
          <c:w val="0.87349273246849357"/>
          <c:h val="0.47398782689874586"/>
        </c:manualLayout>
      </c:layout>
      <c:lineChart>
        <c:grouping val="standard"/>
        <c:varyColors val="0"/>
        <c:ser>
          <c:idx val="0"/>
          <c:order val="0"/>
          <c:tx>
            <c:v>КТГ план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1488147314918978E-2"/>
                  <c:y val="3.35600801379117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030-4630-93C0-692911809B3B}"/>
                </c:ext>
              </c:extLst>
            </c:dLbl>
            <c:dLbl>
              <c:idx val="1"/>
              <c:layout>
                <c:manualLayout>
                  <c:x val="-5.9424655251426907E-2"/>
                  <c:y val="3.35600801379117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030-4630-93C0-692911809B3B}"/>
                </c:ext>
              </c:extLst>
            </c:dLbl>
            <c:dLbl>
              <c:idx val="2"/>
              <c:layout>
                <c:manualLayout>
                  <c:x val="-5.4133649960421616E-2"/>
                  <c:y val="3.35600801379117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030-4630-93C0-692911809B3B}"/>
                </c:ext>
              </c:extLst>
            </c:dLbl>
            <c:dLbl>
              <c:idx val="3"/>
              <c:layout>
                <c:manualLayout>
                  <c:x val="-5.4133649960421616E-2"/>
                  <c:y val="2.96153069623693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030-4630-93C0-692911809B3B}"/>
                </c:ext>
              </c:extLst>
            </c:dLbl>
            <c:dLbl>
              <c:idx val="4"/>
              <c:layout>
                <c:manualLayout>
                  <c:x val="-5.677915260592431E-2"/>
                  <c:y val="3.35600801379117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030-4630-93C0-692911809B3B}"/>
                </c:ext>
              </c:extLst>
            </c:dLbl>
            <c:dLbl>
              <c:idx val="5"/>
              <c:layout>
                <c:manualLayout>
                  <c:x val="-6.4715660542432191E-2"/>
                  <c:y val="3.35600801379117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030-4630-93C0-692911809B3B}"/>
                </c:ext>
              </c:extLst>
            </c:dLbl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Графики!$A$135:$A$146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Графики!$B$135:$B$146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030-4630-93C0-692911809B3B}"/>
            </c:ext>
          </c:extLst>
        </c:ser>
        <c:ser>
          <c:idx val="1"/>
          <c:order val="1"/>
          <c:tx>
            <c:v>КТГ факт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5.4133649960421616E-2"/>
                  <c:y val="-4.92801565484787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030-4630-93C0-692911809B3B}"/>
                </c:ext>
              </c:extLst>
            </c:dLbl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Графики!$A$135:$A$146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Графики!$C$135:$C$146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030-4630-93C0-692911809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6702959"/>
        <c:axId val="1"/>
      </c:lineChart>
      <c:catAx>
        <c:axId val="2036702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20367029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4.0678873474149065E-2"/>
          <c:y val="0.86621099877308227"/>
          <c:w val="0.88969545473482492"/>
          <c:h val="8.226001335631860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69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КИО Погрузчики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461517031041511"/>
          <c:y val="0.18015782832870486"/>
          <c:w val="0.85778706432645635"/>
          <c:h val="0.5001906591912455"/>
        </c:manualLayout>
      </c:layout>
      <c:lineChart>
        <c:grouping val="standard"/>
        <c:varyColors val="0"/>
        <c:ser>
          <c:idx val="0"/>
          <c:order val="0"/>
          <c:tx>
            <c:v>КИО план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4.1337149240525728E-2"/>
                  <c:y val="-4.17612723782661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633-4D7A-BB6F-C25CFEA087D4}"/>
                </c:ext>
              </c:extLst>
            </c:dLbl>
            <c:dLbl>
              <c:idx val="2"/>
              <c:layout>
                <c:manualLayout>
                  <c:x val="-4.3848134802358746E-2"/>
                  <c:y val="2.9880518666509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633-4D7A-BB6F-C25CFEA087D4}"/>
                </c:ext>
              </c:extLst>
            </c:dLbl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Графики!$A$135:$A$146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Графики!$D$135:$D$146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33-4D7A-BB6F-C25CFEA087D4}"/>
            </c:ext>
          </c:extLst>
        </c:ser>
        <c:ser>
          <c:idx val="1"/>
          <c:order val="1"/>
          <c:tx>
            <c:v>КИО факт</c:v>
          </c:tx>
          <c:marker>
            <c:symbol val="none"/>
          </c:marker>
          <c:dLbls>
            <c:dLbl>
              <c:idx val="0"/>
              <c:layout>
                <c:manualLayout>
                  <c:x val="-5.6126854199722208E-2"/>
                  <c:y val="3.14327574724800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633-4D7A-BB6F-C25CFEA087D4}"/>
                </c:ext>
              </c:extLst>
            </c:dLbl>
            <c:dLbl>
              <c:idx val="1"/>
              <c:layout>
                <c:manualLayout>
                  <c:x val="-5.1104883076056193E-2"/>
                  <c:y val="3.14327574724801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633-4D7A-BB6F-C25CFEA087D4}"/>
                </c:ext>
              </c:extLst>
            </c:dLbl>
            <c:dLbl>
              <c:idx val="2"/>
              <c:layout>
                <c:manualLayout>
                  <c:x val="-4.8593897514223154E-2"/>
                  <c:y val="-5.61294315822462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633-4D7A-BB6F-C25CFEA087D4}"/>
                </c:ext>
              </c:extLst>
            </c:dLbl>
            <c:dLbl>
              <c:idx val="3"/>
              <c:layout>
                <c:manualLayout>
                  <c:x val="-5.8637839761555233E-2"/>
                  <c:y val="4.33730559799428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633-4D7A-BB6F-C25CFEA087D4}"/>
                </c:ext>
              </c:extLst>
            </c:dLbl>
            <c:dLbl>
              <c:idx val="4"/>
              <c:layout>
                <c:manualLayout>
                  <c:x val="-4.6082911952390129E-2"/>
                  <c:y val="4.33730559799428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633-4D7A-BB6F-C25CFEA087D4}"/>
                </c:ext>
              </c:extLst>
            </c:dLbl>
            <c:dLbl>
              <c:idx val="5"/>
              <c:layout>
                <c:manualLayout>
                  <c:x val="-5.1104883076056172E-2"/>
                  <c:y val="-4.02090335722960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633-4D7A-BB6F-C25CFEA087D4}"/>
                </c:ext>
              </c:extLst>
            </c:dLbl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Графики!$A$135:$A$146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Графики!$E$135:$E$146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633-4D7A-BB6F-C25CFEA08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6702127"/>
        <c:axId val="1"/>
      </c:lineChart>
      <c:catAx>
        <c:axId val="203670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203670212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5.2476632511331563E-2"/>
          <c:y val="0.85534375367258197"/>
          <c:w val="0.88126814656642494"/>
          <c:h val="6.9034355780154377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69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 orientation="portrait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КТГ БЕЛАЗ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713376232670654"/>
          <c:y val="0.18081654055448415"/>
          <c:w val="0.87349273246849357"/>
          <c:h val="0.53351174853143368"/>
        </c:manualLayout>
      </c:layout>
      <c:lineChart>
        <c:grouping val="standard"/>
        <c:varyColors val="0"/>
        <c:ser>
          <c:idx val="0"/>
          <c:order val="0"/>
          <c:tx>
            <c:v>КТГ план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118348372133958E-2"/>
                  <c:y val="3.37598425196850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C16-4E79-86D0-DCE167F41720}"/>
                </c:ext>
              </c:extLst>
            </c:dLbl>
            <c:dLbl>
              <c:idx val="1"/>
              <c:layout>
                <c:manualLayout>
                  <c:x val="-5.1183483721339587E-2"/>
                  <c:y val="3.77280964879390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C16-4E79-86D0-DCE167F41720}"/>
                </c:ext>
              </c:extLst>
            </c:dLbl>
            <c:dLbl>
              <c:idx val="2"/>
              <c:layout>
                <c:manualLayout>
                  <c:x val="-6.4332727639814249E-2"/>
                  <c:y val="3.37598425196849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C16-4E79-86D0-DCE167F41720}"/>
                </c:ext>
              </c:extLst>
            </c:dLbl>
            <c:dLbl>
              <c:idx val="3"/>
              <c:layout>
                <c:manualLayout>
                  <c:x val="-6.6962576423509196E-2"/>
                  <c:y val="2.9791588551431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C16-4E79-86D0-DCE167F41720}"/>
                </c:ext>
              </c:extLst>
            </c:dLbl>
            <c:dLbl>
              <c:idx val="4"/>
              <c:layout>
                <c:manualLayout>
                  <c:x val="-5.3813332505034554E-2"/>
                  <c:y val="2.18550806149230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C16-4E79-86D0-DCE167F41720}"/>
                </c:ext>
              </c:extLst>
            </c:dLbl>
            <c:dLbl>
              <c:idx val="5"/>
              <c:layout>
                <c:manualLayout>
                  <c:x val="-6.1702878856119317E-2"/>
                  <c:y val="2.58233345831770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C16-4E79-86D0-DCE167F41720}"/>
                </c:ext>
              </c:extLst>
            </c:dLbl>
            <c:dLbl>
              <c:idx val="6"/>
              <c:layout>
                <c:manualLayout>
                  <c:x val="-6.6962576423509196E-2"/>
                  <c:y val="2.58233345831770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C16-4E79-86D0-DCE167F41720}"/>
                </c:ext>
              </c:extLst>
            </c:dLbl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Графики!$A$55:$A$66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Графики!$B$55:$B$66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C16-4E79-86D0-DCE167F41720}"/>
            </c:ext>
          </c:extLst>
        </c:ser>
        <c:ser>
          <c:idx val="1"/>
          <c:order val="1"/>
          <c:tx>
            <c:v>КТГ факт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Графики!$A$55:$A$66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Графики!$C$55:$C$66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C16-4E79-86D0-DCE167F41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6700463"/>
        <c:axId val="1"/>
      </c:lineChart>
      <c:catAx>
        <c:axId val="2036700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2036700463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3.5731154907411723E-2"/>
          <c:y val="0.89002030996125492"/>
          <c:w val="0.88969544487412444"/>
          <c:h val="8.226034245719282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69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КИО БЕЛАЗ</a:t>
            </a:r>
          </a:p>
        </c:rich>
      </c:tx>
      <c:layout>
        <c:manualLayout>
          <c:xMode val="edge"/>
          <c:yMode val="edge"/>
          <c:x val="0.42326319379569077"/>
          <c:y val="2.514559940362484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461517031041511"/>
          <c:y val="0.18015782832870486"/>
          <c:w val="0.85778706432645635"/>
          <c:h val="0.53174890120983398"/>
        </c:manualLayout>
      </c:layout>
      <c:lineChart>
        <c:grouping val="standard"/>
        <c:varyColors val="0"/>
        <c:ser>
          <c:idx val="0"/>
          <c:order val="0"/>
          <c:tx>
            <c:v>КИО план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Графики!$A$55:$A$66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Графики!$D$55:$D$67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BE-4786-B4D0-D26D27A57AC6}"/>
            </c:ext>
          </c:extLst>
        </c:ser>
        <c:ser>
          <c:idx val="1"/>
          <c:order val="1"/>
          <c:tx>
            <c:v>КИО факт</c:v>
          </c:tx>
          <c:marker>
            <c:symbol val="none"/>
          </c:marker>
          <c:dLbls>
            <c:numFmt formatCode="#,##0.0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FF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Графики!$A$55:$A$66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Графики!$E$55:$E$66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BE-4786-B4D0-D26D27A57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6701711"/>
        <c:axId val="1"/>
      </c:lineChart>
      <c:catAx>
        <c:axId val="2036701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203670171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4.9965646949498545E-2"/>
          <c:y val="0.88729099690940993"/>
          <c:w val="0.86620223319542677"/>
          <c:h val="7.3261271335165912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69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14</xdr:row>
      <xdr:rowOff>38100</xdr:rowOff>
    </xdr:from>
    <xdr:to>
      <xdr:col>2</xdr:col>
      <xdr:colOff>2295525</xdr:colOff>
      <xdr:row>25</xdr:row>
      <xdr:rowOff>809625</xdr:rowOff>
    </xdr:to>
    <xdr:graphicFrame macro="">
      <xdr:nvGraphicFramePr>
        <xdr:cNvPr id="1349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9525</xdr:colOff>
      <xdr:row>14</xdr:row>
      <xdr:rowOff>38100</xdr:rowOff>
    </xdr:from>
    <xdr:to>
      <xdr:col>5</xdr:col>
      <xdr:colOff>371475</xdr:colOff>
      <xdr:row>25</xdr:row>
      <xdr:rowOff>809625</xdr:rowOff>
    </xdr:to>
    <xdr:graphicFrame macro="">
      <xdr:nvGraphicFramePr>
        <xdr:cNvPr id="1350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</xdr:colOff>
      <xdr:row>39</xdr:row>
      <xdr:rowOff>19050</xdr:rowOff>
    </xdr:from>
    <xdr:to>
      <xdr:col>2</xdr:col>
      <xdr:colOff>2295525</xdr:colOff>
      <xdr:row>52</xdr:row>
      <xdr:rowOff>657225</xdr:rowOff>
    </xdr:to>
    <xdr:graphicFrame macro="">
      <xdr:nvGraphicFramePr>
        <xdr:cNvPr id="1351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39</xdr:row>
      <xdr:rowOff>9525</xdr:rowOff>
    </xdr:from>
    <xdr:to>
      <xdr:col>5</xdr:col>
      <xdr:colOff>295275</xdr:colOff>
      <xdr:row>52</xdr:row>
      <xdr:rowOff>657225</xdr:rowOff>
    </xdr:to>
    <xdr:graphicFrame macro="">
      <xdr:nvGraphicFramePr>
        <xdr:cNvPr id="1352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19050</xdr:colOff>
      <xdr:row>92</xdr:row>
      <xdr:rowOff>28575</xdr:rowOff>
    </xdr:from>
    <xdr:to>
      <xdr:col>3</xdr:col>
      <xdr:colOff>9525</xdr:colOff>
      <xdr:row>105</xdr:row>
      <xdr:rowOff>752475</xdr:rowOff>
    </xdr:to>
    <xdr:graphicFrame macro="">
      <xdr:nvGraphicFramePr>
        <xdr:cNvPr id="1353" name="Диаграмма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28575</xdr:colOff>
      <xdr:row>92</xdr:row>
      <xdr:rowOff>28575</xdr:rowOff>
    </xdr:from>
    <xdr:to>
      <xdr:col>5</xdr:col>
      <xdr:colOff>428625</xdr:colOff>
      <xdr:row>105</xdr:row>
      <xdr:rowOff>742950</xdr:rowOff>
    </xdr:to>
    <xdr:graphicFrame macro="">
      <xdr:nvGraphicFramePr>
        <xdr:cNvPr id="1354" name="Диаграмма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28575</xdr:colOff>
      <xdr:row>119</xdr:row>
      <xdr:rowOff>19050</xdr:rowOff>
    </xdr:from>
    <xdr:to>
      <xdr:col>3</xdr:col>
      <xdr:colOff>9525</xdr:colOff>
      <xdr:row>132</xdr:row>
      <xdr:rowOff>590550</xdr:rowOff>
    </xdr:to>
    <xdr:graphicFrame macro="">
      <xdr:nvGraphicFramePr>
        <xdr:cNvPr id="1355" name="Диаграмма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28575</xdr:colOff>
      <xdr:row>119</xdr:row>
      <xdr:rowOff>19050</xdr:rowOff>
    </xdr:from>
    <xdr:to>
      <xdr:col>5</xdr:col>
      <xdr:colOff>400050</xdr:colOff>
      <xdr:row>132</xdr:row>
      <xdr:rowOff>600075</xdr:rowOff>
    </xdr:to>
    <xdr:graphicFrame macro="">
      <xdr:nvGraphicFramePr>
        <xdr:cNvPr id="1356" name="Диаграмма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28575</xdr:colOff>
      <xdr:row>146</xdr:row>
      <xdr:rowOff>38100</xdr:rowOff>
    </xdr:from>
    <xdr:to>
      <xdr:col>2</xdr:col>
      <xdr:colOff>2305050</xdr:colOff>
      <xdr:row>163</xdr:row>
      <xdr:rowOff>19050</xdr:rowOff>
    </xdr:to>
    <xdr:graphicFrame macro="">
      <xdr:nvGraphicFramePr>
        <xdr:cNvPr id="1357" name="Диаграмма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9525</xdr:colOff>
      <xdr:row>146</xdr:row>
      <xdr:rowOff>47625</xdr:rowOff>
    </xdr:from>
    <xdr:to>
      <xdr:col>5</xdr:col>
      <xdr:colOff>295275</xdr:colOff>
      <xdr:row>163</xdr:row>
      <xdr:rowOff>0</xdr:rowOff>
    </xdr:to>
    <xdr:graphicFrame macro="">
      <xdr:nvGraphicFramePr>
        <xdr:cNvPr id="1358" name="Диаграмма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66</xdr:row>
      <xdr:rowOff>19050</xdr:rowOff>
    </xdr:from>
    <xdr:to>
      <xdr:col>2</xdr:col>
      <xdr:colOff>2314575</xdr:colOff>
      <xdr:row>78</xdr:row>
      <xdr:rowOff>933450</xdr:rowOff>
    </xdr:to>
    <xdr:graphicFrame macro="">
      <xdr:nvGraphicFramePr>
        <xdr:cNvPr id="1359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</xdr:col>
      <xdr:colOff>0</xdr:colOff>
      <xdr:row>66</xdr:row>
      <xdr:rowOff>9525</xdr:rowOff>
    </xdr:from>
    <xdr:to>
      <xdr:col>5</xdr:col>
      <xdr:colOff>285750</xdr:colOff>
      <xdr:row>78</xdr:row>
      <xdr:rowOff>942975</xdr:rowOff>
    </xdr:to>
    <xdr:graphicFrame macro="">
      <xdr:nvGraphicFramePr>
        <xdr:cNvPr id="1360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14</xdr:row>
      <xdr:rowOff>19049</xdr:rowOff>
    </xdr:from>
    <xdr:to>
      <xdr:col>2</xdr:col>
      <xdr:colOff>2095500</xdr:colOff>
      <xdr:row>25</xdr:row>
      <xdr:rowOff>628650</xdr:rowOff>
    </xdr:to>
    <xdr:graphicFrame macro="">
      <xdr:nvGraphicFramePr>
        <xdr:cNvPr id="14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2105026</xdr:colOff>
      <xdr:row>14</xdr:row>
      <xdr:rowOff>9526</xdr:rowOff>
    </xdr:from>
    <xdr:to>
      <xdr:col>5</xdr:col>
      <xdr:colOff>66675</xdr:colOff>
      <xdr:row>25</xdr:row>
      <xdr:rowOff>619126</xdr:rowOff>
    </xdr:to>
    <xdr:graphicFrame macro="">
      <xdr:nvGraphicFramePr>
        <xdr:cNvPr id="15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19050</xdr:colOff>
      <xdr:row>39</xdr:row>
      <xdr:rowOff>19050</xdr:rowOff>
    </xdr:from>
    <xdr:to>
      <xdr:col>2</xdr:col>
      <xdr:colOff>2295525</xdr:colOff>
      <xdr:row>52</xdr:row>
      <xdr:rowOff>657225</xdr:rowOff>
    </xdr:to>
    <xdr:graphicFrame macro="">
      <xdr:nvGraphicFramePr>
        <xdr:cNvPr id="16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</xdr:col>
      <xdr:colOff>0</xdr:colOff>
      <xdr:row>39</xdr:row>
      <xdr:rowOff>9525</xdr:rowOff>
    </xdr:from>
    <xdr:to>
      <xdr:col>5</xdr:col>
      <xdr:colOff>295275</xdr:colOff>
      <xdr:row>52</xdr:row>
      <xdr:rowOff>657225</xdr:rowOff>
    </xdr:to>
    <xdr:graphicFrame macro="">
      <xdr:nvGraphicFramePr>
        <xdr:cNvPr id="17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19050</xdr:colOff>
      <xdr:row>92</xdr:row>
      <xdr:rowOff>28575</xdr:rowOff>
    </xdr:from>
    <xdr:to>
      <xdr:col>3</xdr:col>
      <xdr:colOff>9525</xdr:colOff>
      <xdr:row>105</xdr:row>
      <xdr:rowOff>752475</xdr:rowOff>
    </xdr:to>
    <xdr:graphicFrame macro="">
      <xdr:nvGraphicFramePr>
        <xdr:cNvPr id="18" name="Диаграмма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</xdr:col>
      <xdr:colOff>28575</xdr:colOff>
      <xdr:row>92</xdr:row>
      <xdr:rowOff>28575</xdr:rowOff>
    </xdr:from>
    <xdr:to>
      <xdr:col>5</xdr:col>
      <xdr:colOff>428625</xdr:colOff>
      <xdr:row>105</xdr:row>
      <xdr:rowOff>742950</xdr:rowOff>
    </xdr:to>
    <xdr:graphicFrame macro="">
      <xdr:nvGraphicFramePr>
        <xdr:cNvPr id="19" name="Диаграмма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28575</xdr:colOff>
      <xdr:row>119</xdr:row>
      <xdr:rowOff>19050</xdr:rowOff>
    </xdr:from>
    <xdr:to>
      <xdr:col>3</xdr:col>
      <xdr:colOff>9525</xdr:colOff>
      <xdr:row>132</xdr:row>
      <xdr:rowOff>590550</xdr:rowOff>
    </xdr:to>
    <xdr:graphicFrame macro="">
      <xdr:nvGraphicFramePr>
        <xdr:cNvPr id="20" name="Диаграмма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3</xdr:col>
      <xdr:colOff>28575</xdr:colOff>
      <xdr:row>119</xdr:row>
      <xdr:rowOff>19050</xdr:rowOff>
    </xdr:from>
    <xdr:to>
      <xdr:col>5</xdr:col>
      <xdr:colOff>400050</xdr:colOff>
      <xdr:row>132</xdr:row>
      <xdr:rowOff>600075</xdr:rowOff>
    </xdr:to>
    <xdr:graphicFrame macro="">
      <xdr:nvGraphicFramePr>
        <xdr:cNvPr id="21" name="Диаграмма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28575</xdr:colOff>
      <xdr:row>146</xdr:row>
      <xdr:rowOff>38100</xdr:rowOff>
    </xdr:from>
    <xdr:to>
      <xdr:col>3</xdr:col>
      <xdr:colOff>0</xdr:colOff>
      <xdr:row>163</xdr:row>
      <xdr:rowOff>19050</xdr:rowOff>
    </xdr:to>
    <xdr:graphicFrame macro="">
      <xdr:nvGraphicFramePr>
        <xdr:cNvPr id="22" name="Диаграмма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3</xdr:col>
      <xdr:colOff>9525</xdr:colOff>
      <xdr:row>146</xdr:row>
      <xdr:rowOff>47625</xdr:rowOff>
    </xdr:from>
    <xdr:to>
      <xdr:col>5</xdr:col>
      <xdr:colOff>295275</xdr:colOff>
      <xdr:row>163</xdr:row>
      <xdr:rowOff>0</xdr:rowOff>
    </xdr:to>
    <xdr:graphicFrame macro="">
      <xdr:nvGraphicFramePr>
        <xdr:cNvPr id="23" name="Диаграмма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0</xdr:colOff>
      <xdr:row>66</xdr:row>
      <xdr:rowOff>19050</xdr:rowOff>
    </xdr:from>
    <xdr:to>
      <xdr:col>3</xdr:col>
      <xdr:colOff>0</xdr:colOff>
      <xdr:row>78</xdr:row>
      <xdr:rowOff>933450</xdr:rowOff>
    </xdr:to>
    <xdr:graphicFrame macro="">
      <xdr:nvGraphicFramePr>
        <xdr:cNvPr id="24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</xdr:col>
      <xdr:colOff>0</xdr:colOff>
      <xdr:row>66</xdr:row>
      <xdr:rowOff>9525</xdr:rowOff>
    </xdr:from>
    <xdr:to>
      <xdr:col>5</xdr:col>
      <xdr:colOff>285750</xdr:colOff>
      <xdr:row>78</xdr:row>
      <xdr:rowOff>942975</xdr:rowOff>
    </xdr:to>
    <xdr:graphicFrame macro="">
      <xdr:nvGraphicFramePr>
        <xdr:cNvPr id="25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9"/>
  <sheetViews>
    <sheetView showZeros="0" tabSelected="1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9" sqref="A9:BB9"/>
    </sheetView>
  </sheetViews>
  <sheetFormatPr defaultRowHeight="14.25" x14ac:dyDescent="0.25"/>
  <cols>
    <col min="1" max="1" width="30.7109375" style="2" customWidth="1"/>
    <col min="2" max="2" width="10.7109375" style="2" customWidth="1"/>
    <col min="3" max="3" width="9.7109375" style="3" customWidth="1"/>
    <col min="4" max="5" width="9.7109375" style="2" customWidth="1"/>
    <col min="6" max="7" width="9.7109375" style="1" customWidth="1"/>
    <col min="8" max="9" width="9.7109375" style="5" customWidth="1"/>
    <col min="10" max="10" width="8.7109375" style="5" customWidth="1"/>
    <col min="11" max="12" width="14.7109375" style="5" customWidth="1"/>
    <col min="13" max="13" width="9.7109375" style="4" customWidth="1"/>
    <col min="14" max="15" width="9.7109375" style="5" customWidth="1"/>
    <col min="16" max="20" width="9.7109375" style="2" customWidth="1"/>
    <col min="21" max="24" width="9.7109375" style="1" customWidth="1"/>
    <col min="25" max="54" width="9.7109375" style="2" customWidth="1"/>
    <col min="55" max="16384" width="9.140625" style="2"/>
  </cols>
  <sheetData>
    <row r="1" spans="1:55" ht="12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/>
      <c r="AJ1"/>
      <c r="AK1"/>
      <c r="AL1"/>
      <c r="AM1"/>
    </row>
    <row r="2" spans="1:55" ht="12.75" customHeight="1" x14ac:dyDescent="0.25">
      <c r="A2" s="11" t="s">
        <v>134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X2" s="11" t="s">
        <v>56</v>
      </c>
      <c r="AY2"/>
      <c r="AZ2"/>
      <c r="BA2"/>
      <c r="BB2"/>
      <c r="BC2"/>
    </row>
    <row r="3" spans="1:55" s="6" customFormat="1" ht="12.75" customHeight="1" x14ac:dyDescent="0.25">
      <c r="A3" s="11" t="s">
        <v>57</v>
      </c>
      <c r="AX3" s="11" t="s">
        <v>65</v>
      </c>
      <c r="AY3"/>
      <c r="AZ3"/>
      <c r="BA3"/>
      <c r="BB3"/>
      <c r="BC3"/>
    </row>
    <row r="4" spans="1:55" s="6" customFormat="1" ht="12.75" customHeight="1" x14ac:dyDescent="0.25">
      <c r="AX4" s="24" t="s">
        <v>123</v>
      </c>
      <c r="AY4"/>
      <c r="AZ4"/>
      <c r="BA4"/>
      <c r="BB4"/>
      <c r="BC4"/>
    </row>
    <row r="5" spans="1:55" s="6" customFormat="1" ht="12.75" customHeight="1" x14ac:dyDescent="0.25">
      <c r="AY5"/>
      <c r="AZ5"/>
      <c r="BA5"/>
      <c r="BB5"/>
      <c r="BC5"/>
    </row>
    <row r="6" spans="1:55" s="6" customFormat="1" ht="15" x14ac:dyDescent="0.25">
      <c r="AX6" s="25" t="s">
        <v>85</v>
      </c>
      <c r="AY6"/>
      <c r="AZ6"/>
      <c r="BA6"/>
      <c r="BB6"/>
      <c r="BC6"/>
    </row>
    <row r="7" spans="1:55" s="6" customFormat="1" ht="15.75" customHeight="1" x14ac:dyDescent="0.2">
      <c r="A7" s="184" t="s">
        <v>58</v>
      </c>
      <c r="B7" s="184"/>
      <c r="C7" s="184"/>
      <c r="D7" s="184"/>
      <c r="E7" s="184"/>
      <c r="F7" s="184"/>
      <c r="G7" s="184"/>
      <c r="H7" s="184"/>
      <c r="I7" s="184"/>
      <c r="J7" s="184"/>
      <c r="K7" s="184"/>
      <c r="L7" s="184"/>
      <c r="M7" s="184"/>
      <c r="N7" s="184"/>
      <c r="O7" s="184"/>
      <c r="P7" s="184"/>
      <c r="Q7" s="184"/>
      <c r="R7" s="184"/>
      <c r="S7" s="184"/>
      <c r="T7" s="184"/>
      <c r="U7" s="184"/>
      <c r="V7" s="184"/>
      <c r="W7" s="184"/>
      <c r="X7" s="184"/>
      <c r="Y7" s="184"/>
      <c r="Z7" s="184"/>
      <c r="AA7" s="184"/>
      <c r="AB7" s="184"/>
      <c r="AC7" s="184"/>
      <c r="AD7" s="184"/>
      <c r="AE7" s="184"/>
      <c r="AF7" s="184"/>
      <c r="AG7" s="184"/>
      <c r="AH7" s="184"/>
      <c r="AI7" s="184"/>
      <c r="AJ7" s="184"/>
      <c r="AK7" s="184"/>
      <c r="AL7" s="184"/>
      <c r="AM7" s="184"/>
      <c r="AN7" s="184"/>
      <c r="AO7" s="184"/>
      <c r="AP7" s="184"/>
      <c r="AQ7" s="184"/>
      <c r="AR7" s="184"/>
      <c r="AS7" s="184"/>
      <c r="AT7" s="184"/>
      <c r="AU7" s="184"/>
      <c r="AV7" s="184"/>
      <c r="AW7" s="184"/>
      <c r="AX7" s="184"/>
      <c r="AY7" s="184"/>
      <c r="AZ7" s="184"/>
      <c r="BA7" s="184"/>
      <c r="BB7" s="184"/>
      <c r="BC7" s="109"/>
    </row>
    <row r="8" spans="1:55" s="6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55" ht="15.75" x14ac:dyDescent="0.25">
      <c r="A9" s="185"/>
      <c r="B9" s="185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  <c r="Z9" s="185"/>
      <c r="AA9" s="185"/>
      <c r="AB9" s="185"/>
      <c r="AC9" s="185"/>
      <c r="AD9" s="185"/>
      <c r="AE9" s="185"/>
      <c r="AF9" s="185"/>
      <c r="AG9" s="185"/>
      <c r="AH9" s="185"/>
      <c r="AI9" s="185"/>
      <c r="AJ9" s="185"/>
      <c r="AK9" s="185"/>
      <c r="AL9" s="185"/>
      <c r="AM9" s="185"/>
      <c r="AN9" s="185"/>
      <c r="AO9" s="185"/>
      <c r="AP9" s="185"/>
      <c r="AQ9" s="185"/>
      <c r="AR9" s="185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08"/>
    </row>
    <row r="10" spans="1:55" s="6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55" ht="12.7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3"/>
      <c r="L11" s="2"/>
      <c r="M11" s="2"/>
      <c r="N11" s="2"/>
      <c r="O11" s="2"/>
      <c r="U11" s="2"/>
      <c r="V11" s="2"/>
      <c r="W11" s="2"/>
      <c r="X11" s="2"/>
    </row>
    <row r="12" spans="1:55" ht="14.25" customHeight="1" x14ac:dyDescent="0.25">
      <c r="A12" s="160" t="s">
        <v>2</v>
      </c>
      <c r="B12" s="163" t="s">
        <v>129</v>
      </c>
      <c r="C12" s="163" t="s">
        <v>3</v>
      </c>
      <c r="D12" s="166" t="s">
        <v>60</v>
      </c>
      <c r="E12" s="155"/>
      <c r="F12" s="154" t="s">
        <v>131</v>
      </c>
      <c r="G12" s="155"/>
      <c r="H12" s="154" t="s">
        <v>1</v>
      </c>
      <c r="I12" s="155"/>
      <c r="J12" s="186" t="s">
        <v>135</v>
      </c>
      <c r="K12" s="154" t="s">
        <v>4</v>
      </c>
      <c r="L12" s="155"/>
      <c r="M12" s="175" t="s">
        <v>62</v>
      </c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  <c r="AA12" s="176"/>
      <c r="AB12" s="176"/>
      <c r="AC12" s="176"/>
      <c r="AD12" s="176"/>
      <c r="AE12" s="176"/>
      <c r="AF12" s="176"/>
      <c r="AG12" s="176"/>
      <c r="AH12" s="176"/>
      <c r="AI12" s="176"/>
      <c r="AJ12" s="176"/>
      <c r="AK12" s="176"/>
      <c r="AL12" s="176"/>
      <c r="AM12" s="176"/>
      <c r="AN12" s="176"/>
      <c r="AO12" s="176"/>
      <c r="AP12" s="177"/>
      <c r="AQ12" s="154" t="s">
        <v>69</v>
      </c>
      <c r="AR12" s="155"/>
      <c r="AS12" s="154" t="s">
        <v>59</v>
      </c>
      <c r="AT12" s="155"/>
      <c r="AU12" s="154" t="s">
        <v>70</v>
      </c>
      <c r="AV12" s="155"/>
      <c r="AW12" s="154" t="s">
        <v>71</v>
      </c>
      <c r="AX12" s="155"/>
      <c r="AY12" s="154" t="s">
        <v>72</v>
      </c>
      <c r="AZ12" s="155"/>
      <c r="BA12" s="182" t="s">
        <v>73</v>
      </c>
      <c r="BB12" s="179" t="s">
        <v>133</v>
      </c>
      <c r="BC12"/>
    </row>
    <row r="13" spans="1:55" ht="14.25" customHeight="1" x14ac:dyDescent="0.25">
      <c r="A13" s="161"/>
      <c r="B13" s="164"/>
      <c r="C13" s="164"/>
      <c r="D13" s="167"/>
      <c r="E13" s="157"/>
      <c r="F13" s="156"/>
      <c r="G13" s="157"/>
      <c r="H13" s="156"/>
      <c r="I13" s="157"/>
      <c r="J13" s="187"/>
      <c r="K13" s="156"/>
      <c r="L13" s="157"/>
      <c r="M13" s="152" t="s">
        <v>5</v>
      </c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  <c r="AA13" s="178"/>
      <c r="AB13" s="153"/>
      <c r="AC13" s="152" t="s">
        <v>6</v>
      </c>
      <c r="AD13" s="178"/>
      <c r="AE13" s="178"/>
      <c r="AF13" s="178"/>
      <c r="AG13" s="178"/>
      <c r="AH13" s="178"/>
      <c r="AI13" s="178"/>
      <c r="AJ13" s="178"/>
      <c r="AK13" s="178"/>
      <c r="AL13" s="178"/>
      <c r="AM13" s="178"/>
      <c r="AN13" s="178"/>
      <c r="AO13" s="178"/>
      <c r="AP13" s="153"/>
      <c r="AQ13" s="156"/>
      <c r="AR13" s="157"/>
      <c r="AS13" s="156"/>
      <c r="AT13" s="157"/>
      <c r="AU13" s="156"/>
      <c r="AV13" s="157"/>
      <c r="AW13" s="156"/>
      <c r="AX13" s="157"/>
      <c r="AY13" s="156"/>
      <c r="AZ13" s="157"/>
      <c r="BA13" s="183"/>
      <c r="BB13" s="180"/>
      <c r="BC13"/>
    </row>
    <row r="14" spans="1:55" ht="63.75" customHeight="1" x14ac:dyDescent="0.25">
      <c r="A14" s="161"/>
      <c r="B14" s="164"/>
      <c r="C14" s="164"/>
      <c r="D14" s="168"/>
      <c r="E14" s="159"/>
      <c r="F14" s="158"/>
      <c r="G14" s="159"/>
      <c r="H14" s="158"/>
      <c r="I14" s="159"/>
      <c r="J14" s="187"/>
      <c r="K14" s="158"/>
      <c r="L14" s="159"/>
      <c r="M14" s="152" t="s">
        <v>10</v>
      </c>
      <c r="N14" s="153"/>
      <c r="O14" s="152" t="s">
        <v>74</v>
      </c>
      <c r="P14" s="153"/>
      <c r="Q14" s="152" t="s">
        <v>75</v>
      </c>
      <c r="R14" s="153"/>
      <c r="S14" s="152" t="s">
        <v>86</v>
      </c>
      <c r="T14" s="153"/>
      <c r="U14" s="152" t="s">
        <v>136</v>
      </c>
      <c r="V14" s="153"/>
      <c r="W14" s="169" t="s">
        <v>132</v>
      </c>
      <c r="X14" s="170"/>
      <c r="Y14" s="152" t="s">
        <v>84</v>
      </c>
      <c r="Z14" s="153"/>
      <c r="AA14" s="152" t="s">
        <v>76</v>
      </c>
      <c r="AB14" s="153"/>
      <c r="AC14" s="152" t="s">
        <v>7</v>
      </c>
      <c r="AD14" s="178"/>
      <c r="AE14" s="178"/>
      <c r="AF14" s="178"/>
      <c r="AG14" s="178"/>
      <c r="AH14" s="178"/>
      <c r="AI14" s="178"/>
      <c r="AJ14" s="153"/>
      <c r="AK14" s="152" t="s">
        <v>8</v>
      </c>
      <c r="AL14" s="178"/>
      <c r="AM14" s="178"/>
      <c r="AN14" s="153"/>
      <c r="AO14" s="171" t="s">
        <v>77</v>
      </c>
      <c r="AP14" s="173" t="s">
        <v>18</v>
      </c>
      <c r="AQ14" s="158"/>
      <c r="AR14" s="159"/>
      <c r="AS14" s="158"/>
      <c r="AT14" s="159"/>
      <c r="AU14" s="158"/>
      <c r="AV14" s="159"/>
      <c r="AW14" s="158"/>
      <c r="AX14" s="159"/>
      <c r="AY14" s="158"/>
      <c r="AZ14" s="159"/>
      <c r="BA14" s="183"/>
      <c r="BB14" s="180"/>
      <c r="BC14"/>
    </row>
    <row r="15" spans="1:55" ht="38.25" customHeight="1" thickBot="1" x14ac:dyDescent="0.3">
      <c r="A15" s="162"/>
      <c r="B15" s="165"/>
      <c r="C15" s="165"/>
      <c r="D15" s="118" t="s">
        <v>61</v>
      </c>
      <c r="E15" s="77" t="s">
        <v>9</v>
      </c>
      <c r="F15" s="77" t="s">
        <v>11</v>
      </c>
      <c r="G15" s="77" t="s">
        <v>130</v>
      </c>
      <c r="H15" s="77" t="s">
        <v>0</v>
      </c>
      <c r="I15" s="77" t="s">
        <v>78</v>
      </c>
      <c r="J15" s="188"/>
      <c r="K15" s="77" t="s">
        <v>61</v>
      </c>
      <c r="L15" s="77" t="s">
        <v>9</v>
      </c>
      <c r="M15" s="77" t="s">
        <v>61</v>
      </c>
      <c r="N15" s="77" t="s">
        <v>9</v>
      </c>
      <c r="O15" s="77" t="s">
        <v>61</v>
      </c>
      <c r="P15" s="77" t="s">
        <v>9</v>
      </c>
      <c r="Q15" s="77" t="s">
        <v>61</v>
      </c>
      <c r="R15" s="77" t="s">
        <v>9</v>
      </c>
      <c r="S15" s="77" t="s">
        <v>61</v>
      </c>
      <c r="T15" s="77" t="s">
        <v>9</v>
      </c>
      <c r="U15" s="77" t="s">
        <v>61</v>
      </c>
      <c r="V15" s="77" t="s">
        <v>9</v>
      </c>
      <c r="W15" s="77" t="s">
        <v>61</v>
      </c>
      <c r="X15" s="77" t="s">
        <v>9</v>
      </c>
      <c r="Y15" s="77" t="s">
        <v>61</v>
      </c>
      <c r="Z15" s="77" t="s">
        <v>9</v>
      </c>
      <c r="AA15" s="77" t="s">
        <v>61</v>
      </c>
      <c r="AB15" s="77" t="s">
        <v>9</v>
      </c>
      <c r="AC15" s="77" t="s">
        <v>11</v>
      </c>
      <c r="AD15" s="77" t="s">
        <v>12</v>
      </c>
      <c r="AE15" s="77" t="s">
        <v>13</v>
      </c>
      <c r="AF15" s="77" t="s">
        <v>14</v>
      </c>
      <c r="AG15" s="77" t="s">
        <v>15</v>
      </c>
      <c r="AH15" s="77" t="s">
        <v>16</v>
      </c>
      <c r="AI15" s="107" t="s">
        <v>18</v>
      </c>
      <c r="AJ15" s="107" t="s">
        <v>17</v>
      </c>
      <c r="AK15" s="77" t="s">
        <v>19</v>
      </c>
      <c r="AL15" s="77" t="s">
        <v>20</v>
      </c>
      <c r="AM15" s="77" t="s">
        <v>21</v>
      </c>
      <c r="AN15" s="77" t="s">
        <v>22</v>
      </c>
      <c r="AO15" s="172"/>
      <c r="AP15" s="174"/>
      <c r="AQ15" s="77" t="s">
        <v>61</v>
      </c>
      <c r="AR15" s="77" t="s">
        <v>9</v>
      </c>
      <c r="AS15" s="77" t="s">
        <v>61</v>
      </c>
      <c r="AT15" s="77" t="s">
        <v>9</v>
      </c>
      <c r="AU15" s="77" t="s">
        <v>61</v>
      </c>
      <c r="AV15" s="77" t="s">
        <v>9</v>
      </c>
      <c r="AW15" s="77" t="s">
        <v>61</v>
      </c>
      <c r="AX15" s="77" t="s">
        <v>9</v>
      </c>
      <c r="AY15" s="77" t="s">
        <v>61</v>
      </c>
      <c r="AZ15" s="77" t="s">
        <v>9</v>
      </c>
      <c r="BA15" s="172"/>
      <c r="BB15" s="181"/>
      <c r="BC15"/>
    </row>
    <row r="16" spans="1:55" ht="15" customHeight="1" thickBot="1" x14ac:dyDescent="0.3">
      <c r="A16" s="106">
        <v>1</v>
      </c>
      <c r="B16" s="106">
        <v>2</v>
      </c>
      <c r="C16" s="106">
        <v>3</v>
      </c>
      <c r="D16" s="105">
        <v>4</v>
      </c>
      <c r="E16" s="78">
        <v>5</v>
      </c>
      <c r="F16" s="78">
        <v>6</v>
      </c>
      <c r="G16" s="78">
        <v>7</v>
      </c>
      <c r="H16" s="78">
        <v>8</v>
      </c>
      <c r="I16" s="78">
        <v>9</v>
      </c>
      <c r="J16" s="78">
        <v>10</v>
      </c>
      <c r="K16" s="78">
        <v>11</v>
      </c>
      <c r="L16" s="78">
        <v>12</v>
      </c>
      <c r="M16" s="78">
        <v>13</v>
      </c>
      <c r="N16" s="78">
        <v>14</v>
      </c>
      <c r="O16" s="78">
        <v>15</v>
      </c>
      <c r="P16" s="78">
        <v>16</v>
      </c>
      <c r="Q16" s="78">
        <v>17</v>
      </c>
      <c r="R16" s="78">
        <v>18</v>
      </c>
      <c r="S16" s="78">
        <v>19</v>
      </c>
      <c r="T16" s="78">
        <v>20</v>
      </c>
      <c r="U16" s="78">
        <v>21</v>
      </c>
      <c r="V16" s="78">
        <v>22</v>
      </c>
      <c r="W16" s="78">
        <v>23</v>
      </c>
      <c r="X16" s="78">
        <v>24</v>
      </c>
      <c r="Y16" s="78">
        <v>25</v>
      </c>
      <c r="Z16" s="78">
        <v>26</v>
      </c>
      <c r="AA16" s="78">
        <v>27</v>
      </c>
      <c r="AB16" s="78">
        <v>28</v>
      </c>
      <c r="AC16" s="78">
        <v>29</v>
      </c>
      <c r="AD16" s="78">
        <v>30</v>
      </c>
      <c r="AE16" s="78">
        <v>31</v>
      </c>
      <c r="AF16" s="78">
        <v>32</v>
      </c>
      <c r="AG16" s="78">
        <v>33</v>
      </c>
      <c r="AH16" s="78">
        <v>34</v>
      </c>
      <c r="AI16" s="78">
        <v>35</v>
      </c>
      <c r="AJ16" s="78">
        <v>36</v>
      </c>
      <c r="AK16" s="78">
        <v>37</v>
      </c>
      <c r="AL16" s="78">
        <v>38</v>
      </c>
      <c r="AM16" s="78">
        <v>39</v>
      </c>
      <c r="AN16" s="78">
        <v>40</v>
      </c>
      <c r="AO16" s="78">
        <v>41</v>
      </c>
      <c r="AP16" s="78">
        <v>42</v>
      </c>
      <c r="AQ16" s="78">
        <v>43</v>
      </c>
      <c r="AR16" s="78">
        <v>44</v>
      </c>
      <c r="AS16" s="78">
        <v>45</v>
      </c>
      <c r="AT16" s="78">
        <v>46</v>
      </c>
      <c r="AU16" s="78">
        <v>47</v>
      </c>
      <c r="AV16" s="78">
        <v>48</v>
      </c>
      <c r="AW16" s="78">
        <v>49</v>
      </c>
      <c r="AX16" s="78">
        <v>50</v>
      </c>
      <c r="AY16" s="78">
        <v>51</v>
      </c>
      <c r="AZ16" s="78">
        <v>52</v>
      </c>
      <c r="BA16" s="78">
        <v>53</v>
      </c>
      <c r="BB16" s="79">
        <v>54</v>
      </c>
      <c r="BC16"/>
    </row>
    <row r="17" spans="1:55" ht="15" customHeight="1" thickBot="1" x14ac:dyDescent="0.3">
      <c r="A17" s="87" t="s">
        <v>79</v>
      </c>
      <c r="B17" s="87"/>
      <c r="C17" s="87"/>
      <c r="D17" s="132">
        <f>AT17*AW17*AU17</f>
        <v>0</v>
      </c>
      <c r="E17" s="129">
        <f>ROUND(AT17*AV17*AX17,4)</f>
        <v>0</v>
      </c>
      <c r="F17" s="129"/>
      <c r="G17" s="129"/>
      <c r="H17" s="131">
        <f>SUM(H18:H23)</f>
        <v>0</v>
      </c>
      <c r="I17" s="131">
        <f>SUM(I18:I23)</f>
        <v>0</v>
      </c>
      <c r="J17" s="88"/>
      <c r="K17" s="130">
        <f>SUM(K18:K23)</f>
        <v>0</v>
      </c>
      <c r="L17" s="130">
        <f>SUM(L18:L23)</f>
        <v>0</v>
      </c>
      <c r="M17" s="129">
        <f>SUM(M18:M23)</f>
        <v>0</v>
      </c>
      <c r="N17" s="129">
        <f t="shared" ref="N17:AO17" si="0">SUM(N18:N23)</f>
        <v>0</v>
      </c>
      <c r="O17" s="129">
        <f t="shared" si="0"/>
        <v>0</v>
      </c>
      <c r="P17" s="129">
        <f t="shared" si="0"/>
        <v>0</v>
      </c>
      <c r="Q17" s="129">
        <f t="shared" si="0"/>
        <v>0</v>
      </c>
      <c r="R17" s="129">
        <f t="shared" si="0"/>
        <v>0</v>
      </c>
      <c r="S17" s="129">
        <f t="shared" si="0"/>
        <v>0</v>
      </c>
      <c r="T17" s="129">
        <f t="shared" si="0"/>
        <v>0</v>
      </c>
      <c r="U17" s="129">
        <f t="shared" si="0"/>
        <v>0</v>
      </c>
      <c r="V17" s="129">
        <f t="shared" si="0"/>
        <v>0</v>
      </c>
      <c r="W17" s="129">
        <f t="shared" si="0"/>
        <v>0</v>
      </c>
      <c r="X17" s="129">
        <f t="shared" si="0"/>
        <v>0</v>
      </c>
      <c r="Y17" s="129">
        <f t="shared" si="0"/>
        <v>0</v>
      </c>
      <c r="Z17" s="129">
        <f t="shared" si="0"/>
        <v>0</v>
      </c>
      <c r="AA17" s="129">
        <f t="shared" si="0"/>
        <v>0</v>
      </c>
      <c r="AB17" s="129">
        <f>SUM(AB18:AB23)</f>
        <v>0</v>
      </c>
      <c r="AC17" s="129">
        <f t="shared" si="0"/>
        <v>0</v>
      </c>
      <c r="AD17" s="129">
        <f t="shared" si="0"/>
        <v>0</v>
      </c>
      <c r="AE17" s="129">
        <f t="shared" si="0"/>
        <v>0</v>
      </c>
      <c r="AF17" s="129">
        <f t="shared" si="0"/>
        <v>0</v>
      </c>
      <c r="AG17" s="129">
        <f t="shared" si="0"/>
        <v>0</v>
      </c>
      <c r="AH17" s="129">
        <f t="shared" si="0"/>
        <v>0</v>
      </c>
      <c r="AI17" s="129">
        <f t="shared" si="0"/>
        <v>0</v>
      </c>
      <c r="AJ17" s="129">
        <f t="shared" si="0"/>
        <v>0</v>
      </c>
      <c r="AK17" s="129">
        <f t="shared" si="0"/>
        <v>0</v>
      </c>
      <c r="AL17" s="129">
        <f t="shared" si="0"/>
        <v>0</v>
      </c>
      <c r="AM17" s="129">
        <f t="shared" si="0"/>
        <v>0</v>
      </c>
      <c r="AN17" s="129">
        <f t="shared" si="0"/>
        <v>0</v>
      </c>
      <c r="AO17" s="129">
        <f t="shared" si="0"/>
        <v>0</v>
      </c>
      <c r="AP17" s="129">
        <f>SUM(AP18:AP23)</f>
        <v>0</v>
      </c>
      <c r="AQ17" s="129">
        <f>M17+O17+S17+U17+W17+AA17+Q17+Y17</f>
        <v>0</v>
      </c>
      <c r="AR17" s="129">
        <f>N17+P17+R17+AC17+AD17+AE17+AF17+AG17+AH17+AI17+AJ17+AK17+AL17+AM17+AN17+AO17+AP17+T17+V17+AB17+X17+Z17</f>
        <v>0</v>
      </c>
      <c r="AS17" s="129">
        <f>SUM(AS18:AS23)</f>
        <v>0</v>
      </c>
      <c r="AT17" s="129">
        <f>SUM(AT18:AT23)</f>
        <v>0</v>
      </c>
      <c r="AU17" s="131">
        <f>IF(AT17-AQ17=0,0,(AT17-M17-O17-Q17)/AT17)</f>
        <v>0</v>
      </c>
      <c r="AV17" s="131">
        <f>IF(AT17=0,0,(AT17-N17-P17-R17-AC17-AD17-AE17-AF17-AG17-AH17-AI17-AJ17-AL17)/AT17)</f>
        <v>0</v>
      </c>
      <c r="AW17" s="131">
        <f>IF(OR(AT17=0,AU17=0),0,((AT17*AU17)-S17-U17-W17-Y17-AA17)/(AT17*AU17))</f>
        <v>0</v>
      </c>
      <c r="AX17" s="131">
        <f>IF(OR(AT17=0,AV17=0),0,((AT17*AV17)-AK17-AM17-AN17-AO17-AP17-T17-V17-X17-Z17-AB17)/(AT17*AV17))</f>
        <v>0</v>
      </c>
      <c r="AY17" s="131">
        <f>IF(K17=0,0,K17/(D17-Y17)/24)</f>
        <v>0</v>
      </c>
      <c r="AZ17" s="131">
        <f t="shared" ref="AY17:AZ22" si="1">IF(L17=0,0,L17/(E17-Z17)/24)</f>
        <v>0</v>
      </c>
      <c r="BA17" s="129">
        <f>ROUND(AT17-E17-AR17,4)</f>
        <v>0</v>
      </c>
      <c r="BB17" s="89"/>
      <c r="BC17"/>
    </row>
    <row r="18" spans="1:55" ht="15" hidden="1" customHeight="1" x14ac:dyDescent="0.25">
      <c r="A18" s="80" t="s">
        <v>23</v>
      </c>
      <c r="B18" s="110">
        <v>22</v>
      </c>
      <c r="C18" s="110">
        <v>22</v>
      </c>
      <c r="D18" s="119">
        <f>AS18*AW18*AU18</f>
        <v>0</v>
      </c>
      <c r="E18" s="17">
        <f>ROUND(AS18*AV18*AX18,4)</f>
        <v>0</v>
      </c>
      <c r="F18" s="81"/>
      <c r="G18" s="81"/>
      <c r="H18" s="82"/>
      <c r="I18" s="82"/>
      <c r="J18" s="83" t="s">
        <v>55</v>
      </c>
      <c r="K18" s="84"/>
      <c r="L18" s="84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>
        <f t="shared" ref="AQ18:AQ58" si="2">M18+O18+S18+U18+W18+AA18+Q18+Y18</f>
        <v>0</v>
      </c>
      <c r="AR18" s="17">
        <f>N18+P18+R18+AC18+AD18+AE18+AF18+AG18+AH18+AI18+AJ18+AK18+AL18+AM18+AN18+AO18+AP18+T18+V18+AB18+X18+Z18</f>
        <v>0</v>
      </c>
      <c r="AS18" s="17">
        <f>AT18</f>
        <v>0</v>
      </c>
      <c r="AT18" s="17"/>
      <c r="AU18" s="18">
        <f t="shared" ref="AU18:AU58" si="3">IF(AT18-AQ18=0,0,(AT18-M18-O18-Q18)/AT18)</f>
        <v>0</v>
      </c>
      <c r="AV18" s="18">
        <f t="shared" ref="AV18:AV58" si="4">IF(AT18=0,0,(AT18-N18-P18-R18-AC18-AD18-AE18-AF18-AG18-AH18-AI18-AJ18-AL18)/AT18)</f>
        <v>0</v>
      </c>
      <c r="AW18" s="18">
        <f t="shared" ref="AW18:AW58" si="5">IF(OR(AT18=0,AU18=0),0,((AT18*AU18)-S18-U18-W18-Y18-AA18)/(AT18*AU18))</f>
        <v>0</v>
      </c>
      <c r="AX18" s="18">
        <f t="shared" ref="AX18:AX58" si="6">IF(OR(AT18=0,AV18=0),0,((AT18*AV18)-AK18-AM18-AN18-AO18-AP18-T18-V18-X18-Z18-AB18)/(AT18*AV18))</f>
        <v>0</v>
      </c>
      <c r="AY18" s="82">
        <f>IF(K18=0,0,K18/(D18-Y18)/24)</f>
        <v>0</v>
      </c>
      <c r="AZ18" s="82">
        <f t="shared" si="1"/>
        <v>0</v>
      </c>
      <c r="BA18" s="85">
        <f>ROUND(AS18-E18-AR18,4)</f>
        <v>0</v>
      </c>
      <c r="BB18" s="86"/>
      <c r="BC18"/>
    </row>
    <row r="19" spans="1:55" ht="15" hidden="1" customHeight="1" x14ac:dyDescent="0.25">
      <c r="A19" s="68" t="s">
        <v>24</v>
      </c>
      <c r="B19" s="111">
        <v>23</v>
      </c>
      <c r="C19" s="111">
        <v>23</v>
      </c>
      <c r="D19" s="119">
        <f t="shared" ref="D19:D23" si="7">AS19*AW19*AU19</f>
        <v>0</v>
      </c>
      <c r="E19" s="17">
        <f t="shared" ref="E19:E22" si="8">ROUND(AS19*AV19*AX19,4)</f>
        <v>0</v>
      </c>
      <c r="F19" s="19"/>
      <c r="G19" s="19"/>
      <c r="H19" s="18"/>
      <c r="I19" s="18"/>
      <c r="J19" s="8" t="s">
        <v>55</v>
      </c>
      <c r="K19" s="20"/>
      <c r="L19" s="20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7">
        <f t="shared" si="2"/>
        <v>0</v>
      </c>
      <c r="AR19" s="15">
        <f>N19+P19+R19+AC19+AD19+AE19+AF19+AG19+AH19+AI19+AJ19+AK19+AL19+AM19+AN19+AO19+AP19+T19+V19+AB19</f>
        <v>0</v>
      </c>
      <c r="AS19" s="17">
        <f t="shared" ref="AS19:AS23" si="9">AT19</f>
        <v>0</v>
      </c>
      <c r="AT19" s="15"/>
      <c r="AU19" s="18">
        <f t="shared" si="3"/>
        <v>0</v>
      </c>
      <c r="AV19" s="18">
        <f t="shared" si="4"/>
        <v>0</v>
      </c>
      <c r="AW19" s="18">
        <f t="shared" si="5"/>
        <v>0</v>
      </c>
      <c r="AX19" s="18">
        <f t="shared" si="6"/>
        <v>0</v>
      </c>
      <c r="AY19" s="18">
        <f t="shared" si="1"/>
        <v>0</v>
      </c>
      <c r="AZ19" s="18">
        <f t="shared" si="1"/>
        <v>0</v>
      </c>
      <c r="BA19" s="74">
        <f>ROUND(AS19-E19-AR19,4)</f>
        <v>0</v>
      </c>
      <c r="BB19" s="75"/>
      <c r="BC19"/>
    </row>
    <row r="20" spans="1:55" ht="15" hidden="1" customHeight="1" x14ac:dyDescent="0.25">
      <c r="A20" s="69" t="s">
        <v>25</v>
      </c>
      <c r="B20" s="112"/>
      <c r="C20" s="112">
        <v>24</v>
      </c>
      <c r="D20" s="119">
        <f t="shared" si="7"/>
        <v>0</v>
      </c>
      <c r="E20" s="17">
        <f t="shared" si="8"/>
        <v>0</v>
      </c>
      <c r="F20" s="19"/>
      <c r="G20" s="19"/>
      <c r="H20" s="18"/>
      <c r="I20" s="18"/>
      <c r="J20" s="8" t="s">
        <v>55</v>
      </c>
      <c r="K20" s="20"/>
      <c r="L20" s="20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7">
        <f t="shared" si="2"/>
        <v>0</v>
      </c>
      <c r="AR20" s="15">
        <f>N20+P20+R20+AC20+AD20+AE20+AF20+AG20+AH20+AI20+AJ20+AK20+AL20+AM20+AN20+AO20+AP20+T20+V20+AB20</f>
        <v>0</v>
      </c>
      <c r="AS20" s="17">
        <f t="shared" si="9"/>
        <v>0</v>
      </c>
      <c r="AT20" s="15"/>
      <c r="AU20" s="18">
        <f t="shared" si="3"/>
        <v>0</v>
      </c>
      <c r="AV20" s="18">
        <f t="shared" si="4"/>
        <v>0</v>
      </c>
      <c r="AW20" s="18">
        <f t="shared" si="5"/>
        <v>0</v>
      </c>
      <c r="AX20" s="18">
        <f t="shared" si="6"/>
        <v>0</v>
      </c>
      <c r="AY20" s="18">
        <f t="shared" si="1"/>
        <v>0</v>
      </c>
      <c r="AZ20" s="18">
        <f t="shared" si="1"/>
        <v>0</v>
      </c>
      <c r="BA20" s="74">
        <f t="shared" ref="BA20:BA22" si="10">ROUND(AS20-E20-AR20,4)</f>
        <v>0</v>
      </c>
      <c r="BB20" s="75"/>
      <c r="BC20"/>
    </row>
    <row r="21" spans="1:55" ht="15" hidden="1" customHeight="1" x14ac:dyDescent="0.25">
      <c r="A21" s="68" t="s">
        <v>26</v>
      </c>
      <c r="B21" s="111"/>
      <c r="C21" s="111">
        <v>24</v>
      </c>
      <c r="D21" s="119">
        <f t="shared" si="7"/>
        <v>0</v>
      </c>
      <c r="E21" s="17">
        <f t="shared" si="8"/>
        <v>0</v>
      </c>
      <c r="F21" s="19"/>
      <c r="G21" s="19"/>
      <c r="H21" s="18"/>
      <c r="I21" s="18"/>
      <c r="J21" s="8" t="s">
        <v>55</v>
      </c>
      <c r="K21" s="20"/>
      <c r="L21" s="20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7">
        <f t="shared" si="2"/>
        <v>0</v>
      </c>
      <c r="AR21" s="15">
        <f>N21+P21+R21+AC21+AD21+AE21+AF21+AG21+AH21+AI21+AJ21+AK21+AL21+AM21+AN21+AO21+AP21+T21+V21+AB21</f>
        <v>0</v>
      </c>
      <c r="AS21" s="17">
        <f>AT21</f>
        <v>0</v>
      </c>
      <c r="AT21" s="15"/>
      <c r="AU21" s="18">
        <f t="shared" si="3"/>
        <v>0</v>
      </c>
      <c r="AV21" s="18">
        <f t="shared" si="4"/>
        <v>0</v>
      </c>
      <c r="AW21" s="18">
        <f t="shared" si="5"/>
        <v>0</v>
      </c>
      <c r="AX21" s="18">
        <f t="shared" si="6"/>
        <v>0</v>
      </c>
      <c r="AY21" s="18">
        <f t="shared" si="1"/>
        <v>0</v>
      </c>
      <c r="AZ21" s="18">
        <f t="shared" si="1"/>
        <v>0</v>
      </c>
      <c r="BA21" s="74">
        <f t="shared" si="10"/>
        <v>0</v>
      </c>
      <c r="BB21" s="75"/>
      <c r="BC21"/>
    </row>
    <row r="22" spans="1:55" ht="15" hidden="1" customHeight="1" x14ac:dyDescent="0.25">
      <c r="A22" s="70" t="s">
        <v>63</v>
      </c>
      <c r="B22" s="113"/>
      <c r="C22" s="113">
        <v>25</v>
      </c>
      <c r="D22" s="119">
        <f t="shared" si="7"/>
        <v>0</v>
      </c>
      <c r="E22" s="17">
        <f t="shared" si="8"/>
        <v>0</v>
      </c>
      <c r="F22" s="19"/>
      <c r="G22" s="19"/>
      <c r="H22" s="18"/>
      <c r="I22" s="18"/>
      <c r="J22" s="8" t="s">
        <v>55</v>
      </c>
      <c r="K22" s="20"/>
      <c r="L22" s="20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7">
        <f t="shared" si="2"/>
        <v>0</v>
      </c>
      <c r="AR22" s="15">
        <f>N22+P22+R22+AC22+AD22+AE22+AF22+AG22+AH22+AI22+AJ22+AK22+AL22+AM22+AN22+AO22+AP22+T22+V22+AB22</f>
        <v>0</v>
      </c>
      <c r="AS22" s="17">
        <f t="shared" si="9"/>
        <v>0</v>
      </c>
      <c r="AT22" s="15"/>
      <c r="AU22" s="18">
        <f t="shared" si="3"/>
        <v>0</v>
      </c>
      <c r="AV22" s="18">
        <f t="shared" si="4"/>
        <v>0</v>
      </c>
      <c r="AW22" s="18">
        <f t="shared" si="5"/>
        <v>0</v>
      </c>
      <c r="AX22" s="18">
        <f t="shared" si="6"/>
        <v>0</v>
      </c>
      <c r="AY22" s="18">
        <f t="shared" si="1"/>
        <v>0</v>
      </c>
      <c r="AZ22" s="18">
        <f t="shared" si="1"/>
        <v>0</v>
      </c>
      <c r="BA22" s="74">
        <f t="shared" si="10"/>
        <v>0</v>
      </c>
      <c r="BB22" s="75"/>
      <c r="BC22"/>
    </row>
    <row r="23" spans="1:55" ht="15" customHeight="1" thickBot="1" x14ac:dyDescent="0.3">
      <c r="A23" s="90" t="s">
        <v>27</v>
      </c>
      <c r="B23" s="123" t="s">
        <v>148</v>
      </c>
      <c r="C23" s="114">
        <v>17</v>
      </c>
      <c r="D23" s="119">
        <f t="shared" si="7"/>
        <v>0</v>
      </c>
      <c r="E23" s="17">
        <f>ROUND(AT23*AV23*AX23,4)</f>
        <v>0</v>
      </c>
      <c r="F23" s="91"/>
      <c r="G23" s="91"/>
      <c r="H23" s="92"/>
      <c r="I23" s="92"/>
      <c r="J23" s="93" t="s">
        <v>55</v>
      </c>
      <c r="K23" s="94"/>
      <c r="L23" s="94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7">
        <f t="shared" si="2"/>
        <v>0</v>
      </c>
      <c r="AR23" s="16">
        <f>N23+P23+R23+AC23+AD23+AE23+AF23+AG23+AH23+AI23+AJ23+AK23+AL23+AM23+AN23+AO23+AP23+T23+V23+X23+Z23+AB23</f>
        <v>0</v>
      </c>
      <c r="AS23" s="17">
        <f t="shared" si="9"/>
        <v>0</v>
      </c>
      <c r="AT23" s="16"/>
      <c r="AU23" s="82">
        <f t="shared" si="3"/>
        <v>0</v>
      </c>
      <c r="AV23" s="82">
        <f t="shared" si="4"/>
        <v>0</v>
      </c>
      <c r="AW23" s="82">
        <f t="shared" si="5"/>
        <v>0</v>
      </c>
      <c r="AX23" s="82">
        <f t="shared" si="6"/>
        <v>0</v>
      </c>
      <c r="AY23" s="92">
        <f>IF(D23=0,0,K23/D23/24)</f>
        <v>0</v>
      </c>
      <c r="AZ23" s="92">
        <f>IF(E23=0,0,L23/E23/24)</f>
        <v>0</v>
      </c>
      <c r="BA23" s="95">
        <f>ROUND(AT23-E23-AR23,4)</f>
        <v>0</v>
      </c>
      <c r="BB23" s="96"/>
      <c r="BC23"/>
    </row>
    <row r="24" spans="1:55" ht="15" customHeight="1" thickBot="1" x14ac:dyDescent="0.3">
      <c r="A24" s="87" t="s">
        <v>80</v>
      </c>
      <c r="B24" s="124"/>
      <c r="C24" s="87"/>
      <c r="D24" s="132">
        <f>AT24*AW24*AU24</f>
        <v>0</v>
      </c>
      <c r="E24" s="129">
        <f>SUM(E26:E27)</f>
        <v>0</v>
      </c>
      <c r="F24" s="129">
        <f>SUM(F25:F41)</f>
        <v>0</v>
      </c>
      <c r="G24" s="129"/>
      <c r="H24" s="131">
        <f>SUM(H25:H41)</f>
        <v>0</v>
      </c>
      <c r="I24" s="131">
        <f>SUM(I25:I41)</f>
        <v>0</v>
      </c>
      <c r="J24" s="88"/>
      <c r="K24" s="130">
        <f>SUM(K25:K41)</f>
        <v>0</v>
      </c>
      <c r="L24" s="130">
        <f>SUM(L25:L41)</f>
        <v>0</v>
      </c>
      <c r="M24" s="129">
        <f>SUM(M25:M41)</f>
        <v>0</v>
      </c>
      <c r="N24" s="129">
        <f t="shared" ref="N24:AO24" si="11">SUM(N25:N41)</f>
        <v>0</v>
      </c>
      <c r="O24" s="129">
        <f t="shared" si="11"/>
        <v>0</v>
      </c>
      <c r="P24" s="129">
        <f t="shared" si="11"/>
        <v>0</v>
      </c>
      <c r="Q24" s="129">
        <f t="shared" si="11"/>
        <v>0</v>
      </c>
      <c r="R24" s="129">
        <f t="shared" si="11"/>
        <v>0</v>
      </c>
      <c r="S24" s="129">
        <f t="shared" si="11"/>
        <v>0</v>
      </c>
      <c r="T24" s="129">
        <f t="shared" si="11"/>
        <v>0</v>
      </c>
      <c r="U24" s="129">
        <f t="shared" si="11"/>
        <v>0</v>
      </c>
      <c r="V24" s="129">
        <f t="shared" si="11"/>
        <v>0</v>
      </c>
      <c r="W24" s="129">
        <f t="shared" si="11"/>
        <v>0</v>
      </c>
      <c r="X24" s="129">
        <f t="shared" si="11"/>
        <v>0</v>
      </c>
      <c r="Y24" s="129">
        <f t="shared" si="11"/>
        <v>0</v>
      </c>
      <c r="Z24" s="129">
        <f t="shared" si="11"/>
        <v>0</v>
      </c>
      <c r="AA24" s="129">
        <f t="shared" si="11"/>
        <v>0</v>
      </c>
      <c r="AB24" s="129">
        <f t="shared" si="11"/>
        <v>0</v>
      </c>
      <c r="AC24" s="129">
        <f t="shared" si="11"/>
        <v>0</v>
      </c>
      <c r="AD24" s="129">
        <f t="shared" si="11"/>
        <v>0</v>
      </c>
      <c r="AE24" s="129">
        <f t="shared" si="11"/>
        <v>0</v>
      </c>
      <c r="AF24" s="129">
        <f t="shared" si="11"/>
        <v>0</v>
      </c>
      <c r="AG24" s="129">
        <f t="shared" si="11"/>
        <v>0</v>
      </c>
      <c r="AH24" s="129">
        <f t="shared" si="11"/>
        <v>0</v>
      </c>
      <c r="AI24" s="129">
        <f t="shared" si="11"/>
        <v>0</v>
      </c>
      <c r="AJ24" s="129">
        <f t="shared" si="11"/>
        <v>0</v>
      </c>
      <c r="AK24" s="129">
        <f t="shared" si="11"/>
        <v>0</v>
      </c>
      <c r="AL24" s="129">
        <f t="shared" si="11"/>
        <v>0</v>
      </c>
      <c r="AM24" s="129">
        <f t="shared" si="11"/>
        <v>0</v>
      </c>
      <c r="AN24" s="129">
        <f t="shared" si="11"/>
        <v>0</v>
      </c>
      <c r="AO24" s="129">
        <f t="shared" si="11"/>
        <v>0</v>
      </c>
      <c r="AP24" s="129">
        <f>SUM(AP25:AP41)</f>
        <v>0</v>
      </c>
      <c r="AQ24" s="129">
        <f t="shared" si="2"/>
        <v>0</v>
      </c>
      <c r="AR24" s="129">
        <f t="shared" ref="AR24:AR58" si="12">N24+P24+R24+AC24+AD24+AE24+AF24+AG24+AH24+AI24+AJ24+AK24+AL24+AM24+AN24+AO24+AP24+T24+V24+X24+Z24+AB24</f>
        <v>0</v>
      </c>
      <c r="AS24" s="129">
        <f>SUM(AS25:AS41)</f>
        <v>0</v>
      </c>
      <c r="AT24" s="129">
        <f>SUM(AT25:AT41)</f>
        <v>0</v>
      </c>
      <c r="AU24" s="131">
        <f t="shared" si="3"/>
        <v>0</v>
      </c>
      <c r="AV24" s="131">
        <f t="shared" si="4"/>
        <v>0</v>
      </c>
      <c r="AW24" s="131">
        <f t="shared" si="5"/>
        <v>0</v>
      </c>
      <c r="AX24" s="131">
        <f t="shared" si="6"/>
        <v>0</v>
      </c>
      <c r="AY24" s="131">
        <f t="shared" ref="AY24:AZ58" si="13">IF(D24=0,0,K24/D24/24)</f>
        <v>0</v>
      </c>
      <c r="AZ24" s="131">
        <f t="shared" si="13"/>
        <v>0</v>
      </c>
      <c r="BA24" s="129">
        <f t="shared" ref="BA24:BA58" si="14">ROUND(AT24-E24-AR24,4)</f>
        <v>0</v>
      </c>
      <c r="BB24" s="99"/>
      <c r="BC24"/>
    </row>
    <row r="25" spans="1:55" ht="15" hidden="1" customHeight="1" x14ac:dyDescent="0.25">
      <c r="A25" s="97" t="s">
        <v>28</v>
      </c>
      <c r="B25" s="115"/>
      <c r="C25" s="115">
        <v>30</v>
      </c>
      <c r="D25" s="121">
        <f>AT25*AU25*AW25</f>
        <v>0</v>
      </c>
      <c r="E25" s="15">
        <f t="shared" ref="E25:E51" si="15">ROUND(AS25*AV25*AX25,4)</f>
        <v>0</v>
      </c>
      <c r="F25" s="81"/>
      <c r="G25" s="81"/>
      <c r="H25" s="82"/>
      <c r="I25" s="82"/>
      <c r="J25" s="98" t="s">
        <v>68</v>
      </c>
      <c r="K25" s="84"/>
      <c r="L25" s="84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>
        <f t="shared" si="2"/>
        <v>0</v>
      </c>
      <c r="AR25" s="16">
        <f t="shared" si="12"/>
        <v>0</v>
      </c>
      <c r="AS25" s="17"/>
      <c r="AT25" s="17"/>
      <c r="AU25" s="92">
        <f t="shared" si="3"/>
        <v>0</v>
      </c>
      <c r="AV25" s="92">
        <f t="shared" si="4"/>
        <v>0</v>
      </c>
      <c r="AW25" s="92">
        <f t="shared" si="5"/>
        <v>0</v>
      </c>
      <c r="AX25" s="92">
        <f t="shared" si="6"/>
        <v>0</v>
      </c>
      <c r="AY25" s="92">
        <f t="shared" si="13"/>
        <v>0</v>
      </c>
      <c r="AZ25" s="92">
        <f t="shared" si="13"/>
        <v>0</v>
      </c>
      <c r="BA25" s="95">
        <f t="shared" si="14"/>
        <v>0</v>
      </c>
      <c r="BB25" s="86"/>
      <c r="BC25"/>
    </row>
    <row r="26" spans="1:55" ht="15" customHeight="1" x14ac:dyDescent="0.25">
      <c r="A26" s="71" t="s">
        <v>29</v>
      </c>
      <c r="B26" s="123" t="s">
        <v>137</v>
      </c>
      <c r="C26" s="112">
        <v>32</v>
      </c>
      <c r="D26" s="121">
        <f>AT26*AU26*AW26</f>
        <v>0</v>
      </c>
      <c r="E26" s="15">
        <f>ROUND(AT26*AV26*AX26,4)</f>
        <v>0</v>
      </c>
      <c r="F26" s="19"/>
      <c r="G26" s="19"/>
      <c r="H26" s="18"/>
      <c r="I26" s="18"/>
      <c r="J26" s="9" t="s">
        <v>68</v>
      </c>
      <c r="K26" s="20"/>
      <c r="L26" s="20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7">
        <f t="shared" si="2"/>
        <v>0</v>
      </c>
      <c r="AR26" s="16">
        <f t="shared" si="12"/>
        <v>0</v>
      </c>
      <c r="AS26" s="16"/>
      <c r="AT26" s="16"/>
      <c r="AU26" s="92">
        <f t="shared" si="3"/>
        <v>0</v>
      </c>
      <c r="AV26" s="92">
        <f t="shared" si="4"/>
        <v>0</v>
      </c>
      <c r="AW26" s="92">
        <f t="shared" si="5"/>
        <v>0</v>
      </c>
      <c r="AX26" s="92">
        <f t="shared" si="6"/>
        <v>0</v>
      </c>
      <c r="AY26" s="92">
        <f t="shared" si="13"/>
        <v>0</v>
      </c>
      <c r="AZ26" s="92">
        <f t="shared" si="13"/>
        <v>0</v>
      </c>
      <c r="BA26" s="95">
        <f t="shared" si="14"/>
        <v>0</v>
      </c>
      <c r="BB26" s="75"/>
      <c r="BC26"/>
    </row>
    <row r="27" spans="1:55" ht="15" customHeight="1" thickBot="1" x14ac:dyDescent="0.3">
      <c r="A27" s="71" t="s">
        <v>30</v>
      </c>
      <c r="B27" s="123" t="s">
        <v>138</v>
      </c>
      <c r="C27" s="112">
        <v>35</v>
      </c>
      <c r="D27" s="121">
        <f>AT27*AU27*AW27</f>
        <v>0</v>
      </c>
      <c r="E27" s="15">
        <f>ROUND(AT27*AV27*AX27,4)</f>
        <v>0</v>
      </c>
      <c r="F27" s="19"/>
      <c r="G27" s="19"/>
      <c r="H27" s="18"/>
      <c r="I27" s="18"/>
      <c r="J27" s="9" t="s">
        <v>68</v>
      </c>
      <c r="K27" s="20"/>
      <c r="L27" s="20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7">
        <f t="shared" si="2"/>
        <v>0</v>
      </c>
      <c r="AR27" s="16">
        <f t="shared" si="12"/>
        <v>0</v>
      </c>
      <c r="AS27" s="16"/>
      <c r="AT27" s="16"/>
      <c r="AU27" s="92">
        <f t="shared" si="3"/>
        <v>0</v>
      </c>
      <c r="AV27" s="92">
        <f t="shared" si="4"/>
        <v>0</v>
      </c>
      <c r="AW27" s="92">
        <f t="shared" si="5"/>
        <v>0</v>
      </c>
      <c r="AX27" s="92">
        <f t="shared" si="6"/>
        <v>0</v>
      </c>
      <c r="AY27" s="92">
        <f t="shared" si="13"/>
        <v>0</v>
      </c>
      <c r="AZ27" s="92">
        <f t="shared" si="13"/>
        <v>0</v>
      </c>
      <c r="BA27" s="95">
        <f t="shared" si="14"/>
        <v>0</v>
      </c>
      <c r="BB27" s="75"/>
      <c r="BC27"/>
    </row>
    <row r="28" spans="1:55" ht="15" hidden="1" customHeight="1" x14ac:dyDescent="0.3">
      <c r="A28" s="72" t="s">
        <v>31</v>
      </c>
      <c r="B28" s="111"/>
      <c r="C28" s="111">
        <v>39</v>
      </c>
      <c r="D28" s="121">
        <f t="shared" ref="D28:D41" si="16">AT28*AU28*AW28</f>
        <v>0</v>
      </c>
      <c r="E28" s="15">
        <f t="shared" si="15"/>
        <v>0</v>
      </c>
      <c r="F28" s="19"/>
      <c r="G28" s="19"/>
      <c r="H28" s="18"/>
      <c r="I28" s="18"/>
      <c r="J28" s="9" t="s">
        <v>68</v>
      </c>
      <c r="K28" s="20"/>
      <c r="L28" s="20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7">
        <f t="shared" si="2"/>
        <v>0</v>
      </c>
      <c r="AR28" s="16">
        <f t="shared" si="12"/>
        <v>0</v>
      </c>
      <c r="AS28" s="15"/>
      <c r="AT28" s="15"/>
      <c r="AU28" s="92">
        <f t="shared" si="3"/>
        <v>0</v>
      </c>
      <c r="AV28" s="92">
        <f t="shared" si="4"/>
        <v>0</v>
      </c>
      <c r="AW28" s="92">
        <f t="shared" si="5"/>
        <v>0</v>
      </c>
      <c r="AX28" s="92">
        <f t="shared" si="6"/>
        <v>0</v>
      </c>
      <c r="AY28" s="92">
        <f t="shared" si="13"/>
        <v>0</v>
      </c>
      <c r="AZ28" s="92">
        <f t="shared" si="13"/>
        <v>0</v>
      </c>
      <c r="BA28" s="95">
        <f t="shared" si="14"/>
        <v>0</v>
      </c>
      <c r="BB28" s="75"/>
      <c r="BC28"/>
    </row>
    <row r="29" spans="1:55" ht="15" hidden="1" customHeight="1" x14ac:dyDescent="0.3">
      <c r="A29" s="72" t="s">
        <v>32</v>
      </c>
      <c r="B29" s="111"/>
      <c r="C29" s="111">
        <v>40</v>
      </c>
      <c r="D29" s="121">
        <f t="shared" si="16"/>
        <v>0</v>
      </c>
      <c r="E29" s="15">
        <f t="shared" si="15"/>
        <v>0</v>
      </c>
      <c r="F29" s="19"/>
      <c r="G29" s="19"/>
      <c r="H29" s="18"/>
      <c r="I29" s="18"/>
      <c r="J29" s="9" t="s">
        <v>68</v>
      </c>
      <c r="K29" s="20"/>
      <c r="L29" s="20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7">
        <f t="shared" si="2"/>
        <v>0</v>
      </c>
      <c r="AR29" s="16">
        <f t="shared" si="12"/>
        <v>0</v>
      </c>
      <c r="AS29" s="15"/>
      <c r="AT29" s="15"/>
      <c r="AU29" s="92">
        <f t="shared" si="3"/>
        <v>0</v>
      </c>
      <c r="AV29" s="92">
        <f t="shared" si="4"/>
        <v>0</v>
      </c>
      <c r="AW29" s="92">
        <f t="shared" si="5"/>
        <v>0</v>
      </c>
      <c r="AX29" s="92">
        <f t="shared" si="6"/>
        <v>0</v>
      </c>
      <c r="AY29" s="92">
        <f t="shared" si="13"/>
        <v>0</v>
      </c>
      <c r="AZ29" s="92">
        <f t="shared" si="13"/>
        <v>0</v>
      </c>
      <c r="BA29" s="95">
        <f t="shared" si="14"/>
        <v>0</v>
      </c>
      <c r="BB29" s="75"/>
      <c r="BC29"/>
    </row>
    <row r="30" spans="1:55" ht="15" hidden="1" customHeight="1" x14ac:dyDescent="0.3">
      <c r="A30" s="72" t="s">
        <v>33</v>
      </c>
      <c r="B30" s="111"/>
      <c r="C30" s="111">
        <v>41</v>
      </c>
      <c r="D30" s="121">
        <f t="shared" si="16"/>
        <v>0</v>
      </c>
      <c r="E30" s="15">
        <f t="shared" si="15"/>
        <v>0</v>
      </c>
      <c r="F30" s="19"/>
      <c r="G30" s="19"/>
      <c r="H30" s="18"/>
      <c r="I30" s="18"/>
      <c r="J30" s="9" t="s">
        <v>68</v>
      </c>
      <c r="K30" s="20"/>
      <c r="L30" s="20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7">
        <f t="shared" si="2"/>
        <v>0</v>
      </c>
      <c r="AR30" s="16">
        <f t="shared" si="12"/>
        <v>0</v>
      </c>
      <c r="AS30" s="15"/>
      <c r="AT30" s="15"/>
      <c r="AU30" s="92">
        <f t="shared" si="3"/>
        <v>0</v>
      </c>
      <c r="AV30" s="92">
        <f t="shared" si="4"/>
        <v>0</v>
      </c>
      <c r="AW30" s="92">
        <f t="shared" si="5"/>
        <v>0</v>
      </c>
      <c r="AX30" s="92">
        <f t="shared" si="6"/>
        <v>0</v>
      </c>
      <c r="AY30" s="92">
        <f t="shared" si="13"/>
        <v>0</v>
      </c>
      <c r="AZ30" s="92">
        <f t="shared" si="13"/>
        <v>0</v>
      </c>
      <c r="BA30" s="95">
        <f t="shared" si="14"/>
        <v>0</v>
      </c>
      <c r="BB30" s="75"/>
      <c r="BC30"/>
    </row>
    <row r="31" spans="1:55" ht="15" hidden="1" customHeight="1" x14ac:dyDescent="0.3">
      <c r="A31" s="72" t="s">
        <v>34</v>
      </c>
      <c r="B31" s="111"/>
      <c r="C31" s="111">
        <v>42</v>
      </c>
      <c r="D31" s="121">
        <f t="shared" si="16"/>
        <v>0</v>
      </c>
      <c r="E31" s="15">
        <f t="shared" si="15"/>
        <v>0</v>
      </c>
      <c r="F31" s="19"/>
      <c r="G31" s="19"/>
      <c r="H31" s="18"/>
      <c r="I31" s="18"/>
      <c r="J31" s="9" t="s">
        <v>68</v>
      </c>
      <c r="K31" s="20"/>
      <c r="L31" s="20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7">
        <f t="shared" si="2"/>
        <v>0</v>
      </c>
      <c r="AR31" s="16">
        <f t="shared" si="12"/>
        <v>0</v>
      </c>
      <c r="AS31" s="15"/>
      <c r="AT31" s="15"/>
      <c r="AU31" s="92">
        <f t="shared" si="3"/>
        <v>0</v>
      </c>
      <c r="AV31" s="92">
        <f t="shared" si="4"/>
        <v>0</v>
      </c>
      <c r="AW31" s="92">
        <f t="shared" si="5"/>
        <v>0</v>
      </c>
      <c r="AX31" s="92">
        <f t="shared" si="6"/>
        <v>0</v>
      </c>
      <c r="AY31" s="92">
        <f t="shared" si="13"/>
        <v>0</v>
      </c>
      <c r="AZ31" s="92">
        <f t="shared" si="13"/>
        <v>0</v>
      </c>
      <c r="BA31" s="95">
        <f t="shared" si="14"/>
        <v>0</v>
      </c>
      <c r="BB31" s="75"/>
      <c r="BC31"/>
    </row>
    <row r="32" spans="1:55" ht="15" hidden="1" customHeight="1" x14ac:dyDescent="0.3">
      <c r="A32" s="72" t="s">
        <v>35</v>
      </c>
      <c r="B32" s="111"/>
      <c r="C32" s="111">
        <v>43</v>
      </c>
      <c r="D32" s="121">
        <f t="shared" si="16"/>
        <v>0</v>
      </c>
      <c r="E32" s="15">
        <f t="shared" si="15"/>
        <v>0</v>
      </c>
      <c r="F32" s="19"/>
      <c r="G32" s="19"/>
      <c r="H32" s="18"/>
      <c r="I32" s="18"/>
      <c r="J32" s="9" t="s">
        <v>68</v>
      </c>
      <c r="K32" s="20"/>
      <c r="L32" s="20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7">
        <f t="shared" si="2"/>
        <v>0</v>
      </c>
      <c r="AR32" s="16">
        <f t="shared" si="12"/>
        <v>0</v>
      </c>
      <c r="AS32" s="15"/>
      <c r="AT32" s="15"/>
      <c r="AU32" s="92">
        <f t="shared" si="3"/>
        <v>0</v>
      </c>
      <c r="AV32" s="92">
        <f t="shared" si="4"/>
        <v>0</v>
      </c>
      <c r="AW32" s="92">
        <f t="shared" si="5"/>
        <v>0</v>
      </c>
      <c r="AX32" s="92">
        <f t="shared" si="6"/>
        <v>0</v>
      </c>
      <c r="AY32" s="92">
        <f t="shared" si="13"/>
        <v>0</v>
      </c>
      <c r="AZ32" s="92">
        <f t="shared" si="13"/>
        <v>0</v>
      </c>
      <c r="BA32" s="95">
        <f t="shared" si="14"/>
        <v>0</v>
      </c>
      <c r="BB32" s="75"/>
      <c r="BC32"/>
    </row>
    <row r="33" spans="1:55" ht="15" hidden="1" customHeight="1" x14ac:dyDescent="0.3">
      <c r="A33" s="72" t="s">
        <v>36</v>
      </c>
      <c r="B33" s="111"/>
      <c r="C33" s="111">
        <v>44</v>
      </c>
      <c r="D33" s="121">
        <f t="shared" si="16"/>
        <v>0</v>
      </c>
      <c r="E33" s="15">
        <f t="shared" si="15"/>
        <v>0</v>
      </c>
      <c r="F33" s="19"/>
      <c r="G33" s="19"/>
      <c r="H33" s="18"/>
      <c r="I33" s="18"/>
      <c r="J33" s="9" t="s">
        <v>68</v>
      </c>
      <c r="K33" s="20"/>
      <c r="L33" s="20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7">
        <f t="shared" si="2"/>
        <v>0</v>
      </c>
      <c r="AR33" s="16">
        <f t="shared" si="12"/>
        <v>0</v>
      </c>
      <c r="AS33" s="15"/>
      <c r="AT33" s="15"/>
      <c r="AU33" s="92">
        <f t="shared" si="3"/>
        <v>0</v>
      </c>
      <c r="AV33" s="92">
        <f t="shared" si="4"/>
        <v>0</v>
      </c>
      <c r="AW33" s="92">
        <f t="shared" si="5"/>
        <v>0</v>
      </c>
      <c r="AX33" s="92">
        <f t="shared" si="6"/>
        <v>0</v>
      </c>
      <c r="AY33" s="92">
        <f t="shared" si="13"/>
        <v>0</v>
      </c>
      <c r="AZ33" s="92">
        <f t="shared" si="13"/>
        <v>0</v>
      </c>
      <c r="BA33" s="95">
        <f t="shared" si="14"/>
        <v>0</v>
      </c>
      <c r="BB33" s="75"/>
      <c r="BC33"/>
    </row>
    <row r="34" spans="1:55" ht="15" hidden="1" customHeight="1" x14ac:dyDescent="0.3">
      <c r="A34" s="72" t="s">
        <v>37</v>
      </c>
      <c r="B34" s="111"/>
      <c r="C34" s="111">
        <v>45</v>
      </c>
      <c r="D34" s="121">
        <f t="shared" si="16"/>
        <v>0</v>
      </c>
      <c r="E34" s="15">
        <f t="shared" si="15"/>
        <v>0</v>
      </c>
      <c r="F34" s="19"/>
      <c r="G34" s="19"/>
      <c r="H34" s="18"/>
      <c r="I34" s="18"/>
      <c r="J34" s="9" t="s">
        <v>68</v>
      </c>
      <c r="K34" s="20"/>
      <c r="L34" s="20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7">
        <f t="shared" si="2"/>
        <v>0</v>
      </c>
      <c r="AR34" s="16">
        <f t="shared" si="12"/>
        <v>0</v>
      </c>
      <c r="AS34" s="15"/>
      <c r="AT34" s="15"/>
      <c r="AU34" s="92">
        <f t="shared" si="3"/>
        <v>0</v>
      </c>
      <c r="AV34" s="92">
        <f t="shared" si="4"/>
        <v>0</v>
      </c>
      <c r="AW34" s="92">
        <f t="shared" si="5"/>
        <v>0</v>
      </c>
      <c r="AX34" s="92">
        <f t="shared" si="6"/>
        <v>0</v>
      </c>
      <c r="AY34" s="92">
        <f t="shared" si="13"/>
        <v>0</v>
      </c>
      <c r="AZ34" s="92">
        <f t="shared" si="13"/>
        <v>0</v>
      </c>
      <c r="BA34" s="95">
        <f t="shared" si="14"/>
        <v>0</v>
      </c>
      <c r="BB34" s="75"/>
      <c r="BC34"/>
    </row>
    <row r="35" spans="1:55" ht="15" hidden="1" customHeight="1" x14ac:dyDescent="0.3">
      <c r="A35" s="72" t="s">
        <v>38</v>
      </c>
      <c r="B35" s="111"/>
      <c r="C35" s="111">
        <v>46</v>
      </c>
      <c r="D35" s="121">
        <f t="shared" si="16"/>
        <v>0</v>
      </c>
      <c r="E35" s="15">
        <f t="shared" si="15"/>
        <v>0</v>
      </c>
      <c r="F35" s="19"/>
      <c r="G35" s="19"/>
      <c r="H35" s="18"/>
      <c r="I35" s="18"/>
      <c r="J35" s="9" t="s">
        <v>68</v>
      </c>
      <c r="K35" s="20"/>
      <c r="L35" s="20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7">
        <f t="shared" si="2"/>
        <v>0</v>
      </c>
      <c r="AR35" s="16">
        <f t="shared" si="12"/>
        <v>0</v>
      </c>
      <c r="AS35" s="15"/>
      <c r="AT35" s="15"/>
      <c r="AU35" s="92">
        <f t="shared" si="3"/>
        <v>0</v>
      </c>
      <c r="AV35" s="92">
        <f t="shared" si="4"/>
        <v>0</v>
      </c>
      <c r="AW35" s="92">
        <f t="shared" si="5"/>
        <v>0</v>
      </c>
      <c r="AX35" s="92">
        <f t="shared" si="6"/>
        <v>0</v>
      </c>
      <c r="AY35" s="92">
        <f t="shared" si="13"/>
        <v>0</v>
      </c>
      <c r="AZ35" s="92">
        <f t="shared" si="13"/>
        <v>0</v>
      </c>
      <c r="BA35" s="95">
        <f t="shared" si="14"/>
        <v>0</v>
      </c>
      <c r="BB35" s="75"/>
      <c r="BC35"/>
    </row>
    <row r="36" spans="1:55" ht="15" hidden="1" customHeight="1" x14ac:dyDescent="0.3">
      <c r="A36" s="72" t="s">
        <v>39</v>
      </c>
      <c r="B36" s="111"/>
      <c r="C36" s="111">
        <v>47</v>
      </c>
      <c r="D36" s="121">
        <f t="shared" si="16"/>
        <v>0</v>
      </c>
      <c r="E36" s="15">
        <f t="shared" si="15"/>
        <v>0</v>
      </c>
      <c r="F36" s="19"/>
      <c r="G36" s="19"/>
      <c r="H36" s="18"/>
      <c r="I36" s="18"/>
      <c r="J36" s="9" t="s">
        <v>68</v>
      </c>
      <c r="K36" s="20"/>
      <c r="L36" s="20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7">
        <f t="shared" si="2"/>
        <v>0</v>
      </c>
      <c r="AR36" s="16">
        <f t="shared" si="12"/>
        <v>0</v>
      </c>
      <c r="AS36" s="15"/>
      <c r="AT36" s="15"/>
      <c r="AU36" s="92">
        <f t="shared" si="3"/>
        <v>0</v>
      </c>
      <c r="AV36" s="92">
        <f t="shared" si="4"/>
        <v>0</v>
      </c>
      <c r="AW36" s="92">
        <f t="shared" si="5"/>
        <v>0</v>
      </c>
      <c r="AX36" s="92">
        <f t="shared" si="6"/>
        <v>0</v>
      </c>
      <c r="AY36" s="92">
        <f t="shared" si="13"/>
        <v>0</v>
      </c>
      <c r="AZ36" s="92">
        <f t="shared" si="13"/>
        <v>0</v>
      </c>
      <c r="BA36" s="95">
        <f t="shared" si="14"/>
        <v>0</v>
      </c>
      <c r="BB36" s="75"/>
      <c r="BC36"/>
    </row>
    <row r="37" spans="1:55" ht="15" hidden="1" customHeight="1" x14ac:dyDescent="0.3">
      <c r="A37" s="72" t="s">
        <v>40</v>
      </c>
      <c r="B37" s="111"/>
      <c r="C37" s="111">
        <v>48</v>
      </c>
      <c r="D37" s="121">
        <f t="shared" si="16"/>
        <v>0</v>
      </c>
      <c r="E37" s="15">
        <f t="shared" si="15"/>
        <v>0</v>
      </c>
      <c r="F37" s="19"/>
      <c r="G37" s="19"/>
      <c r="H37" s="18"/>
      <c r="I37" s="18"/>
      <c r="J37" s="9" t="s">
        <v>68</v>
      </c>
      <c r="K37" s="20"/>
      <c r="L37" s="20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7">
        <f t="shared" si="2"/>
        <v>0</v>
      </c>
      <c r="AR37" s="16">
        <f t="shared" si="12"/>
        <v>0</v>
      </c>
      <c r="AS37" s="15"/>
      <c r="AT37" s="15"/>
      <c r="AU37" s="92">
        <f t="shared" si="3"/>
        <v>0</v>
      </c>
      <c r="AV37" s="92">
        <f t="shared" si="4"/>
        <v>0</v>
      </c>
      <c r="AW37" s="92">
        <f t="shared" si="5"/>
        <v>0</v>
      </c>
      <c r="AX37" s="92">
        <f t="shared" si="6"/>
        <v>0</v>
      </c>
      <c r="AY37" s="92">
        <f t="shared" si="13"/>
        <v>0</v>
      </c>
      <c r="AZ37" s="92">
        <f t="shared" si="13"/>
        <v>0</v>
      </c>
      <c r="BA37" s="95">
        <f t="shared" si="14"/>
        <v>0</v>
      </c>
      <c r="BB37" s="75"/>
      <c r="BC37"/>
    </row>
    <row r="38" spans="1:55" ht="15" hidden="1" customHeight="1" x14ac:dyDescent="0.3">
      <c r="A38" s="72" t="s">
        <v>41</v>
      </c>
      <c r="B38" s="111"/>
      <c r="C38" s="111">
        <v>49</v>
      </c>
      <c r="D38" s="121">
        <f t="shared" si="16"/>
        <v>0</v>
      </c>
      <c r="E38" s="15">
        <f t="shared" si="15"/>
        <v>0</v>
      </c>
      <c r="F38" s="19"/>
      <c r="G38" s="19"/>
      <c r="H38" s="18"/>
      <c r="I38" s="18"/>
      <c r="J38" s="9" t="s">
        <v>68</v>
      </c>
      <c r="K38" s="20"/>
      <c r="L38" s="20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7">
        <f t="shared" si="2"/>
        <v>0</v>
      </c>
      <c r="AR38" s="16">
        <f t="shared" si="12"/>
        <v>0</v>
      </c>
      <c r="AS38" s="15"/>
      <c r="AT38" s="15"/>
      <c r="AU38" s="92">
        <f t="shared" si="3"/>
        <v>0</v>
      </c>
      <c r="AV38" s="92">
        <f t="shared" si="4"/>
        <v>0</v>
      </c>
      <c r="AW38" s="92">
        <f t="shared" si="5"/>
        <v>0</v>
      </c>
      <c r="AX38" s="92">
        <f t="shared" si="6"/>
        <v>0</v>
      </c>
      <c r="AY38" s="92">
        <f t="shared" si="13"/>
        <v>0</v>
      </c>
      <c r="AZ38" s="92">
        <f t="shared" si="13"/>
        <v>0</v>
      </c>
      <c r="BA38" s="95">
        <f t="shared" si="14"/>
        <v>0</v>
      </c>
      <c r="BB38" s="75"/>
      <c r="BC38"/>
    </row>
    <row r="39" spans="1:55" ht="15" hidden="1" customHeight="1" x14ac:dyDescent="0.3">
      <c r="A39" s="72" t="s">
        <v>42</v>
      </c>
      <c r="B39" s="111"/>
      <c r="C39" s="111">
        <v>50</v>
      </c>
      <c r="D39" s="121">
        <f t="shared" si="16"/>
        <v>0</v>
      </c>
      <c r="E39" s="15">
        <f t="shared" si="15"/>
        <v>0</v>
      </c>
      <c r="F39" s="19"/>
      <c r="G39" s="19"/>
      <c r="H39" s="18"/>
      <c r="I39" s="18"/>
      <c r="J39" s="9" t="s">
        <v>68</v>
      </c>
      <c r="K39" s="20"/>
      <c r="L39" s="20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7">
        <f t="shared" si="2"/>
        <v>0</v>
      </c>
      <c r="AR39" s="16">
        <f t="shared" si="12"/>
        <v>0</v>
      </c>
      <c r="AS39" s="15"/>
      <c r="AT39" s="15"/>
      <c r="AU39" s="92">
        <f t="shared" si="3"/>
        <v>0</v>
      </c>
      <c r="AV39" s="92">
        <f t="shared" si="4"/>
        <v>0</v>
      </c>
      <c r="AW39" s="92">
        <f t="shared" si="5"/>
        <v>0</v>
      </c>
      <c r="AX39" s="92">
        <f t="shared" si="6"/>
        <v>0</v>
      </c>
      <c r="AY39" s="92">
        <f t="shared" si="13"/>
        <v>0</v>
      </c>
      <c r="AZ39" s="92">
        <f t="shared" si="13"/>
        <v>0</v>
      </c>
      <c r="BA39" s="95">
        <f t="shared" si="14"/>
        <v>0</v>
      </c>
      <c r="BB39" s="75"/>
      <c r="BC39"/>
    </row>
    <row r="40" spans="1:55" ht="15" hidden="1" customHeight="1" x14ac:dyDescent="0.3">
      <c r="A40" s="72" t="s">
        <v>43</v>
      </c>
      <c r="B40" s="111"/>
      <c r="C40" s="111">
        <v>51</v>
      </c>
      <c r="D40" s="121">
        <f t="shared" si="16"/>
        <v>0</v>
      </c>
      <c r="E40" s="15">
        <f t="shared" si="15"/>
        <v>0</v>
      </c>
      <c r="F40" s="19"/>
      <c r="G40" s="19"/>
      <c r="H40" s="18"/>
      <c r="I40" s="18"/>
      <c r="J40" s="9" t="s">
        <v>68</v>
      </c>
      <c r="K40" s="20"/>
      <c r="L40" s="20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7">
        <f t="shared" si="2"/>
        <v>0</v>
      </c>
      <c r="AR40" s="16">
        <f t="shared" si="12"/>
        <v>0</v>
      </c>
      <c r="AS40" s="15"/>
      <c r="AT40" s="15"/>
      <c r="AU40" s="92">
        <f t="shared" si="3"/>
        <v>0</v>
      </c>
      <c r="AV40" s="92">
        <f t="shared" si="4"/>
        <v>0</v>
      </c>
      <c r="AW40" s="92">
        <f t="shared" si="5"/>
        <v>0</v>
      </c>
      <c r="AX40" s="92">
        <f t="shared" si="6"/>
        <v>0</v>
      </c>
      <c r="AY40" s="92">
        <f t="shared" si="13"/>
        <v>0</v>
      </c>
      <c r="AZ40" s="92">
        <f t="shared" si="13"/>
        <v>0</v>
      </c>
      <c r="BA40" s="95">
        <f t="shared" si="14"/>
        <v>0</v>
      </c>
      <c r="BB40" s="75"/>
      <c r="BC40"/>
    </row>
    <row r="41" spans="1:55" ht="15" hidden="1" customHeight="1" thickBot="1" x14ac:dyDescent="0.3">
      <c r="A41" s="100" t="s">
        <v>44</v>
      </c>
      <c r="B41" s="116"/>
      <c r="C41" s="116">
        <v>52</v>
      </c>
      <c r="D41" s="121">
        <f t="shared" si="16"/>
        <v>0</v>
      </c>
      <c r="E41" s="15">
        <f t="shared" si="15"/>
        <v>0</v>
      </c>
      <c r="F41" s="91"/>
      <c r="G41" s="91"/>
      <c r="H41" s="92"/>
      <c r="I41" s="92"/>
      <c r="J41" s="101" t="s">
        <v>68</v>
      </c>
      <c r="K41" s="94"/>
      <c r="L41" s="94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7">
        <f t="shared" si="2"/>
        <v>0</v>
      </c>
      <c r="AR41" s="16">
        <f t="shared" si="12"/>
        <v>0</v>
      </c>
      <c r="AS41" s="16"/>
      <c r="AT41" s="16"/>
      <c r="AU41" s="92">
        <f t="shared" si="3"/>
        <v>0</v>
      </c>
      <c r="AV41" s="92">
        <f t="shared" si="4"/>
        <v>0</v>
      </c>
      <c r="AW41" s="92">
        <f t="shared" si="5"/>
        <v>0</v>
      </c>
      <c r="AX41" s="92">
        <f t="shared" si="6"/>
        <v>0</v>
      </c>
      <c r="AY41" s="92">
        <f t="shared" si="13"/>
        <v>0</v>
      </c>
      <c r="AZ41" s="92">
        <f t="shared" si="13"/>
        <v>0</v>
      </c>
      <c r="BA41" s="95">
        <f t="shared" si="14"/>
        <v>0</v>
      </c>
      <c r="BB41" s="96"/>
      <c r="BC41"/>
    </row>
    <row r="42" spans="1:55" ht="15" customHeight="1" thickBot="1" x14ac:dyDescent="0.3">
      <c r="A42" s="102" t="s">
        <v>81</v>
      </c>
      <c r="B42" s="124"/>
      <c r="C42" s="87"/>
      <c r="D42" s="132">
        <f>SUM(D43:D45)</f>
        <v>0</v>
      </c>
      <c r="E42" s="129">
        <f>SUM(E43:E45)</f>
        <v>0</v>
      </c>
      <c r="F42" s="129">
        <f>SUM(F43:F45)</f>
        <v>0</v>
      </c>
      <c r="G42" s="129"/>
      <c r="H42" s="131">
        <f>SUM(H43:H45)</f>
        <v>0</v>
      </c>
      <c r="I42" s="131">
        <f>SUM(I43:I45)</f>
        <v>0</v>
      </c>
      <c r="J42" s="88"/>
      <c r="K42" s="130"/>
      <c r="L42" s="130"/>
      <c r="M42" s="129">
        <f>SUM(M43:M45)</f>
        <v>0</v>
      </c>
      <c r="N42" s="129">
        <f t="shared" ref="N42:AP42" si="17">SUM(N43:N45)</f>
        <v>0</v>
      </c>
      <c r="O42" s="129">
        <f t="shared" si="17"/>
        <v>0</v>
      </c>
      <c r="P42" s="129">
        <f t="shared" si="17"/>
        <v>0</v>
      </c>
      <c r="Q42" s="129">
        <f t="shared" si="17"/>
        <v>0</v>
      </c>
      <c r="R42" s="129">
        <f t="shared" si="17"/>
        <v>0</v>
      </c>
      <c r="S42" s="129">
        <f t="shared" si="17"/>
        <v>0</v>
      </c>
      <c r="T42" s="129">
        <f t="shared" si="17"/>
        <v>0</v>
      </c>
      <c r="U42" s="129">
        <f t="shared" si="17"/>
        <v>0</v>
      </c>
      <c r="V42" s="129">
        <f t="shared" si="17"/>
        <v>0</v>
      </c>
      <c r="W42" s="129">
        <f t="shared" si="17"/>
        <v>0</v>
      </c>
      <c r="X42" s="129">
        <f t="shared" si="17"/>
        <v>0</v>
      </c>
      <c r="Y42" s="129">
        <f t="shared" si="17"/>
        <v>0</v>
      </c>
      <c r="Z42" s="129">
        <f t="shared" si="17"/>
        <v>0</v>
      </c>
      <c r="AA42" s="129">
        <f t="shared" si="17"/>
        <v>0</v>
      </c>
      <c r="AB42" s="129">
        <f t="shared" si="17"/>
        <v>0</v>
      </c>
      <c r="AC42" s="129">
        <f t="shared" si="17"/>
        <v>0</v>
      </c>
      <c r="AD42" s="129">
        <f t="shared" si="17"/>
        <v>0</v>
      </c>
      <c r="AE42" s="129">
        <f t="shared" si="17"/>
        <v>0</v>
      </c>
      <c r="AF42" s="129">
        <f t="shared" si="17"/>
        <v>0</v>
      </c>
      <c r="AG42" s="129">
        <f t="shared" si="17"/>
        <v>0</v>
      </c>
      <c r="AH42" s="129">
        <f t="shared" si="17"/>
        <v>0</v>
      </c>
      <c r="AI42" s="129">
        <f t="shared" si="17"/>
        <v>0</v>
      </c>
      <c r="AJ42" s="129">
        <f t="shared" si="17"/>
        <v>0</v>
      </c>
      <c r="AK42" s="129">
        <f t="shared" si="17"/>
        <v>0</v>
      </c>
      <c r="AL42" s="129">
        <f t="shared" si="17"/>
        <v>0</v>
      </c>
      <c r="AM42" s="129">
        <f t="shared" si="17"/>
        <v>0</v>
      </c>
      <c r="AN42" s="129">
        <f t="shared" si="17"/>
        <v>0</v>
      </c>
      <c r="AO42" s="129">
        <f t="shared" si="17"/>
        <v>0</v>
      </c>
      <c r="AP42" s="129">
        <f t="shared" si="17"/>
        <v>0</v>
      </c>
      <c r="AQ42" s="129">
        <f t="shared" si="2"/>
        <v>0</v>
      </c>
      <c r="AR42" s="129">
        <f t="shared" si="12"/>
        <v>0</v>
      </c>
      <c r="AS42" s="129"/>
      <c r="AT42" s="129">
        <f>SUM(AT43:AT45)</f>
        <v>0</v>
      </c>
      <c r="AU42" s="131">
        <f t="shared" si="3"/>
        <v>0</v>
      </c>
      <c r="AV42" s="131">
        <f t="shared" si="4"/>
        <v>0</v>
      </c>
      <c r="AW42" s="131">
        <f t="shared" si="5"/>
        <v>0</v>
      </c>
      <c r="AX42" s="131">
        <f t="shared" si="6"/>
        <v>0</v>
      </c>
      <c r="AY42" s="131">
        <f t="shared" si="13"/>
        <v>0</v>
      </c>
      <c r="AZ42" s="131">
        <f t="shared" si="13"/>
        <v>0</v>
      </c>
      <c r="BA42" s="129">
        <f t="shared" si="14"/>
        <v>0</v>
      </c>
      <c r="BB42" s="99"/>
      <c r="BC42"/>
    </row>
    <row r="43" spans="1:55" ht="15" customHeight="1" x14ac:dyDescent="0.25">
      <c r="A43" s="97" t="s">
        <v>66</v>
      </c>
      <c r="B43" s="123" t="s">
        <v>139</v>
      </c>
      <c r="C43" s="115">
        <v>25</v>
      </c>
      <c r="D43" s="121">
        <f>AT43*AU43*AW43</f>
        <v>0</v>
      </c>
      <c r="E43" s="17">
        <f>ROUND(AT43*AV43*AX43,4)</f>
        <v>0</v>
      </c>
      <c r="F43" s="81"/>
      <c r="G43" s="81"/>
      <c r="H43" s="82"/>
      <c r="I43" s="82"/>
      <c r="J43" s="14" t="s">
        <v>55</v>
      </c>
      <c r="K43" s="84"/>
      <c r="L43" s="84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>
        <f t="shared" si="2"/>
        <v>0</v>
      </c>
      <c r="AR43" s="16">
        <f t="shared" si="12"/>
        <v>0</v>
      </c>
      <c r="AS43" s="16"/>
      <c r="AT43" s="16"/>
      <c r="AU43" s="82">
        <f t="shared" si="3"/>
        <v>0</v>
      </c>
      <c r="AV43" s="82">
        <f t="shared" si="4"/>
        <v>0</v>
      </c>
      <c r="AW43" s="82">
        <f t="shared" si="5"/>
        <v>0</v>
      </c>
      <c r="AX43" s="82">
        <f t="shared" si="6"/>
        <v>0</v>
      </c>
      <c r="AY43" s="92">
        <f t="shared" si="13"/>
        <v>0</v>
      </c>
      <c r="AZ43" s="92">
        <f t="shared" si="13"/>
        <v>0</v>
      </c>
      <c r="BA43" s="95">
        <f t="shared" si="14"/>
        <v>0</v>
      </c>
      <c r="BB43" s="86"/>
      <c r="BC43"/>
    </row>
    <row r="44" spans="1:55" ht="15" hidden="1" customHeight="1" x14ac:dyDescent="0.25">
      <c r="A44" s="72" t="s">
        <v>67</v>
      </c>
      <c r="B44" s="123"/>
      <c r="C44" s="111">
        <v>31</v>
      </c>
      <c r="D44" s="121">
        <f>AT44*AU44*AW44</f>
        <v>0</v>
      </c>
      <c r="E44" s="15">
        <f t="shared" si="15"/>
        <v>0</v>
      </c>
      <c r="F44" s="19"/>
      <c r="G44" s="19"/>
      <c r="H44" s="18"/>
      <c r="I44" s="18"/>
      <c r="J44" s="7" t="s">
        <v>55</v>
      </c>
      <c r="K44" s="20"/>
      <c r="L44" s="20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7">
        <f t="shared" si="2"/>
        <v>0</v>
      </c>
      <c r="AR44" s="16">
        <f t="shared" si="12"/>
        <v>0</v>
      </c>
      <c r="AS44" s="15"/>
      <c r="AT44" s="15"/>
      <c r="AU44" s="82">
        <f t="shared" si="3"/>
        <v>0</v>
      </c>
      <c r="AV44" s="82">
        <f t="shared" si="4"/>
        <v>0</v>
      </c>
      <c r="AW44" s="82">
        <f t="shared" si="5"/>
        <v>0</v>
      </c>
      <c r="AX44" s="82">
        <f t="shared" si="6"/>
        <v>0</v>
      </c>
      <c r="AY44" s="92">
        <f t="shared" si="13"/>
        <v>0</v>
      </c>
      <c r="AZ44" s="92">
        <f t="shared" si="13"/>
        <v>0</v>
      </c>
      <c r="BA44" s="95">
        <f t="shared" si="14"/>
        <v>0</v>
      </c>
      <c r="BB44" s="75"/>
      <c r="BC44"/>
    </row>
    <row r="45" spans="1:55" ht="15" customHeight="1" thickBot="1" x14ac:dyDescent="0.3">
      <c r="A45" s="103" t="s">
        <v>67</v>
      </c>
      <c r="B45" s="123" t="s">
        <v>140</v>
      </c>
      <c r="C45" s="114">
        <v>38</v>
      </c>
      <c r="D45" s="121">
        <f>AT45*AU45*AW45</f>
        <v>0</v>
      </c>
      <c r="E45" s="16">
        <f>ROUND(AT45*AV45*AX45,4)</f>
        <v>0</v>
      </c>
      <c r="F45" s="91"/>
      <c r="G45" s="91"/>
      <c r="H45" s="92"/>
      <c r="I45" s="92"/>
      <c r="J45" s="13" t="s">
        <v>55</v>
      </c>
      <c r="K45" s="94"/>
      <c r="L45" s="94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7">
        <f t="shared" si="2"/>
        <v>0</v>
      </c>
      <c r="AR45" s="16">
        <f t="shared" si="12"/>
        <v>0</v>
      </c>
      <c r="AS45" s="16"/>
      <c r="AT45" s="16"/>
      <c r="AU45" s="82">
        <f t="shared" si="3"/>
        <v>0</v>
      </c>
      <c r="AV45" s="82">
        <f t="shared" si="4"/>
        <v>0</v>
      </c>
      <c r="AW45" s="82">
        <f t="shared" si="5"/>
        <v>0</v>
      </c>
      <c r="AX45" s="82">
        <f t="shared" si="6"/>
        <v>0</v>
      </c>
      <c r="AY45" s="92">
        <f t="shared" si="13"/>
        <v>0</v>
      </c>
      <c r="AZ45" s="92">
        <f t="shared" si="13"/>
        <v>0</v>
      </c>
      <c r="BA45" s="95">
        <f t="shared" si="14"/>
        <v>0</v>
      </c>
      <c r="BB45" s="96"/>
      <c r="BC45"/>
    </row>
    <row r="46" spans="1:55" ht="15" customHeight="1" thickBot="1" x14ac:dyDescent="0.3">
      <c r="A46" s="102" t="s">
        <v>82</v>
      </c>
      <c r="B46" s="124"/>
      <c r="C46" s="87"/>
      <c r="D46" s="132">
        <f>SUM(D47:D51)</f>
        <v>0</v>
      </c>
      <c r="E46" s="129">
        <f>SUM(E47:E51)</f>
        <v>0</v>
      </c>
      <c r="F46" s="129">
        <f>SUM(F47:F51)</f>
        <v>0</v>
      </c>
      <c r="G46" s="129"/>
      <c r="H46" s="131">
        <f>SUM(H47:H51)</f>
        <v>0</v>
      </c>
      <c r="I46" s="131">
        <f>SUM(I47:I51)</f>
        <v>0</v>
      </c>
      <c r="J46" s="88"/>
      <c r="K46" s="130"/>
      <c r="L46" s="130"/>
      <c r="M46" s="129">
        <f>SUM(M47:M51)</f>
        <v>0</v>
      </c>
      <c r="N46" s="129">
        <f t="shared" ref="N46:AP46" si="18">SUM(N47:N51)</f>
        <v>0</v>
      </c>
      <c r="O46" s="129">
        <f t="shared" si="18"/>
        <v>0</v>
      </c>
      <c r="P46" s="129">
        <f t="shared" si="18"/>
        <v>0</v>
      </c>
      <c r="Q46" s="129">
        <f t="shared" si="18"/>
        <v>0</v>
      </c>
      <c r="R46" s="129">
        <f t="shared" si="18"/>
        <v>0</v>
      </c>
      <c r="S46" s="129">
        <f t="shared" si="18"/>
        <v>0</v>
      </c>
      <c r="T46" s="129">
        <f t="shared" si="18"/>
        <v>0</v>
      </c>
      <c r="U46" s="129">
        <f t="shared" si="18"/>
        <v>0</v>
      </c>
      <c r="V46" s="129">
        <f t="shared" si="18"/>
        <v>0</v>
      </c>
      <c r="W46" s="129">
        <f t="shared" si="18"/>
        <v>0</v>
      </c>
      <c r="X46" s="129">
        <f t="shared" si="18"/>
        <v>0</v>
      </c>
      <c r="Y46" s="129">
        <f t="shared" si="18"/>
        <v>0</v>
      </c>
      <c r="Z46" s="129">
        <f t="shared" si="18"/>
        <v>0</v>
      </c>
      <c r="AA46" s="129">
        <f t="shared" si="18"/>
        <v>0</v>
      </c>
      <c r="AB46" s="129">
        <f t="shared" si="18"/>
        <v>0</v>
      </c>
      <c r="AC46" s="129">
        <f t="shared" si="18"/>
        <v>0</v>
      </c>
      <c r="AD46" s="129">
        <f t="shared" si="18"/>
        <v>0</v>
      </c>
      <c r="AE46" s="129">
        <f t="shared" si="18"/>
        <v>0</v>
      </c>
      <c r="AF46" s="129">
        <f t="shared" si="18"/>
        <v>0</v>
      </c>
      <c r="AG46" s="129">
        <f t="shared" si="18"/>
        <v>0</v>
      </c>
      <c r="AH46" s="129">
        <f t="shared" si="18"/>
        <v>0</v>
      </c>
      <c r="AI46" s="129">
        <f t="shared" si="18"/>
        <v>0</v>
      </c>
      <c r="AJ46" s="129">
        <f t="shared" si="18"/>
        <v>0</v>
      </c>
      <c r="AK46" s="129">
        <f t="shared" si="18"/>
        <v>0</v>
      </c>
      <c r="AL46" s="129">
        <f t="shared" si="18"/>
        <v>0</v>
      </c>
      <c r="AM46" s="129">
        <f t="shared" si="18"/>
        <v>0</v>
      </c>
      <c r="AN46" s="129">
        <f t="shared" si="18"/>
        <v>0</v>
      </c>
      <c r="AO46" s="129">
        <f t="shared" si="18"/>
        <v>0</v>
      </c>
      <c r="AP46" s="129">
        <f t="shared" si="18"/>
        <v>0</v>
      </c>
      <c r="AQ46" s="129">
        <f t="shared" si="2"/>
        <v>0</v>
      </c>
      <c r="AR46" s="129">
        <f t="shared" si="12"/>
        <v>0</v>
      </c>
      <c r="AS46" s="129"/>
      <c r="AT46" s="129">
        <f>SUM(AT47:AT51)</f>
        <v>0</v>
      </c>
      <c r="AU46" s="131">
        <f t="shared" si="3"/>
        <v>0</v>
      </c>
      <c r="AV46" s="131">
        <f t="shared" si="4"/>
        <v>0</v>
      </c>
      <c r="AW46" s="131">
        <f t="shared" si="5"/>
        <v>0</v>
      </c>
      <c r="AX46" s="131">
        <f t="shared" si="6"/>
        <v>0</v>
      </c>
      <c r="AY46" s="131">
        <f t="shared" si="13"/>
        <v>0</v>
      </c>
      <c r="AZ46" s="131">
        <f t="shared" si="13"/>
        <v>0</v>
      </c>
      <c r="BA46" s="129">
        <f t="shared" si="14"/>
        <v>0</v>
      </c>
      <c r="BB46" s="99"/>
      <c r="BC46"/>
    </row>
    <row r="47" spans="1:55" ht="15" customHeight="1" x14ac:dyDescent="0.25">
      <c r="A47" s="97" t="s">
        <v>46</v>
      </c>
      <c r="B47" s="123" t="s">
        <v>141</v>
      </c>
      <c r="C47" s="115">
        <v>28</v>
      </c>
      <c r="D47" s="121">
        <f>AT47*AU47*AW47</f>
        <v>0</v>
      </c>
      <c r="E47" s="17">
        <f>ROUND(AT47*AV47*AX47,4)</f>
        <v>0</v>
      </c>
      <c r="F47" s="81"/>
      <c r="G47" s="81"/>
      <c r="H47" s="82"/>
      <c r="I47" s="82"/>
      <c r="J47" s="14" t="s">
        <v>55</v>
      </c>
      <c r="K47" s="84"/>
      <c r="L47" s="84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>
        <f t="shared" si="2"/>
        <v>0</v>
      </c>
      <c r="AR47" s="16">
        <f t="shared" si="12"/>
        <v>0</v>
      </c>
      <c r="AS47" s="16"/>
      <c r="AT47" s="16"/>
      <c r="AU47" s="82">
        <f t="shared" si="3"/>
        <v>0</v>
      </c>
      <c r="AV47" s="82">
        <f t="shared" si="4"/>
        <v>0</v>
      </c>
      <c r="AW47" s="82">
        <f t="shared" si="5"/>
        <v>0</v>
      </c>
      <c r="AX47" s="82">
        <f t="shared" si="6"/>
        <v>0</v>
      </c>
      <c r="AY47" s="92">
        <f t="shared" si="13"/>
        <v>0</v>
      </c>
      <c r="AZ47" s="92">
        <f t="shared" si="13"/>
        <v>0</v>
      </c>
      <c r="BA47" s="95">
        <f t="shared" si="14"/>
        <v>0</v>
      </c>
      <c r="BB47" s="86"/>
      <c r="BC47"/>
    </row>
    <row r="48" spans="1:55" ht="15" customHeight="1" thickBot="1" x14ac:dyDescent="0.3">
      <c r="A48" s="71" t="s">
        <v>45</v>
      </c>
      <c r="B48" s="123" t="s">
        <v>142</v>
      </c>
      <c r="C48" s="112">
        <v>33</v>
      </c>
      <c r="D48" s="121">
        <f>AT48*AU48*AW48</f>
        <v>0</v>
      </c>
      <c r="E48" s="17">
        <f>ROUND(AT48*AV48*AX48,4)</f>
        <v>0</v>
      </c>
      <c r="F48" s="19"/>
      <c r="G48" s="19"/>
      <c r="H48" s="18"/>
      <c r="I48" s="18"/>
      <c r="J48" s="7" t="s">
        <v>55</v>
      </c>
      <c r="K48" s="20"/>
      <c r="L48" s="20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7">
        <f t="shared" si="2"/>
        <v>0</v>
      </c>
      <c r="AR48" s="16">
        <f t="shared" si="12"/>
        <v>0</v>
      </c>
      <c r="AS48" s="16"/>
      <c r="AT48" s="16"/>
      <c r="AU48" s="82">
        <f t="shared" si="3"/>
        <v>0</v>
      </c>
      <c r="AV48" s="82">
        <f t="shared" si="4"/>
        <v>0</v>
      </c>
      <c r="AW48" s="82">
        <f t="shared" si="5"/>
        <v>0</v>
      </c>
      <c r="AX48" s="82">
        <f t="shared" si="6"/>
        <v>0</v>
      </c>
      <c r="AY48" s="92">
        <f t="shared" si="13"/>
        <v>0</v>
      </c>
      <c r="AZ48" s="92">
        <f t="shared" si="13"/>
        <v>0</v>
      </c>
      <c r="BA48" s="95">
        <f t="shared" si="14"/>
        <v>0</v>
      </c>
      <c r="BB48" s="75"/>
      <c r="BC48"/>
    </row>
    <row r="49" spans="1:55" ht="15" hidden="1" customHeight="1" x14ac:dyDescent="0.3">
      <c r="A49" s="72" t="s">
        <v>48</v>
      </c>
      <c r="B49" s="111"/>
      <c r="C49" s="111">
        <v>35</v>
      </c>
      <c r="D49" s="120">
        <f t="shared" ref="D49:D51" si="19">AS49*AW49*AU49</f>
        <v>0</v>
      </c>
      <c r="E49" s="15">
        <f t="shared" si="15"/>
        <v>0</v>
      </c>
      <c r="F49" s="19"/>
      <c r="G49" s="19"/>
      <c r="H49" s="18"/>
      <c r="I49" s="18"/>
      <c r="J49" s="7" t="s">
        <v>55</v>
      </c>
      <c r="K49" s="20"/>
      <c r="L49" s="20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7">
        <f t="shared" si="2"/>
        <v>0</v>
      </c>
      <c r="AR49" s="16">
        <f t="shared" si="12"/>
        <v>0</v>
      </c>
      <c r="AS49" s="15"/>
      <c r="AT49" s="15"/>
      <c r="AU49" s="92">
        <f t="shared" si="3"/>
        <v>0</v>
      </c>
      <c r="AV49" s="92">
        <f t="shared" si="4"/>
        <v>0</v>
      </c>
      <c r="AW49" s="92">
        <f t="shared" si="5"/>
        <v>0</v>
      </c>
      <c r="AX49" s="92">
        <f t="shared" si="6"/>
        <v>0</v>
      </c>
      <c r="AY49" s="92">
        <f t="shared" si="13"/>
        <v>0</v>
      </c>
      <c r="AZ49" s="92">
        <f t="shared" si="13"/>
        <v>0</v>
      </c>
      <c r="BA49" s="95">
        <f t="shared" si="14"/>
        <v>0</v>
      </c>
      <c r="BB49" s="75"/>
      <c r="BC49"/>
    </row>
    <row r="50" spans="1:55" ht="15" hidden="1" customHeight="1" x14ac:dyDescent="0.3">
      <c r="A50" s="72" t="s">
        <v>47</v>
      </c>
      <c r="B50" s="111"/>
      <c r="C50" s="111">
        <v>36</v>
      </c>
      <c r="D50" s="120">
        <f t="shared" si="19"/>
        <v>0</v>
      </c>
      <c r="E50" s="15">
        <f t="shared" si="15"/>
        <v>0</v>
      </c>
      <c r="F50" s="19"/>
      <c r="G50" s="19"/>
      <c r="H50" s="18"/>
      <c r="I50" s="18"/>
      <c r="J50" s="7" t="s">
        <v>55</v>
      </c>
      <c r="K50" s="20"/>
      <c r="L50" s="20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7">
        <f t="shared" si="2"/>
        <v>0</v>
      </c>
      <c r="AR50" s="16">
        <f t="shared" si="12"/>
        <v>0</v>
      </c>
      <c r="AS50" s="15"/>
      <c r="AT50" s="15"/>
      <c r="AU50" s="92">
        <f t="shared" si="3"/>
        <v>0</v>
      </c>
      <c r="AV50" s="92">
        <f t="shared" si="4"/>
        <v>0</v>
      </c>
      <c r="AW50" s="92">
        <f t="shared" si="5"/>
        <v>0</v>
      </c>
      <c r="AX50" s="92">
        <f t="shared" si="6"/>
        <v>0</v>
      </c>
      <c r="AY50" s="92">
        <f t="shared" si="13"/>
        <v>0</v>
      </c>
      <c r="AZ50" s="92">
        <f t="shared" si="13"/>
        <v>0</v>
      </c>
      <c r="BA50" s="95">
        <f t="shared" si="14"/>
        <v>0</v>
      </c>
      <c r="BB50" s="75"/>
      <c r="BC50"/>
    </row>
    <row r="51" spans="1:55" ht="15" hidden="1" customHeight="1" thickBot="1" x14ac:dyDescent="0.3">
      <c r="A51" s="100" t="s">
        <v>64</v>
      </c>
      <c r="B51" s="116"/>
      <c r="C51" s="116">
        <v>37</v>
      </c>
      <c r="D51" s="121">
        <f t="shared" si="19"/>
        <v>0</v>
      </c>
      <c r="E51" s="16">
        <f t="shared" si="15"/>
        <v>0</v>
      </c>
      <c r="F51" s="91"/>
      <c r="G51" s="91"/>
      <c r="H51" s="92"/>
      <c r="I51" s="92"/>
      <c r="J51" s="13" t="s">
        <v>55</v>
      </c>
      <c r="K51" s="94"/>
      <c r="L51" s="94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7">
        <f t="shared" si="2"/>
        <v>0</v>
      </c>
      <c r="AR51" s="16">
        <f t="shared" si="12"/>
        <v>0</v>
      </c>
      <c r="AS51" s="16"/>
      <c r="AT51" s="16"/>
      <c r="AU51" s="92">
        <f t="shared" si="3"/>
        <v>0</v>
      </c>
      <c r="AV51" s="92">
        <f t="shared" si="4"/>
        <v>0</v>
      </c>
      <c r="AW51" s="92">
        <f t="shared" si="5"/>
        <v>0</v>
      </c>
      <c r="AX51" s="92">
        <f t="shared" si="6"/>
        <v>0</v>
      </c>
      <c r="AY51" s="92">
        <f t="shared" si="13"/>
        <v>0</v>
      </c>
      <c r="AZ51" s="92">
        <f t="shared" si="13"/>
        <v>0</v>
      </c>
      <c r="BA51" s="95">
        <f t="shared" si="14"/>
        <v>0</v>
      </c>
      <c r="BB51" s="96"/>
      <c r="BC51"/>
    </row>
    <row r="52" spans="1:55" ht="15" customHeight="1" thickBot="1" x14ac:dyDescent="0.3">
      <c r="A52" s="102" t="s">
        <v>49</v>
      </c>
      <c r="B52" s="124"/>
      <c r="C52" s="87"/>
      <c r="D52" s="132">
        <f>SUM(D53:D54)</f>
        <v>0</v>
      </c>
      <c r="E52" s="129">
        <f>SUM(E53:E54)</f>
        <v>0</v>
      </c>
      <c r="F52" s="129">
        <f>SUM(F53:F54)</f>
        <v>0</v>
      </c>
      <c r="G52" s="129"/>
      <c r="H52" s="131">
        <f>SUM(H53:H54)</f>
        <v>0</v>
      </c>
      <c r="I52" s="131">
        <f>SUM(I53:I54)</f>
        <v>0</v>
      </c>
      <c r="J52" s="88"/>
      <c r="K52" s="130"/>
      <c r="L52" s="130"/>
      <c r="M52" s="129">
        <f>SUM(M53:M54)</f>
        <v>0</v>
      </c>
      <c r="N52" s="129">
        <f t="shared" ref="N52:AP52" si="20">SUM(N53:N54)</f>
        <v>0</v>
      </c>
      <c r="O52" s="129">
        <f t="shared" si="20"/>
        <v>0</v>
      </c>
      <c r="P52" s="129">
        <f t="shared" si="20"/>
        <v>0</v>
      </c>
      <c r="Q52" s="129">
        <f t="shared" si="20"/>
        <v>0</v>
      </c>
      <c r="R52" s="129">
        <f t="shared" si="20"/>
        <v>0</v>
      </c>
      <c r="S52" s="129">
        <f t="shared" si="20"/>
        <v>0</v>
      </c>
      <c r="T52" s="129">
        <f t="shared" si="20"/>
        <v>0</v>
      </c>
      <c r="U52" s="129">
        <f t="shared" si="20"/>
        <v>0</v>
      </c>
      <c r="V52" s="129">
        <f t="shared" si="20"/>
        <v>0</v>
      </c>
      <c r="W52" s="129">
        <f t="shared" si="20"/>
        <v>0</v>
      </c>
      <c r="X52" s="129">
        <f t="shared" si="20"/>
        <v>0</v>
      </c>
      <c r="Y52" s="129">
        <f t="shared" si="20"/>
        <v>0</v>
      </c>
      <c r="Z52" s="129">
        <f t="shared" si="20"/>
        <v>0</v>
      </c>
      <c r="AA52" s="129">
        <f t="shared" si="20"/>
        <v>0</v>
      </c>
      <c r="AB52" s="129">
        <f t="shared" si="20"/>
        <v>0</v>
      </c>
      <c r="AC52" s="129">
        <f t="shared" si="20"/>
        <v>0</v>
      </c>
      <c r="AD52" s="129">
        <f t="shared" si="20"/>
        <v>0</v>
      </c>
      <c r="AE52" s="129">
        <f t="shared" si="20"/>
        <v>0</v>
      </c>
      <c r="AF52" s="129">
        <f t="shared" si="20"/>
        <v>0</v>
      </c>
      <c r="AG52" s="129">
        <f t="shared" si="20"/>
        <v>0</v>
      </c>
      <c r="AH52" s="129">
        <f t="shared" si="20"/>
        <v>0</v>
      </c>
      <c r="AI52" s="129">
        <f t="shared" si="20"/>
        <v>0</v>
      </c>
      <c r="AJ52" s="129">
        <f t="shared" si="20"/>
        <v>0</v>
      </c>
      <c r="AK52" s="129">
        <f t="shared" si="20"/>
        <v>0</v>
      </c>
      <c r="AL52" s="129">
        <f t="shared" si="20"/>
        <v>0</v>
      </c>
      <c r="AM52" s="129">
        <f t="shared" si="20"/>
        <v>0</v>
      </c>
      <c r="AN52" s="129">
        <f t="shared" si="20"/>
        <v>0</v>
      </c>
      <c r="AO52" s="129">
        <f t="shared" si="20"/>
        <v>0</v>
      </c>
      <c r="AP52" s="129">
        <f t="shared" si="20"/>
        <v>0</v>
      </c>
      <c r="AQ52" s="129">
        <f t="shared" si="2"/>
        <v>0</v>
      </c>
      <c r="AR52" s="129">
        <f t="shared" si="12"/>
        <v>0</v>
      </c>
      <c r="AS52" s="129"/>
      <c r="AT52" s="129">
        <f>SUM(AT53:AT54)</f>
        <v>0</v>
      </c>
      <c r="AU52" s="131">
        <f t="shared" si="3"/>
        <v>0</v>
      </c>
      <c r="AV52" s="131">
        <f t="shared" si="4"/>
        <v>0</v>
      </c>
      <c r="AW52" s="131">
        <f t="shared" si="5"/>
        <v>0</v>
      </c>
      <c r="AX52" s="131">
        <f t="shared" si="6"/>
        <v>0</v>
      </c>
      <c r="AY52" s="131">
        <f t="shared" si="13"/>
        <v>0</v>
      </c>
      <c r="AZ52" s="131">
        <f t="shared" si="13"/>
        <v>0</v>
      </c>
      <c r="BA52" s="129">
        <f t="shared" si="14"/>
        <v>0</v>
      </c>
      <c r="BB52" s="99"/>
      <c r="BC52"/>
    </row>
    <row r="53" spans="1:55" ht="15" customHeight="1" x14ac:dyDescent="0.25">
      <c r="A53" s="97" t="s">
        <v>51</v>
      </c>
      <c r="B53" s="123" t="s">
        <v>143</v>
      </c>
      <c r="C53" s="115">
        <v>4</v>
      </c>
      <c r="D53" s="121">
        <f>AT53*AU53*AW53</f>
        <v>0</v>
      </c>
      <c r="E53" s="17">
        <f>ROUND(AT53*AV53*AX53,4)</f>
        <v>0</v>
      </c>
      <c r="F53" s="81"/>
      <c r="G53" s="81"/>
      <c r="H53" s="82"/>
      <c r="I53" s="82"/>
      <c r="J53" s="14" t="s">
        <v>83</v>
      </c>
      <c r="K53" s="84"/>
      <c r="L53" s="84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>
        <f t="shared" si="2"/>
        <v>0</v>
      </c>
      <c r="AR53" s="16">
        <f t="shared" si="12"/>
        <v>0</v>
      </c>
      <c r="AS53" s="16"/>
      <c r="AT53" s="16"/>
      <c r="AU53" s="82">
        <f t="shared" si="3"/>
        <v>0</v>
      </c>
      <c r="AV53" s="82">
        <f t="shared" si="4"/>
        <v>0</v>
      </c>
      <c r="AW53" s="82">
        <f t="shared" si="5"/>
        <v>0</v>
      </c>
      <c r="AX53" s="82">
        <f t="shared" si="6"/>
        <v>0</v>
      </c>
      <c r="AY53" s="92">
        <f t="shared" si="13"/>
        <v>0</v>
      </c>
      <c r="AZ53" s="92">
        <f t="shared" si="13"/>
        <v>0</v>
      </c>
      <c r="BA53" s="95">
        <f t="shared" si="14"/>
        <v>0</v>
      </c>
      <c r="BB53" s="86"/>
      <c r="BC53"/>
    </row>
    <row r="54" spans="1:55" ht="15" customHeight="1" thickBot="1" x14ac:dyDescent="0.3">
      <c r="A54" s="104" t="s">
        <v>50</v>
      </c>
      <c r="B54" s="123" t="s">
        <v>153</v>
      </c>
      <c r="C54" s="117">
        <v>5</v>
      </c>
      <c r="D54" s="121">
        <f>AT54*AU54*AW54</f>
        <v>0</v>
      </c>
      <c r="E54" s="17">
        <f>ROUND(AT54*AV54*AX54,4)</f>
        <v>0</v>
      </c>
      <c r="F54" s="91"/>
      <c r="G54" s="91"/>
      <c r="H54" s="92"/>
      <c r="I54" s="92"/>
      <c r="J54" s="13" t="s">
        <v>83</v>
      </c>
      <c r="K54" s="94"/>
      <c r="L54" s="94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7">
        <f t="shared" si="2"/>
        <v>0</v>
      </c>
      <c r="AR54" s="16">
        <f t="shared" si="12"/>
        <v>0</v>
      </c>
      <c r="AS54" s="16"/>
      <c r="AT54" s="16"/>
      <c r="AU54" s="82">
        <f t="shared" si="3"/>
        <v>0</v>
      </c>
      <c r="AV54" s="82">
        <f t="shared" si="4"/>
        <v>0</v>
      </c>
      <c r="AW54" s="82">
        <f t="shared" si="5"/>
        <v>0</v>
      </c>
      <c r="AX54" s="82">
        <f t="shared" si="6"/>
        <v>0</v>
      </c>
      <c r="AY54" s="92">
        <f t="shared" si="13"/>
        <v>0</v>
      </c>
      <c r="AZ54" s="92">
        <f t="shared" si="13"/>
        <v>0</v>
      </c>
      <c r="BA54" s="95">
        <f t="shared" si="14"/>
        <v>0</v>
      </c>
      <c r="BB54" s="96"/>
      <c r="BC54"/>
    </row>
    <row r="55" spans="1:55" ht="15" customHeight="1" thickBot="1" x14ac:dyDescent="0.3">
      <c r="A55" s="87" t="s">
        <v>52</v>
      </c>
      <c r="B55" s="124"/>
      <c r="C55" s="87"/>
      <c r="D55" s="132">
        <f>SUM(D56:D61)</f>
        <v>0</v>
      </c>
      <c r="E55" s="129">
        <f>SUM(E56:E61)</f>
        <v>0</v>
      </c>
      <c r="F55" s="129">
        <f>SUM(F56:F61)</f>
        <v>0</v>
      </c>
      <c r="G55" s="129"/>
      <c r="H55" s="131"/>
      <c r="I55" s="131"/>
      <c r="J55" s="88"/>
      <c r="K55" s="130"/>
      <c r="L55" s="130"/>
      <c r="M55" s="129">
        <f>SUM(M56:M61)</f>
        <v>0</v>
      </c>
      <c r="N55" s="129">
        <f t="shared" ref="N55:AP55" si="21">SUM(N56:N61)</f>
        <v>0</v>
      </c>
      <c r="O55" s="129">
        <f t="shared" si="21"/>
        <v>0</v>
      </c>
      <c r="P55" s="129">
        <f t="shared" si="21"/>
        <v>0</v>
      </c>
      <c r="Q55" s="129">
        <f t="shared" si="21"/>
        <v>0</v>
      </c>
      <c r="R55" s="129">
        <f t="shared" si="21"/>
        <v>0</v>
      </c>
      <c r="S55" s="129">
        <f t="shared" si="21"/>
        <v>0</v>
      </c>
      <c r="T55" s="129">
        <f t="shared" si="21"/>
        <v>0</v>
      </c>
      <c r="U55" s="129">
        <f t="shared" si="21"/>
        <v>0</v>
      </c>
      <c r="V55" s="129">
        <f t="shared" si="21"/>
        <v>0</v>
      </c>
      <c r="W55" s="129">
        <f t="shared" si="21"/>
        <v>0</v>
      </c>
      <c r="X55" s="129">
        <f t="shared" si="21"/>
        <v>0</v>
      </c>
      <c r="Y55" s="129">
        <f t="shared" si="21"/>
        <v>0</v>
      </c>
      <c r="Z55" s="129">
        <f t="shared" si="21"/>
        <v>0</v>
      </c>
      <c r="AA55" s="129">
        <f t="shared" si="21"/>
        <v>0</v>
      </c>
      <c r="AB55" s="129">
        <f t="shared" si="21"/>
        <v>0</v>
      </c>
      <c r="AC55" s="129">
        <f t="shared" si="21"/>
        <v>0</v>
      </c>
      <c r="AD55" s="129">
        <f t="shared" si="21"/>
        <v>0</v>
      </c>
      <c r="AE55" s="129">
        <f t="shared" si="21"/>
        <v>0</v>
      </c>
      <c r="AF55" s="129">
        <f t="shared" si="21"/>
        <v>0</v>
      </c>
      <c r="AG55" s="129">
        <f t="shared" si="21"/>
        <v>0</v>
      </c>
      <c r="AH55" s="129">
        <f t="shared" si="21"/>
        <v>0</v>
      </c>
      <c r="AI55" s="129">
        <f t="shared" si="21"/>
        <v>0</v>
      </c>
      <c r="AJ55" s="129">
        <f t="shared" si="21"/>
        <v>0</v>
      </c>
      <c r="AK55" s="129">
        <f t="shared" si="21"/>
        <v>0</v>
      </c>
      <c r="AL55" s="129">
        <f t="shared" si="21"/>
        <v>0</v>
      </c>
      <c r="AM55" s="129">
        <f t="shared" si="21"/>
        <v>0</v>
      </c>
      <c r="AN55" s="129">
        <f t="shared" si="21"/>
        <v>0</v>
      </c>
      <c r="AO55" s="129">
        <f t="shared" si="21"/>
        <v>0</v>
      </c>
      <c r="AP55" s="129">
        <f t="shared" si="21"/>
        <v>0</v>
      </c>
      <c r="AQ55" s="129">
        <f t="shared" si="2"/>
        <v>0</v>
      </c>
      <c r="AR55" s="129">
        <f t="shared" si="12"/>
        <v>0</v>
      </c>
      <c r="AS55" s="129"/>
      <c r="AT55" s="129">
        <f>SUM(AT56:AT61)</f>
        <v>0</v>
      </c>
      <c r="AU55" s="131">
        <f t="shared" si="3"/>
        <v>0</v>
      </c>
      <c r="AV55" s="131">
        <f t="shared" si="4"/>
        <v>0</v>
      </c>
      <c r="AW55" s="131">
        <f t="shared" si="5"/>
        <v>0</v>
      </c>
      <c r="AX55" s="131">
        <f t="shared" si="6"/>
        <v>0</v>
      </c>
      <c r="AY55" s="131">
        <f t="shared" si="13"/>
        <v>0</v>
      </c>
      <c r="AZ55" s="131">
        <f t="shared" si="13"/>
        <v>0</v>
      </c>
      <c r="BA55" s="129">
        <f t="shared" si="14"/>
        <v>0</v>
      </c>
      <c r="BB55" s="99"/>
      <c r="BC55"/>
    </row>
    <row r="56" spans="1:55" ht="15" customHeight="1" x14ac:dyDescent="0.25">
      <c r="A56" s="145" t="s">
        <v>53</v>
      </c>
      <c r="B56" s="147" t="s">
        <v>144</v>
      </c>
      <c r="C56" s="146">
        <v>15</v>
      </c>
      <c r="D56" s="121">
        <f>AT56*AU56*AW56</f>
        <v>0</v>
      </c>
      <c r="E56" s="17">
        <f>ROUND(AT56*AV56*AX56,4)</f>
        <v>0</v>
      </c>
      <c r="F56" s="81"/>
      <c r="G56" s="81"/>
      <c r="H56" s="82"/>
      <c r="I56" s="82"/>
      <c r="J56" s="14" t="s">
        <v>55</v>
      </c>
      <c r="K56" s="84"/>
      <c r="L56" s="84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>
        <f t="shared" si="2"/>
        <v>0</v>
      </c>
      <c r="AR56" s="16">
        <f t="shared" si="12"/>
        <v>0</v>
      </c>
      <c r="AS56" s="16"/>
      <c r="AT56" s="16"/>
      <c r="AU56" s="82">
        <f t="shared" si="3"/>
        <v>0</v>
      </c>
      <c r="AV56" s="82">
        <f t="shared" si="4"/>
        <v>0</v>
      </c>
      <c r="AW56" s="82">
        <f t="shared" si="5"/>
        <v>0</v>
      </c>
      <c r="AX56" s="82">
        <f t="shared" si="6"/>
        <v>0</v>
      </c>
      <c r="AY56" s="92">
        <f t="shared" si="13"/>
        <v>0</v>
      </c>
      <c r="AZ56" s="92">
        <f t="shared" si="13"/>
        <v>0</v>
      </c>
      <c r="BA56" s="95">
        <f t="shared" si="14"/>
        <v>0</v>
      </c>
      <c r="BB56" s="86"/>
      <c r="BC56"/>
    </row>
    <row r="57" spans="1:55" ht="15" customHeight="1" x14ac:dyDescent="0.25">
      <c r="A57" s="71" t="s">
        <v>54</v>
      </c>
      <c r="B57" s="123" t="s">
        <v>145</v>
      </c>
      <c r="C57" s="112">
        <v>16</v>
      </c>
      <c r="D57" s="121">
        <f>AT57*AU57*AW57</f>
        <v>0</v>
      </c>
      <c r="E57" s="17">
        <f t="shared" ref="E57:E58" si="22">ROUND(AT57*AV57*AX57,4)</f>
        <v>0</v>
      </c>
      <c r="F57" s="19"/>
      <c r="G57" s="19"/>
      <c r="H57" s="18"/>
      <c r="I57" s="18"/>
      <c r="J57" s="7" t="s">
        <v>55</v>
      </c>
      <c r="K57" s="20"/>
      <c r="L57" s="20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7">
        <f t="shared" si="2"/>
        <v>0</v>
      </c>
      <c r="AR57" s="16">
        <f t="shared" si="12"/>
        <v>0</v>
      </c>
      <c r="AS57" s="16"/>
      <c r="AT57" s="16"/>
      <c r="AU57" s="82">
        <f t="shared" si="3"/>
        <v>0</v>
      </c>
      <c r="AV57" s="82">
        <f t="shared" si="4"/>
        <v>0</v>
      </c>
      <c r="AW57" s="82">
        <f t="shared" si="5"/>
        <v>0</v>
      </c>
      <c r="AX57" s="82">
        <f t="shared" si="6"/>
        <v>0</v>
      </c>
      <c r="AY57" s="92">
        <f t="shared" si="13"/>
        <v>0</v>
      </c>
      <c r="AZ57" s="92">
        <f t="shared" si="13"/>
        <v>0</v>
      </c>
      <c r="BA57" s="95">
        <f t="shared" si="14"/>
        <v>0</v>
      </c>
      <c r="BB57" s="75"/>
      <c r="BC57"/>
    </row>
    <row r="58" spans="1:55" ht="15" customHeight="1" x14ac:dyDescent="0.25">
      <c r="A58" s="73" t="s">
        <v>124</v>
      </c>
      <c r="B58" s="123" t="s">
        <v>146</v>
      </c>
      <c r="C58" s="113">
        <v>26</v>
      </c>
      <c r="D58" s="121">
        <f>AT58*AU58*AW58</f>
        <v>0</v>
      </c>
      <c r="E58" s="17">
        <f t="shared" si="22"/>
        <v>0</v>
      </c>
      <c r="F58" s="19"/>
      <c r="G58" s="19"/>
      <c r="H58" s="18"/>
      <c r="I58" s="18"/>
      <c r="J58" s="7" t="s">
        <v>55</v>
      </c>
      <c r="K58" s="20"/>
      <c r="L58" s="20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7">
        <f t="shared" si="2"/>
        <v>0</v>
      </c>
      <c r="AR58" s="16">
        <f t="shared" si="12"/>
        <v>0</v>
      </c>
      <c r="AS58" s="16"/>
      <c r="AT58" s="16"/>
      <c r="AU58" s="82">
        <f t="shared" si="3"/>
        <v>0</v>
      </c>
      <c r="AV58" s="82">
        <f t="shared" si="4"/>
        <v>0</v>
      </c>
      <c r="AW58" s="82">
        <f t="shared" si="5"/>
        <v>0</v>
      </c>
      <c r="AX58" s="82">
        <f t="shared" si="6"/>
        <v>0</v>
      </c>
      <c r="AY58" s="92">
        <f t="shared" si="13"/>
        <v>0</v>
      </c>
      <c r="AZ58" s="92">
        <f t="shared" si="13"/>
        <v>0</v>
      </c>
      <c r="BA58" s="95">
        <f t="shared" si="14"/>
        <v>0</v>
      </c>
      <c r="BB58" s="75"/>
      <c r="BC58"/>
    </row>
    <row r="59" spans="1:55" ht="15" customHeight="1" x14ac:dyDescent="0.25">
      <c r="A59" s="73" t="s">
        <v>125</v>
      </c>
      <c r="B59" s="123" t="s">
        <v>147</v>
      </c>
      <c r="C59" s="112">
        <v>30</v>
      </c>
      <c r="D59" s="121">
        <f t="shared" ref="D59:D61" si="23">AT59*AU59*AW59</f>
        <v>0</v>
      </c>
      <c r="E59" s="17">
        <f t="shared" ref="E59:E61" si="24">ROUND(AT59*AV59*AX59,4)</f>
        <v>0</v>
      </c>
      <c r="F59" s="19"/>
      <c r="G59" s="19"/>
      <c r="H59" s="18"/>
      <c r="I59" s="18"/>
      <c r="J59" s="7" t="s">
        <v>55</v>
      </c>
      <c r="K59" s="20"/>
      <c r="L59" s="20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7">
        <f t="shared" ref="AQ59:AQ61" si="25">M59+O59+S59+U59+W59+AA59+Q59+Y59</f>
        <v>0</v>
      </c>
      <c r="AR59" s="16">
        <f t="shared" ref="AR59:AR61" si="26">N59+P59+R59+AC59+AD59+AE59+AF59+AG59+AH59+AI59+AJ59+AK59+AL59+AM59+AN59+AO59+AP59+T59+V59+X59+Z59+AB59</f>
        <v>0</v>
      </c>
      <c r="AS59" s="16"/>
      <c r="AT59" s="16"/>
      <c r="AU59" s="82">
        <f t="shared" ref="AU59:AU61" si="27">IF(AT59-AQ59=0,0,(AT59-M59-O59-Q59)/AT59)</f>
        <v>0</v>
      </c>
      <c r="AV59" s="82">
        <f t="shared" ref="AV59:AV61" si="28">IF(AT59=0,0,(AT59-N59-P59-R59-AC59-AD59-AE59-AF59-AG59-AH59-AI59-AJ59-AL59)/AT59)</f>
        <v>0</v>
      </c>
      <c r="AW59" s="82">
        <f t="shared" ref="AW59:AW61" si="29">IF(OR(AT59=0,AU59=0),0,((AT59*AU59)-S59-U59-W59-Y59-AA59)/(AT59*AU59))</f>
        <v>0</v>
      </c>
      <c r="AX59" s="82">
        <f t="shared" ref="AX59:AX61" si="30">IF(OR(AT59=0,AV59=0),0,((AT59*AV59)-AK59-AM59-AN59-AO59-AP59-T59-V59-X59-Z59-AB59)/(AT59*AV59))</f>
        <v>0</v>
      </c>
      <c r="AY59" s="92">
        <f t="shared" ref="AY59:AY61" si="31">IF(D59=0,0,K59/D59/24)</f>
        <v>0</v>
      </c>
      <c r="AZ59" s="92">
        <f t="shared" ref="AZ59:AZ61" si="32">IF(E59=0,0,L59/E59/24)</f>
        <v>0</v>
      </c>
      <c r="BA59" s="95">
        <f t="shared" ref="BA59:BA61" si="33">ROUND(AT59-E59-AR59,4)</f>
        <v>0</v>
      </c>
      <c r="BB59" s="75"/>
      <c r="BC59"/>
    </row>
    <row r="60" spans="1:55" ht="15" customHeight="1" x14ac:dyDescent="0.25">
      <c r="A60" s="73" t="s">
        <v>151</v>
      </c>
      <c r="B60" s="148" t="s">
        <v>150</v>
      </c>
      <c r="C60" s="112">
        <v>32</v>
      </c>
      <c r="D60" s="121">
        <f t="shared" si="23"/>
        <v>0</v>
      </c>
      <c r="E60" s="17">
        <f t="shared" si="24"/>
        <v>0</v>
      </c>
      <c r="F60" s="19"/>
      <c r="G60" s="19"/>
      <c r="H60" s="18"/>
      <c r="I60" s="18"/>
      <c r="J60" s="7" t="s">
        <v>55</v>
      </c>
      <c r="K60" s="20"/>
      <c r="L60" s="20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7">
        <f t="shared" si="25"/>
        <v>0</v>
      </c>
      <c r="AR60" s="16">
        <f t="shared" si="26"/>
        <v>0</v>
      </c>
      <c r="AS60" s="16"/>
      <c r="AT60" s="16"/>
      <c r="AU60" s="82">
        <f t="shared" si="27"/>
        <v>0</v>
      </c>
      <c r="AV60" s="82">
        <f t="shared" si="28"/>
        <v>0</v>
      </c>
      <c r="AW60" s="82">
        <f t="shared" si="29"/>
        <v>0</v>
      </c>
      <c r="AX60" s="82">
        <f t="shared" si="30"/>
        <v>0</v>
      </c>
      <c r="AY60" s="92">
        <f t="shared" si="31"/>
        <v>0</v>
      </c>
      <c r="AZ60" s="92">
        <f t="shared" si="32"/>
        <v>0</v>
      </c>
      <c r="BA60" s="95">
        <f t="shared" si="33"/>
        <v>0</v>
      </c>
      <c r="BB60" s="75"/>
      <c r="BC60"/>
    </row>
    <row r="61" spans="1:55" ht="15" customHeight="1" thickBot="1" x14ac:dyDescent="0.3">
      <c r="A61" s="143" t="s">
        <v>152</v>
      </c>
      <c r="B61" s="125" t="s">
        <v>154</v>
      </c>
      <c r="C61" s="144">
        <v>24</v>
      </c>
      <c r="D61" s="122">
        <f t="shared" si="23"/>
        <v>0</v>
      </c>
      <c r="E61" s="149">
        <f t="shared" si="24"/>
        <v>0</v>
      </c>
      <c r="F61" s="64"/>
      <c r="G61" s="64"/>
      <c r="H61" s="65"/>
      <c r="I61" s="65"/>
      <c r="J61" s="66" t="s">
        <v>55</v>
      </c>
      <c r="K61" s="67"/>
      <c r="L61" s="67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149">
        <f t="shared" si="25"/>
        <v>0</v>
      </c>
      <c r="AR61" s="63">
        <f t="shared" si="26"/>
        <v>0</v>
      </c>
      <c r="AS61" s="63"/>
      <c r="AT61" s="63"/>
      <c r="AU61" s="150">
        <f t="shared" si="27"/>
        <v>0</v>
      </c>
      <c r="AV61" s="150">
        <f t="shared" si="28"/>
        <v>0</v>
      </c>
      <c r="AW61" s="150">
        <f t="shared" si="29"/>
        <v>0</v>
      </c>
      <c r="AX61" s="150">
        <f t="shared" si="30"/>
        <v>0</v>
      </c>
      <c r="AY61" s="65">
        <f t="shared" si="31"/>
        <v>0</v>
      </c>
      <c r="AZ61" s="65">
        <f t="shared" si="32"/>
        <v>0</v>
      </c>
      <c r="BA61" s="151">
        <f t="shared" si="33"/>
        <v>0</v>
      </c>
      <c r="BB61" s="76"/>
      <c r="BC61"/>
    </row>
    <row r="62" spans="1:55" x14ac:dyDescent="0.25">
      <c r="C62" s="2"/>
      <c r="D62" s="3"/>
      <c r="F62" s="2"/>
      <c r="G62" s="2"/>
      <c r="H62" s="1"/>
      <c r="I62" s="1"/>
      <c r="M62" s="5"/>
      <c r="O62" s="4"/>
      <c r="P62" s="5"/>
      <c r="Q62" s="5"/>
      <c r="U62" s="2"/>
      <c r="V62" s="2"/>
      <c r="W62" s="2"/>
      <c r="X62" s="2"/>
      <c r="Y62" s="1"/>
      <c r="Z62" s="1"/>
      <c r="AA62" s="1"/>
      <c r="AB62" s="1"/>
    </row>
    <row r="63" spans="1:55" x14ac:dyDescent="0.25">
      <c r="A63" s="10"/>
      <c r="B63" s="10"/>
      <c r="C63" s="10"/>
      <c r="D63" s="3"/>
      <c r="F63" s="2"/>
      <c r="G63" s="2"/>
      <c r="H63" s="1"/>
      <c r="I63" s="1"/>
      <c r="M63" s="5"/>
      <c r="O63" s="4"/>
      <c r="P63" s="5"/>
      <c r="Q63" s="5"/>
      <c r="U63" s="2"/>
      <c r="V63" s="2"/>
      <c r="W63" s="2"/>
      <c r="X63" s="2"/>
      <c r="Y63" s="1"/>
      <c r="Z63" s="1"/>
      <c r="AA63" s="1"/>
      <c r="AB63" s="1"/>
    </row>
    <row r="64" spans="1:55" x14ac:dyDescent="0.2">
      <c r="A64" s="6" t="s">
        <v>126</v>
      </c>
      <c r="B64" s="6"/>
      <c r="C64" s="6"/>
      <c r="D64" s="6"/>
      <c r="F64" s="2"/>
      <c r="G64" s="2"/>
      <c r="H64" s="1"/>
      <c r="I64" s="1"/>
      <c r="M64" s="5"/>
      <c r="O64" s="4"/>
      <c r="P64" s="5"/>
      <c r="Q64" s="5"/>
      <c r="U64" s="2"/>
      <c r="V64" s="2"/>
      <c r="W64" s="2"/>
      <c r="X64" s="2"/>
      <c r="Y64" s="1"/>
      <c r="Z64" s="1"/>
      <c r="AA64" s="1"/>
      <c r="AB64" s="1"/>
    </row>
    <row r="65" spans="1:28" x14ac:dyDescent="0.2">
      <c r="A65" s="6"/>
      <c r="B65" s="6"/>
      <c r="C65" s="6"/>
      <c r="D65" s="6"/>
      <c r="F65" s="2"/>
      <c r="G65" s="2"/>
      <c r="H65" s="1"/>
      <c r="I65" s="1"/>
      <c r="M65" s="5"/>
      <c r="O65" s="4"/>
      <c r="P65" s="5"/>
      <c r="Q65" s="5"/>
      <c r="U65" s="2"/>
      <c r="V65" s="2"/>
      <c r="W65" s="2"/>
      <c r="X65" s="2"/>
      <c r="Y65" s="1"/>
      <c r="Z65" s="1"/>
      <c r="AA65" s="1"/>
      <c r="AB65" s="1"/>
    </row>
    <row r="66" spans="1:28" x14ac:dyDescent="0.2">
      <c r="A66" s="6" t="s">
        <v>128</v>
      </c>
      <c r="B66" s="6"/>
      <c r="C66" s="6"/>
      <c r="D66" s="6"/>
      <c r="F66" s="2"/>
      <c r="G66" s="2"/>
      <c r="H66" s="1"/>
      <c r="I66" s="1"/>
      <c r="M66" s="5"/>
      <c r="O66" s="4"/>
      <c r="P66" s="5"/>
      <c r="Q66" s="5"/>
      <c r="U66" s="2"/>
      <c r="V66" s="2"/>
      <c r="W66" s="2"/>
      <c r="X66" s="2"/>
      <c r="Y66" s="1"/>
      <c r="Z66" s="1"/>
      <c r="AA66" s="1"/>
      <c r="AB66" s="1"/>
    </row>
    <row r="67" spans="1:28" x14ac:dyDescent="0.2">
      <c r="A67" s="6"/>
      <c r="B67" s="6"/>
      <c r="C67" s="6"/>
      <c r="D67" s="6"/>
      <c r="F67" s="2"/>
      <c r="G67" s="2"/>
      <c r="H67" s="1"/>
      <c r="I67" s="1"/>
      <c r="M67" s="5"/>
      <c r="O67" s="4"/>
      <c r="P67" s="5"/>
      <c r="Q67" s="5"/>
      <c r="U67" s="2"/>
      <c r="V67" s="2"/>
      <c r="W67" s="2"/>
      <c r="X67" s="2"/>
      <c r="Y67" s="1"/>
      <c r="Z67" s="1"/>
      <c r="AA67" s="1"/>
      <c r="AB67" s="1"/>
    </row>
    <row r="68" spans="1:28" x14ac:dyDescent="0.2">
      <c r="A68" s="6" t="s">
        <v>127</v>
      </c>
      <c r="B68" s="6"/>
      <c r="C68" s="6"/>
      <c r="D68" s="6"/>
      <c r="F68" s="2"/>
      <c r="G68" s="2"/>
      <c r="H68" s="1"/>
      <c r="I68" s="1"/>
      <c r="M68" s="5"/>
      <c r="O68" s="4"/>
      <c r="P68" s="5"/>
      <c r="Q68" s="5"/>
      <c r="U68" s="2"/>
      <c r="V68" s="2"/>
      <c r="W68" s="2"/>
      <c r="X68" s="2"/>
      <c r="Y68" s="1"/>
      <c r="Z68" s="1"/>
      <c r="AA68" s="1"/>
      <c r="AB68" s="1"/>
    </row>
    <row r="69" spans="1:28" x14ac:dyDescent="0.25">
      <c r="A69" s="10"/>
      <c r="B69" s="10"/>
    </row>
    <row r="72" spans="1:28" x14ac:dyDescent="0.25">
      <c r="A72" s="10"/>
      <c r="B72" s="10"/>
    </row>
    <row r="73" spans="1:28" x14ac:dyDescent="0.25">
      <c r="A73" s="10"/>
      <c r="B73" s="10"/>
    </row>
    <row r="74" spans="1:28" x14ac:dyDescent="0.25">
      <c r="A74" s="10"/>
      <c r="B74" s="10"/>
    </row>
    <row r="75" spans="1:28" x14ac:dyDescent="0.25">
      <c r="A75" s="10"/>
      <c r="B75" s="10"/>
    </row>
    <row r="76" spans="1:28" x14ac:dyDescent="0.25">
      <c r="A76" s="10"/>
      <c r="B76" s="10"/>
    </row>
    <row r="77" spans="1:28" x14ac:dyDescent="0.25">
      <c r="A77" s="10"/>
      <c r="B77" s="10"/>
    </row>
    <row r="78" spans="1:28" x14ac:dyDescent="0.25">
      <c r="A78" s="10"/>
      <c r="B78" s="10"/>
    </row>
    <row r="79" spans="1:28" x14ac:dyDescent="0.25">
      <c r="A79" s="10"/>
      <c r="B79" s="10"/>
    </row>
  </sheetData>
  <mergeCells count="32">
    <mergeCell ref="BB12:BB15"/>
    <mergeCell ref="BA12:BA15"/>
    <mergeCell ref="A7:BB7"/>
    <mergeCell ref="A9:BB9"/>
    <mergeCell ref="AQ12:AR14"/>
    <mergeCell ref="AK14:AN14"/>
    <mergeCell ref="AA14:AB14"/>
    <mergeCell ref="AC14:AJ14"/>
    <mergeCell ref="Q14:R14"/>
    <mergeCell ref="S14:T14"/>
    <mergeCell ref="U14:V14"/>
    <mergeCell ref="Y14:Z14"/>
    <mergeCell ref="H12:I14"/>
    <mergeCell ref="J12:J15"/>
    <mergeCell ref="K12:L14"/>
    <mergeCell ref="M13:AB13"/>
    <mergeCell ref="M14:N14"/>
    <mergeCell ref="O14:P14"/>
    <mergeCell ref="AU12:AV14"/>
    <mergeCell ref="A12:A15"/>
    <mergeCell ref="AY12:AZ14"/>
    <mergeCell ref="B12:B15"/>
    <mergeCell ref="D12:E14"/>
    <mergeCell ref="AW12:AX14"/>
    <mergeCell ref="C12:C15"/>
    <mergeCell ref="F12:G14"/>
    <mergeCell ref="AS12:AT14"/>
    <mergeCell ref="W14:X14"/>
    <mergeCell ref="AO14:AO15"/>
    <mergeCell ref="AP14:AP15"/>
    <mergeCell ref="M12:AP12"/>
    <mergeCell ref="AC13:AP13"/>
  </mergeCells>
  <pageMargins left="0.7" right="0.7" top="0.75" bottom="0.75" header="0.3" footer="0.3"/>
  <pageSetup paperSize="9" orientation="portrait" r:id="rId1"/>
  <ignoredErrors>
    <ignoredError sqref="D25:E25 D28:E42 D24 D26 D44:E44 D43 D46:E46 D45 D49:E52 D47 D48 D54 D5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9"/>
  <sheetViews>
    <sheetView showZeros="0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9" sqref="A9:BB9"/>
    </sheetView>
  </sheetViews>
  <sheetFormatPr defaultRowHeight="14.25" x14ac:dyDescent="0.25"/>
  <cols>
    <col min="1" max="1" width="30.7109375" style="2" customWidth="1"/>
    <col min="2" max="2" width="10.7109375" style="2" customWidth="1"/>
    <col min="3" max="3" width="9.7109375" style="3" customWidth="1"/>
    <col min="4" max="5" width="9.7109375" style="2" customWidth="1"/>
    <col min="6" max="7" width="9.7109375" style="1" customWidth="1"/>
    <col min="8" max="9" width="9.7109375" style="5" customWidth="1"/>
    <col min="10" max="10" width="8.7109375" style="5" customWidth="1"/>
    <col min="11" max="12" width="14.7109375" style="5" customWidth="1"/>
    <col min="13" max="13" width="9.7109375" style="4" customWidth="1"/>
    <col min="14" max="15" width="9.7109375" style="5" customWidth="1"/>
    <col min="16" max="20" width="9.7109375" style="2" customWidth="1"/>
    <col min="21" max="24" width="9.7109375" style="1" customWidth="1"/>
    <col min="25" max="54" width="9.7109375" style="2" customWidth="1"/>
    <col min="55" max="16384" width="9.140625" style="2"/>
  </cols>
  <sheetData>
    <row r="1" spans="1:55" ht="12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/>
      <c r="AJ1"/>
      <c r="AK1"/>
      <c r="AL1"/>
      <c r="AM1"/>
    </row>
    <row r="2" spans="1:55" ht="12.75" customHeight="1" x14ac:dyDescent="0.25">
      <c r="A2" s="11" t="s">
        <v>134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X2" s="11" t="s">
        <v>56</v>
      </c>
      <c r="AY2"/>
      <c r="AZ2"/>
      <c r="BA2"/>
      <c r="BB2"/>
      <c r="BC2"/>
    </row>
    <row r="3" spans="1:55" s="6" customFormat="1" ht="12.75" customHeight="1" x14ac:dyDescent="0.25">
      <c r="A3" s="11" t="s">
        <v>57</v>
      </c>
      <c r="AX3" s="11" t="s">
        <v>65</v>
      </c>
      <c r="AY3"/>
      <c r="AZ3"/>
      <c r="BA3"/>
      <c r="BB3"/>
      <c r="BC3"/>
    </row>
    <row r="4" spans="1:55" s="6" customFormat="1" ht="12.75" customHeight="1" x14ac:dyDescent="0.25">
      <c r="AX4" s="24" t="s">
        <v>123</v>
      </c>
      <c r="AY4"/>
      <c r="AZ4"/>
      <c r="BA4"/>
      <c r="BB4"/>
      <c r="BC4"/>
    </row>
    <row r="5" spans="1:55" s="6" customFormat="1" ht="12.75" customHeight="1" x14ac:dyDescent="0.25">
      <c r="AY5"/>
      <c r="AZ5"/>
      <c r="BA5"/>
      <c r="BB5"/>
      <c r="BC5"/>
    </row>
    <row r="6" spans="1:55" s="6" customFormat="1" ht="15" x14ac:dyDescent="0.25">
      <c r="AX6" s="25" t="s">
        <v>85</v>
      </c>
      <c r="AY6"/>
      <c r="AZ6"/>
      <c r="BA6"/>
      <c r="BB6"/>
      <c r="BC6"/>
    </row>
    <row r="7" spans="1:55" s="6" customFormat="1" ht="15.75" customHeight="1" x14ac:dyDescent="0.2">
      <c r="A7" s="184" t="s">
        <v>58</v>
      </c>
      <c r="B7" s="184"/>
      <c r="C7" s="184"/>
      <c r="D7" s="184"/>
      <c r="E7" s="184"/>
      <c r="F7" s="184"/>
      <c r="G7" s="184"/>
      <c r="H7" s="184"/>
      <c r="I7" s="184"/>
      <c r="J7" s="184"/>
      <c r="K7" s="184"/>
      <c r="L7" s="184"/>
      <c r="M7" s="184"/>
      <c r="N7" s="184"/>
      <c r="O7" s="184"/>
      <c r="P7" s="184"/>
      <c r="Q7" s="184"/>
      <c r="R7" s="184"/>
      <c r="S7" s="184"/>
      <c r="T7" s="184"/>
      <c r="U7" s="184"/>
      <c r="V7" s="184"/>
      <c r="W7" s="184"/>
      <c r="X7" s="184"/>
      <c r="Y7" s="184"/>
      <c r="Z7" s="184"/>
      <c r="AA7" s="184"/>
      <c r="AB7" s="184"/>
      <c r="AC7" s="184"/>
      <c r="AD7" s="184"/>
      <c r="AE7" s="184"/>
      <c r="AF7" s="184"/>
      <c r="AG7" s="184"/>
      <c r="AH7" s="184"/>
      <c r="AI7" s="184"/>
      <c r="AJ7" s="184"/>
      <c r="AK7" s="184"/>
      <c r="AL7" s="184"/>
      <c r="AM7" s="184"/>
      <c r="AN7" s="184"/>
      <c r="AO7" s="184"/>
      <c r="AP7" s="184"/>
      <c r="AQ7" s="184"/>
      <c r="AR7" s="184"/>
      <c r="AS7" s="184"/>
      <c r="AT7" s="184"/>
      <c r="AU7" s="184"/>
      <c r="AV7" s="184"/>
      <c r="AW7" s="184"/>
      <c r="AX7" s="184"/>
      <c r="AY7" s="184"/>
      <c r="AZ7" s="184"/>
      <c r="BA7" s="184"/>
      <c r="BB7" s="184"/>
      <c r="BC7" s="109"/>
    </row>
    <row r="8" spans="1:55" s="6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55" ht="15.75" x14ac:dyDescent="0.25">
      <c r="A9" s="185"/>
      <c r="B9" s="185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  <c r="Z9" s="185"/>
      <c r="AA9" s="185"/>
      <c r="AB9" s="185"/>
      <c r="AC9" s="185"/>
      <c r="AD9" s="185"/>
      <c r="AE9" s="185"/>
      <c r="AF9" s="185"/>
      <c r="AG9" s="185"/>
      <c r="AH9" s="185"/>
      <c r="AI9" s="185"/>
      <c r="AJ9" s="185"/>
      <c r="AK9" s="185"/>
      <c r="AL9" s="185"/>
      <c r="AM9" s="185"/>
      <c r="AN9" s="185"/>
      <c r="AO9" s="185"/>
      <c r="AP9" s="185"/>
      <c r="AQ9" s="185"/>
      <c r="AR9" s="185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08"/>
    </row>
    <row r="10" spans="1:55" s="6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55" ht="12.7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3"/>
      <c r="L11" s="2"/>
      <c r="M11" s="2"/>
      <c r="N11" s="2"/>
      <c r="O11" s="2"/>
      <c r="U11" s="2"/>
      <c r="V11" s="2"/>
      <c r="W11" s="2"/>
      <c r="X11" s="2"/>
    </row>
    <row r="12" spans="1:55" ht="14.25" customHeight="1" x14ac:dyDescent="0.25">
      <c r="A12" s="160" t="s">
        <v>2</v>
      </c>
      <c r="B12" s="163" t="s">
        <v>129</v>
      </c>
      <c r="C12" s="163" t="s">
        <v>3</v>
      </c>
      <c r="D12" s="166" t="s">
        <v>60</v>
      </c>
      <c r="E12" s="155"/>
      <c r="F12" s="154" t="s">
        <v>131</v>
      </c>
      <c r="G12" s="155"/>
      <c r="H12" s="154" t="s">
        <v>1</v>
      </c>
      <c r="I12" s="155"/>
      <c r="J12" s="186" t="s">
        <v>135</v>
      </c>
      <c r="K12" s="154" t="s">
        <v>4</v>
      </c>
      <c r="L12" s="155"/>
      <c r="M12" s="175" t="s">
        <v>62</v>
      </c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  <c r="AA12" s="176"/>
      <c r="AB12" s="176"/>
      <c r="AC12" s="176"/>
      <c r="AD12" s="176"/>
      <c r="AE12" s="176"/>
      <c r="AF12" s="176"/>
      <c r="AG12" s="176"/>
      <c r="AH12" s="176"/>
      <c r="AI12" s="176"/>
      <c r="AJ12" s="176"/>
      <c r="AK12" s="176"/>
      <c r="AL12" s="176"/>
      <c r="AM12" s="176"/>
      <c r="AN12" s="176"/>
      <c r="AO12" s="176"/>
      <c r="AP12" s="177"/>
      <c r="AQ12" s="154" t="s">
        <v>69</v>
      </c>
      <c r="AR12" s="155"/>
      <c r="AS12" s="154" t="s">
        <v>59</v>
      </c>
      <c r="AT12" s="155"/>
      <c r="AU12" s="154" t="s">
        <v>70</v>
      </c>
      <c r="AV12" s="155"/>
      <c r="AW12" s="154" t="s">
        <v>71</v>
      </c>
      <c r="AX12" s="155"/>
      <c r="AY12" s="154" t="s">
        <v>72</v>
      </c>
      <c r="AZ12" s="155"/>
      <c r="BA12" s="182" t="s">
        <v>73</v>
      </c>
      <c r="BB12" s="179" t="s">
        <v>133</v>
      </c>
      <c r="BC12"/>
    </row>
    <row r="13" spans="1:55" ht="14.25" customHeight="1" x14ac:dyDescent="0.25">
      <c r="A13" s="161"/>
      <c r="B13" s="164"/>
      <c r="C13" s="164"/>
      <c r="D13" s="167"/>
      <c r="E13" s="157"/>
      <c r="F13" s="156"/>
      <c r="G13" s="157"/>
      <c r="H13" s="156"/>
      <c r="I13" s="157"/>
      <c r="J13" s="187"/>
      <c r="K13" s="156"/>
      <c r="L13" s="157"/>
      <c r="M13" s="152" t="s">
        <v>5</v>
      </c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  <c r="AA13" s="178"/>
      <c r="AB13" s="153"/>
      <c r="AC13" s="152" t="s">
        <v>6</v>
      </c>
      <c r="AD13" s="178"/>
      <c r="AE13" s="178"/>
      <c r="AF13" s="178"/>
      <c r="AG13" s="178"/>
      <c r="AH13" s="178"/>
      <c r="AI13" s="178"/>
      <c r="AJ13" s="178"/>
      <c r="AK13" s="178"/>
      <c r="AL13" s="178"/>
      <c r="AM13" s="178"/>
      <c r="AN13" s="178"/>
      <c r="AO13" s="178"/>
      <c r="AP13" s="153"/>
      <c r="AQ13" s="156"/>
      <c r="AR13" s="157"/>
      <c r="AS13" s="156"/>
      <c r="AT13" s="157"/>
      <c r="AU13" s="156"/>
      <c r="AV13" s="157"/>
      <c r="AW13" s="156"/>
      <c r="AX13" s="157"/>
      <c r="AY13" s="156"/>
      <c r="AZ13" s="157"/>
      <c r="BA13" s="183"/>
      <c r="BB13" s="180"/>
      <c r="BC13"/>
    </row>
    <row r="14" spans="1:55" ht="63.75" customHeight="1" x14ac:dyDescent="0.25">
      <c r="A14" s="161"/>
      <c r="B14" s="164"/>
      <c r="C14" s="164"/>
      <c r="D14" s="168"/>
      <c r="E14" s="159"/>
      <c r="F14" s="158"/>
      <c r="G14" s="159"/>
      <c r="H14" s="158"/>
      <c r="I14" s="159"/>
      <c r="J14" s="187"/>
      <c r="K14" s="158"/>
      <c r="L14" s="159"/>
      <c r="M14" s="152" t="s">
        <v>10</v>
      </c>
      <c r="N14" s="153"/>
      <c r="O14" s="152" t="s">
        <v>74</v>
      </c>
      <c r="P14" s="153"/>
      <c r="Q14" s="152" t="s">
        <v>75</v>
      </c>
      <c r="R14" s="153"/>
      <c r="S14" s="152" t="s">
        <v>86</v>
      </c>
      <c r="T14" s="153"/>
      <c r="U14" s="152" t="s">
        <v>136</v>
      </c>
      <c r="V14" s="153"/>
      <c r="W14" s="169" t="s">
        <v>132</v>
      </c>
      <c r="X14" s="170"/>
      <c r="Y14" s="152" t="s">
        <v>84</v>
      </c>
      <c r="Z14" s="153"/>
      <c r="AA14" s="152" t="s">
        <v>76</v>
      </c>
      <c r="AB14" s="153"/>
      <c r="AC14" s="152" t="s">
        <v>7</v>
      </c>
      <c r="AD14" s="178"/>
      <c r="AE14" s="178"/>
      <c r="AF14" s="178"/>
      <c r="AG14" s="178"/>
      <c r="AH14" s="178"/>
      <c r="AI14" s="178"/>
      <c r="AJ14" s="153"/>
      <c r="AK14" s="152" t="s">
        <v>8</v>
      </c>
      <c r="AL14" s="178"/>
      <c r="AM14" s="178"/>
      <c r="AN14" s="153"/>
      <c r="AO14" s="171" t="s">
        <v>77</v>
      </c>
      <c r="AP14" s="173" t="s">
        <v>18</v>
      </c>
      <c r="AQ14" s="158"/>
      <c r="AR14" s="159"/>
      <c r="AS14" s="158"/>
      <c r="AT14" s="159"/>
      <c r="AU14" s="158"/>
      <c r="AV14" s="159"/>
      <c r="AW14" s="158"/>
      <c r="AX14" s="159"/>
      <c r="AY14" s="158"/>
      <c r="AZ14" s="159"/>
      <c r="BA14" s="183"/>
      <c r="BB14" s="180"/>
      <c r="BC14"/>
    </row>
    <row r="15" spans="1:55" ht="38.25" customHeight="1" thickBot="1" x14ac:dyDescent="0.3">
      <c r="A15" s="162"/>
      <c r="B15" s="165"/>
      <c r="C15" s="165"/>
      <c r="D15" s="118" t="s">
        <v>61</v>
      </c>
      <c r="E15" s="77" t="s">
        <v>9</v>
      </c>
      <c r="F15" s="77" t="s">
        <v>11</v>
      </c>
      <c r="G15" s="77" t="s">
        <v>130</v>
      </c>
      <c r="H15" s="77" t="s">
        <v>0</v>
      </c>
      <c r="I15" s="77" t="s">
        <v>78</v>
      </c>
      <c r="J15" s="188"/>
      <c r="K15" s="77" t="s">
        <v>61</v>
      </c>
      <c r="L15" s="77" t="s">
        <v>9</v>
      </c>
      <c r="M15" s="77" t="s">
        <v>61</v>
      </c>
      <c r="N15" s="77" t="s">
        <v>9</v>
      </c>
      <c r="O15" s="77" t="s">
        <v>61</v>
      </c>
      <c r="P15" s="77" t="s">
        <v>9</v>
      </c>
      <c r="Q15" s="77" t="s">
        <v>61</v>
      </c>
      <c r="R15" s="77" t="s">
        <v>9</v>
      </c>
      <c r="S15" s="77" t="s">
        <v>61</v>
      </c>
      <c r="T15" s="77" t="s">
        <v>9</v>
      </c>
      <c r="U15" s="77" t="s">
        <v>61</v>
      </c>
      <c r="V15" s="77" t="s">
        <v>9</v>
      </c>
      <c r="W15" s="77" t="s">
        <v>61</v>
      </c>
      <c r="X15" s="77" t="s">
        <v>9</v>
      </c>
      <c r="Y15" s="77" t="s">
        <v>61</v>
      </c>
      <c r="Z15" s="77" t="s">
        <v>9</v>
      </c>
      <c r="AA15" s="77" t="s">
        <v>61</v>
      </c>
      <c r="AB15" s="77" t="s">
        <v>9</v>
      </c>
      <c r="AC15" s="77" t="s">
        <v>11</v>
      </c>
      <c r="AD15" s="77" t="s">
        <v>12</v>
      </c>
      <c r="AE15" s="77" t="s">
        <v>13</v>
      </c>
      <c r="AF15" s="77" t="s">
        <v>14</v>
      </c>
      <c r="AG15" s="77" t="s">
        <v>15</v>
      </c>
      <c r="AH15" s="77" t="s">
        <v>16</v>
      </c>
      <c r="AI15" s="107" t="s">
        <v>18</v>
      </c>
      <c r="AJ15" s="107" t="s">
        <v>17</v>
      </c>
      <c r="AK15" s="77" t="s">
        <v>19</v>
      </c>
      <c r="AL15" s="77" t="s">
        <v>20</v>
      </c>
      <c r="AM15" s="77" t="s">
        <v>21</v>
      </c>
      <c r="AN15" s="77" t="s">
        <v>22</v>
      </c>
      <c r="AO15" s="172"/>
      <c r="AP15" s="174"/>
      <c r="AQ15" s="77" t="s">
        <v>61</v>
      </c>
      <c r="AR15" s="77" t="s">
        <v>9</v>
      </c>
      <c r="AS15" s="77" t="s">
        <v>61</v>
      </c>
      <c r="AT15" s="77" t="s">
        <v>9</v>
      </c>
      <c r="AU15" s="77" t="s">
        <v>61</v>
      </c>
      <c r="AV15" s="77" t="s">
        <v>9</v>
      </c>
      <c r="AW15" s="77" t="s">
        <v>61</v>
      </c>
      <c r="AX15" s="77" t="s">
        <v>9</v>
      </c>
      <c r="AY15" s="77" t="s">
        <v>61</v>
      </c>
      <c r="AZ15" s="77" t="s">
        <v>9</v>
      </c>
      <c r="BA15" s="172"/>
      <c r="BB15" s="181"/>
      <c r="BC15"/>
    </row>
    <row r="16" spans="1:55" ht="15" customHeight="1" thickBot="1" x14ac:dyDescent="0.3">
      <c r="A16" s="106">
        <v>1</v>
      </c>
      <c r="B16" s="106">
        <v>2</v>
      </c>
      <c r="C16" s="106">
        <v>3</v>
      </c>
      <c r="D16" s="105">
        <v>4</v>
      </c>
      <c r="E16" s="78">
        <v>5</v>
      </c>
      <c r="F16" s="78">
        <v>6</v>
      </c>
      <c r="G16" s="78">
        <v>7</v>
      </c>
      <c r="H16" s="78">
        <v>8</v>
      </c>
      <c r="I16" s="78">
        <v>9</v>
      </c>
      <c r="J16" s="78">
        <v>10</v>
      </c>
      <c r="K16" s="78">
        <v>11</v>
      </c>
      <c r="L16" s="78">
        <v>12</v>
      </c>
      <c r="M16" s="78">
        <v>13</v>
      </c>
      <c r="N16" s="78">
        <v>14</v>
      </c>
      <c r="O16" s="78">
        <v>15</v>
      </c>
      <c r="P16" s="78">
        <v>16</v>
      </c>
      <c r="Q16" s="78">
        <v>17</v>
      </c>
      <c r="R16" s="78">
        <v>18</v>
      </c>
      <c r="S16" s="78">
        <v>19</v>
      </c>
      <c r="T16" s="78">
        <v>20</v>
      </c>
      <c r="U16" s="78">
        <v>21</v>
      </c>
      <c r="V16" s="78">
        <v>22</v>
      </c>
      <c r="W16" s="78">
        <v>23</v>
      </c>
      <c r="X16" s="78">
        <v>24</v>
      </c>
      <c r="Y16" s="78">
        <v>25</v>
      </c>
      <c r="Z16" s="78">
        <v>26</v>
      </c>
      <c r="AA16" s="78">
        <v>27</v>
      </c>
      <c r="AB16" s="78">
        <v>28</v>
      </c>
      <c r="AC16" s="78">
        <v>29</v>
      </c>
      <c r="AD16" s="78">
        <v>30</v>
      </c>
      <c r="AE16" s="78">
        <v>31</v>
      </c>
      <c r="AF16" s="78">
        <v>32</v>
      </c>
      <c r="AG16" s="78">
        <v>33</v>
      </c>
      <c r="AH16" s="78">
        <v>34</v>
      </c>
      <c r="AI16" s="78">
        <v>35</v>
      </c>
      <c r="AJ16" s="78">
        <v>36</v>
      </c>
      <c r="AK16" s="78">
        <v>37</v>
      </c>
      <c r="AL16" s="78">
        <v>38</v>
      </c>
      <c r="AM16" s="78">
        <v>39</v>
      </c>
      <c r="AN16" s="78">
        <v>40</v>
      </c>
      <c r="AO16" s="78">
        <v>41</v>
      </c>
      <c r="AP16" s="78">
        <v>42</v>
      </c>
      <c r="AQ16" s="78">
        <v>43</v>
      </c>
      <c r="AR16" s="78">
        <v>44</v>
      </c>
      <c r="AS16" s="78">
        <v>45</v>
      </c>
      <c r="AT16" s="78">
        <v>46</v>
      </c>
      <c r="AU16" s="78">
        <v>47</v>
      </c>
      <c r="AV16" s="78">
        <v>48</v>
      </c>
      <c r="AW16" s="78">
        <v>49</v>
      </c>
      <c r="AX16" s="78">
        <v>50</v>
      </c>
      <c r="AY16" s="78">
        <v>51</v>
      </c>
      <c r="AZ16" s="78">
        <v>52</v>
      </c>
      <c r="BA16" s="78">
        <v>53</v>
      </c>
      <c r="BB16" s="79">
        <v>54</v>
      </c>
      <c r="BC16"/>
    </row>
    <row r="17" spans="1:55" ht="15" customHeight="1" thickBot="1" x14ac:dyDescent="0.3">
      <c r="A17" s="87" t="s">
        <v>79</v>
      </c>
      <c r="B17" s="87"/>
      <c r="C17" s="87"/>
      <c r="D17" s="132">
        <f>AT17*AW17*AU17</f>
        <v>0</v>
      </c>
      <c r="E17" s="129">
        <f>ROUND(AT17*AV17*AX17,4)</f>
        <v>0</v>
      </c>
      <c r="F17" s="129"/>
      <c r="G17" s="129"/>
      <c r="H17" s="131">
        <f>SUM(H18:H23)</f>
        <v>0</v>
      </c>
      <c r="I17" s="131">
        <f>SUM(I18:I23)</f>
        <v>0</v>
      </c>
      <c r="J17" s="88"/>
      <c r="K17" s="130">
        <f>SUM(K18:K23)</f>
        <v>0</v>
      </c>
      <c r="L17" s="130">
        <f>SUM(L18:L23)</f>
        <v>0</v>
      </c>
      <c r="M17" s="129">
        <f>SUM(M18:M23)</f>
        <v>0</v>
      </c>
      <c r="N17" s="129">
        <f t="shared" ref="N17:AO17" si="0">SUM(N18:N23)</f>
        <v>0</v>
      </c>
      <c r="O17" s="129">
        <f t="shared" si="0"/>
        <v>0</v>
      </c>
      <c r="P17" s="129">
        <f t="shared" si="0"/>
        <v>0</v>
      </c>
      <c r="Q17" s="129">
        <f t="shared" si="0"/>
        <v>0</v>
      </c>
      <c r="R17" s="129">
        <f t="shared" si="0"/>
        <v>0</v>
      </c>
      <c r="S17" s="129">
        <f t="shared" si="0"/>
        <v>0</v>
      </c>
      <c r="T17" s="129">
        <f t="shared" si="0"/>
        <v>0</v>
      </c>
      <c r="U17" s="129">
        <f t="shared" si="0"/>
        <v>0</v>
      </c>
      <c r="V17" s="129">
        <f t="shared" si="0"/>
        <v>0</v>
      </c>
      <c r="W17" s="129">
        <f t="shared" si="0"/>
        <v>0</v>
      </c>
      <c r="X17" s="129">
        <f t="shared" si="0"/>
        <v>0</v>
      </c>
      <c r="Y17" s="129">
        <f t="shared" si="0"/>
        <v>0</v>
      </c>
      <c r="Z17" s="129">
        <f t="shared" si="0"/>
        <v>0</v>
      </c>
      <c r="AA17" s="129">
        <f t="shared" si="0"/>
        <v>0</v>
      </c>
      <c r="AB17" s="129">
        <f>SUM(AB18:AB23)</f>
        <v>0</v>
      </c>
      <c r="AC17" s="129">
        <f t="shared" si="0"/>
        <v>0</v>
      </c>
      <c r="AD17" s="129">
        <f t="shared" si="0"/>
        <v>0</v>
      </c>
      <c r="AE17" s="129">
        <f t="shared" si="0"/>
        <v>0</v>
      </c>
      <c r="AF17" s="129">
        <f t="shared" si="0"/>
        <v>0</v>
      </c>
      <c r="AG17" s="129">
        <f t="shared" si="0"/>
        <v>0</v>
      </c>
      <c r="AH17" s="129">
        <f t="shared" si="0"/>
        <v>0</v>
      </c>
      <c r="AI17" s="129">
        <f t="shared" si="0"/>
        <v>0</v>
      </c>
      <c r="AJ17" s="129">
        <f t="shared" si="0"/>
        <v>0</v>
      </c>
      <c r="AK17" s="129">
        <f t="shared" si="0"/>
        <v>0</v>
      </c>
      <c r="AL17" s="129">
        <f t="shared" si="0"/>
        <v>0</v>
      </c>
      <c r="AM17" s="129">
        <f t="shared" si="0"/>
        <v>0</v>
      </c>
      <c r="AN17" s="129">
        <f t="shared" si="0"/>
        <v>0</v>
      </c>
      <c r="AO17" s="129">
        <f t="shared" si="0"/>
        <v>0</v>
      </c>
      <c r="AP17" s="129">
        <f>SUM(AP18:AP23)</f>
        <v>0</v>
      </c>
      <c r="AQ17" s="129">
        <f>M17+O17+S17+U17+W17+AA17+Q17+Y17</f>
        <v>0</v>
      </c>
      <c r="AR17" s="129">
        <f>N17+P17+R17+AC17+AD17+AE17+AF17+AG17+AH17+AI17+AJ17+AK17+AL17+AM17+AN17+AO17+AP17+T17+V17+AB17+X17+Z17</f>
        <v>0</v>
      </c>
      <c r="AS17" s="129">
        <f>SUM(AS18:AS23)</f>
        <v>0</v>
      </c>
      <c r="AT17" s="129">
        <f>SUM(AT18:AT23)</f>
        <v>0</v>
      </c>
      <c r="AU17" s="131">
        <f>IF(AT17-AQ17=0,0,(AT17-M17-O17-Q17)/AT17)</f>
        <v>0</v>
      </c>
      <c r="AV17" s="131">
        <f>IF(AT17=0,0,(AT17-N17-P17-R17-AC17-AD17-AE17-AF17-AG17-AH17-AI17-AJ17-AL17)/AT17)</f>
        <v>0</v>
      </c>
      <c r="AW17" s="131">
        <f>IF(OR(AT17=0,AU17=0),0,((AT17*AU17)-S17-U17-W17-Y17-AA17)/(AT17*AU17))</f>
        <v>0</v>
      </c>
      <c r="AX17" s="131">
        <f>IF(OR(AT17=0,AV17=0),0,((AT17*AV17)-AK17-AM17-AN17-AO17-AP17-T17-V17-X17-Z17-AB17)/(AT17*AV17))</f>
        <v>0</v>
      </c>
      <c r="AY17" s="131">
        <f>IF(K17=0,0,K17/(D17-Y17)/24)</f>
        <v>0</v>
      </c>
      <c r="AZ17" s="131">
        <f t="shared" ref="AY17:AZ22" si="1">IF(L17=0,0,L17/(E17-Z17)/24)</f>
        <v>0</v>
      </c>
      <c r="BA17" s="129">
        <f>ROUND(AT17-E17-AR17,4)</f>
        <v>0</v>
      </c>
      <c r="BB17" s="89"/>
      <c r="BC17"/>
    </row>
    <row r="18" spans="1:55" ht="15" hidden="1" customHeight="1" thickBot="1" x14ac:dyDescent="0.3">
      <c r="A18" s="80" t="s">
        <v>23</v>
      </c>
      <c r="B18" s="110">
        <v>22</v>
      </c>
      <c r="C18" s="110">
        <v>22</v>
      </c>
      <c r="D18" s="119">
        <f>AS18*AW18*AU18</f>
        <v>0</v>
      </c>
      <c r="E18" s="17">
        <f>ROUND(AS18*AV18*AX18,4)</f>
        <v>0</v>
      </c>
      <c r="F18" s="81"/>
      <c r="G18" s="81"/>
      <c r="H18" s="82"/>
      <c r="I18" s="82"/>
      <c r="J18" s="83" t="s">
        <v>55</v>
      </c>
      <c r="K18" s="84"/>
      <c r="L18" s="84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>
        <f t="shared" ref="AQ18:AQ61" si="2">M18+O18+S18+U18+W18+AA18+Q18+Y18</f>
        <v>0</v>
      </c>
      <c r="AR18" s="17">
        <f>N18+P18+R18+AC18+AD18+AE18+AF18+AG18+AH18+AI18+AJ18+AK18+AL18+AM18+AN18+AO18+AP18+T18+V18+AB18+X18+Z18</f>
        <v>0</v>
      </c>
      <c r="AS18" s="17">
        <f>AT18</f>
        <v>0</v>
      </c>
      <c r="AT18" s="17"/>
      <c r="AU18" s="18">
        <f t="shared" ref="AU18:AU61" si="3">IF(AT18-AQ18=0,0,(AT18-M18-O18-Q18)/AT18)</f>
        <v>0</v>
      </c>
      <c r="AV18" s="18">
        <f t="shared" ref="AV18:AV61" si="4">IF(AT18=0,0,(AT18-N18-P18-R18-AC18-AD18-AE18-AF18-AG18-AH18-AI18-AJ18-AL18)/AT18)</f>
        <v>0</v>
      </c>
      <c r="AW18" s="18">
        <f t="shared" ref="AW18:AW61" si="5">IF(OR(AT18=0,AU18=0),0,((AT18*AU18)-S18-U18-W18-Y18-AA18)/(AT18*AU18))</f>
        <v>0</v>
      </c>
      <c r="AX18" s="18">
        <f t="shared" ref="AX18:AX61" si="6">IF(OR(AT18=0,AV18=0),0,((AT18*AV18)-AK18-AM18-AN18-AO18-AP18-T18-V18-X18-Z18-AB18)/(AT18*AV18))</f>
        <v>0</v>
      </c>
      <c r="AY18" s="82">
        <f>IF(K18=0,0,K18/(D18-Y18)/24)</f>
        <v>0</v>
      </c>
      <c r="AZ18" s="82">
        <f t="shared" si="1"/>
        <v>0</v>
      </c>
      <c r="BA18" s="85">
        <f>ROUND(AS18-E18-AR18,4)</f>
        <v>0</v>
      </c>
      <c r="BB18" s="86"/>
      <c r="BC18"/>
    </row>
    <row r="19" spans="1:55" ht="15" hidden="1" customHeight="1" thickBot="1" x14ac:dyDescent="0.3">
      <c r="A19" s="68" t="s">
        <v>24</v>
      </c>
      <c r="B19" s="111">
        <v>23</v>
      </c>
      <c r="C19" s="111">
        <v>23</v>
      </c>
      <c r="D19" s="119">
        <f t="shared" ref="D19:D23" si="7">AS19*AW19*AU19</f>
        <v>0</v>
      </c>
      <c r="E19" s="17">
        <f t="shared" ref="E19:E22" si="8">ROUND(AS19*AV19*AX19,4)</f>
        <v>0</v>
      </c>
      <c r="F19" s="19"/>
      <c r="G19" s="19"/>
      <c r="H19" s="18"/>
      <c r="I19" s="18"/>
      <c r="J19" s="8" t="s">
        <v>55</v>
      </c>
      <c r="K19" s="20"/>
      <c r="L19" s="20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7">
        <f t="shared" si="2"/>
        <v>0</v>
      </c>
      <c r="AR19" s="15">
        <f>N19+P19+R19+AC19+AD19+AE19+AF19+AG19+AH19+AI19+AJ19+AK19+AL19+AM19+AN19+AO19+AP19+T19+V19+AB19</f>
        <v>0</v>
      </c>
      <c r="AS19" s="17">
        <f t="shared" ref="AS19:AS23" si="9">AT19</f>
        <v>0</v>
      </c>
      <c r="AT19" s="15"/>
      <c r="AU19" s="18">
        <f t="shared" si="3"/>
        <v>0</v>
      </c>
      <c r="AV19" s="18">
        <f t="shared" si="4"/>
        <v>0</v>
      </c>
      <c r="AW19" s="18">
        <f t="shared" si="5"/>
        <v>0</v>
      </c>
      <c r="AX19" s="18">
        <f t="shared" si="6"/>
        <v>0</v>
      </c>
      <c r="AY19" s="18">
        <f t="shared" si="1"/>
        <v>0</v>
      </c>
      <c r="AZ19" s="18">
        <f t="shared" si="1"/>
        <v>0</v>
      </c>
      <c r="BA19" s="74">
        <f>ROUND(AS19-E19-AR19,4)</f>
        <v>0</v>
      </c>
      <c r="BB19" s="75"/>
      <c r="BC19"/>
    </row>
    <row r="20" spans="1:55" ht="15" hidden="1" customHeight="1" thickBot="1" x14ac:dyDescent="0.3">
      <c r="A20" s="69" t="s">
        <v>25</v>
      </c>
      <c r="B20" s="112"/>
      <c r="C20" s="112">
        <v>24</v>
      </c>
      <c r="D20" s="119">
        <f t="shared" si="7"/>
        <v>0</v>
      </c>
      <c r="E20" s="17">
        <f t="shared" si="8"/>
        <v>0</v>
      </c>
      <c r="F20" s="19"/>
      <c r="G20" s="19"/>
      <c r="H20" s="18"/>
      <c r="I20" s="18"/>
      <c r="J20" s="8" t="s">
        <v>55</v>
      </c>
      <c r="K20" s="20"/>
      <c r="L20" s="20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7">
        <f t="shared" si="2"/>
        <v>0</v>
      </c>
      <c r="AR20" s="15">
        <f>N20+P20+R20+AC20+AD20+AE20+AF20+AG20+AH20+AI20+AJ20+AK20+AL20+AM20+AN20+AO20+AP20+T20+V20+AB20</f>
        <v>0</v>
      </c>
      <c r="AS20" s="17">
        <f t="shared" si="9"/>
        <v>0</v>
      </c>
      <c r="AT20" s="15"/>
      <c r="AU20" s="18">
        <f t="shared" si="3"/>
        <v>0</v>
      </c>
      <c r="AV20" s="18">
        <f t="shared" si="4"/>
        <v>0</v>
      </c>
      <c r="AW20" s="18">
        <f t="shared" si="5"/>
        <v>0</v>
      </c>
      <c r="AX20" s="18">
        <f t="shared" si="6"/>
        <v>0</v>
      </c>
      <c r="AY20" s="18">
        <f t="shared" si="1"/>
        <v>0</v>
      </c>
      <c r="AZ20" s="18">
        <f t="shared" si="1"/>
        <v>0</v>
      </c>
      <c r="BA20" s="74">
        <f t="shared" ref="BA20:BA22" si="10">ROUND(AS20-E20-AR20,4)</f>
        <v>0</v>
      </c>
      <c r="BB20" s="75"/>
      <c r="BC20"/>
    </row>
    <row r="21" spans="1:55" ht="15" hidden="1" customHeight="1" thickBot="1" x14ac:dyDescent="0.3">
      <c r="A21" s="68" t="s">
        <v>26</v>
      </c>
      <c r="B21" s="111"/>
      <c r="C21" s="111">
        <v>24</v>
      </c>
      <c r="D21" s="119">
        <f t="shared" si="7"/>
        <v>0</v>
      </c>
      <c r="E21" s="17">
        <f t="shared" si="8"/>
        <v>0</v>
      </c>
      <c r="F21" s="19"/>
      <c r="G21" s="19"/>
      <c r="H21" s="18"/>
      <c r="I21" s="18"/>
      <c r="J21" s="8" t="s">
        <v>55</v>
      </c>
      <c r="K21" s="20"/>
      <c r="L21" s="20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7">
        <f t="shared" si="2"/>
        <v>0</v>
      </c>
      <c r="AR21" s="15">
        <f>N21+P21+R21+AC21+AD21+AE21+AF21+AG21+AH21+AI21+AJ21+AK21+AL21+AM21+AN21+AO21+AP21+T21+V21+AB21</f>
        <v>0</v>
      </c>
      <c r="AS21" s="17">
        <f>AT21</f>
        <v>0</v>
      </c>
      <c r="AT21" s="15"/>
      <c r="AU21" s="18">
        <f t="shared" si="3"/>
        <v>0</v>
      </c>
      <c r="AV21" s="18">
        <f t="shared" si="4"/>
        <v>0</v>
      </c>
      <c r="AW21" s="18">
        <f t="shared" si="5"/>
        <v>0</v>
      </c>
      <c r="AX21" s="18">
        <f t="shared" si="6"/>
        <v>0</v>
      </c>
      <c r="AY21" s="18">
        <f t="shared" si="1"/>
        <v>0</v>
      </c>
      <c r="AZ21" s="18">
        <f t="shared" si="1"/>
        <v>0</v>
      </c>
      <c r="BA21" s="74">
        <f t="shared" si="10"/>
        <v>0</v>
      </c>
      <c r="BB21" s="75"/>
      <c r="BC21"/>
    </row>
    <row r="22" spans="1:55" ht="15" hidden="1" customHeight="1" thickBot="1" x14ac:dyDescent="0.3">
      <c r="A22" s="70" t="s">
        <v>63</v>
      </c>
      <c r="B22" s="113"/>
      <c r="C22" s="113">
        <v>25</v>
      </c>
      <c r="D22" s="119">
        <f t="shared" si="7"/>
        <v>0</v>
      </c>
      <c r="E22" s="17">
        <f t="shared" si="8"/>
        <v>0</v>
      </c>
      <c r="F22" s="19"/>
      <c r="G22" s="19"/>
      <c r="H22" s="18"/>
      <c r="I22" s="18"/>
      <c r="J22" s="8" t="s">
        <v>55</v>
      </c>
      <c r="K22" s="20"/>
      <c r="L22" s="20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7">
        <f t="shared" si="2"/>
        <v>0</v>
      </c>
      <c r="AR22" s="15">
        <f>N22+P22+R22+AC22+AD22+AE22+AF22+AG22+AH22+AI22+AJ22+AK22+AL22+AM22+AN22+AO22+AP22+T22+V22+AB22</f>
        <v>0</v>
      </c>
      <c r="AS22" s="17">
        <f t="shared" si="9"/>
        <v>0</v>
      </c>
      <c r="AT22" s="15"/>
      <c r="AU22" s="18">
        <f t="shared" si="3"/>
        <v>0</v>
      </c>
      <c r="AV22" s="18">
        <f t="shared" si="4"/>
        <v>0</v>
      </c>
      <c r="AW22" s="18">
        <f t="shared" si="5"/>
        <v>0</v>
      </c>
      <c r="AX22" s="18">
        <f t="shared" si="6"/>
        <v>0</v>
      </c>
      <c r="AY22" s="18">
        <f t="shared" si="1"/>
        <v>0</v>
      </c>
      <c r="AZ22" s="18">
        <f t="shared" si="1"/>
        <v>0</v>
      </c>
      <c r="BA22" s="74">
        <f t="shared" si="10"/>
        <v>0</v>
      </c>
      <c r="BB22" s="75"/>
      <c r="BC22"/>
    </row>
    <row r="23" spans="1:55" ht="15" customHeight="1" thickBot="1" x14ac:dyDescent="0.3">
      <c r="A23" s="90" t="s">
        <v>27</v>
      </c>
      <c r="B23" s="123" t="s">
        <v>148</v>
      </c>
      <c r="C23" s="114">
        <v>17</v>
      </c>
      <c r="D23" s="119">
        <f t="shared" si="7"/>
        <v>0</v>
      </c>
      <c r="E23" s="17">
        <f>ROUND(AT23*AV23*AX23,4)</f>
        <v>0</v>
      </c>
      <c r="F23" s="91"/>
      <c r="G23" s="91"/>
      <c r="H23" s="92"/>
      <c r="I23" s="92"/>
      <c r="J23" s="93" t="s">
        <v>55</v>
      </c>
      <c r="K23" s="94"/>
      <c r="L23" s="94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7">
        <f t="shared" si="2"/>
        <v>0</v>
      </c>
      <c r="AR23" s="16">
        <f>N23+P23+R23+AC23+AD23+AE23+AF23+AG23+AH23+AI23+AJ23+AK23+AL23+AM23+AN23+AO23+AP23+T23+V23+X23+Z23+AB23</f>
        <v>0</v>
      </c>
      <c r="AS23" s="17">
        <f t="shared" si="9"/>
        <v>0</v>
      </c>
      <c r="AT23" s="16"/>
      <c r="AU23" s="82">
        <f t="shared" si="3"/>
        <v>0</v>
      </c>
      <c r="AV23" s="82">
        <f t="shared" si="4"/>
        <v>0</v>
      </c>
      <c r="AW23" s="82">
        <f t="shared" si="5"/>
        <v>0</v>
      </c>
      <c r="AX23" s="82">
        <f t="shared" si="6"/>
        <v>0</v>
      </c>
      <c r="AY23" s="92">
        <f>IF(D23=0,0,K23/D23/24)</f>
        <v>0</v>
      </c>
      <c r="AZ23" s="92">
        <f>IF(E23=0,0,L23/E23/24)</f>
        <v>0</v>
      </c>
      <c r="BA23" s="95">
        <f>ROUND(AT23-E23-AR23,4)</f>
        <v>0</v>
      </c>
      <c r="BB23" s="96"/>
      <c r="BC23"/>
    </row>
    <row r="24" spans="1:55" ht="15" customHeight="1" thickBot="1" x14ac:dyDescent="0.3">
      <c r="A24" s="87" t="s">
        <v>80</v>
      </c>
      <c r="B24" s="124"/>
      <c r="C24" s="87"/>
      <c r="D24" s="132">
        <f>AT24*AW24*AU24</f>
        <v>0</v>
      </c>
      <c r="E24" s="129">
        <f>SUM(E26:E27)</f>
        <v>0</v>
      </c>
      <c r="F24" s="129">
        <f>SUM(F25:F41)</f>
        <v>0</v>
      </c>
      <c r="G24" s="129"/>
      <c r="H24" s="131">
        <f>SUM(H25:H41)</f>
        <v>0</v>
      </c>
      <c r="I24" s="131">
        <f>SUM(I25:I41)</f>
        <v>0</v>
      </c>
      <c r="J24" s="88"/>
      <c r="K24" s="130">
        <f>SUM(K25:K41)</f>
        <v>0</v>
      </c>
      <c r="L24" s="130">
        <f>SUM(L25:L41)</f>
        <v>0</v>
      </c>
      <c r="M24" s="129">
        <f>SUM(M25:M41)</f>
        <v>0</v>
      </c>
      <c r="N24" s="129">
        <f t="shared" ref="N24:AO24" si="11">SUM(N25:N41)</f>
        <v>0</v>
      </c>
      <c r="O24" s="129">
        <f t="shared" si="11"/>
        <v>0</v>
      </c>
      <c r="P24" s="129">
        <f t="shared" si="11"/>
        <v>0</v>
      </c>
      <c r="Q24" s="129">
        <f t="shared" si="11"/>
        <v>0</v>
      </c>
      <c r="R24" s="129">
        <f t="shared" si="11"/>
        <v>0</v>
      </c>
      <c r="S24" s="129">
        <f t="shared" si="11"/>
        <v>0</v>
      </c>
      <c r="T24" s="129">
        <f t="shared" si="11"/>
        <v>0</v>
      </c>
      <c r="U24" s="129">
        <f t="shared" si="11"/>
        <v>0</v>
      </c>
      <c r="V24" s="129">
        <f t="shared" si="11"/>
        <v>0</v>
      </c>
      <c r="W24" s="129">
        <f t="shared" si="11"/>
        <v>0</v>
      </c>
      <c r="X24" s="129">
        <f t="shared" si="11"/>
        <v>0</v>
      </c>
      <c r="Y24" s="129">
        <f t="shared" si="11"/>
        <v>0</v>
      </c>
      <c r="Z24" s="129">
        <f t="shared" si="11"/>
        <v>0</v>
      </c>
      <c r="AA24" s="129">
        <f t="shared" si="11"/>
        <v>0</v>
      </c>
      <c r="AB24" s="129">
        <f t="shared" si="11"/>
        <v>0</v>
      </c>
      <c r="AC24" s="129">
        <f t="shared" si="11"/>
        <v>0</v>
      </c>
      <c r="AD24" s="129">
        <f t="shared" si="11"/>
        <v>0</v>
      </c>
      <c r="AE24" s="129">
        <f t="shared" si="11"/>
        <v>0</v>
      </c>
      <c r="AF24" s="129">
        <f t="shared" si="11"/>
        <v>0</v>
      </c>
      <c r="AG24" s="129">
        <f t="shared" si="11"/>
        <v>0</v>
      </c>
      <c r="AH24" s="129">
        <f t="shared" si="11"/>
        <v>0</v>
      </c>
      <c r="AI24" s="129">
        <f t="shared" si="11"/>
        <v>0</v>
      </c>
      <c r="AJ24" s="129">
        <f t="shared" si="11"/>
        <v>0</v>
      </c>
      <c r="AK24" s="129">
        <f t="shared" si="11"/>
        <v>0</v>
      </c>
      <c r="AL24" s="129">
        <f t="shared" si="11"/>
        <v>0</v>
      </c>
      <c r="AM24" s="129">
        <f t="shared" si="11"/>
        <v>0</v>
      </c>
      <c r="AN24" s="129">
        <f t="shared" si="11"/>
        <v>0</v>
      </c>
      <c r="AO24" s="129">
        <f t="shared" si="11"/>
        <v>0</v>
      </c>
      <c r="AP24" s="129">
        <f>SUM(AP25:AP41)</f>
        <v>0</v>
      </c>
      <c r="AQ24" s="129">
        <f t="shared" si="2"/>
        <v>0</v>
      </c>
      <c r="AR24" s="129">
        <f t="shared" ref="AR24:AR61" si="12">N24+P24+R24+AC24+AD24+AE24+AF24+AG24+AH24+AI24+AJ24+AK24+AL24+AM24+AN24+AO24+AP24+T24+V24+X24+Z24+AB24</f>
        <v>0</v>
      </c>
      <c r="AS24" s="129">
        <f>SUM(AS25:AS41)</f>
        <v>0</v>
      </c>
      <c r="AT24" s="129">
        <f>SUM(AT25:AT41)</f>
        <v>0</v>
      </c>
      <c r="AU24" s="131">
        <f t="shared" si="3"/>
        <v>0</v>
      </c>
      <c r="AV24" s="131">
        <f t="shared" si="4"/>
        <v>0</v>
      </c>
      <c r="AW24" s="131">
        <f t="shared" si="5"/>
        <v>0</v>
      </c>
      <c r="AX24" s="131">
        <f t="shared" si="6"/>
        <v>0</v>
      </c>
      <c r="AY24" s="131">
        <f t="shared" ref="AY24:AZ61" si="13">IF(D24=0,0,K24/D24/24)</f>
        <v>0</v>
      </c>
      <c r="AZ24" s="131">
        <f t="shared" si="13"/>
        <v>0</v>
      </c>
      <c r="BA24" s="129">
        <f t="shared" ref="BA24:BA61" si="14">ROUND(AT24-E24-AR24,4)</f>
        <v>0</v>
      </c>
      <c r="BB24" s="99"/>
      <c r="BC24"/>
    </row>
    <row r="25" spans="1:55" ht="15" hidden="1" customHeight="1" thickBot="1" x14ac:dyDescent="0.3">
      <c r="A25" s="97" t="s">
        <v>28</v>
      </c>
      <c r="B25" s="115"/>
      <c r="C25" s="115">
        <v>30</v>
      </c>
      <c r="D25" s="121">
        <f>AT25*AU25*AW25</f>
        <v>0</v>
      </c>
      <c r="E25" s="15">
        <f t="shared" ref="E25:E51" si="15">ROUND(AS25*AV25*AX25,4)</f>
        <v>0</v>
      </c>
      <c r="F25" s="81"/>
      <c r="G25" s="81"/>
      <c r="H25" s="82"/>
      <c r="I25" s="82"/>
      <c r="J25" s="98" t="s">
        <v>68</v>
      </c>
      <c r="K25" s="84"/>
      <c r="L25" s="84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>
        <f t="shared" si="2"/>
        <v>0</v>
      </c>
      <c r="AR25" s="16">
        <f t="shared" si="12"/>
        <v>0</v>
      </c>
      <c r="AS25" s="17"/>
      <c r="AT25" s="17"/>
      <c r="AU25" s="92">
        <f t="shared" si="3"/>
        <v>0</v>
      </c>
      <c r="AV25" s="92">
        <f t="shared" si="4"/>
        <v>0</v>
      </c>
      <c r="AW25" s="92">
        <f t="shared" si="5"/>
        <v>0</v>
      </c>
      <c r="AX25" s="92">
        <f t="shared" si="6"/>
        <v>0</v>
      </c>
      <c r="AY25" s="92">
        <f t="shared" si="13"/>
        <v>0</v>
      </c>
      <c r="AZ25" s="92">
        <f t="shared" si="13"/>
        <v>0</v>
      </c>
      <c r="BA25" s="95">
        <f t="shared" si="14"/>
        <v>0</v>
      </c>
      <c r="BB25" s="86"/>
      <c r="BC25"/>
    </row>
    <row r="26" spans="1:55" ht="15" customHeight="1" x14ac:dyDescent="0.25">
      <c r="A26" s="71" t="s">
        <v>29</v>
      </c>
      <c r="B26" s="123" t="s">
        <v>137</v>
      </c>
      <c r="C26" s="112">
        <v>32</v>
      </c>
      <c r="D26" s="121">
        <f>AT26*AU26*AW26</f>
        <v>0</v>
      </c>
      <c r="E26" s="15">
        <f>ROUND(AT26*AV26*AX26,4)</f>
        <v>0</v>
      </c>
      <c r="F26" s="19"/>
      <c r="G26" s="19"/>
      <c r="H26" s="18"/>
      <c r="I26" s="18"/>
      <c r="J26" s="9" t="s">
        <v>68</v>
      </c>
      <c r="K26" s="20"/>
      <c r="L26" s="20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7">
        <f t="shared" si="2"/>
        <v>0</v>
      </c>
      <c r="AR26" s="16">
        <f t="shared" si="12"/>
        <v>0</v>
      </c>
      <c r="AS26" s="16"/>
      <c r="AT26" s="16"/>
      <c r="AU26" s="92">
        <f t="shared" si="3"/>
        <v>0</v>
      </c>
      <c r="AV26" s="92">
        <f t="shared" si="4"/>
        <v>0</v>
      </c>
      <c r="AW26" s="92">
        <f t="shared" si="5"/>
        <v>0</v>
      </c>
      <c r="AX26" s="92">
        <f t="shared" si="6"/>
        <v>0</v>
      </c>
      <c r="AY26" s="92">
        <f t="shared" si="13"/>
        <v>0</v>
      </c>
      <c r="AZ26" s="92">
        <f t="shared" si="13"/>
        <v>0</v>
      </c>
      <c r="BA26" s="95">
        <f t="shared" si="14"/>
        <v>0</v>
      </c>
      <c r="BB26" s="75"/>
      <c r="BC26"/>
    </row>
    <row r="27" spans="1:55" ht="15" customHeight="1" thickBot="1" x14ac:dyDescent="0.3">
      <c r="A27" s="71" t="s">
        <v>30</v>
      </c>
      <c r="B27" s="123" t="s">
        <v>138</v>
      </c>
      <c r="C27" s="112">
        <v>35</v>
      </c>
      <c r="D27" s="121">
        <f>AT27*AU27*AW27</f>
        <v>0</v>
      </c>
      <c r="E27" s="15">
        <f>ROUND(AT27*AV27*AX27,4)</f>
        <v>0</v>
      </c>
      <c r="F27" s="19"/>
      <c r="G27" s="19"/>
      <c r="H27" s="18"/>
      <c r="I27" s="18"/>
      <c r="J27" s="9" t="s">
        <v>68</v>
      </c>
      <c r="K27" s="20"/>
      <c r="L27" s="20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7">
        <f t="shared" si="2"/>
        <v>0</v>
      </c>
      <c r="AR27" s="16">
        <f t="shared" si="12"/>
        <v>0</v>
      </c>
      <c r="AS27" s="16"/>
      <c r="AT27" s="16"/>
      <c r="AU27" s="92">
        <f t="shared" si="3"/>
        <v>0</v>
      </c>
      <c r="AV27" s="92">
        <f t="shared" si="4"/>
        <v>0</v>
      </c>
      <c r="AW27" s="92">
        <f t="shared" si="5"/>
        <v>0</v>
      </c>
      <c r="AX27" s="92">
        <f t="shared" si="6"/>
        <v>0</v>
      </c>
      <c r="AY27" s="92">
        <f t="shared" si="13"/>
        <v>0</v>
      </c>
      <c r="AZ27" s="92">
        <f t="shared" si="13"/>
        <v>0</v>
      </c>
      <c r="BA27" s="95">
        <f t="shared" si="14"/>
        <v>0</v>
      </c>
      <c r="BB27" s="75"/>
      <c r="BC27"/>
    </row>
    <row r="28" spans="1:55" ht="15" hidden="1" customHeight="1" thickBot="1" x14ac:dyDescent="0.3">
      <c r="A28" s="72" t="s">
        <v>31</v>
      </c>
      <c r="B28" s="111"/>
      <c r="C28" s="111">
        <v>39</v>
      </c>
      <c r="D28" s="121">
        <f t="shared" ref="D28:D41" si="16">AT28*AU28*AW28</f>
        <v>0</v>
      </c>
      <c r="E28" s="15">
        <f t="shared" si="15"/>
        <v>0</v>
      </c>
      <c r="F28" s="19"/>
      <c r="G28" s="19"/>
      <c r="H28" s="18"/>
      <c r="I28" s="18"/>
      <c r="J28" s="9" t="s">
        <v>68</v>
      </c>
      <c r="K28" s="20"/>
      <c r="L28" s="20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7">
        <f t="shared" si="2"/>
        <v>0</v>
      </c>
      <c r="AR28" s="16">
        <f t="shared" si="12"/>
        <v>0</v>
      </c>
      <c r="AS28" s="15"/>
      <c r="AT28" s="15"/>
      <c r="AU28" s="92">
        <f t="shared" si="3"/>
        <v>0</v>
      </c>
      <c r="AV28" s="92">
        <f t="shared" si="4"/>
        <v>0</v>
      </c>
      <c r="AW28" s="92">
        <f t="shared" si="5"/>
        <v>0</v>
      </c>
      <c r="AX28" s="92">
        <f t="shared" si="6"/>
        <v>0</v>
      </c>
      <c r="AY28" s="92">
        <f t="shared" si="13"/>
        <v>0</v>
      </c>
      <c r="AZ28" s="92">
        <f t="shared" si="13"/>
        <v>0</v>
      </c>
      <c r="BA28" s="95">
        <f t="shared" si="14"/>
        <v>0</v>
      </c>
      <c r="BB28" s="75"/>
      <c r="BC28"/>
    </row>
    <row r="29" spans="1:55" ht="15" hidden="1" customHeight="1" thickBot="1" x14ac:dyDescent="0.3">
      <c r="A29" s="72" t="s">
        <v>32</v>
      </c>
      <c r="B29" s="111"/>
      <c r="C29" s="111">
        <v>40</v>
      </c>
      <c r="D29" s="121">
        <f t="shared" si="16"/>
        <v>0</v>
      </c>
      <c r="E29" s="15">
        <f t="shared" si="15"/>
        <v>0</v>
      </c>
      <c r="F29" s="19"/>
      <c r="G29" s="19"/>
      <c r="H29" s="18"/>
      <c r="I29" s="18"/>
      <c r="J29" s="9" t="s">
        <v>68</v>
      </c>
      <c r="K29" s="20"/>
      <c r="L29" s="20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7">
        <f t="shared" si="2"/>
        <v>0</v>
      </c>
      <c r="AR29" s="16">
        <f t="shared" si="12"/>
        <v>0</v>
      </c>
      <c r="AS29" s="15"/>
      <c r="AT29" s="15"/>
      <c r="AU29" s="92">
        <f t="shared" si="3"/>
        <v>0</v>
      </c>
      <c r="AV29" s="92">
        <f t="shared" si="4"/>
        <v>0</v>
      </c>
      <c r="AW29" s="92">
        <f t="shared" si="5"/>
        <v>0</v>
      </c>
      <c r="AX29" s="92">
        <f t="shared" si="6"/>
        <v>0</v>
      </c>
      <c r="AY29" s="92">
        <f t="shared" si="13"/>
        <v>0</v>
      </c>
      <c r="AZ29" s="92">
        <f t="shared" si="13"/>
        <v>0</v>
      </c>
      <c r="BA29" s="95">
        <f t="shared" si="14"/>
        <v>0</v>
      </c>
      <c r="BB29" s="75"/>
      <c r="BC29"/>
    </row>
    <row r="30" spans="1:55" ht="15" hidden="1" customHeight="1" thickBot="1" x14ac:dyDescent="0.3">
      <c r="A30" s="72" t="s">
        <v>33</v>
      </c>
      <c r="B30" s="111"/>
      <c r="C30" s="111">
        <v>41</v>
      </c>
      <c r="D30" s="121">
        <f t="shared" si="16"/>
        <v>0</v>
      </c>
      <c r="E30" s="15">
        <f t="shared" si="15"/>
        <v>0</v>
      </c>
      <c r="F30" s="19"/>
      <c r="G30" s="19"/>
      <c r="H30" s="18"/>
      <c r="I30" s="18"/>
      <c r="J30" s="9" t="s">
        <v>68</v>
      </c>
      <c r="K30" s="20"/>
      <c r="L30" s="20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7">
        <f t="shared" si="2"/>
        <v>0</v>
      </c>
      <c r="AR30" s="16">
        <f t="shared" si="12"/>
        <v>0</v>
      </c>
      <c r="AS30" s="15"/>
      <c r="AT30" s="15"/>
      <c r="AU30" s="92">
        <f t="shared" si="3"/>
        <v>0</v>
      </c>
      <c r="AV30" s="92">
        <f t="shared" si="4"/>
        <v>0</v>
      </c>
      <c r="AW30" s="92">
        <f t="shared" si="5"/>
        <v>0</v>
      </c>
      <c r="AX30" s="92">
        <f t="shared" si="6"/>
        <v>0</v>
      </c>
      <c r="AY30" s="92">
        <f t="shared" si="13"/>
        <v>0</v>
      </c>
      <c r="AZ30" s="92">
        <f t="shared" si="13"/>
        <v>0</v>
      </c>
      <c r="BA30" s="95">
        <f t="shared" si="14"/>
        <v>0</v>
      </c>
      <c r="BB30" s="75"/>
      <c r="BC30"/>
    </row>
    <row r="31" spans="1:55" ht="15" hidden="1" customHeight="1" thickBot="1" x14ac:dyDescent="0.3">
      <c r="A31" s="72" t="s">
        <v>34</v>
      </c>
      <c r="B31" s="111"/>
      <c r="C31" s="111">
        <v>42</v>
      </c>
      <c r="D31" s="121">
        <f t="shared" si="16"/>
        <v>0</v>
      </c>
      <c r="E31" s="15">
        <f t="shared" si="15"/>
        <v>0</v>
      </c>
      <c r="F31" s="19"/>
      <c r="G31" s="19"/>
      <c r="H31" s="18"/>
      <c r="I31" s="18"/>
      <c r="J31" s="9" t="s">
        <v>68</v>
      </c>
      <c r="K31" s="20"/>
      <c r="L31" s="20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7">
        <f t="shared" si="2"/>
        <v>0</v>
      </c>
      <c r="AR31" s="16">
        <f t="shared" si="12"/>
        <v>0</v>
      </c>
      <c r="AS31" s="15"/>
      <c r="AT31" s="15"/>
      <c r="AU31" s="92">
        <f t="shared" si="3"/>
        <v>0</v>
      </c>
      <c r="AV31" s="92">
        <f t="shared" si="4"/>
        <v>0</v>
      </c>
      <c r="AW31" s="92">
        <f t="shared" si="5"/>
        <v>0</v>
      </c>
      <c r="AX31" s="92">
        <f t="shared" si="6"/>
        <v>0</v>
      </c>
      <c r="AY31" s="92">
        <f t="shared" si="13"/>
        <v>0</v>
      </c>
      <c r="AZ31" s="92">
        <f t="shared" si="13"/>
        <v>0</v>
      </c>
      <c r="BA31" s="95">
        <f t="shared" si="14"/>
        <v>0</v>
      </c>
      <c r="BB31" s="75"/>
      <c r="BC31"/>
    </row>
    <row r="32" spans="1:55" ht="15" hidden="1" customHeight="1" thickBot="1" x14ac:dyDescent="0.3">
      <c r="A32" s="72" t="s">
        <v>35</v>
      </c>
      <c r="B32" s="111"/>
      <c r="C32" s="111">
        <v>43</v>
      </c>
      <c r="D32" s="121">
        <f t="shared" si="16"/>
        <v>0</v>
      </c>
      <c r="E32" s="15">
        <f t="shared" si="15"/>
        <v>0</v>
      </c>
      <c r="F32" s="19"/>
      <c r="G32" s="19"/>
      <c r="H32" s="18"/>
      <c r="I32" s="18"/>
      <c r="J32" s="9" t="s">
        <v>68</v>
      </c>
      <c r="K32" s="20"/>
      <c r="L32" s="20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7">
        <f t="shared" si="2"/>
        <v>0</v>
      </c>
      <c r="AR32" s="16">
        <f t="shared" si="12"/>
        <v>0</v>
      </c>
      <c r="AS32" s="15"/>
      <c r="AT32" s="15"/>
      <c r="AU32" s="92">
        <f t="shared" si="3"/>
        <v>0</v>
      </c>
      <c r="AV32" s="92">
        <f t="shared" si="4"/>
        <v>0</v>
      </c>
      <c r="AW32" s="92">
        <f t="shared" si="5"/>
        <v>0</v>
      </c>
      <c r="AX32" s="92">
        <f t="shared" si="6"/>
        <v>0</v>
      </c>
      <c r="AY32" s="92">
        <f t="shared" si="13"/>
        <v>0</v>
      </c>
      <c r="AZ32" s="92">
        <f t="shared" si="13"/>
        <v>0</v>
      </c>
      <c r="BA32" s="95">
        <f t="shared" si="14"/>
        <v>0</v>
      </c>
      <c r="BB32" s="75"/>
      <c r="BC32"/>
    </row>
    <row r="33" spans="1:55" ht="15" hidden="1" customHeight="1" thickBot="1" x14ac:dyDescent="0.3">
      <c r="A33" s="72" t="s">
        <v>36</v>
      </c>
      <c r="B33" s="111"/>
      <c r="C33" s="111">
        <v>44</v>
      </c>
      <c r="D33" s="121">
        <f t="shared" si="16"/>
        <v>0</v>
      </c>
      <c r="E33" s="15">
        <f t="shared" si="15"/>
        <v>0</v>
      </c>
      <c r="F33" s="19"/>
      <c r="G33" s="19"/>
      <c r="H33" s="18"/>
      <c r="I33" s="18"/>
      <c r="J33" s="9" t="s">
        <v>68</v>
      </c>
      <c r="K33" s="20"/>
      <c r="L33" s="20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7">
        <f t="shared" si="2"/>
        <v>0</v>
      </c>
      <c r="AR33" s="16">
        <f t="shared" si="12"/>
        <v>0</v>
      </c>
      <c r="AS33" s="15"/>
      <c r="AT33" s="15"/>
      <c r="AU33" s="92">
        <f t="shared" si="3"/>
        <v>0</v>
      </c>
      <c r="AV33" s="92">
        <f t="shared" si="4"/>
        <v>0</v>
      </c>
      <c r="AW33" s="92">
        <f t="shared" si="5"/>
        <v>0</v>
      </c>
      <c r="AX33" s="92">
        <f t="shared" si="6"/>
        <v>0</v>
      </c>
      <c r="AY33" s="92">
        <f t="shared" si="13"/>
        <v>0</v>
      </c>
      <c r="AZ33" s="92">
        <f t="shared" si="13"/>
        <v>0</v>
      </c>
      <c r="BA33" s="95">
        <f t="shared" si="14"/>
        <v>0</v>
      </c>
      <c r="BB33" s="75"/>
      <c r="BC33"/>
    </row>
    <row r="34" spans="1:55" ht="15" hidden="1" customHeight="1" thickBot="1" x14ac:dyDescent="0.3">
      <c r="A34" s="72" t="s">
        <v>37</v>
      </c>
      <c r="B34" s="111"/>
      <c r="C34" s="111">
        <v>45</v>
      </c>
      <c r="D34" s="121">
        <f t="shared" si="16"/>
        <v>0</v>
      </c>
      <c r="E34" s="15">
        <f t="shared" si="15"/>
        <v>0</v>
      </c>
      <c r="F34" s="19"/>
      <c r="G34" s="19"/>
      <c r="H34" s="18"/>
      <c r="I34" s="18"/>
      <c r="J34" s="9" t="s">
        <v>68</v>
      </c>
      <c r="K34" s="20"/>
      <c r="L34" s="20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7">
        <f t="shared" si="2"/>
        <v>0</v>
      </c>
      <c r="AR34" s="16">
        <f t="shared" si="12"/>
        <v>0</v>
      </c>
      <c r="AS34" s="15"/>
      <c r="AT34" s="15"/>
      <c r="AU34" s="92">
        <f t="shared" si="3"/>
        <v>0</v>
      </c>
      <c r="AV34" s="92">
        <f t="shared" si="4"/>
        <v>0</v>
      </c>
      <c r="AW34" s="92">
        <f t="shared" si="5"/>
        <v>0</v>
      </c>
      <c r="AX34" s="92">
        <f t="shared" si="6"/>
        <v>0</v>
      </c>
      <c r="AY34" s="92">
        <f t="shared" si="13"/>
        <v>0</v>
      </c>
      <c r="AZ34" s="92">
        <f t="shared" si="13"/>
        <v>0</v>
      </c>
      <c r="BA34" s="95">
        <f t="shared" si="14"/>
        <v>0</v>
      </c>
      <c r="BB34" s="75"/>
      <c r="BC34"/>
    </row>
    <row r="35" spans="1:55" ht="15" hidden="1" customHeight="1" thickBot="1" x14ac:dyDescent="0.3">
      <c r="A35" s="72" t="s">
        <v>38</v>
      </c>
      <c r="B35" s="111"/>
      <c r="C35" s="111">
        <v>46</v>
      </c>
      <c r="D35" s="121">
        <f t="shared" si="16"/>
        <v>0</v>
      </c>
      <c r="E35" s="15">
        <f t="shared" si="15"/>
        <v>0</v>
      </c>
      <c r="F35" s="19"/>
      <c r="G35" s="19"/>
      <c r="H35" s="18"/>
      <c r="I35" s="18"/>
      <c r="J35" s="9" t="s">
        <v>68</v>
      </c>
      <c r="K35" s="20"/>
      <c r="L35" s="20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7">
        <f t="shared" si="2"/>
        <v>0</v>
      </c>
      <c r="AR35" s="16">
        <f t="shared" si="12"/>
        <v>0</v>
      </c>
      <c r="AS35" s="15"/>
      <c r="AT35" s="15"/>
      <c r="AU35" s="92">
        <f t="shared" si="3"/>
        <v>0</v>
      </c>
      <c r="AV35" s="92">
        <f t="shared" si="4"/>
        <v>0</v>
      </c>
      <c r="AW35" s="92">
        <f t="shared" si="5"/>
        <v>0</v>
      </c>
      <c r="AX35" s="92">
        <f t="shared" si="6"/>
        <v>0</v>
      </c>
      <c r="AY35" s="92">
        <f t="shared" si="13"/>
        <v>0</v>
      </c>
      <c r="AZ35" s="92">
        <f t="shared" si="13"/>
        <v>0</v>
      </c>
      <c r="BA35" s="95">
        <f t="shared" si="14"/>
        <v>0</v>
      </c>
      <c r="BB35" s="75"/>
      <c r="BC35"/>
    </row>
    <row r="36" spans="1:55" ht="15" hidden="1" customHeight="1" thickBot="1" x14ac:dyDescent="0.3">
      <c r="A36" s="72" t="s">
        <v>39</v>
      </c>
      <c r="B36" s="111"/>
      <c r="C36" s="111">
        <v>47</v>
      </c>
      <c r="D36" s="121">
        <f t="shared" si="16"/>
        <v>0</v>
      </c>
      <c r="E36" s="15">
        <f t="shared" si="15"/>
        <v>0</v>
      </c>
      <c r="F36" s="19"/>
      <c r="G36" s="19"/>
      <c r="H36" s="18"/>
      <c r="I36" s="18"/>
      <c r="J36" s="9" t="s">
        <v>68</v>
      </c>
      <c r="K36" s="20"/>
      <c r="L36" s="20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7">
        <f t="shared" si="2"/>
        <v>0</v>
      </c>
      <c r="AR36" s="16">
        <f t="shared" si="12"/>
        <v>0</v>
      </c>
      <c r="AS36" s="15"/>
      <c r="AT36" s="15"/>
      <c r="AU36" s="92">
        <f t="shared" si="3"/>
        <v>0</v>
      </c>
      <c r="AV36" s="92">
        <f t="shared" si="4"/>
        <v>0</v>
      </c>
      <c r="AW36" s="92">
        <f t="shared" si="5"/>
        <v>0</v>
      </c>
      <c r="AX36" s="92">
        <f t="shared" si="6"/>
        <v>0</v>
      </c>
      <c r="AY36" s="92">
        <f t="shared" si="13"/>
        <v>0</v>
      </c>
      <c r="AZ36" s="92">
        <f t="shared" si="13"/>
        <v>0</v>
      </c>
      <c r="BA36" s="95">
        <f t="shared" si="14"/>
        <v>0</v>
      </c>
      <c r="BB36" s="75"/>
      <c r="BC36"/>
    </row>
    <row r="37" spans="1:55" ht="15" hidden="1" customHeight="1" thickBot="1" x14ac:dyDescent="0.3">
      <c r="A37" s="72" t="s">
        <v>40</v>
      </c>
      <c r="B37" s="111"/>
      <c r="C37" s="111">
        <v>48</v>
      </c>
      <c r="D37" s="121">
        <f t="shared" si="16"/>
        <v>0</v>
      </c>
      <c r="E37" s="15">
        <f t="shared" si="15"/>
        <v>0</v>
      </c>
      <c r="F37" s="19"/>
      <c r="G37" s="19"/>
      <c r="H37" s="18"/>
      <c r="I37" s="18"/>
      <c r="J37" s="9" t="s">
        <v>68</v>
      </c>
      <c r="K37" s="20"/>
      <c r="L37" s="20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7">
        <f t="shared" si="2"/>
        <v>0</v>
      </c>
      <c r="AR37" s="16">
        <f t="shared" si="12"/>
        <v>0</v>
      </c>
      <c r="AS37" s="15"/>
      <c r="AT37" s="15"/>
      <c r="AU37" s="92">
        <f t="shared" si="3"/>
        <v>0</v>
      </c>
      <c r="AV37" s="92">
        <f t="shared" si="4"/>
        <v>0</v>
      </c>
      <c r="AW37" s="92">
        <f t="shared" si="5"/>
        <v>0</v>
      </c>
      <c r="AX37" s="92">
        <f t="shared" si="6"/>
        <v>0</v>
      </c>
      <c r="AY37" s="92">
        <f t="shared" si="13"/>
        <v>0</v>
      </c>
      <c r="AZ37" s="92">
        <f t="shared" si="13"/>
        <v>0</v>
      </c>
      <c r="BA37" s="95">
        <f t="shared" si="14"/>
        <v>0</v>
      </c>
      <c r="BB37" s="75"/>
      <c r="BC37"/>
    </row>
    <row r="38" spans="1:55" ht="15" hidden="1" customHeight="1" thickBot="1" x14ac:dyDescent="0.3">
      <c r="A38" s="72" t="s">
        <v>41</v>
      </c>
      <c r="B38" s="111"/>
      <c r="C38" s="111">
        <v>49</v>
      </c>
      <c r="D38" s="121">
        <f t="shared" si="16"/>
        <v>0</v>
      </c>
      <c r="E38" s="15">
        <f t="shared" si="15"/>
        <v>0</v>
      </c>
      <c r="F38" s="19"/>
      <c r="G38" s="19"/>
      <c r="H38" s="18"/>
      <c r="I38" s="18"/>
      <c r="J38" s="9" t="s">
        <v>68</v>
      </c>
      <c r="K38" s="20"/>
      <c r="L38" s="20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7">
        <f t="shared" si="2"/>
        <v>0</v>
      </c>
      <c r="AR38" s="16">
        <f t="shared" si="12"/>
        <v>0</v>
      </c>
      <c r="AS38" s="15"/>
      <c r="AT38" s="15"/>
      <c r="AU38" s="92">
        <f t="shared" si="3"/>
        <v>0</v>
      </c>
      <c r="AV38" s="92">
        <f t="shared" si="4"/>
        <v>0</v>
      </c>
      <c r="AW38" s="92">
        <f t="shared" si="5"/>
        <v>0</v>
      </c>
      <c r="AX38" s="92">
        <f t="shared" si="6"/>
        <v>0</v>
      </c>
      <c r="AY38" s="92">
        <f t="shared" si="13"/>
        <v>0</v>
      </c>
      <c r="AZ38" s="92">
        <f t="shared" si="13"/>
        <v>0</v>
      </c>
      <c r="BA38" s="95">
        <f t="shared" si="14"/>
        <v>0</v>
      </c>
      <c r="BB38" s="75"/>
      <c r="BC38"/>
    </row>
    <row r="39" spans="1:55" ht="15" hidden="1" customHeight="1" thickBot="1" x14ac:dyDescent="0.3">
      <c r="A39" s="72" t="s">
        <v>42</v>
      </c>
      <c r="B39" s="111"/>
      <c r="C39" s="111">
        <v>50</v>
      </c>
      <c r="D39" s="121">
        <f t="shared" si="16"/>
        <v>0</v>
      </c>
      <c r="E39" s="15">
        <f t="shared" si="15"/>
        <v>0</v>
      </c>
      <c r="F39" s="19"/>
      <c r="G39" s="19"/>
      <c r="H39" s="18"/>
      <c r="I39" s="18"/>
      <c r="J39" s="9" t="s">
        <v>68</v>
      </c>
      <c r="K39" s="20"/>
      <c r="L39" s="20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7">
        <f t="shared" si="2"/>
        <v>0</v>
      </c>
      <c r="AR39" s="16">
        <f t="shared" si="12"/>
        <v>0</v>
      </c>
      <c r="AS39" s="15"/>
      <c r="AT39" s="15"/>
      <c r="AU39" s="92">
        <f t="shared" si="3"/>
        <v>0</v>
      </c>
      <c r="AV39" s="92">
        <f t="shared" si="4"/>
        <v>0</v>
      </c>
      <c r="AW39" s="92">
        <f t="shared" si="5"/>
        <v>0</v>
      </c>
      <c r="AX39" s="92">
        <f t="shared" si="6"/>
        <v>0</v>
      </c>
      <c r="AY39" s="92">
        <f t="shared" si="13"/>
        <v>0</v>
      </c>
      <c r="AZ39" s="92">
        <f t="shared" si="13"/>
        <v>0</v>
      </c>
      <c r="BA39" s="95">
        <f t="shared" si="14"/>
        <v>0</v>
      </c>
      <c r="BB39" s="75"/>
      <c r="BC39"/>
    </row>
    <row r="40" spans="1:55" ht="15" hidden="1" customHeight="1" thickBot="1" x14ac:dyDescent="0.3">
      <c r="A40" s="72" t="s">
        <v>43</v>
      </c>
      <c r="B40" s="111"/>
      <c r="C40" s="111">
        <v>51</v>
      </c>
      <c r="D40" s="121">
        <f t="shared" si="16"/>
        <v>0</v>
      </c>
      <c r="E40" s="15">
        <f t="shared" si="15"/>
        <v>0</v>
      </c>
      <c r="F40" s="19"/>
      <c r="G40" s="19"/>
      <c r="H40" s="18"/>
      <c r="I40" s="18"/>
      <c r="J40" s="9" t="s">
        <v>68</v>
      </c>
      <c r="K40" s="20"/>
      <c r="L40" s="20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7">
        <f t="shared" si="2"/>
        <v>0</v>
      </c>
      <c r="AR40" s="16">
        <f t="shared" si="12"/>
        <v>0</v>
      </c>
      <c r="AS40" s="15"/>
      <c r="AT40" s="15"/>
      <c r="AU40" s="92">
        <f t="shared" si="3"/>
        <v>0</v>
      </c>
      <c r="AV40" s="92">
        <f t="shared" si="4"/>
        <v>0</v>
      </c>
      <c r="AW40" s="92">
        <f t="shared" si="5"/>
        <v>0</v>
      </c>
      <c r="AX40" s="92">
        <f t="shared" si="6"/>
        <v>0</v>
      </c>
      <c r="AY40" s="92">
        <f t="shared" si="13"/>
        <v>0</v>
      </c>
      <c r="AZ40" s="92">
        <f t="shared" si="13"/>
        <v>0</v>
      </c>
      <c r="BA40" s="95">
        <f t="shared" si="14"/>
        <v>0</v>
      </c>
      <c r="BB40" s="75"/>
      <c r="BC40"/>
    </row>
    <row r="41" spans="1:55" ht="15" hidden="1" customHeight="1" thickBot="1" x14ac:dyDescent="0.3">
      <c r="A41" s="100" t="s">
        <v>44</v>
      </c>
      <c r="B41" s="116"/>
      <c r="C41" s="116">
        <v>52</v>
      </c>
      <c r="D41" s="121">
        <f t="shared" si="16"/>
        <v>0</v>
      </c>
      <c r="E41" s="15">
        <f t="shared" si="15"/>
        <v>0</v>
      </c>
      <c r="F41" s="91"/>
      <c r="G41" s="91"/>
      <c r="H41" s="92"/>
      <c r="I41" s="92"/>
      <c r="J41" s="101" t="s">
        <v>68</v>
      </c>
      <c r="K41" s="94"/>
      <c r="L41" s="94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7">
        <f t="shared" si="2"/>
        <v>0</v>
      </c>
      <c r="AR41" s="16">
        <f t="shared" si="12"/>
        <v>0</v>
      </c>
      <c r="AS41" s="16"/>
      <c r="AT41" s="16"/>
      <c r="AU41" s="92">
        <f t="shared" si="3"/>
        <v>0</v>
      </c>
      <c r="AV41" s="92">
        <f t="shared" si="4"/>
        <v>0</v>
      </c>
      <c r="AW41" s="92">
        <f t="shared" si="5"/>
        <v>0</v>
      </c>
      <c r="AX41" s="92">
        <f t="shared" si="6"/>
        <v>0</v>
      </c>
      <c r="AY41" s="92">
        <f t="shared" si="13"/>
        <v>0</v>
      </c>
      <c r="AZ41" s="92">
        <f t="shared" si="13"/>
        <v>0</v>
      </c>
      <c r="BA41" s="95">
        <f t="shared" si="14"/>
        <v>0</v>
      </c>
      <c r="BB41" s="96"/>
      <c r="BC41"/>
    </row>
    <row r="42" spans="1:55" ht="15" customHeight="1" thickBot="1" x14ac:dyDescent="0.3">
      <c r="A42" s="102" t="s">
        <v>81</v>
      </c>
      <c r="B42" s="124"/>
      <c r="C42" s="87"/>
      <c r="D42" s="132">
        <f>SUM(D43:D45)</f>
        <v>0</v>
      </c>
      <c r="E42" s="129">
        <f>SUM(E43:E45)</f>
        <v>0</v>
      </c>
      <c r="F42" s="129">
        <f>SUM(F43:F45)</f>
        <v>0</v>
      </c>
      <c r="G42" s="129"/>
      <c r="H42" s="131">
        <f>SUM(H43:H45)</f>
        <v>0</v>
      </c>
      <c r="I42" s="131">
        <f>SUM(I43:I45)</f>
        <v>0</v>
      </c>
      <c r="J42" s="88"/>
      <c r="K42" s="130"/>
      <c r="L42" s="130"/>
      <c r="M42" s="129">
        <f>SUM(M43:M45)</f>
        <v>0</v>
      </c>
      <c r="N42" s="129">
        <f t="shared" ref="N42:AP42" si="17">SUM(N43:N45)</f>
        <v>0</v>
      </c>
      <c r="O42" s="129">
        <f t="shared" si="17"/>
        <v>0</v>
      </c>
      <c r="P42" s="129">
        <f t="shared" si="17"/>
        <v>0</v>
      </c>
      <c r="Q42" s="129">
        <f t="shared" si="17"/>
        <v>0</v>
      </c>
      <c r="R42" s="129">
        <f t="shared" si="17"/>
        <v>0</v>
      </c>
      <c r="S42" s="129">
        <f t="shared" si="17"/>
        <v>0</v>
      </c>
      <c r="T42" s="129">
        <f t="shared" si="17"/>
        <v>0</v>
      </c>
      <c r="U42" s="129">
        <f t="shared" si="17"/>
        <v>0</v>
      </c>
      <c r="V42" s="129">
        <f t="shared" si="17"/>
        <v>0</v>
      </c>
      <c r="W42" s="129">
        <f t="shared" si="17"/>
        <v>0</v>
      </c>
      <c r="X42" s="129">
        <f t="shared" si="17"/>
        <v>0</v>
      </c>
      <c r="Y42" s="129">
        <f t="shared" si="17"/>
        <v>0</v>
      </c>
      <c r="Z42" s="129">
        <f t="shared" si="17"/>
        <v>0</v>
      </c>
      <c r="AA42" s="129">
        <f t="shared" si="17"/>
        <v>0</v>
      </c>
      <c r="AB42" s="129">
        <f t="shared" si="17"/>
        <v>0</v>
      </c>
      <c r="AC42" s="129">
        <f t="shared" si="17"/>
        <v>0</v>
      </c>
      <c r="AD42" s="129">
        <f t="shared" si="17"/>
        <v>0</v>
      </c>
      <c r="AE42" s="129">
        <f t="shared" si="17"/>
        <v>0</v>
      </c>
      <c r="AF42" s="129">
        <f t="shared" si="17"/>
        <v>0</v>
      </c>
      <c r="AG42" s="129">
        <f t="shared" si="17"/>
        <v>0</v>
      </c>
      <c r="AH42" s="129">
        <f t="shared" si="17"/>
        <v>0</v>
      </c>
      <c r="AI42" s="129">
        <f t="shared" si="17"/>
        <v>0</v>
      </c>
      <c r="AJ42" s="129">
        <f t="shared" si="17"/>
        <v>0</v>
      </c>
      <c r="AK42" s="129">
        <f t="shared" si="17"/>
        <v>0</v>
      </c>
      <c r="AL42" s="129">
        <f t="shared" si="17"/>
        <v>0</v>
      </c>
      <c r="AM42" s="129">
        <f t="shared" si="17"/>
        <v>0</v>
      </c>
      <c r="AN42" s="129">
        <f t="shared" si="17"/>
        <v>0</v>
      </c>
      <c r="AO42" s="129">
        <f t="shared" si="17"/>
        <v>0</v>
      </c>
      <c r="AP42" s="129">
        <f t="shared" si="17"/>
        <v>0</v>
      </c>
      <c r="AQ42" s="129">
        <f t="shared" si="2"/>
        <v>0</v>
      </c>
      <c r="AR42" s="129">
        <f t="shared" si="12"/>
        <v>0</v>
      </c>
      <c r="AS42" s="129"/>
      <c r="AT42" s="129">
        <f>SUM(AT43:AT45)</f>
        <v>0</v>
      </c>
      <c r="AU42" s="131">
        <f t="shared" si="3"/>
        <v>0</v>
      </c>
      <c r="AV42" s="131">
        <f t="shared" si="4"/>
        <v>0</v>
      </c>
      <c r="AW42" s="131">
        <f t="shared" si="5"/>
        <v>0</v>
      </c>
      <c r="AX42" s="131">
        <f t="shared" si="6"/>
        <v>0</v>
      </c>
      <c r="AY42" s="131">
        <f t="shared" si="13"/>
        <v>0</v>
      </c>
      <c r="AZ42" s="131">
        <f t="shared" si="13"/>
        <v>0</v>
      </c>
      <c r="BA42" s="129">
        <f t="shared" si="14"/>
        <v>0</v>
      </c>
      <c r="BB42" s="99"/>
      <c r="BC42"/>
    </row>
    <row r="43" spans="1:55" ht="15" customHeight="1" x14ac:dyDescent="0.25">
      <c r="A43" s="97" t="s">
        <v>66</v>
      </c>
      <c r="B43" s="123" t="s">
        <v>139</v>
      </c>
      <c r="C43" s="115">
        <v>25</v>
      </c>
      <c r="D43" s="121">
        <f>AT43*AU43*AW43</f>
        <v>0</v>
      </c>
      <c r="E43" s="17">
        <f>ROUND(AT43*AV43*AX43,4)</f>
        <v>0</v>
      </c>
      <c r="F43" s="81"/>
      <c r="G43" s="81"/>
      <c r="H43" s="82"/>
      <c r="I43" s="82"/>
      <c r="J43" s="14" t="s">
        <v>55</v>
      </c>
      <c r="K43" s="84"/>
      <c r="L43" s="84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>
        <f t="shared" si="2"/>
        <v>0</v>
      </c>
      <c r="AR43" s="16">
        <f t="shared" si="12"/>
        <v>0</v>
      </c>
      <c r="AS43" s="16"/>
      <c r="AT43" s="16"/>
      <c r="AU43" s="82">
        <f t="shared" si="3"/>
        <v>0</v>
      </c>
      <c r="AV43" s="82">
        <f t="shared" si="4"/>
        <v>0</v>
      </c>
      <c r="AW43" s="82">
        <f t="shared" si="5"/>
        <v>0</v>
      </c>
      <c r="AX43" s="82">
        <f t="shared" si="6"/>
        <v>0</v>
      </c>
      <c r="AY43" s="92">
        <f t="shared" si="13"/>
        <v>0</v>
      </c>
      <c r="AZ43" s="92">
        <f t="shared" si="13"/>
        <v>0</v>
      </c>
      <c r="BA43" s="95">
        <f t="shared" si="14"/>
        <v>0</v>
      </c>
      <c r="BB43" s="86"/>
      <c r="BC43"/>
    </row>
    <row r="44" spans="1:55" ht="15" hidden="1" customHeight="1" x14ac:dyDescent="0.25">
      <c r="A44" s="72" t="s">
        <v>67</v>
      </c>
      <c r="B44" s="123"/>
      <c r="C44" s="111">
        <v>31</v>
      </c>
      <c r="D44" s="121">
        <f>AT44*AU44*AW44</f>
        <v>0</v>
      </c>
      <c r="E44" s="15">
        <f t="shared" si="15"/>
        <v>0</v>
      </c>
      <c r="F44" s="19"/>
      <c r="G44" s="19"/>
      <c r="H44" s="18"/>
      <c r="I44" s="18"/>
      <c r="J44" s="7" t="s">
        <v>55</v>
      </c>
      <c r="K44" s="20"/>
      <c r="L44" s="20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7">
        <f t="shared" si="2"/>
        <v>0</v>
      </c>
      <c r="AR44" s="16">
        <f t="shared" si="12"/>
        <v>0</v>
      </c>
      <c r="AS44" s="15"/>
      <c r="AT44" s="15"/>
      <c r="AU44" s="82">
        <f t="shared" si="3"/>
        <v>0</v>
      </c>
      <c r="AV44" s="82">
        <f t="shared" si="4"/>
        <v>0</v>
      </c>
      <c r="AW44" s="82">
        <f t="shared" si="5"/>
        <v>0</v>
      </c>
      <c r="AX44" s="82">
        <f t="shared" si="6"/>
        <v>0</v>
      </c>
      <c r="AY44" s="92">
        <f t="shared" si="13"/>
        <v>0</v>
      </c>
      <c r="AZ44" s="92">
        <f t="shared" si="13"/>
        <v>0</v>
      </c>
      <c r="BA44" s="95">
        <f t="shared" si="14"/>
        <v>0</v>
      </c>
      <c r="BB44" s="75"/>
      <c r="BC44"/>
    </row>
    <row r="45" spans="1:55" ht="15" customHeight="1" thickBot="1" x14ac:dyDescent="0.3">
      <c r="A45" s="103" t="s">
        <v>67</v>
      </c>
      <c r="B45" s="123" t="s">
        <v>140</v>
      </c>
      <c r="C45" s="114">
        <v>38</v>
      </c>
      <c r="D45" s="121">
        <f>AT45*AU45*AW45</f>
        <v>0</v>
      </c>
      <c r="E45" s="16">
        <f>ROUND(AT45*AV45*AX45,4)</f>
        <v>0</v>
      </c>
      <c r="F45" s="91"/>
      <c r="G45" s="91"/>
      <c r="H45" s="92"/>
      <c r="I45" s="92"/>
      <c r="J45" s="13" t="s">
        <v>55</v>
      </c>
      <c r="K45" s="94"/>
      <c r="L45" s="94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7">
        <f t="shared" si="2"/>
        <v>0</v>
      </c>
      <c r="AR45" s="16">
        <f t="shared" si="12"/>
        <v>0</v>
      </c>
      <c r="AS45" s="16"/>
      <c r="AT45" s="16"/>
      <c r="AU45" s="82">
        <f t="shared" si="3"/>
        <v>0</v>
      </c>
      <c r="AV45" s="82">
        <f t="shared" si="4"/>
        <v>0</v>
      </c>
      <c r="AW45" s="82">
        <f t="shared" si="5"/>
        <v>0</v>
      </c>
      <c r="AX45" s="82">
        <f t="shared" si="6"/>
        <v>0</v>
      </c>
      <c r="AY45" s="92">
        <f t="shared" si="13"/>
        <v>0</v>
      </c>
      <c r="AZ45" s="92">
        <f t="shared" si="13"/>
        <v>0</v>
      </c>
      <c r="BA45" s="95">
        <f t="shared" si="14"/>
        <v>0</v>
      </c>
      <c r="BB45" s="96"/>
      <c r="BC45"/>
    </row>
    <row r="46" spans="1:55" ht="15" customHeight="1" thickBot="1" x14ac:dyDescent="0.3">
      <c r="A46" s="102" t="s">
        <v>82</v>
      </c>
      <c r="B46" s="124"/>
      <c r="C46" s="87"/>
      <c r="D46" s="132">
        <f>SUM(D47:D51)</f>
        <v>0</v>
      </c>
      <c r="E46" s="129">
        <f>SUM(E47:E51)</f>
        <v>0</v>
      </c>
      <c r="F46" s="129">
        <f>SUM(F47:F51)</f>
        <v>0</v>
      </c>
      <c r="G46" s="129"/>
      <c r="H46" s="131">
        <f>SUM(H47:H51)</f>
        <v>0</v>
      </c>
      <c r="I46" s="131">
        <f>SUM(I47:I51)</f>
        <v>0</v>
      </c>
      <c r="J46" s="88"/>
      <c r="K46" s="130"/>
      <c r="L46" s="130"/>
      <c r="M46" s="129">
        <f>SUM(M47:M51)</f>
        <v>0</v>
      </c>
      <c r="N46" s="129">
        <f t="shared" ref="N46:AP46" si="18">SUM(N47:N51)</f>
        <v>0</v>
      </c>
      <c r="O46" s="129">
        <f t="shared" si="18"/>
        <v>0</v>
      </c>
      <c r="P46" s="129">
        <f t="shared" si="18"/>
        <v>0</v>
      </c>
      <c r="Q46" s="129">
        <f t="shared" si="18"/>
        <v>0</v>
      </c>
      <c r="R46" s="129">
        <f t="shared" si="18"/>
        <v>0</v>
      </c>
      <c r="S46" s="129">
        <f t="shared" si="18"/>
        <v>0</v>
      </c>
      <c r="T46" s="129">
        <f t="shared" si="18"/>
        <v>0</v>
      </c>
      <c r="U46" s="129">
        <f t="shared" si="18"/>
        <v>0</v>
      </c>
      <c r="V46" s="129">
        <f t="shared" si="18"/>
        <v>0</v>
      </c>
      <c r="W46" s="129">
        <f t="shared" si="18"/>
        <v>0</v>
      </c>
      <c r="X46" s="129">
        <f t="shared" si="18"/>
        <v>0</v>
      </c>
      <c r="Y46" s="129">
        <f t="shared" si="18"/>
        <v>0</v>
      </c>
      <c r="Z46" s="129">
        <f t="shared" si="18"/>
        <v>0</v>
      </c>
      <c r="AA46" s="129">
        <f t="shared" si="18"/>
        <v>0</v>
      </c>
      <c r="AB46" s="129">
        <f t="shared" si="18"/>
        <v>0</v>
      </c>
      <c r="AC46" s="129">
        <f t="shared" si="18"/>
        <v>0</v>
      </c>
      <c r="AD46" s="129">
        <f t="shared" si="18"/>
        <v>0</v>
      </c>
      <c r="AE46" s="129">
        <f t="shared" si="18"/>
        <v>0</v>
      </c>
      <c r="AF46" s="129">
        <f t="shared" si="18"/>
        <v>0</v>
      </c>
      <c r="AG46" s="129">
        <f t="shared" si="18"/>
        <v>0</v>
      </c>
      <c r="AH46" s="129">
        <f t="shared" si="18"/>
        <v>0</v>
      </c>
      <c r="AI46" s="129">
        <f t="shared" si="18"/>
        <v>0</v>
      </c>
      <c r="AJ46" s="129">
        <f t="shared" si="18"/>
        <v>0</v>
      </c>
      <c r="AK46" s="129">
        <f t="shared" si="18"/>
        <v>0</v>
      </c>
      <c r="AL46" s="129">
        <f t="shared" si="18"/>
        <v>0</v>
      </c>
      <c r="AM46" s="129">
        <f t="shared" si="18"/>
        <v>0</v>
      </c>
      <c r="AN46" s="129">
        <f t="shared" si="18"/>
        <v>0</v>
      </c>
      <c r="AO46" s="129">
        <f t="shared" si="18"/>
        <v>0</v>
      </c>
      <c r="AP46" s="129">
        <f t="shared" si="18"/>
        <v>0</v>
      </c>
      <c r="AQ46" s="129">
        <f t="shared" si="2"/>
        <v>0</v>
      </c>
      <c r="AR46" s="129">
        <f t="shared" si="12"/>
        <v>0</v>
      </c>
      <c r="AS46" s="129"/>
      <c r="AT46" s="129">
        <f>SUM(AT47:AT51)</f>
        <v>0</v>
      </c>
      <c r="AU46" s="131">
        <f t="shared" si="3"/>
        <v>0</v>
      </c>
      <c r="AV46" s="131">
        <f t="shared" si="4"/>
        <v>0</v>
      </c>
      <c r="AW46" s="131">
        <f t="shared" si="5"/>
        <v>0</v>
      </c>
      <c r="AX46" s="131">
        <f t="shared" si="6"/>
        <v>0</v>
      </c>
      <c r="AY46" s="131">
        <f t="shared" si="13"/>
        <v>0</v>
      </c>
      <c r="AZ46" s="131">
        <f t="shared" si="13"/>
        <v>0</v>
      </c>
      <c r="BA46" s="129">
        <f t="shared" si="14"/>
        <v>0</v>
      </c>
      <c r="BB46" s="99"/>
      <c r="BC46"/>
    </row>
    <row r="47" spans="1:55" ht="15" customHeight="1" x14ac:dyDescent="0.25">
      <c r="A47" s="97" t="s">
        <v>46</v>
      </c>
      <c r="B47" s="123" t="s">
        <v>141</v>
      </c>
      <c r="C47" s="115">
        <v>28</v>
      </c>
      <c r="D47" s="121">
        <f>AT47*AU47*AW47</f>
        <v>0</v>
      </c>
      <c r="E47" s="17">
        <f>ROUND(AT47*AV47*AX47,4)</f>
        <v>0</v>
      </c>
      <c r="F47" s="81"/>
      <c r="G47" s="81"/>
      <c r="H47" s="82"/>
      <c r="I47" s="82"/>
      <c r="J47" s="14" t="s">
        <v>55</v>
      </c>
      <c r="K47" s="84"/>
      <c r="L47" s="84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>
        <f t="shared" si="2"/>
        <v>0</v>
      </c>
      <c r="AR47" s="16">
        <f t="shared" si="12"/>
        <v>0</v>
      </c>
      <c r="AS47" s="16"/>
      <c r="AT47" s="16"/>
      <c r="AU47" s="82">
        <f t="shared" si="3"/>
        <v>0</v>
      </c>
      <c r="AV47" s="82">
        <f t="shared" si="4"/>
        <v>0</v>
      </c>
      <c r="AW47" s="82">
        <f t="shared" si="5"/>
        <v>0</v>
      </c>
      <c r="AX47" s="82">
        <f t="shared" si="6"/>
        <v>0</v>
      </c>
      <c r="AY47" s="92">
        <f t="shared" si="13"/>
        <v>0</v>
      </c>
      <c r="AZ47" s="92">
        <f t="shared" si="13"/>
        <v>0</v>
      </c>
      <c r="BA47" s="95">
        <f t="shared" si="14"/>
        <v>0</v>
      </c>
      <c r="BB47" s="86"/>
      <c r="BC47"/>
    </row>
    <row r="48" spans="1:55" ht="15" customHeight="1" thickBot="1" x14ac:dyDescent="0.3">
      <c r="A48" s="71" t="s">
        <v>45</v>
      </c>
      <c r="B48" s="123" t="s">
        <v>142</v>
      </c>
      <c r="C48" s="112">
        <v>33</v>
      </c>
      <c r="D48" s="121">
        <f>AT48*AU48*AW48</f>
        <v>0</v>
      </c>
      <c r="E48" s="17">
        <f>ROUND(AT48*AV48*AX48,4)</f>
        <v>0</v>
      </c>
      <c r="F48" s="19"/>
      <c r="G48" s="19"/>
      <c r="H48" s="18"/>
      <c r="I48" s="18"/>
      <c r="J48" s="7" t="s">
        <v>55</v>
      </c>
      <c r="K48" s="20"/>
      <c r="L48" s="20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7">
        <f t="shared" si="2"/>
        <v>0</v>
      </c>
      <c r="AR48" s="16">
        <f t="shared" si="12"/>
        <v>0</v>
      </c>
      <c r="AS48" s="16"/>
      <c r="AT48" s="16"/>
      <c r="AU48" s="82">
        <f t="shared" si="3"/>
        <v>0</v>
      </c>
      <c r="AV48" s="82">
        <f t="shared" si="4"/>
        <v>0</v>
      </c>
      <c r="AW48" s="82">
        <f t="shared" si="5"/>
        <v>0</v>
      </c>
      <c r="AX48" s="82">
        <f t="shared" si="6"/>
        <v>0</v>
      </c>
      <c r="AY48" s="92">
        <f t="shared" si="13"/>
        <v>0</v>
      </c>
      <c r="AZ48" s="92">
        <f t="shared" si="13"/>
        <v>0</v>
      </c>
      <c r="BA48" s="95">
        <f t="shared" si="14"/>
        <v>0</v>
      </c>
      <c r="BB48" s="75"/>
      <c r="BC48"/>
    </row>
    <row r="49" spans="1:55" ht="15" hidden="1" customHeight="1" thickBot="1" x14ac:dyDescent="0.3">
      <c r="A49" s="72" t="s">
        <v>48</v>
      </c>
      <c r="B49" s="111"/>
      <c r="C49" s="111">
        <v>35</v>
      </c>
      <c r="D49" s="120">
        <f t="shared" ref="D49:D51" si="19">AS49*AW49*AU49</f>
        <v>0</v>
      </c>
      <c r="E49" s="15">
        <f t="shared" si="15"/>
        <v>0</v>
      </c>
      <c r="F49" s="19"/>
      <c r="G49" s="19"/>
      <c r="H49" s="18"/>
      <c r="I49" s="18"/>
      <c r="J49" s="7" t="s">
        <v>55</v>
      </c>
      <c r="K49" s="20"/>
      <c r="L49" s="20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7">
        <f t="shared" si="2"/>
        <v>0</v>
      </c>
      <c r="AR49" s="16">
        <f t="shared" si="12"/>
        <v>0</v>
      </c>
      <c r="AS49" s="15"/>
      <c r="AT49" s="15"/>
      <c r="AU49" s="92">
        <f t="shared" si="3"/>
        <v>0</v>
      </c>
      <c r="AV49" s="92">
        <f t="shared" si="4"/>
        <v>0</v>
      </c>
      <c r="AW49" s="92">
        <f t="shared" si="5"/>
        <v>0</v>
      </c>
      <c r="AX49" s="92">
        <f t="shared" si="6"/>
        <v>0</v>
      </c>
      <c r="AY49" s="92">
        <f t="shared" si="13"/>
        <v>0</v>
      </c>
      <c r="AZ49" s="92">
        <f t="shared" si="13"/>
        <v>0</v>
      </c>
      <c r="BA49" s="95">
        <f t="shared" si="14"/>
        <v>0</v>
      </c>
      <c r="BB49" s="75"/>
      <c r="BC49"/>
    </row>
    <row r="50" spans="1:55" ht="15" hidden="1" customHeight="1" thickBot="1" x14ac:dyDescent="0.3">
      <c r="A50" s="72" t="s">
        <v>47</v>
      </c>
      <c r="B50" s="111"/>
      <c r="C50" s="111">
        <v>36</v>
      </c>
      <c r="D50" s="120">
        <f t="shared" si="19"/>
        <v>0</v>
      </c>
      <c r="E50" s="15">
        <f t="shared" si="15"/>
        <v>0</v>
      </c>
      <c r="F50" s="19"/>
      <c r="G50" s="19"/>
      <c r="H50" s="18"/>
      <c r="I50" s="18"/>
      <c r="J50" s="7" t="s">
        <v>55</v>
      </c>
      <c r="K50" s="20"/>
      <c r="L50" s="20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7">
        <f t="shared" si="2"/>
        <v>0</v>
      </c>
      <c r="AR50" s="16">
        <f t="shared" si="12"/>
        <v>0</v>
      </c>
      <c r="AS50" s="15"/>
      <c r="AT50" s="15"/>
      <c r="AU50" s="92">
        <f t="shared" si="3"/>
        <v>0</v>
      </c>
      <c r="AV50" s="92">
        <f t="shared" si="4"/>
        <v>0</v>
      </c>
      <c r="AW50" s="92">
        <f t="shared" si="5"/>
        <v>0</v>
      </c>
      <c r="AX50" s="92">
        <f t="shared" si="6"/>
        <v>0</v>
      </c>
      <c r="AY50" s="92">
        <f t="shared" si="13"/>
        <v>0</v>
      </c>
      <c r="AZ50" s="92">
        <f t="shared" si="13"/>
        <v>0</v>
      </c>
      <c r="BA50" s="95">
        <f t="shared" si="14"/>
        <v>0</v>
      </c>
      <c r="BB50" s="75"/>
      <c r="BC50"/>
    </row>
    <row r="51" spans="1:55" ht="15" hidden="1" customHeight="1" thickBot="1" x14ac:dyDescent="0.3">
      <c r="A51" s="100" t="s">
        <v>64</v>
      </c>
      <c r="B51" s="116"/>
      <c r="C51" s="116">
        <v>37</v>
      </c>
      <c r="D51" s="121">
        <f t="shared" si="19"/>
        <v>0</v>
      </c>
      <c r="E51" s="16">
        <f t="shared" si="15"/>
        <v>0</v>
      </c>
      <c r="F51" s="91"/>
      <c r="G51" s="91"/>
      <c r="H51" s="92"/>
      <c r="I51" s="92"/>
      <c r="J51" s="13" t="s">
        <v>55</v>
      </c>
      <c r="K51" s="94"/>
      <c r="L51" s="94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7">
        <f t="shared" si="2"/>
        <v>0</v>
      </c>
      <c r="AR51" s="16">
        <f t="shared" si="12"/>
        <v>0</v>
      </c>
      <c r="AS51" s="16"/>
      <c r="AT51" s="16"/>
      <c r="AU51" s="92">
        <f t="shared" si="3"/>
        <v>0</v>
      </c>
      <c r="AV51" s="92">
        <f t="shared" si="4"/>
        <v>0</v>
      </c>
      <c r="AW51" s="92">
        <f t="shared" si="5"/>
        <v>0</v>
      </c>
      <c r="AX51" s="92">
        <f t="shared" si="6"/>
        <v>0</v>
      </c>
      <c r="AY51" s="92">
        <f t="shared" si="13"/>
        <v>0</v>
      </c>
      <c r="AZ51" s="92">
        <f t="shared" si="13"/>
        <v>0</v>
      </c>
      <c r="BA51" s="95">
        <f t="shared" si="14"/>
        <v>0</v>
      </c>
      <c r="BB51" s="96"/>
      <c r="BC51"/>
    </row>
    <row r="52" spans="1:55" ht="15" customHeight="1" thickBot="1" x14ac:dyDescent="0.3">
      <c r="A52" s="102" t="s">
        <v>49</v>
      </c>
      <c r="B52" s="124"/>
      <c r="C52" s="87"/>
      <c r="D52" s="132">
        <f>SUM(D53:D54)</f>
        <v>0</v>
      </c>
      <c r="E52" s="129">
        <f>SUM(E53:E54)</f>
        <v>0</v>
      </c>
      <c r="F52" s="129">
        <f>SUM(F53:F54)</f>
        <v>0</v>
      </c>
      <c r="G52" s="129"/>
      <c r="H52" s="131">
        <f>SUM(H53:H54)</f>
        <v>0</v>
      </c>
      <c r="I52" s="131">
        <f>SUM(I53:I54)</f>
        <v>0</v>
      </c>
      <c r="J52" s="88"/>
      <c r="K52" s="130"/>
      <c r="L52" s="130"/>
      <c r="M52" s="129">
        <f>SUM(M53:M54)</f>
        <v>0</v>
      </c>
      <c r="N52" s="129">
        <f t="shared" ref="N52:AP52" si="20">SUM(N53:N54)</f>
        <v>0</v>
      </c>
      <c r="O52" s="129">
        <f t="shared" si="20"/>
        <v>0</v>
      </c>
      <c r="P52" s="129">
        <f t="shared" si="20"/>
        <v>0</v>
      </c>
      <c r="Q52" s="129">
        <f t="shared" si="20"/>
        <v>0</v>
      </c>
      <c r="R52" s="129">
        <f t="shared" si="20"/>
        <v>0</v>
      </c>
      <c r="S52" s="129">
        <f t="shared" si="20"/>
        <v>0</v>
      </c>
      <c r="T52" s="129">
        <f t="shared" si="20"/>
        <v>0</v>
      </c>
      <c r="U52" s="129">
        <f t="shared" si="20"/>
        <v>0</v>
      </c>
      <c r="V52" s="129">
        <f t="shared" si="20"/>
        <v>0</v>
      </c>
      <c r="W52" s="129">
        <f t="shared" si="20"/>
        <v>0</v>
      </c>
      <c r="X52" s="129">
        <f t="shared" si="20"/>
        <v>0</v>
      </c>
      <c r="Y52" s="129">
        <f t="shared" si="20"/>
        <v>0</v>
      </c>
      <c r="Z52" s="129">
        <f t="shared" si="20"/>
        <v>0</v>
      </c>
      <c r="AA52" s="129">
        <f t="shared" si="20"/>
        <v>0</v>
      </c>
      <c r="AB52" s="129">
        <f t="shared" si="20"/>
        <v>0</v>
      </c>
      <c r="AC52" s="129">
        <f t="shared" si="20"/>
        <v>0</v>
      </c>
      <c r="AD52" s="129">
        <f t="shared" si="20"/>
        <v>0</v>
      </c>
      <c r="AE52" s="129">
        <f t="shared" si="20"/>
        <v>0</v>
      </c>
      <c r="AF52" s="129">
        <f t="shared" si="20"/>
        <v>0</v>
      </c>
      <c r="AG52" s="129">
        <f t="shared" si="20"/>
        <v>0</v>
      </c>
      <c r="AH52" s="129">
        <f t="shared" si="20"/>
        <v>0</v>
      </c>
      <c r="AI52" s="129">
        <f t="shared" si="20"/>
        <v>0</v>
      </c>
      <c r="AJ52" s="129">
        <f t="shared" si="20"/>
        <v>0</v>
      </c>
      <c r="AK52" s="129">
        <f t="shared" si="20"/>
        <v>0</v>
      </c>
      <c r="AL52" s="129">
        <f t="shared" si="20"/>
        <v>0</v>
      </c>
      <c r="AM52" s="129">
        <f t="shared" si="20"/>
        <v>0</v>
      </c>
      <c r="AN52" s="129">
        <f t="shared" si="20"/>
        <v>0</v>
      </c>
      <c r="AO52" s="129">
        <f t="shared" si="20"/>
        <v>0</v>
      </c>
      <c r="AP52" s="129">
        <f t="shared" si="20"/>
        <v>0</v>
      </c>
      <c r="AQ52" s="129">
        <f t="shared" si="2"/>
        <v>0</v>
      </c>
      <c r="AR52" s="129">
        <f t="shared" si="12"/>
        <v>0</v>
      </c>
      <c r="AS52" s="129"/>
      <c r="AT52" s="129">
        <f>SUM(AT53:AT54)</f>
        <v>0</v>
      </c>
      <c r="AU52" s="131">
        <f t="shared" si="3"/>
        <v>0</v>
      </c>
      <c r="AV52" s="131">
        <f t="shared" si="4"/>
        <v>0</v>
      </c>
      <c r="AW52" s="131">
        <f t="shared" si="5"/>
        <v>0</v>
      </c>
      <c r="AX52" s="131">
        <f t="shared" si="6"/>
        <v>0</v>
      </c>
      <c r="AY52" s="131">
        <f t="shared" si="13"/>
        <v>0</v>
      </c>
      <c r="AZ52" s="131">
        <f t="shared" si="13"/>
        <v>0</v>
      </c>
      <c r="BA52" s="129">
        <f t="shared" si="14"/>
        <v>0</v>
      </c>
      <c r="BB52" s="99"/>
      <c r="BC52"/>
    </row>
    <row r="53" spans="1:55" ht="15" customHeight="1" x14ac:dyDescent="0.25">
      <c r="A53" s="97" t="s">
        <v>51</v>
      </c>
      <c r="B53" s="123" t="s">
        <v>143</v>
      </c>
      <c r="C53" s="115">
        <v>4</v>
      </c>
      <c r="D53" s="121">
        <f>AT53*AU53*AW53</f>
        <v>0</v>
      </c>
      <c r="E53" s="17">
        <f>ROUND(AT53*AV53*AX53,4)</f>
        <v>0</v>
      </c>
      <c r="F53" s="81"/>
      <c r="G53" s="81"/>
      <c r="H53" s="82"/>
      <c r="I53" s="82"/>
      <c r="J53" s="14" t="s">
        <v>83</v>
      </c>
      <c r="K53" s="84"/>
      <c r="L53" s="84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>
        <f t="shared" si="2"/>
        <v>0</v>
      </c>
      <c r="AR53" s="16">
        <f t="shared" si="12"/>
        <v>0</v>
      </c>
      <c r="AS53" s="16"/>
      <c r="AT53" s="16"/>
      <c r="AU53" s="82">
        <f t="shared" si="3"/>
        <v>0</v>
      </c>
      <c r="AV53" s="82">
        <f t="shared" si="4"/>
        <v>0</v>
      </c>
      <c r="AW53" s="82">
        <f t="shared" si="5"/>
        <v>0</v>
      </c>
      <c r="AX53" s="82">
        <f t="shared" si="6"/>
        <v>0</v>
      </c>
      <c r="AY53" s="92">
        <f t="shared" si="13"/>
        <v>0</v>
      </c>
      <c r="AZ53" s="92">
        <f t="shared" si="13"/>
        <v>0</v>
      </c>
      <c r="BA53" s="95">
        <f t="shared" si="14"/>
        <v>0</v>
      </c>
      <c r="BB53" s="86"/>
      <c r="BC53"/>
    </row>
    <row r="54" spans="1:55" ht="15" customHeight="1" thickBot="1" x14ac:dyDescent="0.3">
      <c r="A54" s="104" t="s">
        <v>50</v>
      </c>
      <c r="B54" s="123" t="s">
        <v>153</v>
      </c>
      <c r="C54" s="117">
        <v>5</v>
      </c>
      <c r="D54" s="121">
        <f>AT54*AU54*AW54</f>
        <v>0</v>
      </c>
      <c r="E54" s="17">
        <f>ROUND(AT54*AV54*AX54,4)</f>
        <v>0</v>
      </c>
      <c r="F54" s="91"/>
      <c r="G54" s="91"/>
      <c r="H54" s="92"/>
      <c r="I54" s="92"/>
      <c r="J54" s="13" t="s">
        <v>83</v>
      </c>
      <c r="K54" s="94"/>
      <c r="L54" s="94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7">
        <f t="shared" si="2"/>
        <v>0</v>
      </c>
      <c r="AR54" s="16">
        <f t="shared" si="12"/>
        <v>0</v>
      </c>
      <c r="AS54" s="16"/>
      <c r="AT54" s="16"/>
      <c r="AU54" s="82">
        <f t="shared" si="3"/>
        <v>0</v>
      </c>
      <c r="AV54" s="82">
        <f t="shared" si="4"/>
        <v>0</v>
      </c>
      <c r="AW54" s="82">
        <f t="shared" si="5"/>
        <v>0</v>
      </c>
      <c r="AX54" s="82">
        <f t="shared" si="6"/>
        <v>0</v>
      </c>
      <c r="AY54" s="92">
        <f t="shared" si="13"/>
        <v>0</v>
      </c>
      <c r="AZ54" s="92">
        <f t="shared" si="13"/>
        <v>0</v>
      </c>
      <c r="BA54" s="95">
        <f t="shared" si="14"/>
        <v>0</v>
      </c>
      <c r="BB54" s="96"/>
      <c r="BC54"/>
    </row>
    <row r="55" spans="1:55" ht="15" customHeight="1" thickBot="1" x14ac:dyDescent="0.3">
      <c r="A55" s="87" t="s">
        <v>52</v>
      </c>
      <c r="B55" s="124"/>
      <c r="C55" s="87"/>
      <c r="D55" s="132">
        <f>SUM(D56:D61)</f>
        <v>0</v>
      </c>
      <c r="E55" s="129">
        <f>SUM(E56:E61)</f>
        <v>0</v>
      </c>
      <c r="F55" s="129">
        <f>SUM(F56:F61)</f>
        <v>0</v>
      </c>
      <c r="G55" s="129"/>
      <c r="H55" s="131"/>
      <c r="I55" s="131"/>
      <c r="J55" s="88"/>
      <c r="K55" s="130"/>
      <c r="L55" s="130"/>
      <c r="M55" s="129">
        <f>SUM(M56:M61)</f>
        <v>0</v>
      </c>
      <c r="N55" s="129">
        <f t="shared" ref="N55:AP55" si="21">SUM(N56:N61)</f>
        <v>0</v>
      </c>
      <c r="O55" s="129">
        <f t="shared" si="21"/>
        <v>0</v>
      </c>
      <c r="P55" s="129">
        <f t="shared" si="21"/>
        <v>0</v>
      </c>
      <c r="Q55" s="129">
        <f t="shared" si="21"/>
        <v>0</v>
      </c>
      <c r="R55" s="129">
        <f t="shared" si="21"/>
        <v>0</v>
      </c>
      <c r="S55" s="129">
        <f t="shared" si="21"/>
        <v>0</v>
      </c>
      <c r="T55" s="129">
        <f t="shared" si="21"/>
        <v>0</v>
      </c>
      <c r="U55" s="129">
        <f t="shared" si="21"/>
        <v>0</v>
      </c>
      <c r="V55" s="129">
        <f t="shared" si="21"/>
        <v>0</v>
      </c>
      <c r="W55" s="129">
        <f t="shared" si="21"/>
        <v>0</v>
      </c>
      <c r="X55" s="129">
        <f t="shared" si="21"/>
        <v>0</v>
      </c>
      <c r="Y55" s="129">
        <f t="shared" si="21"/>
        <v>0</v>
      </c>
      <c r="Z55" s="129">
        <f t="shared" si="21"/>
        <v>0</v>
      </c>
      <c r="AA55" s="129">
        <f t="shared" si="21"/>
        <v>0</v>
      </c>
      <c r="AB55" s="129">
        <f t="shared" si="21"/>
        <v>0</v>
      </c>
      <c r="AC55" s="129">
        <f t="shared" si="21"/>
        <v>0</v>
      </c>
      <c r="AD55" s="129">
        <f t="shared" si="21"/>
        <v>0</v>
      </c>
      <c r="AE55" s="129">
        <f t="shared" si="21"/>
        <v>0</v>
      </c>
      <c r="AF55" s="129">
        <f t="shared" si="21"/>
        <v>0</v>
      </c>
      <c r="AG55" s="129">
        <f t="shared" si="21"/>
        <v>0</v>
      </c>
      <c r="AH55" s="129">
        <f t="shared" si="21"/>
        <v>0</v>
      </c>
      <c r="AI55" s="129">
        <f t="shared" si="21"/>
        <v>0</v>
      </c>
      <c r="AJ55" s="129">
        <f t="shared" si="21"/>
        <v>0</v>
      </c>
      <c r="AK55" s="129">
        <f t="shared" si="21"/>
        <v>0</v>
      </c>
      <c r="AL55" s="129">
        <f t="shared" si="21"/>
        <v>0</v>
      </c>
      <c r="AM55" s="129">
        <f t="shared" si="21"/>
        <v>0</v>
      </c>
      <c r="AN55" s="129">
        <f t="shared" si="21"/>
        <v>0</v>
      </c>
      <c r="AO55" s="129">
        <f t="shared" si="21"/>
        <v>0</v>
      </c>
      <c r="AP55" s="129">
        <f t="shared" si="21"/>
        <v>0</v>
      </c>
      <c r="AQ55" s="129">
        <f t="shared" si="2"/>
        <v>0</v>
      </c>
      <c r="AR55" s="129">
        <f t="shared" si="12"/>
        <v>0</v>
      </c>
      <c r="AS55" s="129"/>
      <c r="AT55" s="129">
        <f>SUM(AT56:AT61)</f>
        <v>0</v>
      </c>
      <c r="AU55" s="131">
        <f t="shared" si="3"/>
        <v>0</v>
      </c>
      <c r="AV55" s="131">
        <f t="shared" si="4"/>
        <v>0</v>
      </c>
      <c r="AW55" s="131">
        <f t="shared" si="5"/>
        <v>0</v>
      </c>
      <c r="AX55" s="131">
        <f t="shared" si="6"/>
        <v>0</v>
      </c>
      <c r="AY55" s="131">
        <f t="shared" si="13"/>
        <v>0</v>
      </c>
      <c r="AZ55" s="131">
        <f t="shared" si="13"/>
        <v>0</v>
      </c>
      <c r="BA55" s="129">
        <f t="shared" si="14"/>
        <v>0</v>
      </c>
      <c r="BB55" s="99"/>
      <c r="BC55"/>
    </row>
    <row r="56" spans="1:55" ht="15" customHeight="1" x14ac:dyDescent="0.25">
      <c r="A56" s="145" t="s">
        <v>53</v>
      </c>
      <c r="B56" s="147" t="s">
        <v>144</v>
      </c>
      <c r="C56" s="146">
        <v>15</v>
      </c>
      <c r="D56" s="121">
        <f>AT56*AU56*AW56</f>
        <v>0</v>
      </c>
      <c r="E56" s="17">
        <f>ROUND(AT56*AV56*AX56,4)</f>
        <v>0</v>
      </c>
      <c r="F56" s="81"/>
      <c r="G56" s="81"/>
      <c r="H56" s="82"/>
      <c r="I56" s="82"/>
      <c r="J56" s="14" t="s">
        <v>55</v>
      </c>
      <c r="K56" s="84"/>
      <c r="L56" s="84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>
        <f t="shared" si="2"/>
        <v>0</v>
      </c>
      <c r="AR56" s="16">
        <f t="shared" si="12"/>
        <v>0</v>
      </c>
      <c r="AS56" s="16"/>
      <c r="AT56" s="16"/>
      <c r="AU56" s="82">
        <f t="shared" si="3"/>
        <v>0</v>
      </c>
      <c r="AV56" s="82">
        <f t="shared" si="4"/>
        <v>0</v>
      </c>
      <c r="AW56" s="82">
        <f t="shared" si="5"/>
        <v>0</v>
      </c>
      <c r="AX56" s="82">
        <f t="shared" si="6"/>
        <v>0</v>
      </c>
      <c r="AY56" s="92">
        <f t="shared" si="13"/>
        <v>0</v>
      </c>
      <c r="AZ56" s="92">
        <f t="shared" si="13"/>
        <v>0</v>
      </c>
      <c r="BA56" s="95">
        <f t="shared" si="14"/>
        <v>0</v>
      </c>
      <c r="BB56" s="86"/>
      <c r="BC56"/>
    </row>
    <row r="57" spans="1:55" ht="15" customHeight="1" x14ac:dyDescent="0.25">
      <c r="A57" s="71" t="s">
        <v>54</v>
      </c>
      <c r="B57" s="123" t="s">
        <v>145</v>
      </c>
      <c r="C57" s="112">
        <v>16</v>
      </c>
      <c r="D57" s="121">
        <f>AT57*AU57*AW57</f>
        <v>0</v>
      </c>
      <c r="E57" s="17">
        <f t="shared" ref="E57:E61" si="22">ROUND(AT57*AV57*AX57,4)</f>
        <v>0</v>
      </c>
      <c r="F57" s="19"/>
      <c r="G57" s="19"/>
      <c r="H57" s="18"/>
      <c r="I57" s="18"/>
      <c r="J57" s="7" t="s">
        <v>55</v>
      </c>
      <c r="K57" s="20"/>
      <c r="L57" s="20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7">
        <f t="shared" si="2"/>
        <v>0</v>
      </c>
      <c r="AR57" s="16">
        <f t="shared" si="12"/>
        <v>0</v>
      </c>
      <c r="AS57" s="16"/>
      <c r="AT57" s="16"/>
      <c r="AU57" s="82">
        <f t="shared" si="3"/>
        <v>0</v>
      </c>
      <c r="AV57" s="82">
        <f t="shared" si="4"/>
        <v>0</v>
      </c>
      <c r="AW57" s="82">
        <f t="shared" si="5"/>
        <v>0</v>
      </c>
      <c r="AX57" s="82">
        <f t="shared" si="6"/>
        <v>0</v>
      </c>
      <c r="AY57" s="92">
        <f t="shared" si="13"/>
        <v>0</v>
      </c>
      <c r="AZ57" s="92">
        <f t="shared" si="13"/>
        <v>0</v>
      </c>
      <c r="BA57" s="95">
        <f t="shared" si="14"/>
        <v>0</v>
      </c>
      <c r="BB57" s="75"/>
      <c r="BC57"/>
    </row>
    <row r="58" spans="1:55" ht="15" customHeight="1" x14ac:dyDescent="0.25">
      <c r="A58" s="73" t="s">
        <v>124</v>
      </c>
      <c r="B58" s="123" t="s">
        <v>146</v>
      </c>
      <c r="C58" s="113">
        <v>26</v>
      </c>
      <c r="D58" s="121">
        <f>AT58*AU58*AW58</f>
        <v>0</v>
      </c>
      <c r="E58" s="17">
        <f t="shared" si="22"/>
        <v>0</v>
      </c>
      <c r="F58" s="19"/>
      <c r="G58" s="19"/>
      <c r="H58" s="18"/>
      <c r="I58" s="18"/>
      <c r="J58" s="7" t="s">
        <v>55</v>
      </c>
      <c r="K58" s="20"/>
      <c r="L58" s="20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7">
        <f t="shared" si="2"/>
        <v>0</v>
      </c>
      <c r="AR58" s="16">
        <f t="shared" si="12"/>
        <v>0</v>
      </c>
      <c r="AS58" s="16"/>
      <c r="AT58" s="16"/>
      <c r="AU58" s="82">
        <f t="shared" si="3"/>
        <v>0</v>
      </c>
      <c r="AV58" s="82">
        <f t="shared" si="4"/>
        <v>0</v>
      </c>
      <c r="AW58" s="82">
        <f t="shared" si="5"/>
        <v>0</v>
      </c>
      <c r="AX58" s="82">
        <f t="shared" si="6"/>
        <v>0</v>
      </c>
      <c r="AY58" s="92">
        <f t="shared" si="13"/>
        <v>0</v>
      </c>
      <c r="AZ58" s="92">
        <f t="shared" si="13"/>
        <v>0</v>
      </c>
      <c r="BA58" s="95">
        <f t="shared" si="14"/>
        <v>0</v>
      </c>
      <c r="BB58" s="75"/>
      <c r="BC58"/>
    </row>
    <row r="59" spans="1:55" ht="15" customHeight="1" x14ac:dyDescent="0.25">
      <c r="A59" s="73" t="s">
        <v>125</v>
      </c>
      <c r="B59" s="123" t="s">
        <v>147</v>
      </c>
      <c r="C59" s="112">
        <v>30</v>
      </c>
      <c r="D59" s="121">
        <f t="shared" ref="D59:D61" si="23">AT59*AU59*AW59</f>
        <v>0</v>
      </c>
      <c r="E59" s="17">
        <f t="shared" si="22"/>
        <v>0</v>
      </c>
      <c r="F59" s="19"/>
      <c r="G59" s="19"/>
      <c r="H59" s="18"/>
      <c r="I59" s="18"/>
      <c r="J59" s="7" t="s">
        <v>55</v>
      </c>
      <c r="K59" s="20"/>
      <c r="L59" s="20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7">
        <f t="shared" si="2"/>
        <v>0</v>
      </c>
      <c r="AR59" s="16">
        <f t="shared" si="12"/>
        <v>0</v>
      </c>
      <c r="AS59" s="16"/>
      <c r="AT59" s="16"/>
      <c r="AU59" s="82">
        <f t="shared" si="3"/>
        <v>0</v>
      </c>
      <c r="AV59" s="82">
        <f t="shared" si="4"/>
        <v>0</v>
      </c>
      <c r="AW59" s="82">
        <f t="shared" si="5"/>
        <v>0</v>
      </c>
      <c r="AX59" s="82">
        <f t="shared" si="6"/>
        <v>0</v>
      </c>
      <c r="AY59" s="92">
        <f t="shared" si="13"/>
        <v>0</v>
      </c>
      <c r="AZ59" s="92">
        <f t="shared" si="13"/>
        <v>0</v>
      </c>
      <c r="BA59" s="95">
        <f t="shared" si="14"/>
        <v>0</v>
      </c>
      <c r="BB59" s="75"/>
      <c r="BC59"/>
    </row>
    <row r="60" spans="1:55" ht="15" customHeight="1" x14ac:dyDescent="0.25">
      <c r="A60" s="73" t="s">
        <v>151</v>
      </c>
      <c r="B60" s="148" t="s">
        <v>150</v>
      </c>
      <c r="C60" s="112">
        <v>32</v>
      </c>
      <c r="D60" s="121">
        <f t="shared" si="23"/>
        <v>0</v>
      </c>
      <c r="E60" s="17">
        <f t="shared" si="22"/>
        <v>0</v>
      </c>
      <c r="F60" s="19"/>
      <c r="G60" s="19"/>
      <c r="H60" s="18"/>
      <c r="I60" s="18"/>
      <c r="J60" s="7" t="s">
        <v>55</v>
      </c>
      <c r="K60" s="20"/>
      <c r="L60" s="20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7">
        <f t="shared" si="2"/>
        <v>0</v>
      </c>
      <c r="AR60" s="16">
        <f t="shared" si="12"/>
        <v>0</v>
      </c>
      <c r="AS60" s="16"/>
      <c r="AT60" s="16"/>
      <c r="AU60" s="82">
        <f t="shared" si="3"/>
        <v>0</v>
      </c>
      <c r="AV60" s="82">
        <f t="shared" si="4"/>
        <v>0</v>
      </c>
      <c r="AW60" s="82">
        <f t="shared" si="5"/>
        <v>0</v>
      </c>
      <c r="AX60" s="82">
        <f t="shared" si="6"/>
        <v>0</v>
      </c>
      <c r="AY60" s="92">
        <f t="shared" si="13"/>
        <v>0</v>
      </c>
      <c r="AZ60" s="92">
        <f t="shared" si="13"/>
        <v>0</v>
      </c>
      <c r="BA60" s="95">
        <f t="shared" si="14"/>
        <v>0</v>
      </c>
      <c r="BB60" s="75"/>
      <c r="BC60"/>
    </row>
    <row r="61" spans="1:55" ht="15" customHeight="1" thickBot="1" x14ac:dyDescent="0.3">
      <c r="A61" s="143" t="s">
        <v>152</v>
      </c>
      <c r="B61" s="125" t="s">
        <v>154</v>
      </c>
      <c r="C61" s="144">
        <v>24</v>
      </c>
      <c r="D61" s="122">
        <f t="shared" si="23"/>
        <v>0</v>
      </c>
      <c r="E61" s="149">
        <f t="shared" si="22"/>
        <v>0</v>
      </c>
      <c r="F61" s="64"/>
      <c r="G61" s="64"/>
      <c r="H61" s="65"/>
      <c r="I61" s="65"/>
      <c r="J61" s="66" t="s">
        <v>55</v>
      </c>
      <c r="K61" s="67"/>
      <c r="L61" s="67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149">
        <f t="shared" si="2"/>
        <v>0</v>
      </c>
      <c r="AR61" s="63">
        <f t="shared" si="12"/>
        <v>0</v>
      </c>
      <c r="AS61" s="63"/>
      <c r="AT61" s="63"/>
      <c r="AU61" s="150">
        <f t="shared" si="3"/>
        <v>0</v>
      </c>
      <c r="AV61" s="150">
        <f t="shared" si="4"/>
        <v>0</v>
      </c>
      <c r="AW61" s="150">
        <f t="shared" si="5"/>
        <v>0</v>
      </c>
      <c r="AX61" s="150">
        <f t="shared" si="6"/>
        <v>0</v>
      </c>
      <c r="AY61" s="65">
        <f t="shared" si="13"/>
        <v>0</v>
      </c>
      <c r="AZ61" s="65">
        <f t="shared" si="13"/>
        <v>0</v>
      </c>
      <c r="BA61" s="151">
        <f t="shared" si="14"/>
        <v>0</v>
      </c>
      <c r="BB61" s="76"/>
      <c r="BC61"/>
    </row>
    <row r="62" spans="1:55" x14ac:dyDescent="0.25">
      <c r="C62" s="2"/>
      <c r="D62" s="3"/>
      <c r="F62" s="2"/>
      <c r="G62" s="2"/>
      <c r="H62" s="1"/>
      <c r="I62" s="1"/>
      <c r="M62" s="5"/>
      <c r="O62" s="4"/>
      <c r="P62" s="5"/>
      <c r="Q62" s="5"/>
      <c r="U62" s="2"/>
      <c r="V62" s="2"/>
      <c r="W62" s="2"/>
      <c r="X62" s="2"/>
      <c r="Y62" s="1"/>
      <c r="Z62" s="1"/>
      <c r="AA62" s="1"/>
      <c r="AB62" s="1"/>
    </row>
    <row r="63" spans="1:55" x14ac:dyDescent="0.25">
      <c r="A63" s="10"/>
      <c r="B63" s="10"/>
      <c r="C63" s="10"/>
      <c r="D63" s="3"/>
      <c r="F63" s="2"/>
      <c r="G63" s="2"/>
      <c r="H63" s="1"/>
      <c r="I63" s="1"/>
      <c r="M63" s="5"/>
      <c r="O63" s="4"/>
      <c r="P63" s="5"/>
      <c r="Q63" s="5"/>
      <c r="U63" s="2"/>
      <c r="V63" s="2"/>
      <c r="W63" s="2"/>
      <c r="X63" s="2"/>
      <c r="Y63" s="1"/>
      <c r="Z63" s="1"/>
      <c r="AA63" s="1"/>
      <c r="AB63" s="1"/>
    </row>
    <row r="64" spans="1:55" x14ac:dyDescent="0.2">
      <c r="A64" s="6" t="s">
        <v>126</v>
      </c>
      <c r="B64" s="6"/>
      <c r="C64" s="6"/>
      <c r="D64" s="6"/>
      <c r="F64" s="2"/>
      <c r="G64" s="2"/>
      <c r="H64" s="1"/>
      <c r="I64" s="1"/>
      <c r="M64" s="5"/>
      <c r="O64" s="4"/>
      <c r="P64" s="5"/>
      <c r="Q64" s="5"/>
      <c r="U64" s="2"/>
      <c r="V64" s="2"/>
      <c r="W64" s="2"/>
      <c r="X64" s="2"/>
      <c r="Y64" s="1"/>
      <c r="Z64" s="1"/>
      <c r="AA64" s="1"/>
      <c r="AB64" s="1"/>
    </row>
    <row r="65" spans="1:28" x14ac:dyDescent="0.2">
      <c r="A65" s="6"/>
      <c r="B65" s="6"/>
      <c r="C65" s="6"/>
      <c r="D65" s="6"/>
      <c r="F65" s="2"/>
      <c r="G65" s="2"/>
      <c r="H65" s="1"/>
      <c r="I65" s="1"/>
      <c r="M65" s="5"/>
      <c r="O65" s="4"/>
      <c r="P65" s="5"/>
      <c r="Q65" s="5"/>
      <c r="U65" s="2"/>
      <c r="V65" s="2"/>
      <c r="W65" s="2"/>
      <c r="X65" s="2"/>
      <c r="Y65" s="1"/>
      <c r="Z65" s="1"/>
      <c r="AA65" s="1"/>
      <c r="AB65" s="1"/>
    </row>
    <row r="66" spans="1:28" x14ac:dyDescent="0.2">
      <c r="A66" s="6" t="s">
        <v>128</v>
      </c>
      <c r="B66" s="6"/>
      <c r="C66" s="6"/>
      <c r="D66" s="6"/>
      <c r="F66" s="2"/>
      <c r="G66" s="2"/>
      <c r="H66" s="1"/>
      <c r="I66" s="1"/>
      <c r="M66" s="5"/>
      <c r="O66" s="4"/>
      <c r="P66" s="5"/>
      <c r="Q66" s="5"/>
      <c r="U66" s="2"/>
      <c r="V66" s="2"/>
      <c r="W66" s="2"/>
      <c r="X66" s="2"/>
      <c r="Y66" s="1"/>
      <c r="Z66" s="1"/>
      <c r="AA66" s="1"/>
      <c r="AB66" s="1"/>
    </row>
    <row r="67" spans="1:28" x14ac:dyDescent="0.2">
      <c r="A67" s="6"/>
      <c r="B67" s="6"/>
      <c r="C67" s="6"/>
      <c r="D67" s="6"/>
      <c r="F67" s="2"/>
      <c r="G67" s="2"/>
      <c r="H67" s="1"/>
      <c r="I67" s="1"/>
      <c r="M67" s="5"/>
      <c r="O67" s="4"/>
      <c r="P67" s="5"/>
      <c r="Q67" s="5"/>
      <c r="U67" s="2"/>
      <c r="V67" s="2"/>
      <c r="W67" s="2"/>
      <c r="X67" s="2"/>
      <c r="Y67" s="1"/>
      <c r="Z67" s="1"/>
      <c r="AA67" s="1"/>
      <c r="AB67" s="1"/>
    </row>
    <row r="68" spans="1:28" x14ac:dyDescent="0.2">
      <c r="A68" s="6" t="s">
        <v>127</v>
      </c>
      <c r="B68" s="6"/>
      <c r="C68" s="6"/>
      <c r="D68" s="6"/>
      <c r="F68" s="2"/>
      <c r="G68" s="2"/>
      <c r="H68" s="1"/>
      <c r="I68" s="1"/>
      <c r="M68" s="5"/>
      <c r="O68" s="4"/>
      <c r="P68" s="5"/>
      <c r="Q68" s="5"/>
      <c r="U68" s="2"/>
      <c r="V68" s="2"/>
      <c r="W68" s="2"/>
      <c r="X68" s="2"/>
      <c r="Y68" s="1"/>
      <c r="Z68" s="1"/>
      <c r="AA68" s="1"/>
      <c r="AB68" s="1"/>
    </row>
    <row r="69" spans="1:28" x14ac:dyDescent="0.25">
      <c r="A69" s="10"/>
      <c r="B69" s="10"/>
    </row>
    <row r="72" spans="1:28" x14ac:dyDescent="0.25">
      <c r="A72" s="10"/>
      <c r="B72" s="10"/>
    </row>
    <row r="73" spans="1:28" x14ac:dyDescent="0.25">
      <c r="A73" s="10"/>
      <c r="B73" s="10"/>
    </row>
    <row r="74" spans="1:28" x14ac:dyDescent="0.25">
      <c r="A74" s="10"/>
      <c r="B74" s="10"/>
    </row>
    <row r="75" spans="1:28" x14ac:dyDescent="0.25">
      <c r="A75" s="10"/>
      <c r="B75" s="10"/>
    </row>
    <row r="76" spans="1:28" x14ac:dyDescent="0.25">
      <c r="A76" s="10"/>
      <c r="B76" s="10"/>
    </row>
    <row r="77" spans="1:28" x14ac:dyDescent="0.25">
      <c r="A77" s="10"/>
      <c r="B77" s="10"/>
    </row>
    <row r="78" spans="1:28" x14ac:dyDescent="0.25">
      <c r="A78" s="10"/>
      <c r="B78" s="10"/>
    </row>
    <row r="79" spans="1:28" x14ac:dyDescent="0.25">
      <c r="A79" s="10"/>
      <c r="B79" s="10"/>
    </row>
  </sheetData>
  <mergeCells count="32">
    <mergeCell ref="A7:BB7"/>
    <mergeCell ref="A9:BB9"/>
    <mergeCell ref="C12:C15"/>
    <mergeCell ref="D12:E14"/>
    <mergeCell ref="H12:I14"/>
    <mergeCell ref="J12:J15"/>
    <mergeCell ref="K12:L14"/>
    <mergeCell ref="M12:AP12"/>
    <mergeCell ref="AQ12:AR14"/>
    <mergeCell ref="AS12:AT14"/>
    <mergeCell ref="AU12:AV14"/>
    <mergeCell ref="AW12:AX14"/>
    <mergeCell ref="AY12:AZ14"/>
    <mergeCell ref="BA12:BA15"/>
    <mergeCell ref="BB12:BB15"/>
    <mergeCell ref="M13:AB13"/>
    <mergeCell ref="AC13:AP13"/>
    <mergeCell ref="AP14:AP15"/>
    <mergeCell ref="A12:A15"/>
    <mergeCell ref="B12:B15"/>
    <mergeCell ref="F12:G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J14"/>
    <mergeCell ref="AK14:AN14"/>
    <mergeCell ref="AO14:AO1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9"/>
  <sheetViews>
    <sheetView showZeros="0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9" sqref="A9:BB9"/>
    </sheetView>
  </sheetViews>
  <sheetFormatPr defaultRowHeight="14.25" x14ac:dyDescent="0.25"/>
  <cols>
    <col min="1" max="1" width="30.7109375" style="2" customWidth="1"/>
    <col min="2" max="2" width="10.7109375" style="2" customWidth="1"/>
    <col min="3" max="3" width="9.7109375" style="3" customWidth="1"/>
    <col min="4" max="5" width="9.7109375" style="2" customWidth="1"/>
    <col min="6" max="7" width="9.7109375" style="1" customWidth="1"/>
    <col min="8" max="9" width="9.7109375" style="5" customWidth="1"/>
    <col min="10" max="10" width="8.7109375" style="5" customWidth="1"/>
    <col min="11" max="12" width="14.7109375" style="5" customWidth="1"/>
    <col min="13" max="13" width="9.7109375" style="4" customWidth="1"/>
    <col min="14" max="15" width="9.7109375" style="5" customWidth="1"/>
    <col min="16" max="20" width="9.7109375" style="2" customWidth="1"/>
    <col min="21" max="24" width="9.7109375" style="1" customWidth="1"/>
    <col min="25" max="54" width="9.7109375" style="2" customWidth="1"/>
    <col min="55" max="16384" width="9.140625" style="2"/>
  </cols>
  <sheetData>
    <row r="1" spans="1:55" ht="12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/>
      <c r="AJ1"/>
      <c r="AK1"/>
      <c r="AL1"/>
      <c r="AM1"/>
    </row>
    <row r="2" spans="1:55" ht="12.75" customHeight="1" x14ac:dyDescent="0.25">
      <c r="A2" s="11" t="s">
        <v>134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X2" s="11" t="s">
        <v>56</v>
      </c>
      <c r="AY2"/>
      <c r="AZ2"/>
      <c r="BA2"/>
      <c r="BB2"/>
      <c r="BC2"/>
    </row>
    <row r="3" spans="1:55" s="6" customFormat="1" ht="12.75" customHeight="1" x14ac:dyDescent="0.25">
      <c r="A3" s="11" t="s">
        <v>57</v>
      </c>
      <c r="AX3" s="11" t="s">
        <v>65</v>
      </c>
      <c r="AY3"/>
      <c r="AZ3"/>
      <c r="BA3"/>
      <c r="BB3"/>
      <c r="BC3"/>
    </row>
    <row r="4" spans="1:55" s="6" customFormat="1" ht="12.75" customHeight="1" x14ac:dyDescent="0.25">
      <c r="AX4" s="24" t="s">
        <v>123</v>
      </c>
      <c r="AY4"/>
      <c r="AZ4"/>
      <c r="BA4"/>
      <c r="BB4"/>
      <c r="BC4"/>
    </row>
    <row r="5" spans="1:55" s="6" customFormat="1" ht="12.75" customHeight="1" x14ac:dyDescent="0.25">
      <c r="AY5"/>
      <c r="AZ5"/>
      <c r="BA5"/>
      <c r="BB5"/>
      <c r="BC5"/>
    </row>
    <row r="6" spans="1:55" s="6" customFormat="1" ht="15" x14ac:dyDescent="0.25">
      <c r="AX6" s="25" t="s">
        <v>85</v>
      </c>
      <c r="AY6"/>
      <c r="AZ6"/>
      <c r="BA6"/>
      <c r="BB6"/>
      <c r="BC6"/>
    </row>
    <row r="7" spans="1:55" s="6" customFormat="1" ht="15.75" customHeight="1" x14ac:dyDescent="0.2">
      <c r="A7" s="184" t="s">
        <v>58</v>
      </c>
      <c r="B7" s="184"/>
      <c r="C7" s="184"/>
      <c r="D7" s="184"/>
      <c r="E7" s="184"/>
      <c r="F7" s="184"/>
      <c r="G7" s="184"/>
      <c r="H7" s="184"/>
      <c r="I7" s="184"/>
      <c r="J7" s="184"/>
      <c r="K7" s="184"/>
      <c r="L7" s="184"/>
      <c r="M7" s="184"/>
      <c r="N7" s="184"/>
      <c r="O7" s="184"/>
      <c r="P7" s="184"/>
      <c r="Q7" s="184"/>
      <c r="R7" s="184"/>
      <c r="S7" s="184"/>
      <c r="T7" s="184"/>
      <c r="U7" s="184"/>
      <c r="V7" s="184"/>
      <c r="W7" s="184"/>
      <c r="X7" s="184"/>
      <c r="Y7" s="184"/>
      <c r="Z7" s="184"/>
      <c r="AA7" s="184"/>
      <c r="AB7" s="184"/>
      <c r="AC7" s="184"/>
      <c r="AD7" s="184"/>
      <c r="AE7" s="184"/>
      <c r="AF7" s="184"/>
      <c r="AG7" s="184"/>
      <c r="AH7" s="184"/>
      <c r="AI7" s="184"/>
      <c r="AJ7" s="184"/>
      <c r="AK7" s="184"/>
      <c r="AL7" s="184"/>
      <c r="AM7" s="184"/>
      <c r="AN7" s="184"/>
      <c r="AO7" s="184"/>
      <c r="AP7" s="184"/>
      <c r="AQ7" s="184"/>
      <c r="AR7" s="184"/>
      <c r="AS7" s="184"/>
      <c r="AT7" s="184"/>
      <c r="AU7" s="184"/>
      <c r="AV7" s="184"/>
      <c r="AW7" s="184"/>
      <c r="AX7" s="184"/>
      <c r="AY7" s="184"/>
      <c r="AZ7" s="184"/>
      <c r="BA7" s="184"/>
      <c r="BB7" s="184"/>
      <c r="BC7" s="109"/>
    </row>
    <row r="8" spans="1:55" s="6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55" ht="15.75" x14ac:dyDescent="0.25">
      <c r="A9" s="185"/>
      <c r="B9" s="185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  <c r="Z9" s="185"/>
      <c r="AA9" s="185"/>
      <c r="AB9" s="185"/>
      <c r="AC9" s="185"/>
      <c r="AD9" s="185"/>
      <c r="AE9" s="185"/>
      <c r="AF9" s="185"/>
      <c r="AG9" s="185"/>
      <c r="AH9" s="185"/>
      <c r="AI9" s="185"/>
      <c r="AJ9" s="185"/>
      <c r="AK9" s="185"/>
      <c r="AL9" s="185"/>
      <c r="AM9" s="185"/>
      <c r="AN9" s="185"/>
      <c r="AO9" s="185"/>
      <c r="AP9" s="185"/>
      <c r="AQ9" s="185"/>
      <c r="AR9" s="185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08"/>
    </row>
    <row r="10" spans="1:55" s="6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55" ht="12.7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3"/>
      <c r="L11" s="2"/>
      <c r="M11" s="2"/>
      <c r="N11" s="2"/>
      <c r="O11" s="2"/>
      <c r="U11" s="2"/>
      <c r="V11" s="2"/>
      <c r="W11" s="2"/>
      <c r="X11" s="2"/>
    </row>
    <row r="12" spans="1:55" ht="14.25" customHeight="1" x14ac:dyDescent="0.25">
      <c r="A12" s="160" t="s">
        <v>2</v>
      </c>
      <c r="B12" s="163" t="s">
        <v>129</v>
      </c>
      <c r="C12" s="163" t="s">
        <v>3</v>
      </c>
      <c r="D12" s="166" t="s">
        <v>60</v>
      </c>
      <c r="E12" s="155"/>
      <c r="F12" s="154" t="s">
        <v>131</v>
      </c>
      <c r="G12" s="155"/>
      <c r="H12" s="154" t="s">
        <v>1</v>
      </c>
      <c r="I12" s="155"/>
      <c r="J12" s="186" t="s">
        <v>135</v>
      </c>
      <c r="K12" s="154" t="s">
        <v>4</v>
      </c>
      <c r="L12" s="155"/>
      <c r="M12" s="175" t="s">
        <v>62</v>
      </c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  <c r="AA12" s="176"/>
      <c r="AB12" s="176"/>
      <c r="AC12" s="176"/>
      <c r="AD12" s="176"/>
      <c r="AE12" s="176"/>
      <c r="AF12" s="176"/>
      <c r="AG12" s="176"/>
      <c r="AH12" s="176"/>
      <c r="AI12" s="176"/>
      <c r="AJ12" s="176"/>
      <c r="AK12" s="176"/>
      <c r="AL12" s="176"/>
      <c r="AM12" s="176"/>
      <c r="AN12" s="176"/>
      <c r="AO12" s="176"/>
      <c r="AP12" s="177"/>
      <c r="AQ12" s="154" t="s">
        <v>69</v>
      </c>
      <c r="AR12" s="155"/>
      <c r="AS12" s="154" t="s">
        <v>59</v>
      </c>
      <c r="AT12" s="155"/>
      <c r="AU12" s="154" t="s">
        <v>70</v>
      </c>
      <c r="AV12" s="155"/>
      <c r="AW12" s="154" t="s">
        <v>71</v>
      </c>
      <c r="AX12" s="155"/>
      <c r="AY12" s="154" t="s">
        <v>72</v>
      </c>
      <c r="AZ12" s="155"/>
      <c r="BA12" s="182" t="s">
        <v>73</v>
      </c>
      <c r="BB12" s="179" t="s">
        <v>133</v>
      </c>
      <c r="BC12"/>
    </row>
    <row r="13" spans="1:55" ht="14.25" customHeight="1" x14ac:dyDescent="0.25">
      <c r="A13" s="161"/>
      <c r="B13" s="164"/>
      <c r="C13" s="164"/>
      <c r="D13" s="167"/>
      <c r="E13" s="157"/>
      <c r="F13" s="156"/>
      <c r="G13" s="157"/>
      <c r="H13" s="156"/>
      <c r="I13" s="157"/>
      <c r="J13" s="187"/>
      <c r="K13" s="156"/>
      <c r="L13" s="157"/>
      <c r="M13" s="152" t="s">
        <v>5</v>
      </c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  <c r="AA13" s="178"/>
      <c r="AB13" s="153"/>
      <c r="AC13" s="152" t="s">
        <v>6</v>
      </c>
      <c r="AD13" s="178"/>
      <c r="AE13" s="178"/>
      <c r="AF13" s="178"/>
      <c r="AG13" s="178"/>
      <c r="AH13" s="178"/>
      <c r="AI13" s="178"/>
      <c r="AJ13" s="178"/>
      <c r="AK13" s="178"/>
      <c r="AL13" s="178"/>
      <c r="AM13" s="178"/>
      <c r="AN13" s="178"/>
      <c r="AO13" s="178"/>
      <c r="AP13" s="153"/>
      <c r="AQ13" s="156"/>
      <c r="AR13" s="157"/>
      <c r="AS13" s="156"/>
      <c r="AT13" s="157"/>
      <c r="AU13" s="156"/>
      <c r="AV13" s="157"/>
      <c r="AW13" s="156"/>
      <c r="AX13" s="157"/>
      <c r="AY13" s="156"/>
      <c r="AZ13" s="157"/>
      <c r="BA13" s="183"/>
      <c r="BB13" s="180"/>
      <c r="BC13"/>
    </row>
    <row r="14" spans="1:55" ht="63.75" customHeight="1" x14ac:dyDescent="0.25">
      <c r="A14" s="161"/>
      <c r="B14" s="164"/>
      <c r="C14" s="164"/>
      <c r="D14" s="168"/>
      <c r="E14" s="159"/>
      <c r="F14" s="158"/>
      <c r="G14" s="159"/>
      <c r="H14" s="158"/>
      <c r="I14" s="159"/>
      <c r="J14" s="187"/>
      <c r="K14" s="158"/>
      <c r="L14" s="159"/>
      <c r="M14" s="152" t="s">
        <v>10</v>
      </c>
      <c r="N14" s="153"/>
      <c r="O14" s="152" t="s">
        <v>74</v>
      </c>
      <c r="P14" s="153"/>
      <c r="Q14" s="152" t="s">
        <v>75</v>
      </c>
      <c r="R14" s="153"/>
      <c r="S14" s="152" t="s">
        <v>86</v>
      </c>
      <c r="T14" s="153"/>
      <c r="U14" s="152" t="s">
        <v>136</v>
      </c>
      <c r="V14" s="153"/>
      <c r="W14" s="169" t="s">
        <v>132</v>
      </c>
      <c r="X14" s="170"/>
      <c r="Y14" s="152" t="s">
        <v>84</v>
      </c>
      <c r="Z14" s="153"/>
      <c r="AA14" s="152" t="s">
        <v>76</v>
      </c>
      <c r="AB14" s="153"/>
      <c r="AC14" s="152" t="s">
        <v>7</v>
      </c>
      <c r="AD14" s="178"/>
      <c r="AE14" s="178"/>
      <c r="AF14" s="178"/>
      <c r="AG14" s="178"/>
      <c r="AH14" s="178"/>
      <c r="AI14" s="178"/>
      <c r="AJ14" s="153"/>
      <c r="AK14" s="152" t="s">
        <v>8</v>
      </c>
      <c r="AL14" s="178"/>
      <c r="AM14" s="178"/>
      <c r="AN14" s="153"/>
      <c r="AO14" s="171" t="s">
        <v>77</v>
      </c>
      <c r="AP14" s="173" t="s">
        <v>18</v>
      </c>
      <c r="AQ14" s="158"/>
      <c r="AR14" s="159"/>
      <c r="AS14" s="158"/>
      <c r="AT14" s="159"/>
      <c r="AU14" s="158"/>
      <c r="AV14" s="159"/>
      <c r="AW14" s="158"/>
      <c r="AX14" s="159"/>
      <c r="AY14" s="158"/>
      <c r="AZ14" s="159"/>
      <c r="BA14" s="183"/>
      <c r="BB14" s="180"/>
      <c r="BC14"/>
    </row>
    <row r="15" spans="1:55" ht="38.25" customHeight="1" thickBot="1" x14ac:dyDescent="0.3">
      <c r="A15" s="162"/>
      <c r="B15" s="165"/>
      <c r="C15" s="165"/>
      <c r="D15" s="118" t="s">
        <v>61</v>
      </c>
      <c r="E15" s="77" t="s">
        <v>9</v>
      </c>
      <c r="F15" s="77" t="s">
        <v>11</v>
      </c>
      <c r="G15" s="77" t="s">
        <v>130</v>
      </c>
      <c r="H15" s="77" t="s">
        <v>0</v>
      </c>
      <c r="I15" s="77" t="s">
        <v>78</v>
      </c>
      <c r="J15" s="188"/>
      <c r="K15" s="77" t="s">
        <v>61</v>
      </c>
      <c r="L15" s="77" t="s">
        <v>9</v>
      </c>
      <c r="M15" s="77" t="s">
        <v>61</v>
      </c>
      <c r="N15" s="77" t="s">
        <v>9</v>
      </c>
      <c r="O15" s="77" t="s">
        <v>61</v>
      </c>
      <c r="P15" s="77" t="s">
        <v>9</v>
      </c>
      <c r="Q15" s="77" t="s">
        <v>61</v>
      </c>
      <c r="R15" s="77" t="s">
        <v>9</v>
      </c>
      <c r="S15" s="77" t="s">
        <v>61</v>
      </c>
      <c r="T15" s="77" t="s">
        <v>9</v>
      </c>
      <c r="U15" s="77" t="s">
        <v>61</v>
      </c>
      <c r="V15" s="77" t="s">
        <v>9</v>
      </c>
      <c r="W15" s="77" t="s">
        <v>61</v>
      </c>
      <c r="X15" s="77" t="s">
        <v>9</v>
      </c>
      <c r="Y15" s="77" t="s">
        <v>61</v>
      </c>
      <c r="Z15" s="77" t="s">
        <v>9</v>
      </c>
      <c r="AA15" s="77" t="s">
        <v>61</v>
      </c>
      <c r="AB15" s="77" t="s">
        <v>9</v>
      </c>
      <c r="AC15" s="77" t="s">
        <v>11</v>
      </c>
      <c r="AD15" s="77" t="s">
        <v>12</v>
      </c>
      <c r="AE15" s="77" t="s">
        <v>13</v>
      </c>
      <c r="AF15" s="77" t="s">
        <v>14</v>
      </c>
      <c r="AG15" s="77" t="s">
        <v>15</v>
      </c>
      <c r="AH15" s="77" t="s">
        <v>16</v>
      </c>
      <c r="AI15" s="107" t="s">
        <v>18</v>
      </c>
      <c r="AJ15" s="107" t="s">
        <v>17</v>
      </c>
      <c r="AK15" s="77" t="s">
        <v>19</v>
      </c>
      <c r="AL15" s="77" t="s">
        <v>20</v>
      </c>
      <c r="AM15" s="77" t="s">
        <v>21</v>
      </c>
      <c r="AN15" s="77" t="s">
        <v>22</v>
      </c>
      <c r="AO15" s="172"/>
      <c r="AP15" s="174"/>
      <c r="AQ15" s="77" t="s">
        <v>61</v>
      </c>
      <c r="AR15" s="77" t="s">
        <v>9</v>
      </c>
      <c r="AS15" s="77" t="s">
        <v>61</v>
      </c>
      <c r="AT15" s="77" t="s">
        <v>9</v>
      </c>
      <c r="AU15" s="77" t="s">
        <v>61</v>
      </c>
      <c r="AV15" s="77" t="s">
        <v>9</v>
      </c>
      <c r="AW15" s="77" t="s">
        <v>61</v>
      </c>
      <c r="AX15" s="77" t="s">
        <v>9</v>
      </c>
      <c r="AY15" s="77" t="s">
        <v>61</v>
      </c>
      <c r="AZ15" s="77" t="s">
        <v>9</v>
      </c>
      <c r="BA15" s="172"/>
      <c r="BB15" s="181"/>
      <c r="BC15"/>
    </row>
    <row r="16" spans="1:55" ht="15" customHeight="1" thickBot="1" x14ac:dyDescent="0.3">
      <c r="A16" s="106">
        <v>1</v>
      </c>
      <c r="B16" s="106">
        <v>2</v>
      </c>
      <c r="C16" s="106">
        <v>3</v>
      </c>
      <c r="D16" s="105">
        <v>4</v>
      </c>
      <c r="E16" s="78">
        <v>5</v>
      </c>
      <c r="F16" s="78">
        <v>6</v>
      </c>
      <c r="G16" s="78">
        <v>7</v>
      </c>
      <c r="H16" s="78">
        <v>8</v>
      </c>
      <c r="I16" s="78">
        <v>9</v>
      </c>
      <c r="J16" s="78">
        <v>10</v>
      </c>
      <c r="K16" s="78">
        <v>11</v>
      </c>
      <c r="L16" s="78">
        <v>12</v>
      </c>
      <c r="M16" s="78">
        <v>13</v>
      </c>
      <c r="N16" s="78">
        <v>14</v>
      </c>
      <c r="O16" s="78">
        <v>15</v>
      </c>
      <c r="P16" s="78">
        <v>16</v>
      </c>
      <c r="Q16" s="78">
        <v>17</v>
      </c>
      <c r="R16" s="78">
        <v>18</v>
      </c>
      <c r="S16" s="78">
        <v>19</v>
      </c>
      <c r="T16" s="78">
        <v>20</v>
      </c>
      <c r="U16" s="78">
        <v>21</v>
      </c>
      <c r="V16" s="78">
        <v>22</v>
      </c>
      <c r="W16" s="78">
        <v>23</v>
      </c>
      <c r="X16" s="78">
        <v>24</v>
      </c>
      <c r="Y16" s="78">
        <v>25</v>
      </c>
      <c r="Z16" s="78">
        <v>26</v>
      </c>
      <c r="AA16" s="78">
        <v>27</v>
      </c>
      <c r="AB16" s="78">
        <v>28</v>
      </c>
      <c r="AC16" s="78">
        <v>29</v>
      </c>
      <c r="AD16" s="78">
        <v>30</v>
      </c>
      <c r="AE16" s="78">
        <v>31</v>
      </c>
      <c r="AF16" s="78">
        <v>32</v>
      </c>
      <c r="AG16" s="78">
        <v>33</v>
      </c>
      <c r="AH16" s="78">
        <v>34</v>
      </c>
      <c r="AI16" s="78">
        <v>35</v>
      </c>
      <c r="AJ16" s="78">
        <v>36</v>
      </c>
      <c r="AK16" s="78">
        <v>37</v>
      </c>
      <c r="AL16" s="78">
        <v>38</v>
      </c>
      <c r="AM16" s="78">
        <v>39</v>
      </c>
      <c r="AN16" s="78">
        <v>40</v>
      </c>
      <c r="AO16" s="78">
        <v>41</v>
      </c>
      <c r="AP16" s="78">
        <v>42</v>
      </c>
      <c r="AQ16" s="78">
        <v>43</v>
      </c>
      <c r="AR16" s="78">
        <v>44</v>
      </c>
      <c r="AS16" s="78">
        <v>45</v>
      </c>
      <c r="AT16" s="78">
        <v>46</v>
      </c>
      <c r="AU16" s="78">
        <v>47</v>
      </c>
      <c r="AV16" s="78">
        <v>48</v>
      </c>
      <c r="AW16" s="78">
        <v>49</v>
      </c>
      <c r="AX16" s="78">
        <v>50</v>
      </c>
      <c r="AY16" s="78">
        <v>51</v>
      </c>
      <c r="AZ16" s="78">
        <v>52</v>
      </c>
      <c r="BA16" s="78">
        <v>53</v>
      </c>
      <c r="BB16" s="79">
        <v>54</v>
      </c>
      <c r="BC16"/>
    </row>
    <row r="17" spans="1:55" ht="15" customHeight="1" thickBot="1" x14ac:dyDescent="0.3">
      <c r="A17" s="87" t="s">
        <v>79</v>
      </c>
      <c r="B17" s="87"/>
      <c r="C17" s="87"/>
      <c r="D17" s="132">
        <f>AT17*AW17*AU17</f>
        <v>0</v>
      </c>
      <c r="E17" s="129">
        <f>ROUND(AT17*AV17*AX17,4)</f>
        <v>0</v>
      </c>
      <c r="F17" s="129"/>
      <c r="G17" s="129"/>
      <c r="H17" s="131">
        <f>SUM(H18:H23)</f>
        <v>0</v>
      </c>
      <c r="I17" s="131">
        <f>SUM(I18:I23)</f>
        <v>0</v>
      </c>
      <c r="J17" s="88"/>
      <c r="K17" s="130">
        <f>SUM(K18:K23)</f>
        <v>0</v>
      </c>
      <c r="L17" s="130">
        <f>SUM(L18:L23)</f>
        <v>0</v>
      </c>
      <c r="M17" s="129">
        <f>SUM(M18:M23)</f>
        <v>0</v>
      </c>
      <c r="N17" s="129">
        <f t="shared" ref="N17:AO17" si="0">SUM(N18:N23)</f>
        <v>0</v>
      </c>
      <c r="O17" s="129">
        <f t="shared" si="0"/>
        <v>0</v>
      </c>
      <c r="P17" s="129">
        <f t="shared" si="0"/>
        <v>0</v>
      </c>
      <c r="Q17" s="129">
        <f t="shared" si="0"/>
        <v>0</v>
      </c>
      <c r="R17" s="129">
        <f t="shared" si="0"/>
        <v>0</v>
      </c>
      <c r="S17" s="129">
        <f t="shared" si="0"/>
        <v>0</v>
      </c>
      <c r="T17" s="129">
        <f t="shared" si="0"/>
        <v>0</v>
      </c>
      <c r="U17" s="129">
        <f t="shared" si="0"/>
        <v>0</v>
      </c>
      <c r="V17" s="129">
        <f t="shared" si="0"/>
        <v>0</v>
      </c>
      <c r="W17" s="129">
        <f t="shared" si="0"/>
        <v>0</v>
      </c>
      <c r="X17" s="129">
        <f t="shared" si="0"/>
        <v>0</v>
      </c>
      <c r="Y17" s="129">
        <f t="shared" si="0"/>
        <v>0</v>
      </c>
      <c r="Z17" s="129">
        <f t="shared" si="0"/>
        <v>0</v>
      </c>
      <c r="AA17" s="129">
        <f t="shared" si="0"/>
        <v>0</v>
      </c>
      <c r="AB17" s="129">
        <f>SUM(AB18:AB23)</f>
        <v>0</v>
      </c>
      <c r="AC17" s="129">
        <f t="shared" si="0"/>
        <v>0</v>
      </c>
      <c r="AD17" s="129">
        <f t="shared" si="0"/>
        <v>0</v>
      </c>
      <c r="AE17" s="129">
        <f t="shared" si="0"/>
        <v>0</v>
      </c>
      <c r="AF17" s="129">
        <f t="shared" si="0"/>
        <v>0</v>
      </c>
      <c r="AG17" s="129">
        <f t="shared" si="0"/>
        <v>0</v>
      </c>
      <c r="AH17" s="129">
        <f t="shared" si="0"/>
        <v>0</v>
      </c>
      <c r="AI17" s="129">
        <f t="shared" si="0"/>
        <v>0</v>
      </c>
      <c r="AJ17" s="129">
        <f t="shared" si="0"/>
        <v>0</v>
      </c>
      <c r="AK17" s="129">
        <f t="shared" si="0"/>
        <v>0</v>
      </c>
      <c r="AL17" s="129">
        <f t="shared" si="0"/>
        <v>0</v>
      </c>
      <c r="AM17" s="129">
        <f t="shared" si="0"/>
        <v>0</v>
      </c>
      <c r="AN17" s="129">
        <f t="shared" si="0"/>
        <v>0</v>
      </c>
      <c r="AO17" s="129">
        <f t="shared" si="0"/>
        <v>0</v>
      </c>
      <c r="AP17" s="129">
        <f>SUM(AP18:AP23)</f>
        <v>0</v>
      </c>
      <c r="AQ17" s="129">
        <f>M17+O17+S17+U17+W17+AA17+Q17+Y17</f>
        <v>0</v>
      </c>
      <c r="AR17" s="129">
        <f>N17+P17+R17+AC17+AD17+AE17+AF17+AG17+AH17+AI17+AJ17+AK17+AL17+AM17+AN17+AO17+AP17+T17+V17+AB17+X17+Z17</f>
        <v>0</v>
      </c>
      <c r="AS17" s="129">
        <f>SUM(AS18:AS23)</f>
        <v>0</v>
      </c>
      <c r="AT17" s="129">
        <f>SUM(AT18:AT23)</f>
        <v>0</v>
      </c>
      <c r="AU17" s="131">
        <f>IF(AT17-AQ17=0,0,(AT17-M17-O17-Q17)/AT17)</f>
        <v>0</v>
      </c>
      <c r="AV17" s="131">
        <f>IF(AT17=0,0,(AT17-N17-P17-R17-AC17-AD17-AE17-AF17-AG17-AH17-AI17-AJ17-AL17)/AT17)</f>
        <v>0</v>
      </c>
      <c r="AW17" s="131">
        <f>IF(OR(AT17=0,AU17=0),0,((AT17*AU17)-S17-U17-W17-Y17-AA17)/(AT17*AU17))</f>
        <v>0</v>
      </c>
      <c r="AX17" s="131">
        <f>IF(OR(AT17=0,AV17=0),0,((AT17*AV17)-AK17-AM17-AN17-AO17-AP17-T17-V17-X17-Z17-AB17)/(AT17*AV17))</f>
        <v>0</v>
      </c>
      <c r="AY17" s="131">
        <f>IF(K17=0,0,K17/(D17-Y17)/24)</f>
        <v>0</v>
      </c>
      <c r="AZ17" s="131">
        <f t="shared" ref="AY17:AZ22" si="1">IF(L17=0,0,L17/(E17-Z17)/24)</f>
        <v>0</v>
      </c>
      <c r="BA17" s="129">
        <f>ROUND(AT17-E17-AR17,4)</f>
        <v>0</v>
      </c>
      <c r="BB17" s="89"/>
      <c r="BC17"/>
    </row>
    <row r="18" spans="1:55" ht="15" hidden="1" customHeight="1" x14ac:dyDescent="0.25">
      <c r="A18" s="80" t="s">
        <v>23</v>
      </c>
      <c r="B18" s="110">
        <v>22</v>
      </c>
      <c r="C18" s="110">
        <v>22</v>
      </c>
      <c r="D18" s="119">
        <f>AS18*AW18*AU18</f>
        <v>0</v>
      </c>
      <c r="E18" s="17">
        <f>ROUND(AS18*AV18*AX18,4)</f>
        <v>0</v>
      </c>
      <c r="F18" s="81"/>
      <c r="G18" s="81"/>
      <c r="H18" s="82"/>
      <c r="I18" s="82"/>
      <c r="J18" s="83" t="s">
        <v>55</v>
      </c>
      <c r="K18" s="84"/>
      <c r="L18" s="84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>
        <f t="shared" ref="AQ18:AQ61" si="2">M18+O18+S18+U18+W18+AA18+Q18+Y18</f>
        <v>0</v>
      </c>
      <c r="AR18" s="17">
        <f>N18+P18+R18+AC18+AD18+AE18+AF18+AG18+AH18+AI18+AJ18+AK18+AL18+AM18+AN18+AO18+AP18+T18+V18+AB18+X18+Z18</f>
        <v>0</v>
      </c>
      <c r="AS18" s="17">
        <f>AT18</f>
        <v>0</v>
      </c>
      <c r="AT18" s="17"/>
      <c r="AU18" s="18">
        <f t="shared" ref="AU18:AU61" si="3">IF(AT18-AQ18=0,0,(AT18-M18-O18-Q18)/AT18)</f>
        <v>0</v>
      </c>
      <c r="AV18" s="18">
        <f t="shared" ref="AV18:AV61" si="4">IF(AT18=0,0,(AT18-N18-P18-R18-AC18-AD18-AE18-AF18-AG18-AH18-AI18-AJ18-AL18)/AT18)</f>
        <v>0</v>
      </c>
      <c r="AW18" s="18">
        <f t="shared" ref="AW18:AW61" si="5">IF(OR(AT18=0,AU18=0),0,((AT18*AU18)-S18-U18-W18-Y18-AA18)/(AT18*AU18))</f>
        <v>0</v>
      </c>
      <c r="AX18" s="18">
        <f t="shared" ref="AX18:AX61" si="6">IF(OR(AT18=0,AV18=0),0,((AT18*AV18)-AK18-AM18-AN18-AO18-AP18-T18-V18-X18-Z18-AB18)/(AT18*AV18))</f>
        <v>0</v>
      </c>
      <c r="AY18" s="82">
        <f>IF(K18=0,0,K18/(D18-Y18)/24)</f>
        <v>0</v>
      </c>
      <c r="AZ18" s="82">
        <f t="shared" si="1"/>
        <v>0</v>
      </c>
      <c r="BA18" s="85">
        <f>ROUND(AS18-E18-AR18,4)</f>
        <v>0</v>
      </c>
      <c r="BB18" s="86"/>
      <c r="BC18"/>
    </row>
    <row r="19" spans="1:55" ht="15" hidden="1" customHeight="1" x14ac:dyDescent="0.25">
      <c r="A19" s="68" t="s">
        <v>24</v>
      </c>
      <c r="B19" s="111">
        <v>23</v>
      </c>
      <c r="C19" s="111">
        <v>23</v>
      </c>
      <c r="D19" s="119">
        <f t="shared" ref="D19:D23" si="7">AS19*AW19*AU19</f>
        <v>0</v>
      </c>
      <c r="E19" s="17">
        <f t="shared" ref="E19:E22" si="8">ROUND(AS19*AV19*AX19,4)</f>
        <v>0</v>
      </c>
      <c r="F19" s="19"/>
      <c r="G19" s="19"/>
      <c r="H19" s="18"/>
      <c r="I19" s="18"/>
      <c r="J19" s="8" t="s">
        <v>55</v>
      </c>
      <c r="K19" s="20"/>
      <c r="L19" s="20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7">
        <f t="shared" si="2"/>
        <v>0</v>
      </c>
      <c r="AR19" s="15">
        <f>N19+P19+R19+AC19+AD19+AE19+AF19+AG19+AH19+AI19+AJ19+AK19+AL19+AM19+AN19+AO19+AP19+T19+V19+AB19</f>
        <v>0</v>
      </c>
      <c r="AS19" s="17">
        <f t="shared" ref="AS19:AS23" si="9">AT19</f>
        <v>0</v>
      </c>
      <c r="AT19" s="15"/>
      <c r="AU19" s="18">
        <f t="shared" si="3"/>
        <v>0</v>
      </c>
      <c r="AV19" s="18">
        <f t="shared" si="4"/>
        <v>0</v>
      </c>
      <c r="AW19" s="18">
        <f t="shared" si="5"/>
        <v>0</v>
      </c>
      <c r="AX19" s="18">
        <f t="shared" si="6"/>
        <v>0</v>
      </c>
      <c r="AY19" s="18">
        <f t="shared" si="1"/>
        <v>0</v>
      </c>
      <c r="AZ19" s="18">
        <f t="shared" si="1"/>
        <v>0</v>
      </c>
      <c r="BA19" s="74">
        <f>ROUND(AS19-E19-AR19,4)</f>
        <v>0</v>
      </c>
      <c r="BB19" s="75"/>
      <c r="BC19"/>
    </row>
    <row r="20" spans="1:55" ht="15" hidden="1" customHeight="1" x14ac:dyDescent="0.25">
      <c r="A20" s="69" t="s">
        <v>25</v>
      </c>
      <c r="B20" s="112"/>
      <c r="C20" s="112">
        <v>24</v>
      </c>
      <c r="D20" s="119">
        <f t="shared" si="7"/>
        <v>0</v>
      </c>
      <c r="E20" s="17">
        <f t="shared" si="8"/>
        <v>0</v>
      </c>
      <c r="F20" s="19"/>
      <c r="G20" s="19"/>
      <c r="H20" s="18"/>
      <c r="I20" s="18"/>
      <c r="J20" s="8" t="s">
        <v>55</v>
      </c>
      <c r="K20" s="20"/>
      <c r="L20" s="20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7">
        <f t="shared" si="2"/>
        <v>0</v>
      </c>
      <c r="AR20" s="15">
        <f>N20+P20+R20+AC20+AD20+AE20+AF20+AG20+AH20+AI20+AJ20+AK20+AL20+AM20+AN20+AO20+AP20+T20+V20+AB20</f>
        <v>0</v>
      </c>
      <c r="AS20" s="17">
        <f t="shared" si="9"/>
        <v>0</v>
      </c>
      <c r="AT20" s="15"/>
      <c r="AU20" s="18">
        <f t="shared" si="3"/>
        <v>0</v>
      </c>
      <c r="AV20" s="18">
        <f t="shared" si="4"/>
        <v>0</v>
      </c>
      <c r="AW20" s="18">
        <f t="shared" si="5"/>
        <v>0</v>
      </c>
      <c r="AX20" s="18">
        <f t="shared" si="6"/>
        <v>0</v>
      </c>
      <c r="AY20" s="18">
        <f t="shared" si="1"/>
        <v>0</v>
      </c>
      <c r="AZ20" s="18">
        <f t="shared" si="1"/>
        <v>0</v>
      </c>
      <c r="BA20" s="74">
        <f t="shared" ref="BA20:BA22" si="10">ROUND(AS20-E20-AR20,4)</f>
        <v>0</v>
      </c>
      <c r="BB20" s="75"/>
      <c r="BC20"/>
    </row>
    <row r="21" spans="1:55" ht="15" hidden="1" customHeight="1" x14ac:dyDescent="0.25">
      <c r="A21" s="68" t="s">
        <v>26</v>
      </c>
      <c r="B21" s="111"/>
      <c r="C21" s="111">
        <v>24</v>
      </c>
      <c r="D21" s="119">
        <f t="shared" si="7"/>
        <v>0</v>
      </c>
      <c r="E21" s="17">
        <f t="shared" si="8"/>
        <v>0</v>
      </c>
      <c r="F21" s="19"/>
      <c r="G21" s="19"/>
      <c r="H21" s="18"/>
      <c r="I21" s="18"/>
      <c r="J21" s="8" t="s">
        <v>55</v>
      </c>
      <c r="K21" s="20"/>
      <c r="L21" s="20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7">
        <f t="shared" si="2"/>
        <v>0</v>
      </c>
      <c r="AR21" s="15">
        <f>N21+P21+R21+AC21+AD21+AE21+AF21+AG21+AH21+AI21+AJ21+AK21+AL21+AM21+AN21+AO21+AP21+T21+V21+AB21</f>
        <v>0</v>
      </c>
      <c r="AS21" s="17">
        <f>AT21</f>
        <v>0</v>
      </c>
      <c r="AT21" s="15"/>
      <c r="AU21" s="18">
        <f t="shared" si="3"/>
        <v>0</v>
      </c>
      <c r="AV21" s="18">
        <f t="shared" si="4"/>
        <v>0</v>
      </c>
      <c r="AW21" s="18">
        <f t="shared" si="5"/>
        <v>0</v>
      </c>
      <c r="AX21" s="18">
        <f t="shared" si="6"/>
        <v>0</v>
      </c>
      <c r="AY21" s="18">
        <f t="shared" si="1"/>
        <v>0</v>
      </c>
      <c r="AZ21" s="18">
        <f t="shared" si="1"/>
        <v>0</v>
      </c>
      <c r="BA21" s="74">
        <f t="shared" si="10"/>
        <v>0</v>
      </c>
      <c r="BB21" s="75"/>
      <c r="BC21"/>
    </row>
    <row r="22" spans="1:55" ht="15" hidden="1" customHeight="1" x14ac:dyDescent="0.25">
      <c r="A22" s="70" t="s">
        <v>63</v>
      </c>
      <c r="B22" s="113"/>
      <c r="C22" s="113">
        <v>25</v>
      </c>
      <c r="D22" s="119">
        <f t="shared" si="7"/>
        <v>0</v>
      </c>
      <c r="E22" s="17">
        <f t="shared" si="8"/>
        <v>0</v>
      </c>
      <c r="F22" s="19"/>
      <c r="G22" s="19"/>
      <c r="H22" s="18"/>
      <c r="I22" s="18"/>
      <c r="J22" s="8" t="s">
        <v>55</v>
      </c>
      <c r="K22" s="20"/>
      <c r="L22" s="20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7">
        <f t="shared" si="2"/>
        <v>0</v>
      </c>
      <c r="AR22" s="15">
        <f>N22+P22+R22+AC22+AD22+AE22+AF22+AG22+AH22+AI22+AJ22+AK22+AL22+AM22+AN22+AO22+AP22+T22+V22+AB22</f>
        <v>0</v>
      </c>
      <c r="AS22" s="17">
        <f t="shared" si="9"/>
        <v>0</v>
      </c>
      <c r="AT22" s="15"/>
      <c r="AU22" s="18">
        <f t="shared" si="3"/>
        <v>0</v>
      </c>
      <c r="AV22" s="18">
        <f t="shared" si="4"/>
        <v>0</v>
      </c>
      <c r="AW22" s="18">
        <f t="shared" si="5"/>
        <v>0</v>
      </c>
      <c r="AX22" s="18">
        <f t="shared" si="6"/>
        <v>0</v>
      </c>
      <c r="AY22" s="18">
        <f t="shared" si="1"/>
        <v>0</v>
      </c>
      <c r="AZ22" s="18">
        <f t="shared" si="1"/>
        <v>0</v>
      </c>
      <c r="BA22" s="74">
        <f t="shared" si="10"/>
        <v>0</v>
      </c>
      <c r="BB22" s="75"/>
      <c r="BC22"/>
    </row>
    <row r="23" spans="1:55" ht="15" customHeight="1" thickBot="1" x14ac:dyDescent="0.3">
      <c r="A23" s="90" t="s">
        <v>27</v>
      </c>
      <c r="B23" s="123" t="s">
        <v>148</v>
      </c>
      <c r="C23" s="114">
        <v>17</v>
      </c>
      <c r="D23" s="119">
        <f t="shared" si="7"/>
        <v>0</v>
      </c>
      <c r="E23" s="17">
        <f>ROUND(AT23*AV23*AX23,4)</f>
        <v>0</v>
      </c>
      <c r="F23" s="91"/>
      <c r="G23" s="91"/>
      <c r="H23" s="92"/>
      <c r="I23" s="92"/>
      <c r="J23" s="93" t="s">
        <v>55</v>
      </c>
      <c r="K23" s="94"/>
      <c r="L23" s="94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7">
        <f t="shared" si="2"/>
        <v>0</v>
      </c>
      <c r="AR23" s="16">
        <f>N23+P23+R23+AC23+AD23+AE23+AF23+AG23+AH23+AI23+AJ23+AK23+AL23+AM23+AN23+AO23+AP23+T23+V23+X23+Z23+AB23</f>
        <v>0</v>
      </c>
      <c r="AS23" s="17">
        <f t="shared" si="9"/>
        <v>0</v>
      </c>
      <c r="AT23" s="16"/>
      <c r="AU23" s="82">
        <f t="shared" si="3"/>
        <v>0</v>
      </c>
      <c r="AV23" s="82">
        <f t="shared" si="4"/>
        <v>0</v>
      </c>
      <c r="AW23" s="82">
        <f t="shared" si="5"/>
        <v>0</v>
      </c>
      <c r="AX23" s="82">
        <f t="shared" si="6"/>
        <v>0</v>
      </c>
      <c r="AY23" s="92">
        <f>IF(D23=0,0,K23/D23/24)</f>
        <v>0</v>
      </c>
      <c r="AZ23" s="92">
        <f>IF(E23=0,0,L23/E23/24)</f>
        <v>0</v>
      </c>
      <c r="BA23" s="95">
        <f>ROUND(AT23-E23-AR23,4)</f>
        <v>0</v>
      </c>
      <c r="BB23" s="96"/>
      <c r="BC23"/>
    </row>
    <row r="24" spans="1:55" ht="15" customHeight="1" thickBot="1" x14ac:dyDescent="0.3">
      <c r="A24" s="87" t="s">
        <v>80</v>
      </c>
      <c r="B24" s="124"/>
      <c r="C24" s="87"/>
      <c r="D24" s="132">
        <f>AT24*AW24*AU24</f>
        <v>0</v>
      </c>
      <c r="E24" s="129">
        <f>SUM(E26:E27)</f>
        <v>0</v>
      </c>
      <c r="F24" s="129">
        <f>SUM(F25:F41)</f>
        <v>0</v>
      </c>
      <c r="G24" s="129"/>
      <c r="H24" s="131">
        <f>SUM(H25:H41)</f>
        <v>0</v>
      </c>
      <c r="I24" s="131">
        <f>SUM(I25:I41)</f>
        <v>0</v>
      </c>
      <c r="J24" s="88"/>
      <c r="K24" s="130">
        <f>SUM(K25:K41)</f>
        <v>0</v>
      </c>
      <c r="L24" s="130">
        <f>SUM(L25:L41)</f>
        <v>0</v>
      </c>
      <c r="M24" s="129">
        <f>SUM(M25:M41)</f>
        <v>0</v>
      </c>
      <c r="N24" s="129">
        <f t="shared" ref="N24:AO24" si="11">SUM(N25:N41)</f>
        <v>0</v>
      </c>
      <c r="O24" s="129">
        <f t="shared" si="11"/>
        <v>0</v>
      </c>
      <c r="P24" s="129">
        <f t="shared" si="11"/>
        <v>0</v>
      </c>
      <c r="Q24" s="129">
        <f t="shared" si="11"/>
        <v>0</v>
      </c>
      <c r="R24" s="129">
        <f t="shared" si="11"/>
        <v>0</v>
      </c>
      <c r="S24" s="129">
        <f t="shared" si="11"/>
        <v>0</v>
      </c>
      <c r="T24" s="129">
        <f t="shared" si="11"/>
        <v>0</v>
      </c>
      <c r="U24" s="129">
        <f t="shared" si="11"/>
        <v>0</v>
      </c>
      <c r="V24" s="129">
        <f t="shared" si="11"/>
        <v>0</v>
      </c>
      <c r="W24" s="129">
        <f t="shared" si="11"/>
        <v>0</v>
      </c>
      <c r="X24" s="129">
        <f t="shared" si="11"/>
        <v>0</v>
      </c>
      <c r="Y24" s="129">
        <f t="shared" si="11"/>
        <v>0</v>
      </c>
      <c r="Z24" s="129">
        <f t="shared" si="11"/>
        <v>0</v>
      </c>
      <c r="AA24" s="129">
        <f t="shared" si="11"/>
        <v>0</v>
      </c>
      <c r="AB24" s="129">
        <f t="shared" si="11"/>
        <v>0</v>
      </c>
      <c r="AC24" s="129">
        <f t="shared" si="11"/>
        <v>0</v>
      </c>
      <c r="AD24" s="129">
        <f t="shared" si="11"/>
        <v>0</v>
      </c>
      <c r="AE24" s="129">
        <f t="shared" si="11"/>
        <v>0</v>
      </c>
      <c r="AF24" s="129">
        <f t="shared" si="11"/>
        <v>0</v>
      </c>
      <c r="AG24" s="129">
        <f t="shared" si="11"/>
        <v>0</v>
      </c>
      <c r="AH24" s="129">
        <f t="shared" si="11"/>
        <v>0</v>
      </c>
      <c r="AI24" s="129">
        <f t="shared" si="11"/>
        <v>0</v>
      </c>
      <c r="AJ24" s="129">
        <f t="shared" si="11"/>
        <v>0</v>
      </c>
      <c r="AK24" s="129">
        <f t="shared" si="11"/>
        <v>0</v>
      </c>
      <c r="AL24" s="129">
        <f t="shared" si="11"/>
        <v>0</v>
      </c>
      <c r="AM24" s="129">
        <f t="shared" si="11"/>
        <v>0</v>
      </c>
      <c r="AN24" s="129">
        <f t="shared" si="11"/>
        <v>0</v>
      </c>
      <c r="AO24" s="129">
        <f t="shared" si="11"/>
        <v>0</v>
      </c>
      <c r="AP24" s="129">
        <f>SUM(AP25:AP41)</f>
        <v>0</v>
      </c>
      <c r="AQ24" s="129">
        <f t="shared" si="2"/>
        <v>0</v>
      </c>
      <c r="AR24" s="129">
        <f t="shared" ref="AR24:AR61" si="12">N24+P24+R24+AC24+AD24+AE24+AF24+AG24+AH24+AI24+AJ24+AK24+AL24+AM24+AN24+AO24+AP24+T24+V24+X24+Z24+AB24</f>
        <v>0</v>
      </c>
      <c r="AS24" s="129">
        <f>SUM(AS25:AS41)</f>
        <v>0</v>
      </c>
      <c r="AT24" s="129">
        <f>SUM(AT25:AT41)</f>
        <v>0</v>
      </c>
      <c r="AU24" s="131">
        <f t="shared" si="3"/>
        <v>0</v>
      </c>
      <c r="AV24" s="131">
        <f t="shared" si="4"/>
        <v>0</v>
      </c>
      <c r="AW24" s="131">
        <f t="shared" si="5"/>
        <v>0</v>
      </c>
      <c r="AX24" s="131">
        <f t="shared" si="6"/>
        <v>0</v>
      </c>
      <c r="AY24" s="131">
        <f t="shared" ref="AY24:AZ61" si="13">IF(D24=0,0,K24/D24/24)</f>
        <v>0</v>
      </c>
      <c r="AZ24" s="131">
        <f t="shared" si="13"/>
        <v>0</v>
      </c>
      <c r="BA24" s="129">
        <f t="shared" ref="BA24:BA61" si="14">ROUND(AT24-E24-AR24,4)</f>
        <v>0</v>
      </c>
      <c r="BB24" s="99"/>
      <c r="BC24"/>
    </row>
    <row r="25" spans="1:55" ht="15" hidden="1" customHeight="1" x14ac:dyDescent="0.25">
      <c r="A25" s="97" t="s">
        <v>28</v>
      </c>
      <c r="B25" s="115"/>
      <c r="C25" s="115">
        <v>30</v>
      </c>
      <c r="D25" s="121">
        <f>AT25*AU25*AW25</f>
        <v>0</v>
      </c>
      <c r="E25" s="15">
        <f t="shared" ref="E25:E51" si="15">ROUND(AS25*AV25*AX25,4)</f>
        <v>0</v>
      </c>
      <c r="F25" s="81"/>
      <c r="G25" s="81"/>
      <c r="H25" s="82"/>
      <c r="I25" s="82"/>
      <c r="J25" s="98" t="s">
        <v>68</v>
      </c>
      <c r="K25" s="84"/>
      <c r="L25" s="84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>
        <f t="shared" si="2"/>
        <v>0</v>
      </c>
      <c r="AR25" s="16">
        <f t="shared" si="12"/>
        <v>0</v>
      </c>
      <c r="AS25" s="17"/>
      <c r="AT25" s="17"/>
      <c r="AU25" s="92">
        <f t="shared" si="3"/>
        <v>0</v>
      </c>
      <c r="AV25" s="92">
        <f t="shared" si="4"/>
        <v>0</v>
      </c>
      <c r="AW25" s="92">
        <f t="shared" si="5"/>
        <v>0</v>
      </c>
      <c r="AX25" s="92">
        <f t="shared" si="6"/>
        <v>0</v>
      </c>
      <c r="AY25" s="92">
        <f t="shared" si="13"/>
        <v>0</v>
      </c>
      <c r="AZ25" s="92">
        <f t="shared" si="13"/>
        <v>0</v>
      </c>
      <c r="BA25" s="95">
        <f t="shared" si="14"/>
        <v>0</v>
      </c>
      <c r="BB25" s="86"/>
      <c r="BC25"/>
    </row>
    <row r="26" spans="1:55" ht="15" customHeight="1" x14ac:dyDescent="0.25">
      <c r="A26" s="71" t="s">
        <v>29</v>
      </c>
      <c r="B26" s="123" t="s">
        <v>137</v>
      </c>
      <c r="C26" s="112">
        <v>32</v>
      </c>
      <c r="D26" s="121">
        <f>AT26*AU26*AW26</f>
        <v>0</v>
      </c>
      <c r="E26" s="15">
        <f>ROUND(AT26*AV26*AX26,4)</f>
        <v>0</v>
      </c>
      <c r="F26" s="19"/>
      <c r="G26" s="19"/>
      <c r="H26" s="18"/>
      <c r="I26" s="18"/>
      <c r="J26" s="9" t="s">
        <v>68</v>
      </c>
      <c r="K26" s="20"/>
      <c r="L26" s="20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7">
        <f t="shared" si="2"/>
        <v>0</v>
      </c>
      <c r="AR26" s="16">
        <f t="shared" si="12"/>
        <v>0</v>
      </c>
      <c r="AS26" s="16"/>
      <c r="AT26" s="16"/>
      <c r="AU26" s="92">
        <f t="shared" si="3"/>
        <v>0</v>
      </c>
      <c r="AV26" s="92">
        <f t="shared" si="4"/>
        <v>0</v>
      </c>
      <c r="AW26" s="92">
        <f t="shared" si="5"/>
        <v>0</v>
      </c>
      <c r="AX26" s="92">
        <f t="shared" si="6"/>
        <v>0</v>
      </c>
      <c r="AY26" s="92">
        <f t="shared" si="13"/>
        <v>0</v>
      </c>
      <c r="AZ26" s="92">
        <f t="shared" si="13"/>
        <v>0</v>
      </c>
      <c r="BA26" s="95">
        <f t="shared" si="14"/>
        <v>0</v>
      </c>
      <c r="BB26" s="75"/>
      <c r="BC26"/>
    </row>
    <row r="27" spans="1:55" ht="15" customHeight="1" thickBot="1" x14ac:dyDescent="0.3">
      <c r="A27" s="71" t="s">
        <v>30</v>
      </c>
      <c r="B27" s="123" t="s">
        <v>138</v>
      </c>
      <c r="C27" s="112">
        <v>35</v>
      </c>
      <c r="D27" s="121">
        <f>AT27*AU27*AW27</f>
        <v>0</v>
      </c>
      <c r="E27" s="15">
        <f>ROUND(AT27*AV27*AX27,4)</f>
        <v>0</v>
      </c>
      <c r="F27" s="19"/>
      <c r="G27" s="19"/>
      <c r="H27" s="18"/>
      <c r="I27" s="18"/>
      <c r="J27" s="9" t="s">
        <v>68</v>
      </c>
      <c r="K27" s="20"/>
      <c r="L27" s="20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7">
        <f t="shared" si="2"/>
        <v>0</v>
      </c>
      <c r="AR27" s="16">
        <f t="shared" si="12"/>
        <v>0</v>
      </c>
      <c r="AS27" s="16"/>
      <c r="AT27" s="16"/>
      <c r="AU27" s="92">
        <f t="shared" si="3"/>
        <v>0</v>
      </c>
      <c r="AV27" s="92">
        <f t="shared" si="4"/>
        <v>0</v>
      </c>
      <c r="AW27" s="92">
        <f t="shared" si="5"/>
        <v>0</v>
      </c>
      <c r="AX27" s="92">
        <f t="shared" si="6"/>
        <v>0</v>
      </c>
      <c r="AY27" s="92">
        <f t="shared" si="13"/>
        <v>0</v>
      </c>
      <c r="AZ27" s="92">
        <f t="shared" si="13"/>
        <v>0</v>
      </c>
      <c r="BA27" s="95">
        <f t="shared" si="14"/>
        <v>0</v>
      </c>
      <c r="BB27" s="75"/>
      <c r="BC27"/>
    </row>
    <row r="28" spans="1:55" ht="15" hidden="1" customHeight="1" x14ac:dyDescent="0.25">
      <c r="A28" s="72" t="s">
        <v>31</v>
      </c>
      <c r="B28" s="111"/>
      <c r="C28" s="111">
        <v>39</v>
      </c>
      <c r="D28" s="121">
        <f t="shared" ref="D28:D41" si="16">AT28*AU28*AW28</f>
        <v>0</v>
      </c>
      <c r="E28" s="15">
        <f t="shared" si="15"/>
        <v>0</v>
      </c>
      <c r="F28" s="19"/>
      <c r="G28" s="19"/>
      <c r="H28" s="18"/>
      <c r="I28" s="18"/>
      <c r="J28" s="9" t="s">
        <v>68</v>
      </c>
      <c r="K28" s="20"/>
      <c r="L28" s="20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7">
        <f t="shared" si="2"/>
        <v>0</v>
      </c>
      <c r="AR28" s="16">
        <f t="shared" si="12"/>
        <v>0</v>
      </c>
      <c r="AS28" s="15"/>
      <c r="AT28" s="15"/>
      <c r="AU28" s="92">
        <f t="shared" si="3"/>
        <v>0</v>
      </c>
      <c r="AV28" s="92">
        <f t="shared" si="4"/>
        <v>0</v>
      </c>
      <c r="AW28" s="92">
        <f t="shared" si="5"/>
        <v>0</v>
      </c>
      <c r="AX28" s="92">
        <f t="shared" si="6"/>
        <v>0</v>
      </c>
      <c r="AY28" s="92">
        <f t="shared" si="13"/>
        <v>0</v>
      </c>
      <c r="AZ28" s="92">
        <f t="shared" si="13"/>
        <v>0</v>
      </c>
      <c r="BA28" s="95">
        <f t="shared" si="14"/>
        <v>0</v>
      </c>
      <c r="BB28" s="75"/>
      <c r="BC28"/>
    </row>
    <row r="29" spans="1:55" ht="15" hidden="1" customHeight="1" x14ac:dyDescent="0.25">
      <c r="A29" s="72" t="s">
        <v>32</v>
      </c>
      <c r="B29" s="111"/>
      <c r="C29" s="111">
        <v>40</v>
      </c>
      <c r="D29" s="121">
        <f t="shared" si="16"/>
        <v>0</v>
      </c>
      <c r="E29" s="15">
        <f t="shared" si="15"/>
        <v>0</v>
      </c>
      <c r="F29" s="19"/>
      <c r="G29" s="19"/>
      <c r="H29" s="18"/>
      <c r="I29" s="18"/>
      <c r="J29" s="9" t="s">
        <v>68</v>
      </c>
      <c r="K29" s="20"/>
      <c r="L29" s="20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7">
        <f t="shared" si="2"/>
        <v>0</v>
      </c>
      <c r="AR29" s="16">
        <f t="shared" si="12"/>
        <v>0</v>
      </c>
      <c r="AS29" s="15"/>
      <c r="AT29" s="15"/>
      <c r="AU29" s="92">
        <f t="shared" si="3"/>
        <v>0</v>
      </c>
      <c r="AV29" s="92">
        <f t="shared" si="4"/>
        <v>0</v>
      </c>
      <c r="AW29" s="92">
        <f t="shared" si="5"/>
        <v>0</v>
      </c>
      <c r="AX29" s="92">
        <f t="shared" si="6"/>
        <v>0</v>
      </c>
      <c r="AY29" s="92">
        <f t="shared" si="13"/>
        <v>0</v>
      </c>
      <c r="AZ29" s="92">
        <f t="shared" si="13"/>
        <v>0</v>
      </c>
      <c r="BA29" s="95">
        <f t="shared" si="14"/>
        <v>0</v>
      </c>
      <c r="BB29" s="75"/>
      <c r="BC29"/>
    </row>
    <row r="30" spans="1:55" ht="15" hidden="1" customHeight="1" x14ac:dyDescent="0.25">
      <c r="A30" s="72" t="s">
        <v>33</v>
      </c>
      <c r="B30" s="111"/>
      <c r="C30" s="111">
        <v>41</v>
      </c>
      <c r="D30" s="121">
        <f t="shared" si="16"/>
        <v>0</v>
      </c>
      <c r="E30" s="15">
        <f t="shared" si="15"/>
        <v>0</v>
      </c>
      <c r="F30" s="19"/>
      <c r="G30" s="19"/>
      <c r="H30" s="18"/>
      <c r="I30" s="18"/>
      <c r="J30" s="9" t="s">
        <v>68</v>
      </c>
      <c r="K30" s="20"/>
      <c r="L30" s="20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7">
        <f t="shared" si="2"/>
        <v>0</v>
      </c>
      <c r="AR30" s="16">
        <f t="shared" si="12"/>
        <v>0</v>
      </c>
      <c r="AS30" s="15"/>
      <c r="AT30" s="15"/>
      <c r="AU30" s="92">
        <f t="shared" si="3"/>
        <v>0</v>
      </c>
      <c r="AV30" s="92">
        <f t="shared" si="4"/>
        <v>0</v>
      </c>
      <c r="AW30" s="92">
        <f t="shared" si="5"/>
        <v>0</v>
      </c>
      <c r="AX30" s="92">
        <f t="shared" si="6"/>
        <v>0</v>
      </c>
      <c r="AY30" s="92">
        <f t="shared" si="13"/>
        <v>0</v>
      </c>
      <c r="AZ30" s="92">
        <f t="shared" si="13"/>
        <v>0</v>
      </c>
      <c r="BA30" s="95">
        <f t="shared" si="14"/>
        <v>0</v>
      </c>
      <c r="BB30" s="75"/>
      <c r="BC30"/>
    </row>
    <row r="31" spans="1:55" ht="15" hidden="1" customHeight="1" x14ac:dyDescent="0.25">
      <c r="A31" s="72" t="s">
        <v>34</v>
      </c>
      <c r="B31" s="111"/>
      <c r="C31" s="111">
        <v>42</v>
      </c>
      <c r="D31" s="121">
        <f t="shared" si="16"/>
        <v>0</v>
      </c>
      <c r="E31" s="15">
        <f t="shared" si="15"/>
        <v>0</v>
      </c>
      <c r="F31" s="19"/>
      <c r="G31" s="19"/>
      <c r="H31" s="18"/>
      <c r="I31" s="18"/>
      <c r="J31" s="9" t="s">
        <v>68</v>
      </c>
      <c r="K31" s="20"/>
      <c r="L31" s="20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7">
        <f t="shared" si="2"/>
        <v>0</v>
      </c>
      <c r="AR31" s="16">
        <f t="shared" si="12"/>
        <v>0</v>
      </c>
      <c r="AS31" s="15"/>
      <c r="AT31" s="15"/>
      <c r="AU31" s="92">
        <f t="shared" si="3"/>
        <v>0</v>
      </c>
      <c r="AV31" s="92">
        <f t="shared" si="4"/>
        <v>0</v>
      </c>
      <c r="AW31" s="92">
        <f t="shared" si="5"/>
        <v>0</v>
      </c>
      <c r="AX31" s="92">
        <f t="shared" si="6"/>
        <v>0</v>
      </c>
      <c r="AY31" s="92">
        <f t="shared" si="13"/>
        <v>0</v>
      </c>
      <c r="AZ31" s="92">
        <f t="shared" si="13"/>
        <v>0</v>
      </c>
      <c r="BA31" s="95">
        <f t="shared" si="14"/>
        <v>0</v>
      </c>
      <c r="BB31" s="75"/>
      <c r="BC31"/>
    </row>
    <row r="32" spans="1:55" ht="15" hidden="1" customHeight="1" x14ac:dyDescent="0.25">
      <c r="A32" s="72" t="s">
        <v>35</v>
      </c>
      <c r="B32" s="111"/>
      <c r="C32" s="111">
        <v>43</v>
      </c>
      <c r="D32" s="121">
        <f t="shared" si="16"/>
        <v>0</v>
      </c>
      <c r="E32" s="15">
        <f t="shared" si="15"/>
        <v>0</v>
      </c>
      <c r="F32" s="19"/>
      <c r="G32" s="19"/>
      <c r="H32" s="18"/>
      <c r="I32" s="18"/>
      <c r="J32" s="9" t="s">
        <v>68</v>
      </c>
      <c r="K32" s="20"/>
      <c r="L32" s="20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7">
        <f t="shared" si="2"/>
        <v>0</v>
      </c>
      <c r="AR32" s="16">
        <f t="shared" si="12"/>
        <v>0</v>
      </c>
      <c r="AS32" s="15"/>
      <c r="AT32" s="15"/>
      <c r="AU32" s="92">
        <f t="shared" si="3"/>
        <v>0</v>
      </c>
      <c r="AV32" s="92">
        <f t="shared" si="4"/>
        <v>0</v>
      </c>
      <c r="AW32" s="92">
        <f t="shared" si="5"/>
        <v>0</v>
      </c>
      <c r="AX32" s="92">
        <f t="shared" si="6"/>
        <v>0</v>
      </c>
      <c r="AY32" s="92">
        <f t="shared" si="13"/>
        <v>0</v>
      </c>
      <c r="AZ32" s="92">
        <f t="shared" si="13"/>
        <v>0</v>
      </c>
      <c r="BA32" s="95">
        <f t="shared" si="14"/>
        <v>0</v>
      </c>
      <c r="BB32" s="75"/>
      <c r="BC32"/>
    </row>
    <row r="33" spans="1:55" ht="15" hidden="1" customHeight="1" x14ac:dyDescent="0.25">
      <c r="A33" s="72" t="s">
        <v>36</v>
      </c>
      <c r="B33" s="111"/>
      <c r="C33" s="111">
        <v>44</v>
      </c>
      <c r="D33" s="121">
        <f t="shared" si="16"/>
        <v>0</v>
      </c>
      <c r="E33" s="15">
        <f t="shared" si="15"/>
        <v>0</v>
      </c>
      <c r="F33" s="19"/>
      <c r="G33" s="19"/>
      <c r="H33" s="18"/>
      <c r="I33" s="18"/>
      <c r="J33" s="9" t="s">
        <v>68</v>
      </c>
      <c r="K33" s="20"/>
      <c r="L33" s="20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7">
        <f t="shared" si="2"/>
        <v>0</v>
      </c>
      <c r="AR33" s="16">
        <f t="shared" si="12"/>
        <v>0</v>
      </c>
      <c r="AS33" s="15"/>
      <c r="AT33" s="15"/>
      <c r="AU33" s="92">
        <f t="shared" si="3"/>
        <v>0</v>
      </c>
      <c r="AV33" s="92">
        <f t="shared" si="4"/>
        <v>0</v>
      </c>
      <c r="AW33" s="92">
        <f t="shared" si="5"/>
        <v>0</v>
      </c>
      <c r="AX33" s="92">
        <f t="shared" si="6"/>
        <v>0</v>
      </c>
      <c r="AY33" s="92">
        <f t="shared" si="13"/>
        <v>0</v>
      </c>
      <c r="AZ33" s="92">
        <f t="shared" si="13"/>
        <v>0</v>
      </c>
      <c r="BA33" s="95">
        <f t="shared" si="14"/>
        <v>0</v>
      </c>
      <c r="BB33" s="75"/>
      <c r="BC33"/>
    </row>
    <row r="34" spans="1:55" ht="15" hidden="1" customHeight="1" x14ac:dyDescent="0.25">
      <c r="A34" s="72" t="s">
        <v>37</v>
      </c>
      <c r="B34" s="111"/>
      <c r="C34" s="111">
        <v>45</v>
      </c>
      <c r="D34" s="121">
        <f t="shared" si="16"/>
        <v>0</v>
      </c>
      <c r="E34" s="15">
        <f t="shared" si="15"/>
        <v>0</v>
      </c>
      <c r="F34" s="19"/>
      <c r="G34" s="19"/>
      <c r="H34" s="18"/>
      <c r="I34" s="18"/>
      <c r="J34" s="9" t="s">
        <v>68</v>
      </c>
      <c r="K34" s="20"/>
      <c r="L34" s="20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7">
        <f t="shared" si="2"/>
        <v>0</v>
      </c>
      <c r="AR34" s="16">
        <f t="shared" si="12"/>
        <v>0</v>
      </c>
      <c r="AS34" s="15"/>
      <c r="AT34" s="15"/>
      <c r="AU34" s="92">
        <f t="shared" si="3"/>
        <v>0</v>
      </c>
      <c r="AV34" s="92">
        <f t="shared" si="4"/>
        <v>0</v>
      </c>
      <c r="AW34" s="92">
        <f t="shared" si="5"/>
        <v>0</v>
      </c>
      <c r="AX34" s="92">
        <f t="shared" si="6"/>
        <v>0</v>
      </c>
      <c r="AY34" s="92">
        <f t="shared" si="13"/>
        <v>0</v>
      </c>
      <c r="AZ34" s="92">
        <f t="shared" si="13"/>
        <v>0</v>
      </c>
      <c r="BA34" s="95">
        <f t="shared" si="14"/>
        <v>0</v>
      </c>
      <c r="BB34" s="75"/>
      <c r="BC34"/>
    </row>
    <row r="35" spans="1:55" ht="15" hidden="1" customHeight="1" x14ac:dyDescent="0.25">
      <c r="A35" s="72" t="s">
        <v>38</v>
      </c>
      <c r="B35" s="111"/>
      <c r="C35" s="111">
        <v>46</v>
      </c>
      <c r="D35" s="121">
        <f t="shared" si="16"/>
        <v>0</v>
      </c>
      <c r="E35" s="15">
        <f t="shared" si="15"/>
        <v>0</v>
      </c>
      <c r="F35" s="19"/>
      <c r="G35" s="19"/>
      <c r="H35" s="18"/>
      <c r="I35" s="18"/>
      <c r="J35" s="9" t="s">
        <v>68</v>
      </c>
      <c r="K35" s="20"/>
      <c r="L35" s="20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7">
        <f t="shared" si="2"/>
        <v>0</v>
      </c>
      <c r="AR35" s="16">
        <f t="shared" si="12"/>
        <v>0</v>
      </c>
      <c r="AS35" s="15"/>
      <c r="AT35" s="15"/>
      <c r="AU35" s="92">
        <f t="shared" si="3"/>
        <v>0</v>
      </c>
      <c r="AV35" s="92">
        <f t="shared" si="4"/>
        <v>0</v>
      </c>
      <c r="AW35" s="92">
        <f t="shared" si="5"/>
        <v>0</v>
      </c>
      <c r="AX35" s="92">
        <f t="shared" si="6"/>
        <v>0</v>
      </c>
      <c r="AY35" s="92">
        <f t="shared" si="13"/>
        <v>0</v>
      </c>
      <c r="AZ35" s="92">
        <f t="shared" si="13"/>
        <v>0</v>
      </c>
      <c r="BA35" s="95">
        <f t="shared" si="14"/>
        <v>0</v>
      </c>
      <c r="BB35" s="75"/>
      <c r="BC35"/>
    </row>
    <row r="36" spans="1:55" ht="15" hidden="1" customHeight="1" x14ac:dyDescent="0.25">
      <c r="A36" s="72" t="s">
        <v>39</v>
      </c>
      <c r="B36" s="111"/>
      <c r="C36" s="111">
        <v>47</v>
      </c>
      <c r="D36" s="121">
        <f t="shared" si="16"/>
        <v>0</v>
      </c>
      <c r="E36" s="15">
        <f t="shared" si="15"/>
        <v>0</v>
      </c>
      <c r="F36" s="19"/>
      <c r="G36" s="19"/>
      <c r="H36" s="18"/>
      <c r="I36" s="18"/>
      <c r="J36" s="9" t="s">
        <v>68</v>
      </c>
      <c r="K36" s="20"/>
      <c r="L36" s="20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7">
        <f t="shared" si="2"/>
        <v>0</v>
      </c>
      <c r="AR36" s="16">
        <f t="shared" si="12"/>
        <v>0</v>
      </c>
      <c r="AS36" s="15"/>
      <c r="AT36" s="15"/>
      <c r="AU36" s="92">
        <f t="shared" si="3"/>
        <v>0</v>
      </c>
      <c r="AV36" s="92">
        <f t="shared" si="4"/>
        <v>0</v>
      </c>
      <c r="AW36" s="92">
        <f t="shared" si="5"/>
        <v>0</v>
      </c>
      <c r="AX36" s="92">
        <f t="shared" si="6"/>
        <v>0</v>
      </c>
      <c r="AY36" s="92">
        <f t="shared" si="13"/>
        <v>0</v>
      </c>
      <c r="AZ36" s="92">
        <f t="shared" si="13"/>
        <v>0</v>
      </c>
      <c r="BA36" s="95">
        <f t="shared" si="14"/>
        <v>0</v>
      </c>
      <c r="BB36" s="75"/>
      <c r="BC36"/>
    </row>
    <row r="37" spans="1:55" ht="15" hidden="1" customHeight="1" x14ac:dyDescent="0.25">
      <c r="A37" s="72" t="s">
        <v>40</v>
      </c>
      <c r="B37" s="111"/>
      <c r="C37" s="111">
        <v>48</v>
      </c>
      <c r="D37" s="121">
        <f t="shared" si="16"/>
        <v>0</v>
      </c>
      <c r="E37" s="15">
        <f t="shared" si="15"/>
        <v>0</v>
      </c>
      <c r="F37" s="19"/>
      <c r="G37" s="19"/>
      <c r="H37" s="18"/>
      <c r="I37" s="18"/>
      <c r="J37" s="9" t="s">
        <v>68</v>
      </c>
      <c r="K37" s="20"/>
      <c r="L37" s="20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7">
        <f t="shared" si="2"/>
        <v>0</v>
      </c>
      <c r="AR37" s="16">
        <f t="shared" si="12"/>
        <v>0</v>
      </c>
      <c r="AS37" s="15"/>
      <c r="AT37" s="15"/>
      <c r="AU37" s="92">
        <f t="shared" si="3"/>
        <v>0</v>
      </c>
      <c r="AV37" s="92">
        <f t="shared" si="4"/>
        <v>0</v>
      </c>
      <c r="AW37" s="92">
        <f t="shared" si="5"/>
        <v>0</v>
      </c>
      <c r="AX37" s="92">
        <f t="shared" si="6"/>
        <v>0</v>
      </c>
      <c r="AY37" s="92">
        <f t="shared" si="13"/>
        <v>0</v>
      </c>
      <c r="AZ37" s="92">
        <f t="shared" si="13"/>
        <v>0</v>
      </c>
      <c r="BA37" s="95">
        <f t="shared" si="14"/>
        <v>0</v>
      </c>
      <c r="BB37" s="75"/>
      <c r="BC37"/>
    </row>
    <row r="38" spans="1:55" ht="15" hidden="1" customHeight="1" x14ac:dyDescent="0.25">
      <c r="A38" s="72" t="s">
        <v>41</v>
      </c>
      <c r="B38" s="111"/>
      <c r="C38" s="111">
        <v>49</v>
      </c>
      <c r="D38" s="121">
        <f t="shared" si="16"/>
        <v>0</v>
      </c>
      <c r="E38" s="15">
        <f t="shared" si="15"/>
        <v>0</v>
      </c>
      <c r="F38" s="19"/>
      <c r="G38" s="19"/>
      <c r="H38" s="18"/>
      <c r="I38" s="18"/>
      <c r="J38" s="9" t="s">
        <v>68</v>
      </c>
      <c r="K38" s="20"/>
      <c r="L38" s="20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7">
        <f t="shared" si="2"/>
        <v>0</v>
      </c>
      <c r="AR38" s="16">
        <f t="shared" si="12"/>
        <v>0</v>
      </c>
      <c r="AS38" s="15"/>
      <c r="AT38" s="15"/>
      <c r="AU38" s="92">
        <f t="shared" si="3"/>
        <v>0</v>
      </c>
      <c r="AV38" s="92">
        <f t="shared" si="4"/>
        <v>0</v>
      </c>
      <c r="AW38" s="92">
        <f t="shared" si="5"/>
        <v>0</v>
      </c>
      <c r="AX38" s="92">
        <f t="shared" si="6"/>
        <v>0</v>
      </c>
      <c r="AY38" s="92">
        <f t="shared" si="13"/>
        <v>0</v>
      </c>
      <c r="AZ38" s="92">
        <f t="shared" si="13"/>
        <v>0</v>
      </c>
      <c r="BA38" s="95">
        <f t="shared" si="14"/>
        <v>0</v>
      </c>
      <c r="BB38" s="75"/>
      <c r="BC38"/>
    </row>
    <row r="39" spans="1:55" ht="15" hidden="1" customHeight="1" x14ac:dyDescent="0.25">
      <c r="A39" s="72" t="s">
        <v>42</v>
      </c>
      <c r="B39" s="111"/>
      <c r="C39" s="111">
        <v>50</v>
      </c>
      <c r="D39" s="121">
        <f t="shared" si="16"/>
        <v>0</v>
      </c>
      <c r="E39" s="15">
        <f t="shared" si="15"/>
        <v>0</v>
      </c>
      <c r="F39" s="19"/>
      <c r="G39" s="19"/>
      <c r="H39" s="18"/>
      <c r="I39" s="18"/>
      <c r="J39" s="9" t="s">
        <v>68</v>
      </c>
      <c r="K39" s="20"/>
      <c r="L39" s="20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7">
        <f t="shared" si="2"/>
        <v>0</v>
      </c>
      <c r="AR39" s="16">
        <f t="shared" si="12"/>
        <v>0</v>
      </c>
      <c r="AS39" s="15"/>
      <c r="AT39" s="15"/>
      <c r="AU39" s="92">
        <f t="shared" si="3"/>
        <v>0</v>
      </c>
      <c r="AV39" s="92">
        <f t="shared" si="4"/>
        <v>0</v>
      </c>
      <c r="AW39" s="92">
        <f t="shared" si="5"/>
        <v>0</v>
      </c>
      <c r="AX39" s="92">
        <f t="shared" si="6"/>
        <v>0</v>
      </c>
      <c r="AY39" s="92">
        <f t="shared" si="13"/>
        <v>0</v>
      </c>
      <c r="AZ39" s="92">
        <f t="shared" si="13"/>
        <v>0</v>
      </c>
      <c r="BA39" s="95">
        <f t="shared" si="14"/>
        <v>0</v>
      </c>
      <c r="BB39" s="75"/>
      <c r="BC39"/>
    </row>
    <row r="40" spans="1:55" ht="15" hidden="1" customHeight="1" x14ac:dyDescent="0.25">
      <c r="A40" s="72" t="s">
        <v>43</v>
      </c>
      <c r="B40" s="111"/>
      <c r="C40" s="111">
        <v>51</v>
      </c>
      <c r="D40" s="121">
        <f t="shared" si="16"/>
        <v>0</v>
      </c>
      <c r="E40" s="15">
        <f t="shared" si="15"/>
        <v>0</v>
      </c>
      <c r="F40" s="19"/>
      <c r="G40" s="19"/>
      <c r="H40" s="18"/>
      <c r="I40" s="18"/>
      <c r="J40" s="9" t="s">
        <v>68</v>
      </c>
      <c r="K40" s="20"/>
      <c r="L40" s="20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7">
        <f t="shared" si="2"/>
        <v>0</v>
      </c>
      <c r="AR40" s="16">
        <f t="shared" si="12"/>
        <v>0</v>
      </c>
      <c r="AS40" s="15"/>
      <c r="AT40" s="15"/>
      <c r="AU40" s="92">
        <f t="shared" si="3"/>
        <v>0</v>
      </c>
      <c r="AV40" s="92">
        <f t="shared" si="4"/>
        <v>0</v>
      </c>
      <c r="AW40" s="92">
        <f t="shared" si="5"/>
        <v>0</v>
      </c>
      <c r="AX40" s="92">
        <f t="shared" si="6"/>
        <v>0</v>
      </c>
      <c r="AY40" s="92">
        <f t="shared" si="13"/>
        <v>0</v>
      </c>
      <c r="AZ40" s="92">
        <f t="shared" si="13"/>
        <v>0</v>
      </c>
      <c r="BA40" s="95">
        <f t="shared" si="14"/>
        <v>0</v>
      </c>
      <c r="BB40" s="75"/>
      <c r="BC40"/>
    </row>
    <row r="41" spans="1:55" ht="15" hidden="1" customHeight="1" thickBot="1" x14ac:dyDescent="0.3">
      <c r="A41" s="100" t="s">
        <v>44</v>
      </c>
      <c r="B41" s="116"/>
      <c r="C41" s="116">
        <v>52</v>
      </c>
      <c r="D41" s="121">
        <f t="shared" si="16"/>
        <v>0</v>
      </c>
      <c r="E41" s="15">
        <f t="shared" si="15"/>
        <v>0</v>
      </c>
      <c r="F41" s="91"/>
      <c r="G41" s="91"/>
      <c r="H41" s="92"/>
      <c r="I41" s="92"/>
      <c r="J41" s="101" t="s">
        <v>68</v>
      </c>
      <c r="K41" s="94"/>
      <c r="L41" s="94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7">
        <f t="shared" si="2"/>
        <v>0</v>
      </c>
      <c r="AR41" s="16">
        <f t="shared" si="12"/>
        <v>0</v>
      </c>
      <c r="AS41" s="16"/>
      <c r="AT41" s="16"/>
      <c r="AU41" s="92">
        <f t="shared" si="3"/>
        <v>0</v>
      </c>
      <c r="AV41" s="92">
        <f t="shared" si="4"/>
        <v>0</v>
      </c>
      <c r="AW41" s="92">
        <f t="shared" si="5"/>
        <v>0</v>
      </c>
      <c r="AX41" s="92">
        <f t="shared" si="6"/>
        <v>0</v>
      </c>
      <c r="AY41" s="92">
        <f t="shared" si="13"/>
        <v>0</v>
      </c>
      <c r="AZ41" s="92">
        <f t="shared" si="13"/>
        <v>0</v>
      </c>
      <c r="BA41" s="95">
        <f t="shared" si="14"/>
        <v>0</v>
      </c>
      <c r="BB41" s="96"/>
      <c r="BC41"/>
    </row>
    <row r="42" spans="1:55" ht="15" customHeight="1" thickBot="1" x14ac:dyDescent="0.3">
      <c r="A42" s="102" t="s">
        <v>81</v>
      </c>
      <c r="B42" s="124"/>
      <c r="C42" s="87"/>
      <c r="D42" s="132">
        <f>SUM(D43:D45)</f>
        <v>0</v>
      </c>
      <c r="E42" s="129">
        <f>SUM(E43:E45)</f>
        <v>0</v>
      </c>
      <c r="F42" s="129">
        <f>SUM(F43:F45)</f>
        <v>0</v>
      </c>
      <c r="G42" s="129"/>
      <c r="H42" s="131">
        <f>SUM(H43:H45)</f>
        <v>0</v>
      </c>
      <c r="I42" s="131">
        <f>SUM(I43:I45)</f>
        <v>0</v>
      </c>
      <c r="J42" s="88"/>
      <c r="K42" s="130"/>
      <c r="L42" s="130"/>
      <c r="M42" s="129">
        <f>SUM(M43:M45)</f>
        <v>0</v>
      </c>
      <c r="N42" s="129">
        <f t="shared" ref="N42:AP42" si="17">SUM(N43:N45)</f>
        <v>0</v>
      </c>
      <c r="O42" s="129">
        <f t="shared" si="17"/>
        <v>0</v>
      </c>
      <c r="P42" s="129">
        <f t="shared" si="17"/>
        <v>0</v>
      </c>
      <c r="Q42" s="129">
        <f t="shared" si="17"/>
        <v>0</v>
      </c>
      <c r="R42" s="129">
        <f t="shared" si="17"/>
        <v>0</v>
      </c>
      <c r="S42" s="129">
        <f t="shared" si="17"/>
        <v>0</v>
      </c>
      <c r="T42" s="129">
        <f t="shared" si="17"/>
        <v>0</v>
      </c>
      <c r="U42" s="129">
        <f t="shared" si="17"/>
        <v>0</v>
      </c>
      <c r="V42" s="129">
        <f t="shared" si="17"/>
        <v>0</v>
      </c>
      <c r="W42" s="129">
        <f t="shared" si="17"/>
        <v>0</v>
      </c>
      <c r="X42" s="129">
        <f t="shared" si="17"/>
        <v>0</v>
      </c>
      <c r="Y42" s="129">
        <f t="shared" si="17"/>
        <v>0</v>
      </c>
      <c r="Z42" s="129">
        <f t="shared" si="17"/>
        <v>0</v>
      </c>
      <c r="AA42" s="129">
        <f t="shared" si="17"/>
        <v>0</v>
      </c>
      <c r="AB42" s="129">
        <f t="shared" si="17"/>
        <v>0</v>
      </c>
      <c r="AC42" s="129">
        <f t="shared" si="17"/>
        <v>0</v>
      </c>
      <c r="AD42" s="129">
        <f t="shared" si="17"/>
        <v>0</v>
      </c>
      <c r="AE42" s="129">
        <f t="shared" si="17"/>
        <v>0</v>
      </c>
      <c r="AF42" s="129">
        <f t="shared" si="17"/>
        <v>0</v>
      </c>
      <c r="AG42" s="129">
        <f t="shared" si="17"/>
        <v>0</v>
      </c>
      <c r="AH42" s="129">
        <f t="shared" si="17"/>
        <v>0</v>
      </c>
      <c r="AI42" s="129">
        <f t="shared" si="17"/>
        <v>0</v>
      </c>
      <c r="AJ42" s="129">
        <f t="shared" si="17"/>
        <v>0</v>
      </c>
      <c r="AK42" s="129">
        <f t="shared" si="17"/>
        <v>0</v>
      </c>
      <c r="AL42" s="129">
        <f t="shared" si="17"/>
        <v>0</v>
      </c>
      <c r="AM42" s="129">
        <f t="shared" si="17"/>
        <v>0</v>
      </c>
      <c r="AN42" s="129">
        <f t="shared" si="17"/>
        <v>0</v>
      </c>
      <c r="AO42" s="129">
        <f t="shared" si="17"/>
        <v>0</v>
      </c>
      <c r="AP42" s="129">
        <f t="shared" si="17"/>
        <v>0</v>
      </c>
      <c r="AQ42" s="129">
        <f t="shared" si="2"/>
        <v>0</v>
      </c>
      <c r="AR42" s="129">
        <f t="shared" si="12"/>
        <v>0</v>
      </c>
      <c r="AS42" s="129"/>
      <c r="AT42" s="129">
        <f>SUM(AT43:AT45)</f>
        <v>0</v>
      </c>
      <c r="AU42" s="131">
        <f t="shared" si="3"/>
        <v>0</v>
      </c>
      <c r="AV42" s="131">
        <f t="shared" si="4"/>
        <v>0</v>
      </c>
      <c r="AW42" s="131">
        <f t="shared" si="5"/>
        <v>0</v>
      </c>
      <c r="AX42" s="131">
        <f t="shared" si="6"/>
        <v>0</v>
      </c>
      <c r="AY42" s="131">
        <f t="shared" si="13"/>
        <v>0</v>
      </c>
      <c r="AZ42" s="131">
        <f t="shared" si="13"/>
        <v>0</v>
      </c>
      <c r="BA42" s="129">
        <f t="shared" si="14"/>
        <v>0</v>
      </c>
      <c r="BB42" s="99"/>
      <c r="BC42"/>
    </row>
    <row r="43" spans="1:55" ht="15" customHeight="1" x14ac:dyDescent="0.25">
      <c r="A43" s="97" t="s">
        <v>66</v>
      </c>
      <c r="B43" s="123" t="s">
        <v>139</v>
      </c>
      <c r="C43" s="115">
        <v>25</v>
      </c>
      <c r="D43" s="121">
        <f>AT43*AU43*AW43</f>
        <v>0</v>
      </c>
      <c r="E43" s="17">
        <f>ROUND(AT43*AV43*AX43,4)</f>
        <v>0</v>
      </c>
      <c r="F43" s="81"/>
      <c r="G43" s="81"/>
      <c r="H43" s="82"/>
      <c r="I43" s="82"/>
      <c r="J43" s="14" t="s">
        <v>55</v>
      </c>
      <c r="K43" s="84"/>
      <c r="L43" s="84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>
        <f t="shared" si="2"/>
        <v>0</v>
      </c>
      <c r="AR43" s="16">
        <f t="shared" si="12"/>
        <v>0</v>
      </c>
      <c r="AS43" s="16"/>
      <c r="AT43" s="16"/>
      <c r="AU43" s="82">
        <f t="shared" si="3"/>
        <v>0</v>
      </c>
      <c r="AV43" s="82">
        <f t="shared" si="4"/>
        <v>0</v>
      </c>
      <c r="AW43" s="82">
        <f t="shared" si="5"/>
        <v>0</v>
      </c>
      <c r="AX43" s="82">
        <f t="shared" si="6"/>
        <v>0</v>
      </c>
      <c r="AY43" s="92">
        <f t="shared" si="13"/>
        <v>0</v>
      </c>
      <c r="AZ43" s="92">
        <f t="shared" si="13"/>
        <v>0</v>
      </c>
      <c r="BA43" s="95">
        <f t="shared" si="14"/>
        <v>0</v>
      </c>
      <c r="BB43" s="86"/>
      <c r="BC43"/>
    </row>
    <row r="44" spans="1:55" ht="15" hidden="1" customHeight="1" x14ac:dyDescent="0.25">
      <c r="A44" s="72" t="s">
        <v>67</v>
      </c>
      <c r="B44" s="123"/>
      <c r="C44" s="111">
        <v>31</v>
      </c>
      <c r="D44" s="121">
        <f>AT44*AU44*AW44</f>
        <v>0</v>
      </c>
      <c r="E44" s="15">
        <f t="shared" si="15"/>
        <v>0</v>
      </c>
      <c r="F44" s="19"/>
      <c r="G44" s="19"/>
      <c r="H44" s="18"/>
      <c r="I44" s="18"/>
      <c r="J44" s="7" t="s">
        <v>55</v>
      </c>
      <c r="K44" s="20"/>
      <c r="L44" s="20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7">
        <f t="shared" si="2"/>
        <v>0</v>
      </c>
      <c r="AR44" s="16">
        <f t="shared" si="12"/>
        <v>0</v>
      </c>
      <c r="AS44" s="15"/>
      <c r="AT44" s="15"/>
      <c r="AU44" s="82">
        <f t="shared" si="3"/>
        <v>0</v>
      </c>
      <c r="AV44" s="82">
        <f t="shared" si="4"/>
        <v>0</v>
      </c>
      <c r="AW44" s="82">
        <f t="shared" si="5"/>
        <v>0</v>
      </c>
      <c r="AX44" s="82">
        <f t="shared" si="6"/>
        <v>0</v>
      </c>
      <c r="AY44" s="92">
        <f t="shared" si="13"/>
        <v>0</v>
      </c>
      <c r="AZ44" s="92">
        <f t="shared" si="13"/>
        <v>0</v>
      </c>
      <c r="BA44" s="95">
        <f t="shared" si="14"/>
        <v>0</v>
      </c>
      <c r="BB44" s="75"/>
      <c r="BC44"/>
    </row>
    <row r="45" spans="1:55" ht="15" customHeight="1" thickBot="1" x14ac:dyDescent="0.3">
      <c r="A45" s="103" t="s">
        <v>67</v>
      </c>
      <c r="B45" s="123" t="s">
        <v>140</v>
      </c>
      <c r="C45" s="114">
        <v>38</v>
      </c>
      <c r="D45" s="121">
        <f>AT45*AU45*AW45</f>
        <v>0</v>
      </c>
      <c r="E45" s="16">
        <f>ROUND(AT45*AV45*AX45,4)</f>
        <v>0</v>
      </c>
      <c r="F45" s="91"/>
      <c r="G45" s="91"/>
      <c r="H45" s="92"/>
      <c r="I45" s="92"/>
      <c r="J45" s="13" t="s">
        <v>55</v>
      </c>
      <c r="K45" s="94"/>
      <c r="L45" s="94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7">
        <f t="shared" si="2"/>
        <v>0</v>
      </c>
      <c r="AR45" s="16">
        <f t="shared" si="12"/>
        <v>0</v>
      </c>
      <c r="AS45" s="16"/>
      <c r="AT45" s="16"/>
      <c r="AU45" s="82">
        <f t="shared" si="3"/>
        <v>0</v>
      </c>
      <c r="AV45" s="82">
        <f t="shared" si="4"/>
        <v>0</v>
      </c>
      <c r="AW45" s="82">
        <f t="shared" si="5"/>
        <v>0</v>
      </c>
      <c r="AX45" s="82">
        <f t="shared" si="6"/>
        <v>0</v>
      </c>
      <c r="AY45" s="92">
        <f t="shared" si="13"/>
        <v>0</v>
      </c>
      <c r="AZ45" s="92">
        <f t="shared" si="13"/>
        <v>0</v>
      </c>
      <c r="BA45" s="95">
        <f t="shared" si="14"/>
        <v>0</v>
      </c>
      <c r="BB45" s="96"/>
      <c r="BC45"/>
    </row>
    <row r="46" spans="1:55" ht="15" customHeight="1" thickBot="1" x14ac:dyDescent="0.3">
      <c r="A46" s="102" t="s">
        <v>82</v>
      </c>
      <c r="B46" s="124"/>
      <c r="C46" s="87"/>
      <c r="D46" s="132">
        <f>SUM(D47:D51)</f>
        <v>0</v>
      </c>
      <c r="E46" s="129">
        <f>SUM(E47:E51)</f>
        <v>0</v>
      </c>
      <c r="F46" s="129">
        <f>SUM(F47:F51)</f>
        <v>0</v>
      </c>
      <c r="G46" s="129"/>
      <c r="H46" s="131">
        <f>SUM(H47:H51)</f>
        <v>0</v>
      </c>
      <c r="I46" s="131">
        <f>SUM(I47:I51)</f>
        <v>0</v>
      </c>
      <c r="J46" s="88"/>
      <c r="K46" s="130"/>
      <c r="L46" s="130"/>
      <c r="M46" s="129">
        <f>SUM(M47:M51)</f>
        <v>0</v>
      </c>
      <c r="N46" s="129">
        <f t="shared" ref="N46:AP46" si="18">SUM(N47:N51)</f>
        <v>0</v>
      </c>
      <c r="O46" s="129">
        <f t="shared" si="18"/>
        <v>0</v>
      </c>
      <c r="P46" s="129">
        <f t="shared" si="18"/>
        <v>0</v>
      </c>
      <c r="Q46" s="129">
        <f t="shared" si="18"/>
        <v>0</v>
      </c>
      <c r="R46" s="129">
        <f t="shared" si="18"/>
        <v>0</v>
      </c>
      <c r="S46" s="129">
        <f t="shared" si="18"/>
        <v>0</v>
      </c>
      <c r="T46" s="129">
        <f t="shared" si="18"/>
        <v>0</v>
      </c>
      <c r="U46" s="129">
        <f t="shared" si="18"/>
        <v>0</v>
      </c>
      <c r="V46" s="129">
        <f t="shared" si="18"/>
        <v>0</v>
      </c>
      <c r="W46" s="129">
        <f t="shared" si="18"/>
        <v>0</v>
      </c>
      <c r="X46" s="129">
        <f t="shared" si="18"/>
        <v>0</v>
      </c>
      <c r="Y46" s="129">
        <f t="shared" si="18"/>
        <v>0</v>
      </c>
      <c r="Z46" s="129">
        <f t="shared" si="18"/>
        <v>0</v>
      </c>
      <c r="AA46" s="129">
        <f t="shared" si="18"/>
        <v>0</v>
      </c>
      <c r="AB46" s="129">
        <f t="shared" si="18"/>
        <v>0</v>
      </c>
      <c r="AC46" s="129">
        <f t="shared" si="18"/>
        <v>0</v>
      </c>
      <c r="AD46" s="129">
        <f t="shared" si="18"/>
        <v>0</v>
      </c>
      <c r="AE46" s="129">
        <f t="shared" si="18"/>
        <v>0</v>
      </c>
      <c r="AF46" s="129">
        <f t="shared" si="18"/>
        <v>0</v>
      </c>
      <c r="AG46" s="129">
        <f t="shared" si="18"/>
        <v>0</v>
      </c>
      <c r="AH46" s="129">
        <f t="shared" si="18"/>
        <v>0</v>
      </c>
      <c r="AI46" s="129">
        <f t="shared" si="18"/>
        <v>0</v>
      </c>
      <c r="AJ46" s="129">
        <f t="shared" si="18"/>
        <v>0</v>
      </c>
      <c r="AK46" s="129">
        <f t="shared" si="18"/>
        <v>0</v>
      </c>
      <c r="AL46" s="129">
        <f t="shared" si="18"/>
        <v>0</v>
      </c>
      <c r="AM46" s="129">
        <f t="shared" si="18"/>
        <v>0</v>
      </c>
      <c r="AN46" s="129">
        <f t="shared" si="18"/>
        <v>0</v>
      </c>
      <c r="AO46" s="129">
        <f t="shared" si="18"/>
        <v>0</v>
      </c>
      <c r="AP46" s="129">
        <f t="shared" si="18"/>
        <v>0</v>
      </c>
      <c r="AQ46" s="129">
        <f t="shared" si="2"/>
        <v>0</v>
      </c>
      <c r="AR46" s="129">
        <f t="shared" si="12"/>
        <v>0</v>
      </c>
      <c r="AS46" s="129"/>
      <c r="AT46" s="129">
        <f>SUM(AT47:AT51)</f>
        <v>0</v>
      </c>
      <c r="AU46" s="131">
        <f t="shared" si="3"/>
        <v>0</v>
      </c>
      <c r="AV46" s="131">
        <f t="shared" si="4"/>
        <v>0</v>
      </c>
      <c r="AW46" s="131">
        <f t="shared" si="5"/>
        <v>0</v>
      </c>
      <c r="AX46" s="131">
        <f t="shared" si="6"/>
        <v>0</v>
      </c>
      <c r="AY46" s="131">
        <f t="shared" si="13"/>
        <v>0</v>
      </c>
      <c r="AZ46" s="131">
        <f t="shared" si="13"/>
        <v>0</v>
      </c>
      <c r="BA46" s="129">
        <f t="shared" si="14"/>
        <v>0</v>
      </c>
      <c r="BB46" s="99"/>
      <c r="BC46"/>
    </row>
    <row r="47" spans="1:55" ht="15" customHeight="1" x14ac:dyDescent="0.25">
      <c r="A47" s="97" t="s">
        <v>46</v>
      </c>
      <c r="B47" s="123" t="s">
        <v>141</v>
      </c>
      <c r="C47" s="115">
        <v>28</v>
      </c>
      <c r="D47" s="121">
        <f>AT47*AU47*AW47</f>
        <v>0</v>
      </c>
      <c r="E47" s="17">
        <f>ROUND(AT47*AV47*AX47,4)</f>
        <v>0</v>
      </c>
      <c r="F47" s="81"/>
      <c r="G47" s="81"/>
      <c r="H47" s="82"/>
      <c r="I47" s="82"/>
      <c r="J47" s="14" t="s">
        <v>55</v>
      </c>
      <c r="K47" s="84"/>
      <c r="L47" s="84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>
        <f t="shared" si="2"/>
        <v>0</v>
      </c>
      <c r="AR47" s="16">
        <f t="shared" si="12"/>
        <v>0</v>
      </c>
      <c r="AS47" s="16"/>
      <c r="AT47" s="16"/>
      <c r="AU47" s="82">
        <f t="shared" si="3"/>
        <v>0</v>
      </c>
      <c r="AV47" s="82">
        <f t="shared" si="4"/>
        <v>0</v>
      </c>
      <c r="AW47" s="82">
        <f t="shared" si="5"/>
        <v>0</v>
      </c>
      <c r="AX47" s="82">
        <f t="shared" si="6"/>
        <v>0</v>
      </c>
      <c r="AY47" s="92">
        <f t="shared" si="13"/>
        <v>0</v>
      </c>
      <c r="AZ47" s="92">
        <f t="shared" si="13"/>
        <v>0</v>
      </c>
      <c r="BA47" s="95">
        <f t="shared" si="14"/>
        <v>0</v>
      </c>
      <c r="BB47" s="86"/>
      <c r="BC47"/>
    </row>
    <row r="48" spans="1:55" ht="15" customHeight="1" thickBot="1" x14ac:dyDescent="0.3">
      <c r="A48" s="71" t="s">
        <v>45</v>
      </c>
      <c r="B48" s="123" t="s">
        <v>142</v>
      </c>
      <c r="C48" s="112">
        <v>33</v>
      </c>
      <c r="D48" s="121">
        <f>AT48*AU48*AW48</f>
        <v>0</v>
      </c>
      <c r="E48" s="17">
        <f>ROUND(AT48*AV48*AX48,4)</f>
        <v>0</v>
      </c>
      <c r="F48" s="19"/>
      <c r="G48" s="19"/>
      <c r="H48" s="18"/>
      <c r="I48" s="18"/>
      <c r="J48" s="7" t="s">
        <v>55</v>
      </c>
      <c r="K48" s="20"/>
      <c r="L48" s="20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7">
        <f t="shared" si="2"/>
        <v>0</v>
      </c>
      <c r="AR48" s="16">
        <f t="shared" si="12"/>
        <v>0</v>
      </c>
      <c r="AS48" s="16"/>
      <c r="AT48" s="16"/>
      <c r="AU48" s="82">
        <f t="shared" si="3"/>
        <v>0</v>
      </c>
      <c r="AV48" s="82">
        <f t="shared" si="4"/>
        <v>0</v>
      </c>
      <c r="AW48" s="82">
        <f t="shared" si="5"/>
        <v>0</v>
      </c>
      <c r="AX48" s="82">
        <f t="shared" si="6"/>
        <v>0</v>
      </c>
      <c r="AY48" s="92">
        <f t="shared" si="13"/>
        <v>0</v>
      </c>
      <c r="AZ48" s="92">
        <f t="shared" si="13"/>
        <v>0</v>
      </c>
      <c r="BA48" s="95">
        <f t="shared" si="14"/>
        <v>0</v>
      </c>
      <c r="BB48" s="75"/>
      <c r="BC48"/>
    </row>
    <row r="49" spans="1:55" ht="15" hidden="1" customHeight="1" x14ac:dyDescent="0.25">
      <c r="A49" s="72" t="s">
        <v>48</v>
      </c>
      <c r="B49" s="111"/>
      <c r="C49" s="111">
        <v>35</v>
      </c>
      <c r="D49" s="120">
        <f t="shared" ref="D49:D51" si="19">AS49*AW49*AU49</f>
        <v>0</v>
      </c>
      <c r="E49" s="15">
        <f t="shared" si="15"/>
        <v>0</v>
      </c>
      <c r="F49" s="19"/>
      <c r="G49" s="19"/>
      <c r="H49" s="18"/>
      <c r="I49" s="18"/>
      <c r="J49" s="7" t="s">
        <v>55</v>
      </c>
      <c r="K49" s="20"/>
      <c r="L49" s="20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7">
        <f t="shared" si="2"/>
        <v>0</v>
      </c>
      <c r="AR49" s="16">
        <f t="shared" si="12"/>
        <v>0</v>
      </c>
      <c r="AS49" s="15"/>
      <c r="AT49" s="15"/>
      <c r="AU49" s="92">
        <f t="shared" si="3"/>
        <v>0</v>
      </c>
      <c r="AV49" s="92">
        <f t="shared" si="4"/>
        <v>0</v>
      </c>
      <c r="AW49" s="92">
        <f t="shared" si="5"/>
        <v>0</v>
      </c>
      <c r="AX49" s="92">
        <f t="shared" si="6"/>
        <v>0</v>
      </c>
      <c r="AY49" s="92">
        <f t="shared" si="13"/>
        <v>0</v>
      </c>
      <c r="AZ49" s="92">
        <f t="shared" si="13"/>
        <v>0</v>
      </c>
      <c r="BA49" s="95">
        <f t="shared" si="14"/>
        <v>0</v>
      </c>
      <c r="BB49" s="75"/>
      <c r="BC49"/>
    </row>
    <row r="50" spans="1:55" ht="15" hidden="1" customHeight="1" x14ac:dyDescent="0.25">
      <c r="A50" s="72" t="s">
        <v>47</v>
      </c>
      <c r="B50" s="111"/>
      <c r="C50" s="111">
        <v>36</v>
      </c>
      <c r="D50" s="120">
        <f t="shared" si="19"/>
        <v>0</v>
      </c>
      <c r="E50" s="15">
        <f t="shared" si="15"/>
        <v>0</v>
      </c>
      <c r="F50" s="19"/>
      <c r="G50" s="19"/>
      <c r="H50" s="18"/>
      <c r="I50" s="18"/>
      <c r="J50" s="7" t="s">
        <v>55</v>
      </c>
      <c r="K50" s="20"/>
      <c r="L50" s="20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7">
        <f t="shared" si="2"/>
        <v>0</v>
      </c>
      <c r="AR50" s="16">
        <f t="shared" si="12"/>
        <v>0</v>
      </c>
      <c r="AS50" s="15"/>
      <c r="AT50" s="15"/>
      <c r="AU50" s="92">
        <f t="shared" si="3"/>
        <v>0</v>
      </c>
      <c r="AV50" s="92">
        <f t="shared" si="4"/>
        <v>0</v>
      </c>
      <c r="AW50" s="92">
        <f t="shared" si="5"/>
        <v>0</v>
      </c>
      <c r="AX50" s="92">
        <f t="shared" si="6"/>
        <v>0</v>
      </c>
      <c r="AY50" s="92">
        <f t="shared" si="13"/>
        <v>0</v>
      </c>
      <c r="AZ50" s="92">
        <f t="shared" si="13"/>
        <v>0</v>
      </c>
      <c r="BA50" s="95">
        <f t="shared" si="14"/>
        <v>0</v>
      </c>
      <c r="BB50" s="75"/>
      <c r="BC50"/>
    </row>
    <row r="51" spans="1:55" ht="15" hidden="1" customHeight="1" thickBot="1" x14ac:dyDescent="0.3">
      <c r="A51" s="100" t="s">
        <v>64</v>
      </c>
      <c r="B51" s="116"/>
      <c r="C51" s="116">
        <v>37</v>
      </c>
      <c r="D51" s="121">
        <f t="shared" si="19"/>
        <v>0</v>
      </c>
      <c r="E51" s="16">
        <f t="shared" si="15"/>
        <v>0</v>
      </c>
      <c r="F51" s="91"/>
      <c r="G51" s="91"/>
      <c r="H51" s="92"/>
      <c r="I51" s="92"/>
      <c r="J51" s="13" t="s">
        <v>55</v>
      </c>
      <c r="K51" s="94"/>
      <c r="L51" s="94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7">
        <f t="shared" si="2"/>
        <v>0</v>
      </c>
      <c r="AR51" s="16">
        <f t="shared" si="12"/>
        <v>0</v>
      </c>
      <c r="AS51" s="16"/>
      <c r="AT51" s="16"/>
      <c r="AU51" s="92">
        <f t="shared" si="3"/>
        <v>0</v>
      </c>
      <c r="AV51" s="92">
        <f t="shared" si="4"/>
        <v>0</v>
      </c>
      <c r="AW51" s="92">
        <f t="shared" si="5"/>
        <v>0</v>
      </c>
      <c r="AX51" s="92">
        <f t="shared" si="6"/>
        <v>0</v>
      </c>
      <c r="AY51" s="92">
        <f t="shared" si="13"/>
        <v>0</v>
      </c>
      <c r="AZ51" s="92">
        <f t="shared" si="13"/>
        <v>0</v>
      </c>
      <c r="BA51" s="95">
        <f t="shared" si="14"/>
        <v>0</v>
      </c>
      <c r="BB51" s="96"/>
      <c r="BC51"/>
    </row>
    <row r="52" spans="1:55" ht="15" customHeight="1" thickBot="1" x14ac:dyDescent="0.3">
      <c r="A52" s="102" t="s">
        <v>49</v>
      </c>
      <c r="B52" s="124"/>
      <c r="C52" s="87"/>
      <c r="D52" s="132">
        <f>SUM(D53:D54)</f>
        <v>0</v>
      </c>
      <c r="E52" s="129">
        <f>SUM(E53:E54)</f>
        <v>0</v>
      </c>
      <c r="F52" s="129">
        <f>SUM(F53:F54)</f>
        <v>0</v>
      </c>
      <c r="G52" s="129"/>
      <c r="H52" s="131">
        <f>SUM(H53:H54)</f>
        <v>0</v>
      </c>
      <c r="I52" s="131">
        <f>SUM(I53:I54)</f>
        <v>0</v>
      </c>
      <c r="J52" s="88"/>
      <c r="K52" s="130"/>
      <c r="L52" s="130"/>
      <c r="M52" s="129">
        <f>SUM(M53:M54)</f>
        <v>0</v>
      </c>
      <c r="N52" s="129">
        <f t="shared" ref="N52:AP52" si="20">SUM(N53:N54)</f>
        <v>0</v>
      </c>
      <c r="O52" s="129">
        <f t="shared" si="20"/>
        <v>0</v>
      </c>
      <c r="P52" s="129">
        <f t="shared" si="20"/>
        <v>0</v>
      </c>
      <c r="Q52" s="129">
        <f t="shared" si="20"/>
        <v>0</v>
      </c>
      <c r="R52" s="129">
        <f t="shared" si="20"/>
        <v>0</v>
      </c>
      <c r="S52" s="129">
        <f t="shared" si="20"/>
        <v>0</v>
      </c>
      <c r="T52" s="129">
        <f t="shared" si="20"/>
        <v>0</v>
      </c>
      <c r="U52" s="129">
        <f t="shared" si="20"/>
        <v>0</v>
      </c>
      <c r="V52" s="129">
        <f t="shared" si="20"/>
        <v>0</v>
      </c>
      <c r="W52" s="129">
        <f t="shared" si="20"/>
        <v>0</v>
      </c>
      <c r="X52" s="129">
        <f t="shared" si="20"/>
        <v>0</v>
      </c>
      <c r="Y52" s="129">
        <f t="shared" si="20"/>
        <v>0</v>
      </c>
      <c r="Z52" s="129">
        <f t="shared" si="20"/>
        <v>0</v>
      </c>
      <c r="AA52" s="129">
        <f t="shared" si="20"/>
        <v>0</v>
      </c>
      <c r="AB52" s="129">
        <f t="shared" si="20"/>
        <v>0</v>
      </c>
      <c r="AC52" s="129">
        <f t="shared" si="20"/>
        <v>0</v>
      </c>
      <c r="AD52" s="129">
        <f t="shared" si="20"/>
        <v>0</v>
      </c>
      <c r="AE52" s="129">
        <f t="shared" si="20"/>
        <v>0</v>
      </c>
      <c r="AF52" s="129">
        <f t="shared" si="20"/>
        <v>0</v>
      </c>
      <c r="AG52" s="129">
        <f t="shared" si="20"/>
        <v>0</v>
      </c>
      <c r="AH52" s="129">
        <f t="shared" si="20"/>
        <v>0</v>
      </c>
      <c r="AI52" s="129">
        <f t="shared" si="20"/>
        <v>0</v>
      </c>
      <c r="AJ52" s="129">
        <f t="shared" si="20"/>
        <v>0</v>
      </c>
      <c r="AK52" s="129">
        <f t="shared" si="20"/>
        <v>0</v>
      </c>
      <c r="AL52" s="129">
        <f t="shared" si="20"/>
        <v>0</v>
      </c>
      <c r="AM52" s="129">
        <f t="shared" si="20"/>
        <v>0</v>
      </c>
      <c r="AN52" s="129">
        <f t="shared" si="20"/>
        <v>0</v>
      </c>
      <c r="AO52" s="129">
        <f t="shared" si="20"/>
        <v>0</v>
      </c>
      <c r="AP52" s="129">
        <f t="shared" si="20"/>
        <v>0</v>
      </c>
      <c r="AQ52" s="129">
        <f t="shared" si="2"/>
        <v>0</v>
      </c>
      <c r="AR52" s="129">
        <f t="shared" si="12"/>
        <v>0</v>
      </c>
      <c r="AS52" s="129"/>
      <c r="AT52" s="129">
        <f>SUM(AT53:AT54)</f>
        <v>0</v>
      </c>
      <c r="AU52" s="131">
        <f t="shared" si="3"/>
        <v>0</v>
      </c>
      <c r="AV52" s="131">
        <f t="shared" si="4"/>
        <v>0</v>
      </c>
      <c r="AW52" s="131">
        <f t="shared" si="5"/>
        <v>0</v>
      </c>
      <c r="AX52" s="131">
        <f t="shared" si="6"/>
        <v>0</v>
      </c>
      <c r="AY52" s="131">
        <f t="shared" si="13"/>
        <v>0</v>
      </c>
      <c r="AZ52" s="131">
        <f t="shared" si="13"/>
        <v>0</v>
      </c>
      <c r="BA52" s="129">
        <f t="shared" si="14"/>
        <v>0</v>
      </c>
      <c r="BB52" s="99"/>
      <c r="BC52"/>
    </row>
    <row r="53" spans="1:55" ht="15" customHeight="1" x14ac:dyDescent="0.25">
      <c r="A53" s="97" t="s">
        <v>51</v>
      </c>
      <c r="B53" s="123" t="s">
        <v>143</v>
      </c>
      <c r="C53" s="115">
        <v>4</v>
      </c>
      <c r="D53" s="121">
        <f>AT53*AU53*AW53</f>
        <v>0</v>
      </c>
      <c r="E53" s="17">
        <f>ROUND(AT53*AV53*AX53,4)</f>
        <v>0</v>
      </c>
      <c r="F53" s="81"/>
      <c r="G53" s="81"/>
      <c r="H53" s="82"/>
      <c r="I53" s="82"/>
      <c r="J53" s="14" t="s">
        <v>83</v>
      </c>
      <c r="K53" s="84"/>
      <c r="L53" s="84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>
        <f t="shared" si="2"/>
        <v>0</v>
      </c>
      <c r="AR53" s="16">
        <f t="shared" si="12"/>
        <v>0</v>
      </c>
      <c r="AS53" s="16"/>
      <c r="AT53" s="16"/>
      <c r="AU53" s="82">
        <f t="shared" si="3"/>
        <v>0</v>
      </c>
      <c r="AV53" s="82">
        <f t="shared" si="4"/>
        <v>0</v>
      </c>
      <c r="AW53" s="82">
        <f t="shared" si="5"/>
        <v>0</v>
      </c>
      <c r="AX53" s="82">
        <f t="shared" si="6"/>
        <v>0</v>
      </c>
      <c r="AY53" s="92">
        <f t="shared" si="13"/>
        <v>0</v>
      </c>
      <c r="AZ53" s="92">
        <f t="shared" si="13"/>
        <v>0</v>
      </c>
      <c r="BA53" s="95">
        <f t="shared" si="14"/>
        <v>0</v>
      </c>
      <c r="BB53" s="86"/>
      <c r="BC53"/>
    </row>
    <row r="54" spans="1:55" ht="15" customHeight="1" thickBot="1" x14ac:dyDescent="0.3">
      <c r="A54" s="104" t="s">
        <v>50</v>
      </c>
      <c r="B54" s="123" t="s">
        <v>153</v>
      </c>
      <c r="C54" s="117">
        <v>5</v>
      </c>
      <c r="D54" s="121">
        <f>AT54*AU54*AW54</f>
        <v>0</v>
      </c>
      <c r="E54" s="17">
        <f>ROUND(AT54*AV54*AX54,4)</f>
        <v>0</v>
      </c>
      <c r="F54" s="91"/>
      <c r="G54" s="91"/>
      <c r="H54" s="92"/>
      <c r="I54" s="92"/>
      <c r="J54" s="13" t="s">
        <v>83</v>
      </c>
      <c r="K54" s="94"/>
      <c r="L54" s="94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7">
        <f t="shared" si="2"/>
        <v>0</v>
      </c>
      <c r="AR54" s="16">
        <f t="shared" si="12"/>
        <v>0</v>
      </c>
      <c r="AS54" s="16"/>
      <c r="AT54" s="16"/>
      <c r="AU54" s="82">
        <f t="shared" si="3"/>
        <v>0</v>
      </c>
      <c r="AV54" s="82">
        <f t="shared" si="4"/>
        <v>0</v>
      </c>
      <c r="AW54" s="82">
        <f t="shared" si="5"/>
        <v>0</v>
      </c>
      <c r="AX54" s="82">
        <f t="shared" si="6"/>
        <v>0</v>
      </c>
      <c r="AY54" s="92">
        <f t="shared" si="13"/>
        <v>0</v>
      </c>
      <c r="AZ54" s="92">
        <f t="shared" si="13"/>
        <v>0</v>
      </c>
      <c r="BA54" s="95">
        <f t="shared" si="14"/>
        <v>0</v>
      </c>
      <c r="BB54" s="96"/>
      <c r="BC54"/>
    </row>
    <row r="55" spans="1:55" ht="15" customHeight="1" thickBot="1" x14ac:dyDescent="0.3">
      <c r="A55" s="87" t="s">
        <v>52</v>
      </c>
      <c r="B55" s="124"/>
      <c r="C55" s="87"/>
      <c r="D55" s="132">
        <f>SUM(D56:D61)</f>
        <v>0</v>
      </c>
      <c r="E55" s="129">
        <f>SUM(E56:E61)</f>
        <v>0</v>
      </c>
      <c r="F55" s="129">
        <f>SUM(F56:F61)</f>
        <v>0</v>
      </c>
      <c r="G55" s="129"/>
      <c r="H55" s="131"/>
      <c r="I55" s="131"/>
      <c r="J55" s="88"/>
      <c r="K55" s="130"/>
      <c r="L55" s="130"/>
      <c r="M55" s="129">
        <f>SUM(M56:M61)</f>
        <v>0</v>
      </c>
      <c r="N55" s="129">
        <f t="shared" ref="N55:AP55" si="21">SUM(N56:N61)</f>
        <v>0</v>
      </c>
      <c r="O55" s="129">
        <f t="shared" si="21"/>
        <v>0</v>
      </c>
      <c r="P55" s="129">
        <f t="shared" si="21"/>
        <v>0</v>
      </c>
      <c r="Q55" s="129">
        <f t="shared" si="21"/>
        <v>0</v>
      </c>
      <c r="R55" s="129">
        <f t="shared" si="21"/>
        <v>0</v>
      </c>
      <c r="S55" s="129">
        <f t="shared" si="21"/>
        <v>0</v>
      </c>
      <c r="T55" s="129">
        <f t="shared" si="21"/>
        <v>0</v>
      </c>
      <c r="U55" s="129">
        <f t="shared" si="21"/>
        <v>0</v>
      </c>
      <c r="V55" s="129">
        <f t="shared" si="21"/>
        <v>0</v>
      </c>
      <c r="W55" s="129">
        <f t="shared" si="21"/>
        <v>0</v>
      </c>
      <c r="X55" s="129">
        <f t="shared" si="21"/>
        <v>0</v>
      </c>
      <c r="Y55" s="129">
        <f t="shared" si="21"/>
        <v>0</v>
      </c>
      <c r="Z55" s="129">
        <f t="shared" si="21"/>
        <v>0</v>
      </c>
      <c r="AA55" s="129">
        <f t="shared" si="21"/>
        <v>0</v>
      </c>
      <c r="AB55" s="129">
        <f t="shared" si="21"/>
        <v>0</v>
      </c>
      <c r="AC55" s="129">
        <f t="shared" si="21"/>
        <v>0</v>
      </c>
      <c r="AD55" s="129">
        <f t="shared" si="21"/>
        <v>0</v>
      </c>
      <c r="AE55" s="129">
        <f t="shared" si="21"/>
        <v>0</v>
      </c>
      <c r="AF55" s="129">
        <f t="shared" si="21"/>
        <v>0</v>
      </c>
      <c r="AG55" s="129">
        <f t="shared" si="21"/>
        <v>0</v>
      </c>
      <c r="AH55" s="129">
        <f t="shared" si="21"/>
        <v>0</v>
      </c>
      <c r="AI55" s="129">
        <f t="shared" si="21"/>
        <v>0</v>
      </c>
      <c r="AJ55" s="129">
        <f t="shared" si="21"/>
        <v>0</v>
      </c>
      <c r="AK55" s="129">
        <f t="shared" si="21"/>
        <v>0</v>
      </c>
      <c r="AL55" s="129">
        <f t="shared" si="21"/>
        <v>0</v>
      </c>
      <c r="AM55" s="129">
        <f t="shared" si="21"/>
        <v>0</v>
      </c>
      <c r="AN55" s="129">
        <f t="shared" si="21"/>
        <v>0</v>
      </c>
      <c r="AO55" s="129">
        <f t="shared" si="21"/>
        <v>0</v>
      </c>
      <c r="AP55" s="129">
        <f t="shared" si="21"/>
        <v>0</v>
      </c>
      <c r="AQ55" s="129">
        <f t="shared" si="2"/>
        <v>0</v>
      </c>
      <c r="AR55" s="129">
        <f t="shared" si="12"/>
        <v>0</v>
      </c>
      <c r="AS55" s="129"/>
      <c r="AT55" s="129">
        <f>SUM(AT56:AT61)</f>
        <v>0</v>
      </c>
      <c r="AU55" s="131">
        <f t="shared" si="3"/>
        <v>0</v>
      </c>
      <c r="AV55" s="131">
        <f t="shared" si="4"/>
        <v>0</v>
      </c>
      <c r="AW55" s="131">
        <f t="shared" si="5"/>
        <v>0</v>
      </c>
      <c r="AX55" s="131">
        <f t="shared" si="6"/>
        <v>0</v>
      </c>
      <c r="AY55" s="131">
        <f t="shared" si="13"/>
        <v>0</v>
      </c>
      <c r="AZ55" s="131">
        <f t="shared" si="13"/>
        <v>0</v>
      </c>
      <c r="BA55" s="129">
        <f t="shared" si="14"/>
        <v>0</v>
      </c>
      <c r="BB55" s="99"/>
      <c r="BC55"/>
    </row>
    <row r="56" spans="1:55" ht="15" customHeight="1" x14ac:dyDescent="0.25">
      <c r="A56" s="145" t="s">
        <v>53</v>
      </c>
      <c r="B56" s="147" t="s">
        <v>144</v>
      </c>
      <c r="C56" s="146">
        <v>15</v>
      </c>
      <c r="D56" s="121">
        <f>AT56*AU56*AW56</f>
        <v>0</v>
      </c>
      <c r="E56" s="17">
        <f>ROUND(AT56*AV56*AX56,4)</f>
        <v>0</v>
      </c>
      <c r="F56" s="81"/>
      <c r="G56" s="81"/>
      <c r="H56" s="82"/>
      <c r="I56" s="82"/>
      <c r="J56" s="14" t="s">
        <v>55</v>
      </c>
      <c r="K56" s="84"/>
      <c r="L56" s="84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>
        <f t="shared" si="2"/>
        <v>0</v>
      </c>
      <c r="AR56" s="16">
        <f t="shared" si="12"/>
        <v>0</v>
      </c>
      <c r="AS56" s="16"/>
      <c r="AT56" s="16"/>
      <c r="AU56" s="82">
        <f t="shared" si="3"/>
        <v>0</v>
      </c>
      <c r="AV56" s="82">
        <f t="shared" si="4"/>
        <v>0</v>
      </c>
      <c r="AW56" s="82">
        <f t="shared" si="5"/>
        <v>0</v>
      </c>
      <c r="AX56" s="82">
        <f t="shared" si="6"/>
        <v>0</v>
      </c>
      <c r="AY56" s="92">
        <f t="shared" si="13"/>
        <v>0</v>
      </c>
      <c r="AZ56" s="92">
        <f t="shared" si="13"/>
        <v>0</v>
      </c>
      <c r="BA56" s="95">
        <f t="shared" si="14"/>
        <v>0</v>
      </c>
      <c r="BB56" s="86"/>
      <c r="BC56"/>
    </row>
    <row r="57" spans="1:55" ht="15" customHeight="1" x14ac:dyDescent="0.25">
      <c r="A57" s="71" t="s">
        <v>54</v>
      </c>
      <c r="B57" s="123" t="s">
        <v>145</v>
      </c>
      <c r="C57" s="112">
        <v>16</v>
      </c>
      <c r="D57" s="121">
        <f>AT57*AU57*AW57</f>
        <v>0</v>
      </c>
      <c r="E57" s="17">
        <f t="shared" ref="E57:E61" si="22">ROUND(AT57*AV57*AX57,4)</f>
        <v>0</v>
      </c>
      <c r="F57" s="19"/>
      <c r="G57" s="19"/>
      <c r="H57" s="18"/>
      <c r="I57" s="18"/>
      <c r="J57" s="7" t="s">
        <v>55</v>
      </c>
      <c r="K57" s="20"/>
      <c r="L57" s="20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7">
        <f t="shared" si="2"/>
        <v>0</v>
      </c>
      <c r="AR57" s="16">
        <f t="shared" si="12"/>
        <v>0</v>
      </c>
      <c r="AS57" s="16"/>
      <c r="AT57" s="16"/>
      <c r="AU57" s="82">
        <f t="shared" si="3"/>
        <v>0</v>
      </c>
      <c r="AV57" s="82">
        <f t="shared" si="4"/>
        <v>0</v>
      </c>
      <c r="AW57" s="82">
        <f t="shared" si="5"/>
        <v>0</v>
      </c>
      <c r="AX57" s="82">
        <f t="shared" si="6"/>
        <v>0</v>
      </c>
      <c r="AY57" s="92">
        <f t="shared" si="13"/>
        <v>0</v>
      </c>
      <c r="AZ57" s="92">
        <f t="shared" si="13"/>
        <v>0</v>
      </c>
      <c r="BA57" s="95">
        <f t="shared" si="14"/>
        <v>0</v>
      </c>
      <c r="BB57" s="75"/>
      <c r="BC57"/>
    </row>
    <row r="58" spans="1:55" ht="15" customHeight="1" x14ac:dyDescent="0.25">
      <c r="A58" s="73" t="s">
        <v>124</v>
      </c>
      <c r="B58" s="123" t="s">
        <v>146</v>
      </c>
      <c r="C58" s="113">
        <v>26</v>
      </c>
      <c r="D58" s="121">
        <f>AT58*AU58*AW58</f>
        <v>0</v>
      </c>
      <c r="E58" s="17">
        <f t="shared" si="22"/>
        <v>0</v>
      </c>
      <c r="F58" s="19"/>
      <c r="G58" s="19"/>
      <c r="H58" s="18"/>
      <c r="I58" s="18"/>
      <c r="J58" s="7" t="s">
        <v>55</v>
      </c>
      <c r="K58" s="20"/>
      <c r="L58" s="20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7">
        <f t="shared" si="2"/>
        <v>0</v>
      </c>
      <c r="AR58" s="16">
        <f t="shared" si="12"/>
        <v>0</v>
      </c>
      <c r="AS58" s="16"/>
      <c r="AT58" s="16"/>
      <c r="AU58" s="82">
        <f t="shared" si="3"/>
        <v>0</v>
      </c>
      <c r="AV58" s="82">
        <f t="shared" si="4"/>
        <v>0</v>
      </c>
      <c r="AW58" s="82">
        <f t="shared" si="5"/>
        <v>0</v>
      </c>
      <c r="AX58" s="82">
        <f t="shared" si="6"/>
        <v>0</v>
      </c>
      <c r="AY58" s="92">
        <f t="shared" si="13"/>
        <v>0</v>
      </c>
      <c r="AZ58" s="92">
        <f t="shared" si="13"/>
        <v>0</v>
      </c>
      <c r="BA58" s="95">
        <f t="shared" si="14"/>
        <v>0</v>
      </c>
      <c r="BB58" s="75"/>
      <c r="BC58"/>
    </row>
    <row r="59" spans="1:55" ht="15" customHeight="1" x14ac:dyDescent="0.25">
      <c r="A59" s="73" t="s">
        <v>125</v>
      </c>
      <c r="B59" s="123" t="s">
        <v>147</v>
      </c>
      <c r="C59" s="112">
        <v>30</v>
      </c>
      <c r="D59" s="121">
        <f t="shared" ref="D59:D61" si="23">AT59*AU59*AW59</f>
        <v>0</v>
      </c>
      <c r="E59" s="17">
        <f t="shared" si="22"/>
        <v>0</v>
      </c>
      <c r="F59" s="19"/>
      <c r="G59" s="19"/>
      <c r="H59" s="18"/>
      <c r="I59" s="18"/>
      <c r="J59" s="7" t="s">
        <v>55</v>
      </c>
      <c r="K59" s="20"/>
      <c r="L59" s="20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7">
        <f t="shared" si="2"/>
        <v>0</v>
      </c>
      <c r="AR59" s="16">
        <f t="shared" si="12"/>
        <v>0</v>
      </c>
      <c r="AS59" s="16"/>
      <c r="AT59" s="16"/>
      <c r="AU59" s="82">
        <f t="shared" si="3"/>
        <v>0</v>
      </c>
      <c r="AV59" s="82">
        <f t="shared" si="4"/>
        <v>0</v>
      </c>
      <c r="AW59" s="82">
        <f t="shared" si="5"/>
        <v>0</v>
      </c>
      <c r="AX59" s="82">
        <f t="shared" si="6"/>
        <v>0</v>
      </c>
      <c r="AY59" s="92">
        <f t="shared" si="13"/>
        <v>0</v>
      </c>
      <c r="AZ59" s="92">
        <f t="shared" si="13"/>
        <v>0</v>
      </c>
      <c r="BA59" s="95">
        <f t="shared" si="14"/>
        <v>0</v>
      </c>
      <c r="BB59" s="75"/>
      <c r="BC59"/>
    </row>
    <row r="60" spans="1:55" ht="15" customHeight="1" x14ac:dyDescent="0.25">
      <c r="A60" s="73" t="s">
        <v>151</v>
      </c>
      <c r="B60" s="148" t="s">
        <v>150</v>
      </c>
      <c r="C60" s="112">
        <v>32</v>
      </c>
      <c r="D60" s="121">
        <f t="shared" si="23"/>
        <v>0</v>
      </c>
      <c r="E60" s="17">
        <f t="shared" si="22"/>
        <v>0</v>
      </c>
      <c r="F60" s="19"/>
      <c r="G60" s="19"/>
      <c r="H60" s="18"/>
      <c r="I60" s="18"/>
      <c r="J60" s="7" t="s">
        <v>55</v>
      </c>
      <c r="K60" s="20"/>
      <c r="L60" s="20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7">
        <f t="shared" si="2"/>
        <v>0</v>
      </c>
      <c r="AR60" s="16">
        <f t="shared" si="12"/>
        <v>0</v>
      </c>
      <c r="AS60" s="16"/>
      <c r="AT60" s="16"/>
      <c r="AU60" s="82">
        <f t="shared" si="3"/>
        <v>0</v>
      </c>
      <c r="AV60" s="82">
        <f t="shared" si="4"/>
        <v>0</v>
      </c>
      <c r="AW60" s="82">
        <f t="shared" si="5"/>
        <v>0</v>
      </c>
      <c r="AX60" s="82">
        <f t="shared" si="6"/>
        <v>0</v>
      </c>
      <c r="AY60" s="92">
        <f t="shared" si="13"/>
        <v>0</v>
      </c>
      <c r="AZ60" s="92">
        <f t="shared" si="13"/>
        <v>0</v>
      </c>
      <c r="BA60" s="95">
        <f t="shared" si="14"/>
        <v>0</v>
      </c>
      <c r="BB60" s="75"/>
      <c r="BC60"/>
    </row>
    <row r="61" spans="1:55" ht="15" customHeight="1" thickBot="1" x14ac:dyDescent="0.3">
      <c r="A61" s="143" t="s">
        <v>152</v>
      </c>
      <c r="B61" s="125" t="s">
        <v>154</v>
      </c>
      <c r="C61" s="144">
        <v>24</v>
      </c>
      <c r="D61" s="122">
        <f t="shared" si="23"/>
        <v>0</v>
      </c>
      <c r="E61" s="149">
        <f t="shared" si="22"/>
        <v>0</v>
      </c>
      <c r="F61" s="64"/>
      <c r="G61" s="64"/>
      <c r="H61" s="65"/>
      <c r="I61" s="65"/>
      <c r="J61" s="66" t="s">
        <v>55</v>
      </c>
      <c r="K61" s="67"/>
      <c r="L61" s="67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149">
        <f t="shared" si="2"/>
        <v>0</v>
      </c>
      <c r="AR61" s="63">
        <f t="shared" si="12"/>
        <v>0</v>
      </c>
      <c r="AS61" s="63"/>
      <c r="AT61" s="63"/>
      <c r="AU61" s="150">
        <f t="shared" si="3"/>
        <v>0</v>
      </c>
      <c r="AV61" s="150">
        <f t="shared" si="4"/>
        <v>0</v>
      </c>
      <c r="AW61" s="150">
        <f t="shared" si="5"/>
        <v>0</v>
      </c>
      <c r="AX61" s="150">
        <f t="shared" si="6"/>
        <v>0</v>
      </c>
      <c r="AY61" s="65">
        <f t="shared" si="13"/>
        <v>0</v>
      </c>
      <c r="AZ61" s="65">
        <f t="shared" si="13"/>
        <v>0</v>
      </c>
      <c r="BA61" s="151">
        <f t="shared" si="14"/>
        <v>0</v>
      </c>
      <c r="BB61" s="76"/>
      <c r="BC61"/>
    </row>
    <row r="62" spans="1:55" x14ac:dyDescent="0.25">
      <c r="C62" s="2"/>
      <c r="D62" s="3"/>
      <c r="F62" s="2"/>
      <c r="G62" s="2"/>
      <c r="H62" s="1"/>
      <c r="I62" s="1"/>
      <c r="M62" s="5"/>
      <c r="O62" s="4"/>
      <c r="P62" s="5"/>
      <c r="Q62" s="5"/>
      <c r="U62" s="2"/>
      <c r="V62" s="2"/>
      <c r="W62" s="2"/>
      <c r="X62" s="2"/>
      <c r="Y62" s="1"/>
      <c r="Z62" s="1"/>
      <c r="AA62" s="1"/>
      <c r="AB62" s="1"/>
    </row>
    <row r="63" spans="1:55" x14ac:dyDescent="0.25">
      <c r="A63" s="10"/>
      <c r="B63" s="10"/>
      <c r="C63" s="10"/>
      <c r="D63" s="3"/>
      <c r="F63" s="2"/>
      <c r="G63" s="2"/>
      <c r="H63" s="1"/>
      <c r="I63" s="1"/>
      <c r="M63" s="5"/>
      <c r="O63" s="4"/>
      <c r="P63" s="5"/>
      <c r="Q63" s="5"/>
      <c r="U63" s="2"/>
      <c r="V63" s="2"/>
      <c r="W63" s="2"/>
      <c r="X63" s="2"/>
      <c r="Y63" s="1"/>
      <c r="Z63" s="1"/>
      <c r="AA63" s="1"/>
      <c r="AB63" s="1"/>
    </row>
    <row r="64" spans="1:55" x14ac:dyDescent="0.2">
      <c r="A64" s="6" t="s">
        <v>126</v>
      </c>
      <c r="B64" s="6"/>
      <c r="C64" s="6"/>
      <c r="D64" s="6"/>
      <c r="F64" s="2"/>
      <c r="G64" s="2"/>
      <c r="H64" s="1"/>
      <c r="I64" s="1"/>
      <c r="M64" s="5"/>
      <c r="O64" s="4"/>
      <c r="P64" s="5"/>
      <c r="Q64" s="5"/>
      <c r="U64" s="2"/>
      <c r="V64" s="2"/>
      <c r="W64" s="2"/>
      <c r="X64" s="2"/>
      <c r="Y64" s="1"/>
      <c r="Z64" s="1"/>
      <c r="AA64" s="1"/>
      <c r="AB64" s="1"/>
    </row>
    <row r="65" spans="1:28" x14ac:dyDescent="0.2">
      <c r="A65" s="6"/>
      <c r="B65" s="6"/>
      <c r="C65" s="6"/>
      <c r="D65" s="6"/>
      <c r="F65" s="2"/>
      <c r="G65" s="2"/>
      <c r="H65" s="1"/>
      <c r="I65" s="1"/>
      <c r="M65" s="5"/>
      <c r="O65" s="4"/>
      <c r="P65" s="5"/>
      <c r="Q65" s="5"/>
      <c r="U65" s="2"/>
      <c r="V65" s="2"/>
      <c r="W65" s="2"/>
      <c r="X65" s="2"/>
      <c r="Y65" s="1"/>
      <c r="Z65" s="1"/>
      <c r="AA65" s="1"/>
      <c r="AB65" s="1"/>
    </row>
    <row r="66" spans="1:28" x14ac:dyDescent="0.2">
      <c r="A66" s="6" t="s">
        <v>128</v>
      </c>
      <c r="B66" s="6"/>
      <c r="C66" s="6"/>
      <c r="D66" s="6"/>
      <c r="F66" s="2"/>
      <c r="G66" s="2"/>
      <c r="H66" s="1"/>
      <c r="I66" s="1"/>
      <c r="M66" s="5"/>
      <c r="O66" s="4"/>
      <c r="P66" s="5"/>
      <c r="Q66" s="5"/>
      <c r="U66" s="2"/>
      <c r="V66" s="2"/>
      <c r="W66" s="2"/>
      <c r="X66" s="2"/>
      <c r="Y66" s="1"/>
      <c r="Z66" s="1"/>
      <c r="AA66" s="1"/>
      <c r="AB66" s="1"/>
    </row>
    <row r="67" spans="1:28" x14ac:dyDescent="0.2">
      <c r="A67" s="6"/>
      <c r="B67" s="6"/>
      <c r="C67" s="6"/>
      <c r="D67" s="6"/>
      <c r="F67" s="2"/>
      <c r="G67" s="2"/>
      <c r="H67" s="1"/>
      <c r="I67" s="1"/>
      <c r="M67" s="5"/>
      <c r="O67" s="4"/>
      <c r="P67" s="5"/>
      <c r="Q67" s="5"/>
      <c r="U67" s="2"/>
      <c r="V67" s="2"/>
      <c r="W67" s="2"/>
      <c r="X67" s="2"/>
      <c r="Y67" s="1"/>
      <c r="Z67" s="1"/>
      <c r="AA67" s="1"/>
      <c r="AB67" s="1"/>
    </row>
    <row r="68" spans="1:28" x14ac:dyDescent="0.2">
      <c r="A68" s="6" t="s">
        <v>127</v>
      </c>
      <c r="B68" s="6"/>
      <c r="C68" s="6"/>
      <c r="D68" s="6"/>
      <c r="F68" s="2"/>
      <c r="G68" s="2"/>
      <c r="H68" s="1"/>
      <c r="I68" s="1"/>
      <c r="M68" s="5"/>
      <c r="O68" s="4"/>
      <c r="P68" s="5"/>
      <c r="Q68" s="5"/>
      <c r="U68" s="2"/>
      <c r="V68" s="2"/>
      <c r="W68" s="2"/>
      <c r="X68" s="2"/>
      <c r="Y68" s="1"/>
      <c r="Z68" s="1"/>
      <c r="AA68" s="1"/>
      <c r="AB68" s="1"/>
    </row>
    <row r="69" spans="1:28" x14ac:dyDescent="0.25">
      <c r="A69" s="10"/>
      <c r="B69" s="10"/>
    </row>
    <row r="72" spans="1:28" x14ac:dyDescent="0.25">
      <c r="A72" s="10"/>
      <c r="B72" s="10"/>
    </row>
    <row r="73" spans="1:28" x14ac:dyDescent="0.25">
      <c r="A73" s="10"/>
      <c r="B73" s="10"/>
    </row>
    <row r="74" spans="1:28" x14ac:dyDescent="0.25">
      <c r="A74" s="10"/>
      <c r="B74" s="10"/>
    </row>
    <row r="75" spans="1:28" x14ac:dyDescent="0.25">
      <c r="A75" s="10"/>
      <c r="B75" s="10"/>
    </row>
    <row r="76" spans="1:28" x14ac:dyDescent="0.25">
      <c r="A76" s="10"/>
      <c r="B76" s="10"/>
    </row>
    <row r="77" spans="1:28" x14ac:dyDescent="0.25">
      <c r="A77" s="10"/>
      <c r="B77" s="10"/>
    </row>
    <row r="78" spans="1:28" x14ac:dyDescent="0.25">
      <c r="A78" s="10"/>
      <c r="B78" s="10"/>
    </row>
    <row r="79" spans="1:28" x14ac:dyDescent="0.25">
      <c r="A79" s="10"/>
      <c r="B79" s="10"/>
    </row>
  </sheetData>
  <mergeCells count="32">
    <mergeCell ref="A7:BB7"/>
    <mergeCell ref="A9:BB9"/>
    <mergeCell ref="C12:C15"/>
    <mergeCell ref="D12:E14"/>
    <mergeCell ref="H12:I14"/>
    <mergeCell ref="J12:J15"/>
    <mergeCell ref="K12:L14"/>
    <mergeCell ref="M12:AP12"/>
    <mergeCell ref="AQ12:AR14"/>
    <mergeCell ref="AS12:AT14"/>
    <mergeCell ref="AU12:AV14"/>
    <mergeCell ref="AW12:AX14"/>
    <mergeCell ref="AY12:AZ14"/>
    <mergeCell ref="BA12:BA15"/>
    <mergeCell ref="BB12:BB15"/>
    <mergeCell ref="M13:AB13"/>
    <mergeCell ref="AC13:AP13"/>
    <mergeCell ref="AP14:AP15"/>
    <mergeCell ref="A12:A15"/>
    <mergeCell ref="B12:B15"/>
    <mergeCell ref="F12:G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J14"/>
    <mergeCell ref="AK14:AN14"/>
    <mergeCell ref="AO14:AO1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8"/>
  <sheetViews>
    <sheetView showZeros="0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9" sqref="A9:BB9"/>
    </sheetView>
  </sheetViews>
  <sheetFormatPr defaultRowHeight="14.25" x14ac:dyDescent="0.25"/>
  <cols>
    <col min="1" max="1" width="30.7109375" style="2" customWidth="1"/>
    <col min="2" max="2" width="10.7109375" style="2" customWidth="1"/>
    <col min="3" max="3" width="9.7109375" style="3" customWidth="1"/>
    <col min="4" max="5" width="9.7109375" style="2" customWidth="1"/>
    <col min="6" max="7" width="9.7109375" style="1" customWidth="1"/>
    <col min="8" max="9" width="9.7109375" style="5" customWidth="1"/>
    <col min="10" max="10" width="8.7109375" style="5" customWidth="1"/>
    <col min="11" max="12" width="14.7109375" style="5" customWidth="1"/>
    <col min="13" max="13" width="9.7109375" style="4" customWidth="1"/>
    <col min="14" max="15" width="9.7109375" style="5" customWidth="1"/>
    <col min="16" max="20" width="9.7109375" style="2" customWidth="1"/>
    <col min="21" max="24" width="9.7109375" style="1" customWidth="1"/>
    <col min="25" max="54" width="9.7109375" style="2" customWidth="1"/>
    <col min="55" max="16384" width="9.140625" style="2"/>
  </cols>
  <sheetData>
    <row r="1" spans="1:55" ht="12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/>
      <c r="AJ1"/>
      <c r="AK1"/>
      <c r="AL1"/>
      <c r="AM1"/>
    </row>
    <row r="2" spans="1:55" ht="12.75" customHeight="1" x14ac:dyDescent="0.25">
      <c r="A2" s="11" t="s">
        <v>134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X2" s="11" t="s">
        <v>56</v>
      </c>
      <c r="AY2"/>
      <c r="AZ2"/>
      <c r="BA2"/>
      <c r="BB2"/>
      <c r="BC2"/>
    </row>
    <row r="3" spans="1:55" s="6" customFormat="1" ht="12.75" customHeight="1" x14ac:dyDescent="0.25">
      <c r="A3" s="11" t="s">
        <v>57</v>
      </c>
      <c r="AX3" s="11" t="s">
        <v>65</v>
      </c>
      <c r="AY3"/>
      <c r="AZ3"/>
      <c r="BA3"/>
      <c r="BB3"/>
      <c r="BC3"/>
    </row>
    <row r="4" spans="1:55" s="6" customFormat="1" ht="12.75" customHeight="1" x14ac:dyDescent="0.25">
      <c r="AX4" s="24" t="s">
        <v>123</v>
      </c>
      <c r="AY4"/>
      <c r="AZ4"/>
      <c r="BA4"/>
      <c r="BB4"/>
      <c r="BC4"/>
    </row>
    <row r="5" spans="1:55" s="6" customFormat="1" ht="12.75" customHeight="1" x14ac:dyDescent="0.25">
      <c r="AY5"/>
      <c r="AZ5"/>
      <c r="BA5"/>
      <c r="BB5"/>
      <c r="BC5"/>
    </row>
    <row r="6" spans="1:55" s="6" customFormat="1" ht="15" x14ac:dyDescent="0.25">
      <c r="AX6" s="25" t="s">
        <v>85</v>
      </c>
      <c r="AY6"/>
      <c r="AZ6"/>
      <c r="BA6"/>
      <c r="BB6"/>
      <c r="BC6"/>
    </row>
    <row r="7" spans="1:55" s="6" customFormat="1" ht="15.75" customHeight="1" x14ac:dyDescent="0.2">
      <c r="A7" s="184" t="s">
        <v>58</v>
      </c>
      <c r="B7" s="184"/>
      <c r="C7" s="184"/>
      <c r="D7" s="184"/>
      <c r="E7" s="184"/>
      <c r="F7" s="184"/>
      <c r="G7" s="184"/>
      <c r="H7" s="184"/>
      <c r="I7" s="184"/>
      <c r="J7" s="184"/>
      <c r="K7" s="184"/>
      <c r="L7" s="184"/>
      <c r="M7" s="184"/>
      <c r="N7" s="184"/>
      <c r="O7" s="184"/>
      <c r="P7" s="184"/>
      <c r="Q7" s="184"/>
      <c r="R7" s="184"/>
      <c r="S7" s="184"/>
      <c r="T7" s="184"/>
      <c r="U7" s="184"/>
      <c r="V7" s="184"/>
      <c r="W7" s="184"/>
      <c r="X7" s="184"/>
      <c r="Y7" s="184"/>
      <c r="Z7" s="184"/>
      <c r="AA7" s="184"/>
      <c r="AB7" s="184"/>
      <c r="AC7" s="184"/>
      <c r="AD7" s="184"/>
      <c r="AE7" s="184"/>
      <c r="AF7" s="184"/>
      <c r="AG7" s="184"/>
      <c r="AH7" s="184"/>
      <c r="AI7" s="184"/>
      <c r="AJ7" s="184"/>
      <c r="AK7" s="184"/>
      <c r="AL7" s="184"/>
      <c r="AM7" s="184"/>
      <c r="AN7" s="184"/>
      <c r="AO7" s="184"/>
      <c r="AP7" s="184"/>
      <c r="AQ7" s="184"/>
      <c r="AR7" s="184"/>
      <c r="AS7" s="184"/>
      <c r="AT7" s="184"/>
      <c r="AU7" s="184"/>
      <c r="AV7" s="184"/>
      <c r="AW7" s="184"/>
      <c r="AX7" s="184"/>
      <c r="AY7" s="184"/>
      <c r="AZ7" s="184"/>
      <c r="BA7" s="184"/>
      <c r="BB7" s="184"/>
      <c r="BC7" s="109"/>
    </row>
    <row r="8" spans="1:55" s="6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55" ht="15.75" x14ac:dyDescent="0.25">
      <c r="A9" s="185"/>
      <c r="B9" s="185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  <c r="Z9" s="185"/>
      <c r="AA9" s="185"/>
      <c r="AB9" s="185"/>
      <c r="AC9" s="185"/>
      <c r="AD9" s="185"/>
      <c r="AE9" s="185"/>
      <c r="AF9" s="185"/>
      <c r="AG9" s="185"/>
      <c r="AH9" s="185"/>
      <c r="AI9" s="185"/>
      <c r="AJ9" s="185"/>
      <c r="AK9" s="185"/>
      <c r="AL9" s="185"/>
      <c r="AM9" s="185"/>
      <c r="AN9" s="185"/>
      <c r="AO9" s="185"/>
      <c r="AP9" s="185"/>
      <c r="AQ9" s="185"/>
      <c r="AR9" s="185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08"/>
    </row>
    <row r="10" spans="1:55" s="6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55" ht="12.7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3"/>
      <c r="L11" s="2"/>
      <c r="M11" s="2"/>
      <c r="N11" s="2"/>
      <c r="O11" s="2"/>
      <c r="U11" s="2"/>
      <c r="V11" s="2"/>
      <c r="W11" s="2"/>
      <c r="X11" s="2"/>
    </row>
    <row r="12" spans="1:55" ht="14.25" customHeight="1" x14ac:dyDescent="0.25">
      <c r="A12" s="160" t="s">
        <v>2</v>
      </c>
      <c r="B12" s="163" t="s">
        <v>129</v>
      </c>
      <c r="C12" s="163" t="s">
        <v>3</v>
      </c>
      <c r="D12" s="166" t="s">
        <v>60</v>
      </c>
      <c r="E12" s="155"/>
      <c r="F12" s="154" t="s">
        <v>131</v>
      </c>
      <c r="G12" s="155"/>
      <c r="H12" s="154" t="s">
        <v>1</v>
      </c>
      <c r="I12" s="155"/>
      <c r="J12" s="186" t="s">
        <v>135</v>
      </c>
      <c r="K12" s="154" t="s">
        <v>4</v>
      </c>
      <c r="L12" s="155"/>
      <c r="M12" s="175" t="s">
        <v>62</v>
      </c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  <c r="AA12" s="176"/>
      <c r="AB12" s="176"/>
      <c r="AC12" s="176"/>
      <c r="AD12" s="176"/>
      <c r="AE12" s="176"/>
      <c r="AF12" s="176"/>
      <c r="AG12" s="176"/>
      <c r="AH12" s="176"/>
      <c r="AI12" s="176"/>
      <c r="AJ12" s="176"/>
      <c r="AK12" s="176"/>
      <c r="AL12" s="176"/>
      <c r="AM12" s="176"/>
      <c r="AN12" s="176"/>
      <c r="AO12" s="176"/>
      <c r="AP12" s="177"/>
      <c r="AQ12" s="154" t="s">
        <v>69</v>
      </c>
      <c r="AR12" s="155"/>
      <c r="AS12" s="154" t="s">
        <v>59</v>
      </c>
      <c r="AT12" s="155"/>
      <c r="AU12" s="154" t="s">
        <v>70</v>
      </c>
      <c r="AV12" s="155"/>
      <c r="AW12" s="154" t="s">
        <v>71</v>
      </c>
      <c r="AX12" s="155"/>
      <c r="AY12" s="154" t="s">
        <v>72</v>
      </c>
      <c r="AZ12" s="155"/>
      <c r="BA12" s="182" t="s">
        <v>73</v>
      </c>
      <c r="BB12" s="179" t="s">
        <v>133</v>
      </c>
      <c r="BC12"/>
    </row>
    <row r="13" spans="1:55" ht="14.25" customHeight="1" x14ac:dyDescent="0.25">
      <c r="A13" s="161"/>
      <c r="B13" s="164"/>
      <c r="C13" s="164"/>
      <c r="D13" s="167"/>
      <c r="E13" s="157"/>
      <c r="F13" s="156"/>
      <c r="G13" s="157"/>
      <c r="H13" s="156"/>
      <c r="I13" s="157"/>
      <c r="J13" s="187"/>
      <c r="K13" s="156"/>
      <c r="L13" s="157"/>
      <c r="M13" s="152" t="s">
        <v>5</v>
      </c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  <c r="AA13" s="178"/>
      <c r="AB13" s="153"/>
      <c r="AC13" s="152" t="s">
        <v>6</v>
      </c>
      <c r="AD13" s="178"/>
      <c r="AE13" s="178"/>
      <c r="AF13" s="178"/>
      <c r="AG13" s="178"/>
      <c r="AH13" s="178"/>
      <c r="AI13" s="178"/>
      <c r="AJ13" s="178"/>
      <c r="AK13" s="178"/>
      <c r="AL13" s="178"/>
      <c r="AM13" s="178"/>
      <c r="AN13" s="178"/>
      <c r="AO13" s="178"/>
      <c r="AP13" s="153"/>
      <c r="AQ13" s="156"/>
      <c r="AR13" s="157"/>
      <c r="AS13" s="156"/>
      <c r="AT13" s="157"/>
      <c r="AU13" s="156"/>
      <c r="AV13" s="157"/>
      <c r="AW13" s="156"/>
      <c r="AX13" s="157"/>
      <c r="AY13" s="156"/>
      <c r="AZ13" s="157"/>
      <c r="BA13" s="183"/>
      <c r="BB13" s="180"/>
      <c r="BC13"/>
    </row>
    <row r="14" spans="1:55" ht="63.75" customHeight="1" x14ac:dyDescent="0.25">
      <c r="A14" s="161"/>
      <c r="B14" s="164"/>
      <c r="C14" s="164"/>
      <c r="D14" s="168"/>
      <c r="E14" s="159"/>
      <c r="F14" s="158"/>
      <c r="G14" s="159"/>
      <c r="H14" s="158"/>
      <c r="I14" s="159"/>
      <c r="J14" s="187"/>
      <c r="K14" s="158"/>
      <c r="L14" s="159"/>
      <c r="M14" s="152" t="s">
        <v>10</v>
      </c>
      <c r="N14" s="153"/>
      <c r="O14" s="152" t="s">
        <v>74</v>
      </c>
      <c r="P14" s="153"/>
      <c r="Q14" s="152" t="s">
        <v>75</v>
      </c>
      <c r="R14" s="153"/>
      <c r="S14" s="152" t="s">
        <v>86</v>
      </c>
      <c r="T14" s="153"/>
      <c r="U14" s="152" t="s">
        <v>136</v>
      </c>
      <c r="V14" s="153"/>
      <c r="W14" s="169" t="s">
        <v>132</v>
      </c>
      <c r="X14" s="170"/>
      <c r="Y14" s="152" t="s">
        <v>84</v>
      </c>
      <c r="Z14" s="153"/>
      <c r="AA14" s="152" t="s">
        <v>76</v>
      </c>
      <c r="AB14" s="153"/>
      <c r="AC14" s="152" t="s">
        <v>7</v>
      </c>
      <c r="AD14" s="178"/>
      <c r="AE14" s="178"/>
      <c r="AF14" s="178"/>
      <c r="AG14" s="178"/>
      <c r="AH14" s="178"/>
      <c r="AI14" s="178"/>
      <c r="AJ14" s="153"/>
      <c r="AK14" s="152" t="s">
        <v>8</v>
      </c>
      <c r="AL14" s="178"/>
      <c r="AM14" s="178"/>
      <c r="AN14" s="153"/>
      <c r="AO14" s="171" t="s">
        <v>77</v>
      </c>
      <c r="AP14" s="173" t="s">
        <v>18</v>
      </c>
      <c r="AQ14" s="158"/>
      <c r="AR14" s="159"/>
      <c r="AS14" s="158"/>
      <c r="AT14" s="159"/>
      <c r="AU14" s="158"/>
      <c r="AV14" s="159"/>
      <c r="AW14" s="158"/>
      <c r="AX14" s="159"/>
      <c r="AY14" s="158"/>
      <c r="AZ14" s="159"/>
      <c r="BA14" s="183"/>
      <c r="BB14" s="180"/>
      <c r="BC14"/>
    </row>
    <row r="15" spans="1:55" ht="38.25" customHeight="1" thickBot="1" x14ac:dyDescent="0.3">
      <c r="A15" s="162"/>
      <c r="B15" s="165"/>
      <c r="C15" s="165"/>
      <c r="D15" s="118" t="s">
        <v>61</v>
      </c>
      <c r="E15" s="77" t="s">
        <v>9</v>
      </c>
      <c r="F15" s="77" t="s">
        <v>11</v>
      </c>
      <c r="G15" s="77" t="s">
        <v>130</v>
      </c>
      <c r="H15" s="77" t="s">
        <v>0</v>
      </c>
      <c r="I15" s="77" t="s">
        <v>78</v>
      </c>
      <c r="J15" s="188"/>
      <c r="K15" s="77" t="s">
        <v>61</v>
      </c>
      <c r="L15" s="77" t="s">
        <v>9</v>
      </c>
      <c r="M15" s="77" t="s">
        <v>61</v>
      </c>
      <c r="N15" s="77" t="s">
        <v>9</v>
      </c>
      <c r="O15" s="77" t="s">
        <v>61</v>
      </c>
      <c r="P15" s="77" t="s">
        <v>9</v>
      </c>
      <c r="Q15" s="77" t="s">
        <v>61</v>
      </c>
      <c r="R15" s="77" t="s">
        <v>9</v>
      </c>
      <c r="S15" s="77" t="s">
        <v>61</v>
      </c>
      <c r="T15" s="77" t="s">
        <v>9</v>
      </c>
      <c r="U15" s="77" t="s">
        <v>61</v>
      </c>
      <c r="V15" s="77" t="s">
        <v>9</v>
      </c>
      <c r="W15" s="77" t="s">
        <v>61</v>
      </c>
      <c r="X15" s="77" t="s">
        <v>9</v>
      </c>
      <c r="Y15" s="77" t="s">
        <v>61</v>
      </c>
      <c r="Z15" s="77" t="s">
        <v>9</v>
      </c>
      <c r="AA15" s="77" t="s">
        <v>61</v>
      </c>
      <c r="AB15" s="77" t="s">
        <v>9</v>
      </c>
      <c r="AC15" s="77" t="s">
        <v>11</v>
      </c>
      <c r="AD15" s="77" t="s">
        <v>12</v>
      </c>
      <c r="AE15" s="77" t="s">
        <v>13</v>
      </c>
      <c r="AF15" s="77" t="s">
        <v>14</v>
      </c>
      <c r="AG15" s="77" t="s">
        <v>15</v>
      </c>
      <c r="AH15" s="77" t="s">
        <v>16</v>
      </c>
      <c r="AI15" s="107" t="s">
        <v>18</v>
      </c>
      <c r="AJ15" s="107" t="s">
        <v>17</v>
      </c>
      <c r="AK15" s="77" t="s">
        <v>19</v>
      </c>
      <c r="AL15" s="77" t="s">
        <v>20</v>
      </c>
      <c r="AM15" s="77" t="s">
        <v>21</v>
      </c>
      <c r="AN15" s="77" t="s">
        <v>22</v>
      </c>
      <c r="AO15" s="172"/>
      <c r="AP15" s="174"/>
      <c r="AQ15" s="77" t="s">
        <v>61</v>
      </c>
      <c r="AR15" s="77" t="s">
        <v>9</v>
      </c>
      <c r="AS15" s="77" t="s">
        <v>61</v>
      </c>
      <c r="AT15" s="77" t="s">
        <v>9</v>
      </c>
      <c r="AU15" s="77" t="s">
        <v>61</v>
      </c>
      <c r="AV15" s="77" t="s">
        <v>9</v>
      </c>
      <c r="AW15" s="77" t="s">
        <v>61</v>
      </c>
      <c r="AX15" s="77" t="s">
        <v>9</v>
      </c>
      <c r="AY15" s="77" t="s">
        <v>61</v>
      </c>
      <c r="AZ15" s="77" t="s">
        <v>9</v>
      </c>
      <c r="BA15" s="172"/>
      <c r="BB15" s="181"/>
      <c r="BC15"/>
    </row>
    <row r="16" spans="1:55" ht="15" customHeight="1" thickBot="1" x14ac:dyDescent="0.3">
      <c r="A16" s="106">
        <v>1</v>
      </c>
      <c r="B16" s="106">
        <v>2</v>
      </c>
      <c r="C16" s="106">
        <v>3</v>
      </c>
      <c r="D16" s="105">
        <v>4</v>
      </c>
      <c r="E16" s="78">
        <v>5</v>
      </c>
      <c r="F16" s="78">
        <v>6</v>
      </c>
      <c r="G16" s="78">
        <v>7</v>
      </c>
      <c r="H16" s="78">
        <v>8</v>
      </c>
      <c r="I16" s="78">
        <v>9</v>
      </c>
      <c r="J16" s="78">
        <v>10</v>
      </c>
      <c r="K16" s="78">
        <v>11</v>
      </c>
      <c r="L16" s="78">
        <v>12</v>
      </c>
      <c r="M16" s="78">
        <v>13</v>
      </c>
      <c r="N16" s="78">
        <v>14</v>
      </c>
      <c r="O16" s="78">
        <v>15</v>
      </c>
      <c r="P16" s="78">
        <v>16</v>
      </c>
      <c r="Q16" s="78">
        <v>17</v>
      </c>
      <c r="R16" s="78">
        <v>18</v>
      </c>
      <c r="S16" s="78">
        <v>19</v>
      </c>
      <c r="T16" s="78">
        <v>20</v>
      </c>
      <c r="U16" s="78">
        <v>21</v>
      </c>
      <c r="V16" s="78">
        <v>22</v>
      </c>
      <c r="W16" s="78">
        <v>23</v>
      </c>
      <c r="X16" s="78">
        <v>24</v>
      </c>
      <c r="Y16" s="78">
        <v>25</v>
      </c>
      <c r="Z16" s="78">
        <v>26</v>
      </c>
      <c r="AA16" s="78">
        <v>27</v>
      </c>
      <c r="AB16" s="78">
        <v>28</v>
      </c>
      <c r="AC16" s="78">
        <v>29</v>
      </c>
      <c r="AD16" s="78">
        <v>30</v>
      </c>
      <c r="AE16" s="78">
        <v>31</v>
      </c>
      <c r="AF16" s="78">
        <v>32</v>
      </c>
      <c r="AG16" s="78">
        <v>33</v>
      </c>
      <c r="AH16" s="78">
        <v>34</v>
      </c>
      <c r="AI16" s="78">
        <v>35</v>
      </c>
      <c r="AJ16" s="78">
        <v>36</v>
      </c>
      <c r="AK16" s="78">
        <v>37</v>
      </c>
      <c r="AL16" s="78">
        <v>38</v>
      </c>
      <c r="AM16" s="78">
        <v>39</v>
      </c>
      <c r="AN16" s="78">
        <v>40</v>
      </c>
      <c r="AO16" s="78">
        <v>41</v>
      </c>
      <c r="AP16" s="78">
        <v>42</v>
      </c>
      <c r="AQ16" s="78">
        <v>43</v>
      </c>
      <c r="AR16" s="78">
        <v>44</v>
      </c>
      <c r="AS16" s="78">
        <v>45</v>
      </c>
      <c r="AT16" s="78">
        <v>46</v>
      </c>
      <c r="AU16" s="78">
        <v>47</v>
      </c>
      <c r="AV16" s="78">
        <v>48</v>
      </c>
      <c r="AW16" s="78">
        <v>49</v>
      </c>
      <c r="AX16" s="78">
        <v>50</v>
      </c>
      <c r="AY16" s="78">
        <v>51</v>
      </c>
      <c r="AZ16" s="78">
        <v>52</v>
      </c>
      <c r="BA16" s="78">
        <v>53</v>
      </c>
      <c r="BB16" s="79">
        <v>54</v>
      </c>
      <c r="BC16"/>
    </row>
    <row r="17" spans="1:55" ht="15" customHeight="1" thickBot="1" x14ac:dyDescent="0.3">
      <c r="A17" s="87" t="s">
        <v>79</v>
      </c>
      <c r="B17" s="87"/>
      <c r="C17" s="87"/>
      <c r="D17" s="132">
        <f>AT17*AW17*AU17</f>
        <v>0</v>
      </c>
      <c r="E17" s="129">
        <f>ROUND(AT17*AV17*AX17,4)</f>
        <v>0</v>
      </c>
      <c r="F17" s="129"/>
      <c r="G17" s="129"/>
      <c r="H17" s="131">
        <f>SUM(H18:H23)</f>
        <v>0</v>
      </c>
      <c r="I17" s="131">
        <f>SUM(I18:I23)</f>
        <v>0</v>
      </c>
      <c r="J17" s="88"/>
      <c r="K17" s="130">
        <f>SUM(K18:K23)</f>
        <v>0</v>
      </c>
      <c r="L17" s="130">
        <f>SUM(L18:L23)</f>
        <v>0</v>
      </c>
      <c r="M17" s="129">
        <f>SUM(M18:M23)</f>
        <v>0</v>
      </c>
      <c r="N17" s="129">
        <f t="shared" ref="N17:AO17" si="0">SUM(N18:N23)</f>
        <v>0</v>
      </c>
      <c r="O17" s="129">
        <f t="shared" si="0"/>
        <v>0</v>
      </c>
      <c r="P17" s="129">
        <f t="shared" si="0"/>
        <v>0</v>
      </c>
      <c r="Q17" s="129">
        <f t="shared" si="0"/>
        <v>0</v>
      </c>
      <c r="R17" s="129">
        <f t="shared" si="0"/>
        <v>0</v>
      </c>
      <c r="S17" s="129">
        <f t="shared" si="0"/>
        <v>0</v>
      </c>
      <c r="T17" s="129">
        <f t="shared" si="0"/>
        <v>0</v>
      </c>
      <c r="U17" s="129">
        <f t="shared" si="0"/>
        <v>0</v>
      </c>
      <c r="V17" s="129">
        <f t="shared" si="0"/>
        <v>0</v>
      </c>
      <c r="W17" s="129">
        <f t="shared" si="0"/>
        <v>0</v>
      </c>
      <c r="X17" s="129">
        <f t="shared" si="0"/>
        <v>0</v>
      </c>
      <c r="Y17" s="129">
        <f t="shared" si="0"/>
        <v>0</v>
      </c>
      <c r="Z17" s="129">
        <f t="shared" si="0"/>
        <v>0</v>
      </c>
      <c r="AA17" s="129">
        <f t="shared" si="0"/>
        <v>0</v>
      </c>
      <c r="AB17" s="129">
        <f>SUM(AB18:AB23)</f>
        <v>0</v>
      </c>
      <c r="AC17" s="129">
        <f t="shared" si="0"/>
        <v>0</v>
      </c>
      <c r="AD17" s="129">
        <f t="shared" si="0"/>
        <v>0</v>
      </c>
      <c r="AE17" s="129">
        <f t="shared" si="0"/>
        <v>0</v>
      </c>
      <c r="AF17" s="129">
        <f t="shared" si="0"/>
        <v>0</v>
      </c>
      <c r="AG17" s="129">
        <f t="shared" si="0"/>
        <v>0</v>
      </c>
      <c r="AH17" s="129">
        <f t="shared" si="0"/>
        <v>0</v>
      </c>
      <c r="AI17" s="129">
        <f t="shared" si="0"/>
        <v>0</v>
      </c>
      <c r="AJ17" s="129">
        <f t="shared" si="0"/>
        <v>0</v>
      </c>
      <c r="AK17" s="129">
        <f t="shared" si="0"/>
        <v>0</v>
      </c>
      <c r="AL17" s="129">
        <f t="shared" si="0"/>
        <v>0</v>
      </c>
      <c r="AM17" s="129">
        <f t="shared" si="0"/>
        <v>0</v>
      </c>
      <c r="AN17" s="129">
        <f t="shared" si="0"/>
        <v>0</v>
      </c>
      <c r="AO17" s="129">
        <f t="shared" si="0"/>
        <v>0</v>
      </c>
      <c r="AP17" s="129">
        <f>SUM(AP18:AP23)</f>
        <v>0</v>
      </c>
      <c r="AQ17" s="129">
        <f>M17+O17+S17+U17+W17+AA17+Q17+Y17</f>
        <v>0</v>
      </c>
      <c r="AR17" s="129">
        <f>N17+P17+R17+AC17+AD17+AE17+AF17+AG17+AH17+AI17+AJ17+AK17+AL17+AM17+AN17+AO17+AP17+T17+V17+AB17+X17+Z17</f>
        <v>0</v>
      </c>
      <c r="AS17" s="129">
        <f>SUM(AS18:AS23)</f>
        <v>0</v>
      </c>
      <c r="AT17" s="129">
        <f>SUM(AT18:AT23)</f>
        <v>0</v>
      </c>
      <c r="AU17" s="131">
        <f>IF(AT17-AQ17=0,0,(AT17-M17-O17-Q17)/AT17)</f>
        <v>0</v>
      </c>
      <c r="AV17" s="131">
        <f>IF(AT17=0,0,(AT17-N17-P17-R17-AC17-AD17-AE17-AF17-AG17-AH17-AI17-AJ17-AL17)/AT17)</f>
        <v>0</v>
      </c>
      <c r="AW17" s="131">
        <f>IF(OR(AT17=0,AU17=0),0,((AT17*AU17)-S17-U17-W17-Y17-AA17)/(AT17*AU17))</f>
        <v>0</v>
      </c>
      <c r="AX17" s="131">
        <f>IF(OR(AT17=0,AV17=0),0,((AT17*AV17)-AK17-AM17-AN17-AO17-AP17-T17-V17-X17-Z17-AB17)/(AT17*AV17))</f>
        <v>0</v>
      </c>
      <c r="AY17" s="131">
        <f>IF(K17=0,0,K17/(D17-Y17)/24)</f>
        <v>0</v>
      </c>
      <c r="AZ17" s="131">
        <f t="shared" ref="AY17:AZ22" si="1">IF(L17=0,0,L17/(E17-Z17)/24)</f>
        <v>0</v>
      </c>
      <c r="BA17" s="129">
        <f>ROUND(AT17-E17-AR17,4)</f>
        <v>0</v>
      </c>
      <c r="BB17" s="89"/>
      <c r="BC17"/>
    </row>
    <row r="18" spans="1:55" ht="15" hidden="1" customHeight="1" x14ac:dyDescent="0.25">
      <c r="A18" s="80" t="s">
        <v>23</v>
      </c>
      <c r="B18" s="110">
        <v>22</v>
      </c>
      <c r="C18" s="110">
        <v>22</v>
      </c>
      <c r="D18" s="119">
        <f>AS18*AW18*AU18</f>
        <v>0</v>
      </c>
      <c r="E18" s="17">
        <f>ROUND(AS18*AV18*AX18,4)</f>
        <v>0</v>
      </c>
      <c r="F18" s="81"/>
      <c r="G18" s="81"/>
      <c r="H18" s="82"/>
      <c r="I18" s="82"/>
      <c r="J18" s="83" t="s">
        <v>55</v>
      </c>
      <c r="K18" s="84"/>
      <c r="L18" s="84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>
        <f t="shared" ref="AQ18:AQ61" si="2">M18+O18+S18+U18+W18+AA18+Q18+Y18</f>
        <v>0</v>
      </c>
      <c r="AR18" s="17">
        <f>N18+P18+R18+AC18+AD18+AE18+AF18+AG18+AH18+AI18+AJ18+AK18+AL18+AM18+AN18+AO18+AP18+T18+V18+AB18+X18+Z18</f>
        <v>0</v>
      </c>
      <c r="AS18" s="17">
        <f>AT18</f>
        <v>0</v>
      </c>
      <c r="AT18" s="17"/>
      <c r="AU18" s="18">
        <f t="shared" ref="AU18:AU61" si="3">IF(AT18-AQ18=0,0,(AT18-M18-O18-Q18)/AT18)</f>
        <v>0</v>
      </c>
      <c r="AV18" s="18">
        <f t="shared" ref="AV18:AV61" si="4">IF(AT18=0,0,(AT18-N18-P18-R18-AC18-AD18-AE18-AF18-AG18-AH18-AI18-AJ18-AL18)/AT18)</f>
        <v>0</v>
      </c>
      <c r="AW18" s="18">
        <f t="shared" ref="AW18:AW61" si="5">IF(OR(AT18=0,AU18=0),0,((AT18*AU18)-S18-U18-W18-Y18-AA18)/(AT18*AU18))</f>
        <v>0</v>
      </c>
      <c r="AX18" s="18">
        <f t="shared" ref="AX18:AX61" si="6">IF(OR(AT18=0,AV18=0),0,((AT18*AV18)-AK18-AM18-AN18-AO18-AP18-T18-V18-X18-Z18-AB18)/(AT18*AV18))</f>
        <v>0</v>
      </c>
      <c r="AY18" s="82">
        <f>IF(K18=0,0,K18/(D18-Y18)/24)</f>
        <v>0</v>
      </c>
      <c r="AZ18" s="82">
        <f t="shared" si="1"/>
        <v>0</v>
      </c>
      <c r="BA18" s="85">
        <f>ROUND(AS18-E18-AR18,4)</f>
        <v>0</v>
      </c>
      <c r="BB18" s="86"/>
      <c r="BC18"/>
    </row>
    <row r="19" spans="1:55" ht="15" hidden="1" customHeight="1" x14ac:dyDescent="0.25">
      <c r="A19" s="68" t="s">
        <v>24</v>
      </c>
      <c r="B19" s="111">
        <v>23</v>
      </c>
      <c r="C19" s="111">
        <v>23</v>
      </c>
      <c r="D19" s="119">
        <f t="shared" ref="D19:D23" si="7">AS19*AW19*AU19</f>
        <v>0</v>
      </c>
      <c r="E19" s="17">
        <f t="shared" ref="E19:E22" si="8">ROUND(AS19*AV19*AX19,4)</f>
        <v>0</v>
      </c>
      <c r="F19" s="19"/>
      <c r="G19" s="19"/>
      <c r="H19" s="18"/>
      <c r="I19" s="18"/>
      <c r="J19" s="8" t="s">
        <v>55</v>
      </c>
      <c r="K19" s="20"/>
      <c r="L19" s="20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7">
        <f t="shared" si="2"/>
        <v>0</v>
      </c>
      <c r="AR19" s="15">
        <f>N19+P19+R19+AC19+AD19+AE19+AF19+AG19+AH19+AI19+AJ19+AK19+AL19+AM19+AN19+AO19+AP19+T19+V19+AB19</f>
        <v>0</v>
      </c>
      <c r="AS19" s="17">
        <f t="shared" ref="AS19:AS23" si="9">AT19</f>
        <v>0</v>
      </c>
      <c r="AT19" s="15"/>
      <c r="AU19" s="18">
        <f t="shared" si="3"/>
        <v>0</v>
      </c>
      <c r="AV19" s="18">
        <f t="shared" si="4"/>
        <v>0</v>
      </c>
      <c r="AW19" s="18">
        <f t="shared" si="5"/>
        <v>0</v>
      </c>
      <c r="AX19" s="18">
        <f t="shared" si="6"/>
        <v>0</v>
      </c>
      <c r="AY19" s="18">
        <f t="shared" si="1"/>
        <v>0</v>
      </c>
      <c r="AZ19" s="18">
        <f t="shared" si="1"/>
        <v>0</v>
      </c>
      <c r="BA19" s="74">
        <f>ROUND(AS19-E19-AR19,4)</f>
        <v>0</v>
      </c>
      <c r="BB19" s="75"/>
      <c r="BC19"/>
    </row>
    <row r="20" spans="1:55" ht="15" hidden="1" customHeight="1" x14ac:dyDescent="0.25">
      <c r="A20" s="69" t="s">
        <v>25</v>
      </c>
      <c r="B20" s="112"/>
      <c r="C20" s="112">
        <v>24</v>
      </c>
      <c r="D20" s="119">
        <f t="shared" si="7"/>
        <v>0</v>
      </c>
      <c r="E20" s="17">
        <f t="shared" si="8"/>
        <v>0</v>
      </c>
      <c r="F20" s="19"/>
      <c r="G20" s="19"/>
      <c r="H20" s="18"/>
      <c r="I20" s="18"/>
      <c r="J20" s="8" t="s">
        <v>55</v>
      </c>
      <c r="K20" s="20"/>
      <c r="L20" s="20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7">
        <f t="shared" si="2"/>
        <v>0</v>
      </c>
      <c r="AR20" s="15">
        <f>N20+P20+R20+AC20+AD20+AE20+AF20+AG20+AH20+AI20+AJ20+AK20+AL20+AM20+AN20+AO20+AP20+T20+V20+AB20</f>
        <v>0</v>
      </c>
      <c r="AS20" s="17">
        <f t="shared" si="9"/>
        <v>0</v>
      </c>
      <c r="AT20" s="15"/>
      <c r="AU20" s="18">
        <f t="shared" si="3"/>
        <v>0</v>
      </c>
      <c r="AV20" s="18">
        <f t="shared" si="4"/>
        <v>0</v>
      </c>
      <c r="AW20" s="18">
        <f t="shared" si="5"/>
        <v>0</v>
      </c>
      <c r="AX20" s="18">
        <f t="shared" si="6"/>
        <v>0</v>
      </c>
      <c r="AY20" s="18">
        <f t="shared" si="1"/>
        <v>0</v>
      </c>
      <c r="AZ20" s="18">
        <f t="shared" si="1"/>
        <v>0</v>
      </c>
      <c r="BA20" s="74">
        <f t="shared" ref="BA20:BA22" si="10">ROUND(AS20-E20-AR20,4)</f>
        <v>0</v>
      </c>
      <c r="BB20" s="75"/>
      <c r="BC20"/>
    </row>
    <row r="21" spans="1:55" ht="15" hidden="1" customHeight="1" x14ac:dyDescent="0.25">
      <c r="A21" s="68" t="s">
        <v>26</v>
      </c>
      <c r="B21" s="111"/>
      <c r="C21" s="111">
        <v>24</v>
      </c>
      <c r="D21" s="119">
        <f t="shared" si="7"/>
        <v>0</v>
      </c>
      <c r="E21" s="17">
        <f t="shared" si="8"/>
        <v>0</v>
      </c>
      <c r="F21" s="19"/>
      <c r="G21" s="19"/>
      <c r="H21" s="18"/>
      <c r="I21" s="18"/>
      <c r="J21" s="8" t="s">
        <v>55</v>
      </c>
      <c r="K21" s="20"/>
      <c r="L21" s="20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7">
        <f t="shared" si="2"/>
        <v>0</v>
      </c>
      <c r="AR21" s="15">
        <f>N21+P21+R21+AC21+AD21+AE21+AF21+AG21+AH21+AI21+AJ21+AK21+AL21+AM21+AN21+AO21+AP21+T21+V21+AB21</f>
        <v>0</v>
      </c>
      <c r="AS21" s="17">
        <f>AT21</f>
        <v>0</v>
      </c>
      <c r="AT21" s="15"/>
      <c r="AU21" s="18">
        <f t="shared" si="3"/>
        <v>0</v>
      </c>
      <c r="AV21" s="18">
        <f t="shared" si="4"/>
        <v>0</v>
      </c>
      <c r="AW21" s="18">
        <f t="shared" si="5"/>
        <v>0</v>
      </c>
      <c r="AX21" s="18">
        <f t="shared" si="6"/>
        <v>0</v>
      </c>
      <c r="AY21" s="18">
        <f t="shared" si="1"/>
        <v>0</v>
      </c>
      <c r="AZ21" s="18">
        <f t="shared" si="1"/>
        <v>0</v>
      </c>
      <c r="BA21" s="74">
        <f t="shared" si="10"/>
        <v>0</v>
      </c>
      <c r="BB21" s="75"/>
      <c r="BC21"/>
    </row>
    <row r="22" spans="1:55" ht="15" hidden="1" customHeight="1" x14ac:dyDescent="0.25">
      <c r="A22" s="70" t="s">
        <v>63</v>
      </c>
      <c r="B22" s="113"/>
      <c r="C22" s="113">
        <v>25</v>
      </c>
      <c r="D22" s="119">
        <f t="shared" si="7"/>
        <v>0</v>
      </c>
      <c r="E22" s="17">
        <f t="shared" si="8"/>
        <v>0</v>
      </c>
      <c r="F22" s="19"/>
      <c r="G22" s="19"/>
      <c r="H22" s="18"/>
      <c r="I22" s="18"/>
      <c r="J22" s="8" t="s">
        <v>55</v>
      </c>
      <c r="K22" s="20"/>
      <c r="L22" s="20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7">
        <f t="shared" si="2"/>
        <v>0</v>
      </c>
      <c r="AR22" s="15">
        <f>N22+P22+R22+AC22+AD22+AE22+AF22+AG22+AH22+AI22+AJ22+AK22+AL22+AM22+AN22+AO22+AP22+T22+V22+AB22</f>
        <v>0</v>
      </c>
      <c r="AS22" s="17">
        <f t="shared" si="9"/>
        <v>0</v>
      </c>
      <c r="AT22" s="15"/>
      <c r="AU22" s="18">
        <f t="shared" si="3"/>
        <v>0</v>
      </c>
      <c r="AV22" s="18">
        <f t="shared" si="4"/>
        <v>0</v>
      </c>
      <c r="AW22" s="18">
        <f t="shared" si="5"/>
        <v>0</v>
      </c>
      <c r="AX22" s="18">
        <f t="shared" si="6"/>
        <v>0</v>
      </c>
      <c r="AY22" s="18">
        <f t="shared" si="1"/>
        <v>0</v>
      </c>
      <c r="AZ22" s="18">
        <f t="shared" si="1"/>
        <v>0</v>
      </c>
      <c r="BA22" s="74">
        <f t="shared" si="10"/>
        <v>0</v>
      </c>
      <c r="BB22" s="75"/>
      <c r="BC22"/>
    </row>
    <row r="23" spans="1:55" ht="15" customHeight="1" thickBot="1" x14ac:dyDescent="0.3">
      <c r="A23" s="90" t="s">
        <v>27</v>
      </c>
      <c r="B23" s="123" t="s">
        <v>148</v>
      </c>
      <c r="C23" s="114">
        <v>17</v>
      </c>
      <c r="D23" s="119">
        <f t="shared" si="7"/>
        <v>0</v>
      </c>
      <c r="E23" s="17">
        <f>ROUND(AT23*AV23*AX23,4)</f>
        <v>0</v>
      </c>
      <c r="F23" s="91"/>
      <c r="G23" s="91"/>
      <c r="H23" s="92"/>
      <c r="I23" s="92"/>
      <c r="J23" s="93" t="s">
        <v>55</v>
      </c>
      <c r="K23" s="94"/>
      <c r="L23" s="94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7">
        <f t="shared" si="2"/>
        <v>0</v>
      </c>
      <c r="AR23" s="16">
        <f>N23+P23+R23+AC23+AD23+AE23+AF23+AG23+AH23+AI23+AJ23+AK23+AL23+AM23+AN23+AO23+AP23+T23+V23+X23+Z23+AB23</f>
        <v>0</v>
      </c>
      <c r="AS23" s="17">
        <f t="shared" si="9"/>
        <v>0</v>
      </c>
      <c r="AT23" s="16"/>
      <c r="AU23" s="82">
        <f t="shared" si="3"/>
        <v>0</v>
      </c>
      <c r="AV23" s="82">
        <f t="shared" si="4"/>
        <v>0</v>
      </c>
      <c r="AW23" s="82">
        <f t="shared" si="5"/>
        <v>0</v>
      </c>
      <c r="AX23" s="82">
        <f t="shared" si="6"/>
        <v>0</v>
      </c>
      <c r="AY23" s="92">
        <f>IF(D23=0,0,K23/D23/24)</f>
        <v>0</v>
      </c>
      <c r="AZ23" s="92">
        <f>IF(E23=0,0,L23/E23/24)</f>
        <v>0</v>
      </c>
      <c r="BA23" s="95">
        <f>ROUND(AT23-E23-AR23,4)</f>
        <v>0</v>
      </c>
      <c r="BB23" s="96"/>
      <c r="BC23"/>
    </row>
    <row r="24" spans="1:55" ht="15" customHeight="1" thickBot="1" x14ac:dyDescent="0.3">
      <c r="A24" s="87" t="s">
        <v>80</v>
      </c>
      <c r="B24" s="124"/>
      <c r="C24" s="87"/>
      <c r="D24" s="132">
        <f>AT24*AW24*AU24</f>
        <v>0</v>
      </c>
      <c r="E24" s="129">
        <f>SUM(E26:E27)</f>
        <v>0</v>
      </c>
      <c r="F24" s="129">
        <f>SUM(F25:F41)</f>
        <v>0</v>
      </c>
      <c r="G24" s="129"/>
      <c r="H24" s="131">
        <f>SUM(H25:H41)</f>
        <v>0</v>
      </c>
      <c r="I24" s="131">
        <f>SUM(I25:I41)</f>
        <v>0</v>
      </c>
      <c r="J24" s="88"/>
      <c r="K24" s="130">
        <f>SUM(K25:K41)</f>
        <v>0</v>
      </c>
      <c r="L24" s="130">
        <f>SUM(L25:L41)</f>
        <v>0</v>
      </c>
      <c r="M24" s="129">
        <f>SUM(M25:M41)</f>
        <v>0</v>
      </c>
      <c r="N24" s="129">
        <f t="shared" ref="N24:AO24" si="11">SUM(N25:N41)</f>
        <v>0</v>
      </c>
      <c r="O24" s="129">
        <f t="shared" si="11"/>
        <v>0</v>
      </c>
      <c r="P24" s="129">
        <f t="shared" si="11"/>
        <v>0</v>
      </c>
      <c r="Q24" s="129">
        <f t="shared" si="11"/>
        <v>0</v>
      </c>
      <c r="R24" s="129">
        <f t="shared" si="11"/>
        <v>0</v>
      </c>
      <c r="S24" s="129">
        <f t="shared" si="11"/>
        <v>0</v>
      </c>
      <c r="T24" s="129">
        <f t="shared" si="11"/>
        <v>0</v>
      </c>
      <c r="U24" s="129">
        <f t="shared" si="11"/>
        <v>0</v>
      </c>
      <c r="V24" s="129">
        <f t="shared" si="11"/>
        <v>0</v>
      </c>
      <c r="W24" s="129">
        <f t="shared" si="11"/>
        <v>0</v>
      </c>
      <c r="X24" s="129">
        <f t="shared" si="11"/>
        <v>0</v>
      </c>
      <c r="Y24" s="129">
        <f t="shared" si="11"/>
        <v>0</v>
      </c>
      <c r="Z24" s="129">
        <f t="shared" si="11"/>
        <v>0</v>
      </c>
      <c r="AA24" s="129">
        <f t="shared" si="11"/>
        <v>0</v>
      </c>
      <c r="AB24" s="129">
        <f t="shared" si="11"/>
        <v>0</v>
      </c>
      <c r="AC24" s="129">
        <f t="shared" si="11"/>
        <v>0</v>
      </c>
      <c r="AD24" s="129">
        <f t="shared" si="11"/>
        <v>0</v>
      </c>
      <c r="AE24" s="129">
        <f t="shared" si="11"/>
        <v>0</v>
      </c>
      <c r="AF24" s="129">
        <f t="shared" si="11"/>
        <v>0</v>
      </c>
      <c r="AG24" s="129">
        <f t="shared" si="11"/>
        <v>0</v>
      </c>
      <c r="AH24" s="129">
        <f t="shared" si="11"/>
        <v>0</v>
      </c>
      <c r="AI24" s="129">
        <f t="shared" si="11"/>
        <v>0</v>
      </c>
      <c r="AJ24" s="129">
        <f t="shared" si="11"/>
        <v>0</v>
      </c>
      <c r="AK24" s="129">
        <f t="shared" si="11"/>
        <v>0</v>
      </c>
      <c r="AL24" s="129">
        <f t="shared" si="11"/>
        <v>0</v>
      </c>
      <c r="AM24" s="129">
        <f t="shared" si="11"/>
        <v>0</v>
      </c>
      <c r="AN24" s="129">
        <f t="shared" si="11"/>
        <v>0</v>
      </c>
      <c r="AO24" s="129">
        <f t="shared" si="11"/>
        <v>0</v>
      </c>
      <c r="AP24" s="129">
        <f>SUM(AP25:AP41)</f>
        <v>0</v>
      </c>
      <c r="AQ24" s="129">
        <f t="shared" si="2"/>
        <v>0</v>
      </c>
      <c r="AR24" s="129">
        <f t="shared" ref="AR24:AR61" si="12">N24+P24+R24+AC24+AD24+AE24+AF24+AG24+AH24+AI24+AJ24+AK24+AL24+AM24+AN24+AO24+AP24+T24+V24+X24+Z24+AB24</f>
        <v>0</v>
      </c>
      <c r="AS24" s="129">
        <f>SUM(AS25:AS41)</f>
        <v>0</v>
      </c>
      <c r="AT24" s="129">
        <f>SUM(AT25:AT41)</f>
        <v>0</v>
      </c>
      <c r="AU24" s="131">
        <f t="shared" si="3"/>
        <v>0</v>
      </c>
      <c r="AV24" s="131">
        <f t="shared" si="4"/>
        <v>0</v>
      </c>
      <c r="AW24" s="131">
        <f t="shared" si="5"/>
        <v>0</v>
      </c>
      <c r="AX24" s="131">
        <f t="shared" si="6"/>
        <v>0</v>
      </c>
      <c r="AY24" s="131">
        <f t="shared" ref="AY24:AZ61" si="13">IF(D24=0,0,K24/D24/24)</f>
        <v>0</v>
      </c>
      <c r="AZ24" s="131">
        <f t="shared" si="13"/>
        <v>0</v>
      </c>
      <c r="BA24" s="129">
        <f t="shared" ref="BA24:BA61" si="14">ROUND(AT24-E24-AR24,4)</f>
        <v>0</v>
      </c>
      <c r="BB24" s="99"/>
      <c r="BC24"/>
    </row>
    <row r="25" spans="1:55" ht="15" hidden="1" customHeight="1" x14ac:dyDescent="0.25">
      <c r="A25" s="97" t="s">
        <v>28</v>
      </c>
      <c r="B25" s="115"/>
      <c r="C25" s="115">
        <v>30</v>
      </c>
      <c r="D25" s="121">
        <f>AT25*AU25*AW25</f>
        <v>0</v>
      </c>
      <c r="E25" s="15">
        <f t="shared" ref="E25:E51" si="15">ROUND(AS25*AV25*AX25,4)</f>
        <v>0</v>
      </c>
      <c r="F25" s="81"/>
      <c r="G25" s="81"/>
      <c r="H25" s="82"/>
      <c r="I25" s="82"/>
      <c r="J25" s="98" t="s">
        <v>68</v>
      </c>
      <c r="K25" s="84"/>
      <c r="L25" s="84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>
        <f t="shared" si="2"/>
        <v>0</v>
      </c>
      <c r="AR25" s="16">
        <f t="shared" si="12"/>
        <v>0</v>
      </c>
      <c r="AS25" s="17"/>
      <c r="AT25" s="17"/>
      <c r="AU25" s="92">
        <f t="shared" si="3"/>
        <v>0</v>
      </c>
      <c r="AV25" s="92">
        <f t="shared" si="4"/>
        <v>0</v>
      </c>
      <c r="AW25" s="92">
        <f t="shared" si="5"/>
        <v>0</v>
      </c>
      <c r="AX25" s="92">
        <f t="shared" si="6"/>
        <v>0</v>
      </c>
      <c r="AY25" s="92">
        <f t="shared" si="13"/>
        <v>0</v>
      </c>
      <c r="AZ25" s="92">
        <f t="shared" si="13"/>
        <v>0</v>
      </c>
      <c r="BA25" s="95">
        <f t="shared" si="14"/>
        <v>0</v>
      </c>
      <c r="BB25" s="86"/>
      <c r="BC25"/>
    </row>
    <row r="26" spans="1:55" ht="15" customHeight="1" x14ac:dyDescent="0.25">
      <c r="A26" s="71" t="s">
        <v>29</v>
      </c>
      <c r="B26" s="123" t="s">
        <v>137</v>
      </c>
      <c r="C26" s="112">
        <v>32</v>
      </c>
      <c r="D26" s="121">
        <f>AT26*AU26*AW26</f>
        <v>0</v>
      </c>
      <c r="E26" s="15">
        <f>ROUND(AT26*AV26*AX26,4)</f>
        <v>0</v>
      </c>
      <c r="F26" s="19"/>
      <c r="G26" s="19"/>
      <c r="H26" s="18"/>
      <c r="I26" s="18"/>
      <c r="J26" s="9" t="s">
        <v>68</v>
      </c>
      <c r="K26" s="20"/>
      <c r="L26" s="20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7">
        <f t="shared" si="2"/>
        <v>0</v>
      </c>
      <c r="AR26" s="16">
        <f t="shared" si="12"/>
        <v>0</v>
      </c>
      <c r="AS26" s="16"/>
      <c r="AT26" s="16"/>
      <c r="AU26" s="92">
        <f t="shared" si="3"/>
        <v>0</v>
      </c>
      <c r="AV26" s="92">
        <f t="shared" si="4"/>
        <v>0</v>
      </c>
      <c r="AW26" s="92">
        <f t="shared" si="5"/>
        <v>0</v>
      </c>
      <c r="AX26" s="92">
        <f t="shared" si="6"/>
        <v>0</v>
      </c>
      <c r="AY26" s="92">
        <f t="shared" si="13"/>
        <v>0</v>
      </c>
      <c r="AZ26" s="92">
        <f t="shared" si="13"/>
        <v>0</v>
      </c>
      <c r="BA26" s="95">
        <f t="shared" si="14"/>
        <v>0</v>
      </c>
      <c r="BB26" s="75"/>
      <c r="BC26"/>
    </row>
    <row r="27" spans="1:55" ht="15" customHeight="1" thickBot="1" x14ac:dyDescent="0.3">
      <c r="A27" s="71" t="s">
        <v>30</v>
      </c>
      <c r="B27" s="123" t="s">
        <v>138</v>
      </c>
      <c r="C27" s="112">
        <v>35</v>
      </c>
      <c r="D27" s="121">
        <f>AT27*AU27*AW27</f>
        <v>0</v>
      </c>
      <c r="E27" s="15">
        <f>ROUND(AT27*AV27*AX27,4)</f>
        <v>0</v>
      </c>
      <c r="F27" s="19"/>
      <c r="G27" s="19"/>
      <c r="H27" s="18"/>
      <c r="I27" s="18"/>
      <c r="J27" s="9" t="s">
        <v>68</v>
      </c>
      <c r="K27" s="20"/>
      <c r="L27" s="20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7">
        <f t="shared" si="2"/>
        <v>0</v>
      </c>
      <c r="AR27" s="16">
        <f t="shared" si="12"/>
        <v>0</v>
      </c>
      <c r="AS27" s="16"/>
      <c r="AT27" s="16"/>
      <c r="AU27" s="92">
        <f t="shared" si="3"/>
        <v>0</v>
      </c>
      <c r="AV27" s="92">
        <f t="shared" si="4"/>
        <v>0</v>
      </c>
      <c r="AW27" s="92">
        <f t="shared" si="5"/>
        <v>0</v>
      </c>
      <c r="AX27" s="92">
        <f t="shared" si="6"/>
        <v>0</v>
      </c>
      <c r="AY27" s="92">
        <f t="shared" si="13"/>
        <v>0</v>
      </c>
      <c r="AZ27" s="92">
        <f t="shared" si="13"/>
        <v>0</v>
      </c>
      <c r="BA27" s="95">
        <f t="shared" si="14"/>
        <v>0</v>
      </c>
      <c r="BB27" s="75"/>
      <c r="BC27"/>
    </row>
    <row r="28" spans="1:55" ht="15" hidden="1" customHeight="1" x14ac:dyDescent="0.3">
      <c r="A28" s="72" t="s">
        <v>31</v>
      </c>
      <c r="B28" s="111"/>
      <c r="C28" s="111">
        <v>39</v>
      </c>
      <c r="D28" s="121">
        <f t="shared" ref="D28:D41" si="16">AT28*AU28*AW28</f>
        <v>0</v>
      </c>
      <c r="E28" s="15">
        <f t="shared" si="15"/>
        <v>0</v>
      </c>
      <c r="F28" s="19"/>
      <c r="G28" s="19"/>
      <c r="H28" s="18"/>
      <c r="I28" s="18"/>
      <c r="J28" s="9" t="s">
        <v>68</v>
      </c>
      <c r="K28" s="20"/>
      <c r="L28" s="20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7">
        <f t="shared" si="2"/>
        <v>0</v>
      </c>
      <c r="AR28" s="16">
        <f t="shared" si="12"/>
        <v>0</v>
      </c>
      <c r="AS28" s="15"/>
      <c r="AT28" s="15"/>
      <c r="AU28" s="92">
        <f t="shared" si="3"/>
        <v>0</v>
      </c>
      <c r="AV28" s="92">
        <f t="shared" si="4"/>
        <v>0</v>
      </c>
      <c r="AW28" s="92">
        <f t="shared" si="5"/>
        <v>0</v>
      </c>
      <c r="AX28" s="92">
        <f t="shared" si="6"/>
        <v>0</v>
      </c>
      <c r="AY28" s="92">
        <f t="shared" si="13"/>
        <v>0</v>
      </c>
      <c r="AZ28" s="92">
        <f t="shared" si="13"/>
        <v>0</v>
      </c>
      <c r="BA28" s="95">
        <f t="shared" si="14"/>
        <v>0</v>
      </c>
      <c r="BB28" s="75"/>
      <c r="BC28"/>
    </row>
    <row r="29" spans="1:55" ht="15" hidden="1" customHeight="1" x14ac:dyDescent="0.3">
      <c r="A29" s="72" t="s">
        <v>32</v>
      </c>
      <c r="B29" s="111"/>
      <c r="C29" s="111">
        <v>40</v>
      </c>
      <c r="D29" s="121">
        <f t="shared" si="16"/>
        <v>0</v>
      </c>
      <c r="E29" s="15">
        <f t="shared" si="15"/>
        <v>0</v>
      </c>
      <c r="F29" s="19"/>
      <c r="G29" s="19"/>
      <c r="H29" s="18"/>
      <c r="I29" s="18"/>
      <c r="J29" s="9" t="s">
        <v>68</v>
      </c>
      <c r="K29" s="20"/>
      <c r="L29" s="20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7">
        <f t="shared" si="2"/>
        <v>0</v>
      </c>
      <c r="AR29" s="16">
        <f t="shared" si="12"/>
        <v>0</v>
      </c>
      <c r="AS29" s="15"/>
      <c r="AT29" s="15"/>
      <c r="AU29" s="92">
        <f t="shared" si="3"/>
        <v>0</v>
      </c>
      <c r="AV29" s="92">
        <f t="shared" si="4"/>
        <v>0</v>
      </c>
      <c r="AW29" s="92">
        <f t="shared" si="5"/>
        <v>0</v>
      </c>
      <c r="AX29" s="92">
        <f t="shared" si="6"/>
        <v>0</v>
      </c>
      <c r="AY29" s="92">
        <f t="shared" si="13"/>
        <v>0</v>
      </c>
      <c r="AZ29" s="92">
        <f t="shared" si="13"/>
        <v>0</v>
      </c>
      <c r="BA29" s="95">
        <f t="shared" si="14"/>
        <v>0</v>
      </c>
      <c r="BB29" s="75"/>
      <c r="BC29"/>
    </row>
    <row r="30" spans="1:55" ht="15" hidden="1" customHeight="1" x14ac:dyDescent="0.3">
      <c r="A30" s="72" t="s">
        <v>33</v>
      </c>
      <c r="B30" s="111"/>
      <c r="C30" s="111">
        <v>41</v>
      </c>
      <c r="D30" s="121">
        <f t="shared" si="16"/>
        <v>0</v>
      </c>
      <c r="E30" s="15">
        <f t="shared" si="15"/>
        <v>0</v>
      </c>
      <c r="F30" s="19"/>
      <c r="G30" s="19"/>
      <c r="H30" s="18"/>
      <c r="I30" s="18"/>
      <c r="J30" s="9" t="s">
        <v>68</v>
      </c>
      <c r="K30" s="20"/>
      <c r="L30" s="20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7">
        <f t="shared" si="2"/>
        <v>0</v>
      </c>
      <c r="AR30" s="16">
        <f t="shared" si="12"/>
        <v>0</v>
      </c>
      <c r="AS30" s="15"/>
      <c r="AT30" s="15"/>
      <c r="AU30" s="92">
        <f t="shared" si="3"/>
        <v>0</v>
      </c>
      <c r="AV30" s="92">
        <f t="shared" si="4"/>
        <v>0</v>
      </c>
      <c r="AW30" s="92">
        <f t="shared" si="5"/>
        <v>0</v>
      </c>
      <c r="AX30" s="92">
        <f t="shared" si="6"/>
        <v>0</v>
      </c>
      <c r="AY30" s="92">
        <f t="shared" si="13"/>
        <v>0</v>
      </c>
      <c r="AZ30" s="92">
        <f t="shared" si="13"/>
        <v>0</v>
      </c>
      <c r="BA30" s="95">
        <f t="shared" si="14"/>
        <v>0</v>
      </c>
      <c r="BB30" s="75"/>
      <c r="BC30"/>
    </row>
    <row r="31" spans="1:55" ht="15" hidden="1" customHeight="1" x14ac:dyDescent="0.3">
      <c r="A31" s="72" t="s">
        <v>34</v>
      </c>
      <c r="B31" s="111"/>
      <c r="C31" s="111">
        <v>42</v>
      </c>
      <c r="D31" s="121">
        <f t="shared" si="16"/>
        <v>0</v>
      </c>
      <c r="E31" s="15">
        <f t="shared" si="15"/>
        <v>0</v>
      </c>
      <c r="F31" s="19"/>
      <c r="G31" s="19"/>
      <c r="H31" s="18"/>
      <c r="I31" s="18"/>
      <c r="J31" s="9" t="s">
        <v>68</v>
      </c>
      <c r="K31" s="20"/>
      <c r="L31" s="20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7">
        <f t="shared" si="2"/>
        <v>0</v>
      </c>
      <c r="AR31" s="16">
        <f t="shared" si="12"/>
        <v>0</v>
      </c>
      <c r="AS31" s="15"/>
      <c r="AT31" s="15"/>
      <c r="AU31" s="92">
        <f t="shared" si="3"/>
        <v>0</v>
      </c>
      <c r="AV31" s="92">
        <f t="shared" si="4"/>
        <v>0</v>
      </c>
      <c r="AW31" s="92">
        <f t="shared" si="5"/>
        <v>0</v>
      </c>
      <c r="AX31" s="92">
        <f t="shared" si="6"/>
        <v>0</v>
      </c>
      <c r="AY31" s="92">
        <f t="shared" si="13"/>
        <v>0</v>
      </c>
      <c r="AZ31" s="92">
        <f t="shared" si="13"/>
        <v>0</v>
      </c>
      <c r="BA31" s="95">
        <f t="shared" si="14"/>
        <v>0</v>
      </c>
      <c r="BB31" s="75"/>
      <c r="BC31"/>
    </row>
    <row r="32" spans="1:55" ht="15" hidden="1" customHeight="1" x14ac:dyDescent="0.3">
      <c r="A32" s="72" t="s">
        <v>35</v>
      </c>
      <c r="B32" s="111"/>
      <c r="C32" s="111">
        <v>43</v>
      </c>
      <c r="D32" s="121">
        <f t="shared" si="16"/>
        <v>0</v>
      </c>
      <c r="E32" s="15">
        <f t="shared" si="15"/>
        <v>0</v>
      </c>
      <c r="F32" s="19"/>
      <c r="G32" s="19"/>
      <c r="H32" s="18"/>
      <c r="I32" s="18"/>
      <c r="J32" s="9" t="s">
        <v>68</v>
      </c>
      <c r="K32" s="20"/>
      <c r="L32" s="20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7">
        <f t="shared" si="2"/>
        <v>0</v>
      </c>
      <c r="AR32" s="16">
        <f t="shared" si="12"/>
        <v>0</v>
      </c>
      <c r="AS32" s="15"/>
      <c r="AT32" s="15"/>
      <c r="AU32" s="92">
        <f t="shared" si="3"/>
        <v>0</v>
      </c>
      <c r="AV32" s="92">
        <f t="shared" si="4"/>
        <v>0</v>
      </c>
      <c r="AW32" s="92">
        <f t="shared" si="5"/>
        <v>0</v>
      </c>
      <c r="AX32" s="92">
        <f t="shared" si="6"/>
        <v>0</v>
      </c>
      <c r="AY32" s="92">
        <f t="shared" si="13"/>
        <v>0</v>
      </c>
      <c r="AZ32" s="92">
        <f t="shared" si="13"/>
        <v>0</v>
      </c>
      <c r="BA32" s="95">
        <f t="shared" si="14"/>
        <v>0</v>
      </c>
      <c r="BB32" s="75"/>
      <c r="BC32"/>
    </row>
    <row r="33" spans="1:55" ht="15" hidden="1" customHeight="1" x14ac:dyDescent="0.3">
      <c r="A33" s="72" t="s">
        <v>36</v>
      </c>
      <c r="B33" s="111"/>
      <c r="C33" s="111">
        <v>44</v>
      </c>
      <c r="D33" s="121">
        <f t="shared" si="16"/>
        <v>0</v>
      </c>
      <c r="E33" s="15">
        <f t="shared" si="15"/>
        <v>0</v>
      </c>
      <c r="F33" s="19"/>
      <c r="G33" s="19"/>
      <c r="H33" s="18"/>
      <c r="I33" s="18"/>
      <c r="J33" s="9" t="s">
        <v>68</v>
      </c>
      <c r="K33" s="20"/>
      <c r="L33" s="20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7">
        <f t="shared" si="2"/>
        <v>0</v>
      </c>
      <c r="AR33" s="16">
        <f t="shared" si="12"/>
        <v>0</v>
      </c>
      <c r="AS33" s="15"/>
      <c r="AT33" s="15"/>
      <c r="AU33" s="92">
        <f t="shared" si="3"/>
        <v>0</v>
      </c>
      <c r="AV33" s="92">
        <f t="shared" si="4"/>
        <v>0</v>
      </c>
      <c r="AW33" s="92">
        <f t="shared" si="5"/>
        <v>0</v>
      </c>
      <c r="AX33" s="92">
        <f t="shared" si="6"/>
        <v>0</v>
      </c>
      <c r="AY33" s="92">
        <f t="shared" si="13"/>
        <v>0</v>
      </c>
      <c r="AZ33" s="92">
        <f t="shared" si="13"/>
        <v>0</v>
      </c>
      <c r="BA33" s="95">
        <f t="shared" si="14"/>
        <v>0</v>
      </c>
      <c r="BB33" s="75"/>
      <c r="BC33"/>
    </row>
    <row r="34" spans="1:55" ht="15" hidden="1" customHeight="1" x14ac:dyDescent="0.3">
      <c r="A34" s="72" t="s">
        <v>37</v>
      </c>
      <c r="B34" s="111"/>
      <c r="C34" s="111">
        <v>45</v>
      </c>
      <c r="D34" s="121">
        <f t="shared" si="16"/>
        <v>0</v>
      </c>
      <c r="E34" s="15">
        <f t="shared" si="15"/>
        <v>0</v>
      </c>
      <c r="F34" s="19"/>
      <c r="G34" s="19"/>
      <c r="H34" s="18"/>
      <c r="I34" s="18"/>
      <c r="J34" s="9" t="s">
        <v>68</v>
      </c>
      <c r="K34" s="20"/>
      <c r="L34" s="20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7">
        <f t="shared" si="2"/>
        <v>0</v>
      </c>
      <c r="AR34" s="16">
        <f t="shared" si="12"/>
        <v>0</v>
      </c>
      <c r="AS34" s="15"/>
      <c r="AT34" s="15"/>
      <c r="AU34" s="92">
        <f t="shared" si="3"/>
        <v>0</v>
      </c>
      <c r="AV34" s="92">
        <f t="shared" si="4"/>
        <v>0</v>
      </c>
      <c r="AW34" s="92">
        <f t="shared" si="5"/>
        <v>0</v>
      </c>
      <c r="AX34" s="92">
        <f t="shared" si="6"/>
        <v>0</v>
      </c>
      <c r="AY34" s="92">
        <f t="shared" si="13"/>
        <v>0</v>
      </c>
      <c r="AZ34" s="92">
        <f t="shared" si="13"/>
        <v>0</v>
      </c>
      <c r="BA34" s="95">
        <f t="shared" si="14"/>
        <v>0</v>
      </c>
      <c r="BB34" s="75"/>
      <c r="BC34"/>
    </row>
    <row r="35" spans="1:55" ht="15" hidden="1" customHeight="1" x14ac:dyDescent="0.3">
      <c r="A35" s="72" t="s">
        <v>38</v>
      </c>
      <c r="B35" s="111"/>
      <c r="C35" s="111">
        <v>46</v>
      </c>
      <c r="D35" s="121">
        <f t="shared" si="16"/>
        <v>0</v>
      </c>
      <c r="E35" s="15">
        <f t="shared" si="15"/>
        <v>0</v>
      </c>
      <c r="F35" s="19"/>
      <c r="G35" s="19"/>
      <c r="H35" s="18"/>
      <c r="I35" s="18"/>
      <c r="J35" s="9" t="s">
        <v>68</v>
      </c>
      <c r="K35" s="20"/>
      <c r="L35" s="20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7">
        <f t="shared" si="2"/>
        <v>0</v>
      </c>
      <c r="AR35" s="16">
        <f t="shared" si="12"/>
        <v>0</v>
      </c>
      <c r="AS35" s="15"/>
      <c r="AT35" s="15"/>
      <c r="AU35" s="92">
        <f t="shared" si="3"/>
        <v>0</v>
      </c>
      <c r="AV35" s="92">
        <f t="shared" si="4"/>
        <v>0</v>
      </c>
      <c r="AW35" s="92">
        <f t="shared" si="5"/>
        <v>0</v>
      </c>
      <c r="AX35" s="92">
        <f t="shared" si="6"/>
        <v>0</v>
      </c>
      <c r="AY35" s="92">
        <f t="shared" si="13"/>
        <v>0</v>
      </c>
      <c r="AZ35" s="92">
        <f t="shared" si="13"/>
        <v>0</v>
      </c>
      <c r="BA35" s="95">
        <f t="shared" si="14"/>
        <v>0</v>
      </c>
      <c r="BB35" s="75"/>
      <c r="BC35"/>
    </row>
    <row r="36" spans="1:55" ht="15" hidden="1" customHeight="1" x14ac:dyDescent="0.3">
      <c r="A36" s="72" t="s">
        <v>39</v>
      </c>
      <c r="B36" s="111"/>
      <c r="C36" s="111">
        <v>47</v>
      </c>
      <c r="D36" s="121">
        <f t="shared" si="16"/>
        <v>0</v>
      </c>
      <c r="E36" s="15">
        <f t="shared" si="15"/>
        <v>0</v>
      </c>
      <c r="F36" s="19"/>
      <c r="G36" s="19"/>
      <c r="H36" s="18"/>
      <c r="I36" s="18"/>
      <c r="J36" s="9" t="s">
        <v>68</v>
      </c>
      <c r="K36" s="20"/>
      <c r="L36" s="20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7">
        <f t="shared" si="2"/>
        <v>0</v>
      </c>
      <c r="AR36" s="16">
        <f t="shared" si="12"/>
        <v>0</v>
      </c>
      <c r="AS36" s="15"/>
      <c r="AT36" s="15"/>
      <c r="AU36" s="92">
        <f t="shared" si="3"/>
        <v>0</v>
      </c>
      <c r="AV36" s="92">
        <f t="shared" si="4"/>
        <v>0</v>
      </c>
      <c r="AW36" s="92">
        <f t="shared" si="5"/>
        <v>0</v>
      </c>
      <c r="AX36" s="92">
        <f t="shared" si="6"/>
        <v>0</v>
      </c>
      <c r="AY36" s="92">
        <f t="shared" si="13"/>
        <v>0</v>
      </c>
      <c r="AZ36" s="92">
        <f t="shared" si="13"/>
        <v>0</v>
      </c>
      <c r="BA36" s="95">
        <f t="shared" si="14"/>
        <v>0</v>
      </c>
      <c r="BB36" s="75"/>
      <c r="BC36"/>
    </row>
    <row r="37" spans="1:55" ht="15" hidden="1" customHeight="1" x14ac:dyDescent="0.3">
      <c r="A37" s="72" t="s">
        <v>40</v>
      </c>
      <c r="B37" s="111"/>
      <c r="C37" s="111">
        <v>48</v>
      </c>
      <c r="D37" s="121">
        <f t="shared" si="16"/>
        <v>0</v>
      </c>
      <c r="E37" s="15">
        <f t="shared" si="15"/>
        <v>0</v>
      </c>
      <c r="F37" s="19"/>
      <c r="G37" s="19"/>
      <c r="H37" s="18"/>
      <c r="I37" s="18"/>
      <c r="J37" s="9" t="s">
        <v>68</v>
      </c>
      <c r="K37" s="20"/>
      <c r="L37" s="20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7">
        <f t="shared" si="2"/>
        <v>0</v>
      </c>
      <c r="AR37" s="16">
        <f t="shared" si="12"/>
        <v>0</v>
      </c>
      <c r="AS37" s="15"/>
      <c r="AT37" s="15"/>
      <c r="AU37" s="92">
        <f t="shared" si="3"/>
        <v>0</v>
      </c>
      <c r="AV37" s="92">
        <f t="shared" si="4"/>
        <v>0</v>
      </c>
      <c r="AW37" s="92">
        <f t="shared" si="5"/>
        <v>0</v>
      </c>
      <c r="AX37" s="92">
        <f t="shared" si="6"/>
        <v>0</v>
      </c>
      <c r="AY37" s="92">
        <f t="shared" si="13"/>
        <v>0</v>
      </c>
      <c r="AZ37" s="92">
        <f t="shared" si="13"/>
        <v>0</v>
      </c>
      <c r="BA37" s="95">
        <f t="shared" si="14"/>
        <v>0</v>
      </c>
      <c r="BB37" s="75"/>
      <c r="BC37"/>
    </row>
    <row r="38" spans="1:55" ht="15" hidden="1" customHeight="1" x14ac:dyDescent="0.3">
      <c r="A38" s="72" t="s">
        <v>41</v>
      </c>
      <c r="B38" s="111"/>
      <c r="C38" s="111">
        <v>49</v>
      </c>
      <c r="D38" s="121">
        <f t="shared" si="16"/>
        <v>0</v>
      </c>
      <c r="E38" s="15">
        <f t="shared" si="15"/>
        <v>0</v>
      </c>
      <c r="F38" s="19"/>
      <c r="G38" s="19"/>
      <c r="H38" s="18"/>
      <c r="I38" s="18"/>
      <c r="J38" s="9" t="s">
        <v>68</v>
      </c>
      <c r="K38" s="20"/>
      <c r="L38" s="20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7">
        <f t="shared" si="2"/>
        <v>0</v>
      </c>
      <c r="AR38" s="16">
        <f t="shared" si="12"/>
        <v>0</v>
      </c>
      <c r="AS38" s="15"/>
      <c r="AT38" s="15"/>
      <c r="AU38" s="92">
        <f t="shared" si="3"/>
        <v>0</v>
      </c>
      <c r="AV38" s="92">
        <f t="shared" si="4"/>
        <v>0</v>
      </c>
      <c r="AW38" s="92">
        <f t="shared" si="5"/>
        <v>0</v>
      </c>
      <c r="AX38" s="92">
        <f t="shared" si="6"/>
        <v>0</v>
      </c>
      <c r="AY38" s="92">
        <f t="shared" si="13"/>
        <v>0</v>
      </c>
      <c r="AZ38" s="92">
        <f t="shared" si="13"/>
        <v>0</v>
      </c>
      <c r="BA38" s="95">
        <f t="shared" si="14"/>
        <v>0</v>
      </c>
      <c r="BB38" s="75"/>
      <c r="BC38"/>
    </row>
    <row r="39" spans="1:55" ht="15" hidden="1" customHeight="1" x14ac:dyDescent="0.3">
      <c r="A39" s="72" t="s">
        <v>42</v>
      </c>
      <c r="B39" s="111"/>
      <c r="C39" s="111">
        <v>50</v>
      </c>
      <c r="D39" s="121">
        <f t="shared" si="16"/>
        <v>0</v>
      </c>
      <c r="E39" s="15">
        <f t="shared" si="15"/>
        <v>0</v>
      </c>
      <c r="F39" s="19"/>
      <c r="G39" s="19"/>
      <c r="H39" s="18"/>
      <c r="I39" s="18"/>
      <c r="J39" s="9" t="s">
        <v>68</v>
      </c>
      <c r="K39" s="20"/>
      <c r="L39" s="20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7">
        <f t="shared" si="2"/>
        <v>0</v>
      </c>
      <c r="AR39" s="16">
        <f t="shared" si="12"/>
        <v>0</v>
      </c>
      <c r="AS39" s="15"/>
      <c r="AT39" s="15"/>
      <c r="AU39" s="92">
        <f t="shared" si="3"/>
        <v>0</v>
      </c>
      <c r="AV39" s="92">
        <f t="shared" si="4"/>
        <v>0</v>
      </c>
      <c r="AW39" s="92">
        <f t="shared" si="5"/>
        <v>0</v>
      </c>
      <c r="AX39" s="92">
        <f t="shared" si="6"/>
        <v>0</v>
      </c>
      <c r="AY39" s="92">
        <f t="shared" si="13"/>
        <v>0</v>
      </c>
      <c r="AZ39" s="92">
        <f t="shared" si="13"/>
        <v>0</v>
      </c>
      <c r="BA39" s="95">
        <f t="shared" si="14"/>
        <v>0</v>
      </c>
      <c r="BB39" s="75"/>
      <c r="BC39"/>
    </row>
    <row r="40" spans="1:55" ht="15" hidden="1" customHeight="1" x14ac:dyDescent="0.3">
      <c r="A40" s="72" t="s">
        <v>43</v>
      </c>
      <c r="B40" s="111"/>
      <c r="C40" s="111">
        <v>51</v>
      </c>
      <c r="D40" s="121">
        <f t="shared" si="16"/>
        <v>0</v>
      </c>
      <c r="E40" s="15">
        <f t="shared" si="15"/>
        <v>0</v>
      </c>
      <c r="F40" s="19"/>
      <c r="G40" s="19"/>
      <c r="H40" s="18"/>
      <c r="I40" s="18"/>
      <c r="J40" s="9" t="s">
        <v>68</v>
      </c>
      <c r="K40" s="20"/>
      <c r="L40" s="20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7">
        <f t="shared" si="2"/>
        <v>0</v>
      </c>
      <c r="AR40" s="16">
        <f t="shared" si="12"/>
        <v>0</v>
      </c>
      <c r="AS40" s="15"/>
      <c r="AT40" s="15"/>
      <c r="AU40" s="92">
        <f t="shared" si="3"/>
        <v>0</v>
      </c>
      <c r="AV40" s="92">
        <f t="shared" si="4"/>
        <v>0</v>
      </c>
      <c r="AW40" s="92">
        <f t="shared" si="5"/>
        <v>0</v>
      </c>
      <c r="AX40" s="92">
        <f t="shared" si="6"/>
        <v>0</v>
      </c>
      <c r="AY40" s="92">
        <f t="shared" si="13"/>
        <v>0</v>
      </c>
      <c r="AZ40" s="92">
        <f t="shared" si="13"/>
        <v>0</v>
      </c>
      <c r="BA40" s="95">
        <f t="shared" si="14"/>
        <v>0</v>
      </c>
      <c r="BB40" s="75"/>
      <c r="BC40"/>
    </row>
    <row r="41" spans="1:55" ht="15" hidden="1" customHeight="1" thickBot="1" x14ac:dyDescent="0.3">
      <c r="A41" s="100" t="s">
        <v>44</v>
      </c>
      <c r="B41" s="116"/>
      <c r="C41" s="116">
        <v>52</v>
      </c>
      <c r="D41" s="121">
        <f t="shared" si="16"/>
        <v>0</v>
      </c>
      <c r="E41" s="15">
        <f t="shared" si="15"/>
        <v>0</v>
      </c>
      <c r="F41" s="91"/>
      <c r="G41" s="91"/>
      <c r="H41" s="92"/>
      <c r="I41" s="92"/>
      <c r="J41" s="101" t="s">
        <v>68</v>
      </c>
      <c r="K41" s="94"/>
      <c r="L41" s="94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7">
        <f t="shared" si="2"/>
        <v>0</v>
      </c>
      <c r="AR41" s="16">
        <f t="shared" si="12"/>
        <v>0</v>
      </c>
      <c r="AS41" s="16"/>
      <c r="AT41" s="16"/>
      <c r="AU41" s="92">
        <f t="shared" si="3"/>
        <v>0</v>
      </c>
      <c r="AV41" s="92">
        <f t="shared" si="4"/>
        <v>0</v>
      </c>
      <c r="AW41" s="92">
        <f t="shared" si="5"/>
        <v>0</v>
      </c>
      <c r="AX41" s="92">
        <f t="shared" si="6"/>
        <v>0</v>
      </c>
      <c r="AY41" s="92">
        <f t="shared" si="13"/>
        <v>0</v>
      </c>
      <c r="AZ41" s="92">
        <f t="shared" si="13"/>
        <v>0</v>
      </c>
      <c r="BA41" s="95">
        <f t="shared" si="14"/>
        <v>0</v>
      </c>
      <c r="BB41" s="96"/>
      <c r="BC41"/>
    </row>
    <row r="42" spans="1:55" ht="15" customHeight="1" thickBot="1" x14ac:dyDescent="0.3">
      <c r="A42" s="102" t="s">
        <v>81</v>
      </c>
      <c r="B42" s="124"/>
      <c r="C42" s="87"/>
      <c r="D42" s="132">
        <f>SUM(D43:D45)</f>
        <v>0</v>
      </c>
      <c r="E42" s="129">
        <f>SUM(E43:E45)</f>
        <v>0</v>
      </c>
      <c r="F42" s="129">
        <f>SUM(F43:F45)</f>
        <v>0</v>
      </c>
      <c r="G42" s="129"/>
      <c r="H42" s="131">
        <f>SUM(H43:H45)</f>
        <v>0</v>
      </c>
      <c r="I42" s="131">
        <f>SUM(I43:I45)</f>
        <v>0</v>
      </c>
      <c r="J42" s="88"/>
      <c r="K42" s="130"/>
      <c r="L42" s="130"/>
      <c r="M42" s="129">
        <f>SUM(M43:M45)</f>
        <v>0</v>
      </c>
      <c r="N42" s="129">
        <f t="shared" ref="N42:AP42" si="17">SUM(N43:N45)</f>
        <v>0</v>
      </c>
      <c r="O42" s="129">
        <f t="shared" si="17"/>
        <v>0</v>
      </c>
      <c r="P42" s="129">
        <f t="shared" si="17"/>
        <v>0</v>
      </c>
      <c r="Q42" s="129">
        <f t="shared" si="17"/>
        <v>0</v>
      </c>
      <c r="R42" s="129">
        <f t="shared" si="17"/>
        <v>0</v>
      </c>
      <c r="S42" s="129">
        <f t="shared" si="17"/>
        <v>0</v>
      </c>
      <c r="T42" s="129">
        <f t="shared" si="17"/>
        <v>0</v>
      </c>
      <c r="U42" s="129">
        <f t="shared" si="17"/>
        <v>0</v>
      </c>
      <c r="V42" s="129">
        <f t="shared" si="17"/>
        <v>0</v>
      </c>
      <c r="W42" s="129">
        <f t="shared" si="17"/>
        <v>0</v>
      </c>
      <c r="X42" s="129">
        <f t="shared" si="17"/>
        <v>0</v>
      </c>
      <c r="Y42" s="129">
        <f t="shared" si="17"/>
        <v>0</v>
      </c>
      <c r="Z42" s="129">
        <f t="shared" si="17"/>
        <v>0</v>
      </c>
      <c r="AA42" s="129">
        <f t="shared" si="17"/>
        <v>0</v>
      </c>
      <c r="AB42" s="129">
        <f t="shared" si="17"/>
        <v>0</v>
      </c>
      <c r="AC42" s="129">
        <f t="shared" si="17"/>
        <v>0</v>
      </c>
      <c r="AD42" s="129">
        <f t="shared" si="17"/>
        <v>0</v>
      </c>
      <c r="AE42" s="129">
        <f t="shared" si="17"/>
        <v>0</v>
      </c>
      <c r="AF42" s="129">
        <f t="shared" si="17"/>
        <v>0</v>
      </c>
      <c r="AG42" s="129">
        <f t="shared" si="17"/>
        <v>0</v>
      </c>
      <c r="AH42" s="129">
        <f t="shared" si="17"/>
        <v>0</v>
      </c>
      <c r="AI42" s="129">
        <f t="shared" si="17"/>
        <v>0</v>
      </c>
      <c r="AJ42" s="129">
        <f t="shared" si="17"/>
        <v>0</v>
      </c>
      <c r="AK42" s="129">
        <f t="shared" si="17"/>
        <v>0</v>
      </c>
      <c r="AL42" s="129">
        <f t="shared" si="17"/>
        <v>0</v>
      </c>
      <c r="AM42" s="129">
        <f t="shared" si="17"/>
        <v>0</v>
      </c>
      <c r="AN42" s="129">
        <f t="shared" si="17"/>
        <v>0</v>
      </c>
      <c r="AO42" s="129">
        <f t="shared" si="17"/>
        <v>0</v>
      </c>
      <c r="AP42" s="129">
        <f t="shared" si="17"/>
        <v>0</v>
      </c>
      <c r="AQ42" s="129">
        <f t="shared" si="2"/>
        <v>0</v>
      </c>
      <c r="AR42" s="129">
        <f t="shared" si="12"/>
        <v>0</v>
      </c>
      <c r="AS42" s="129"/>
      <c r="AT42" s="129">
        <f>SUM(AT43:AT45)</f>
        <v>0</v>
      </c>
      <c r="AU42" s="131">
        <f t="shared" si="3"/>
        <v>0</v>
      </c>
      <c r="AV42" s="131">
        <f t="shared" si="4"/>
        <v>0</v>
      </c>
      <c r="AW42" s="131">
        <f t="shared" si="5"/>
        <v>0</v>
      </c>
      <c r="AX42" s="131">
        <f t="shared" si="6"/>
        <v>0</v>
      </c>
      <c r="AY42" s="131">
        <f t="shared" si="13"/>
        <v>0</v>
      </c>
      <c r="AZ42" s="131">
        <f t="shared" si="13"/>
        <v>0</v>
      </c>
      <c r="BA42" s="129">
        <f t="shared" si="14"/>
        <v>0</v>
      </c>
      <c r="BB42" s="99"/>
      <c r="BC42"/>
    </row>
    <row r="43" spans="1:55" ht="15" customHeight="1" x14ac:dyDescent="0.25">
      <c r="A43" s="97" t="s">
        <v>66</v>
      </c>
      <c r="B43" s="123" t="s">
        <v>139</v>
      </c>
      <c r="C43" s="115">
        <v>25</v>
      </c>
      <c r="D43" s="121">
        <f>AT43*AU43*AW43</f>
        <v>0</v>
      </c>
      <c r="E43" s="17">
        <f>ROUND(AT43*AV43*AX43,4)</f>
        <v>0</v>
      </c>
      <c r="F43" s="81"/>
      <c r="G43" s="81"/>
      <c r="H43" s="82"/>
      <c r="I43" s="82"/>
      <c r="J43" s="14" t="s">
        <v>55</v>
      </c>
      <c r="K43" s="84"/>
      <c r="L43" s="84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>
        <f t="shared" si="2"/>
        <v>0</v>
      </c>
      <c r="AR43" s="16">
        <f t="shared" si="12"/>
        <v>0</v>
      </c>
      <c r="AS43" s="16"/>
      <c r="AT43" s="16"/>
      <c r="AU43" s="82">
        <f t="shared" si="3"/>
        <v>0</v>
      </c>
      <c r="AV43" s="82">
        <f t="shared" si="4"/>
        <v>0</v>
      </c>
      <c r="AW43" s="82">
        <f t="shared" si="5"/>
        <v>0</v>
      </c>
      <c r="AX43" s="82">
        <f t="shared" si="6"/>
        <v>0</v>
      </c>
      <c r="AY43" s="92">
        <f t="shared" si="13"/>
        <v>0</v>
      </c>
      <c r="AZ43" s="92">
        <f t="shared" si="13"/>
        <v>0</v>
      </c>
      <c r="BA43" s="95">
        <f t="shared" si="14"/>
        <v>0</v>
      </c>
      <c r="BB43" s="86"/>
      <c r="BC43"/>
    </row>
    <row r="44" spans="1:55" ht="15" hidden="1" customHeight="1" x14ac:dyDescent="0.25">
      <c r="A44" s="72" t="s">
        <v>67</v>
      </c>
      <c r="B44" s="123"/>
      <c r="C44" s="111">
        <v>31</v>
      </c>
      <c r="D44" s="121">
        <f>AT44*AU44*AW44</f>
        <v>0</v>
      </c>
      <c r="E44" s="15">
        <f t="shared" si="15"/>
        <v>0</v>
      </c>
      <c r="F44" s="19"/>
      <c r="G44" s="19"/>
      <c r="H44" s="18"/>
      <c r="I44" s="18"/>
      <c r="J44" s="7" t="s">
        <v>55</v>
      </c>
      <c r="K44" s="20"/>
      <c r="L44" s="20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7">
        <f t="shared" si="2"/>
        <v>0</v>
      </c>
      <c r="AR44" s="16">
        <f t="shared" si="12"/>
        <v>0</v>
      </c>
      <c r="AS44" s="15"/>
      <c r="AT44" s="15"/>
      <c r="AU44" s="82">
        <f t="shared" si="3"/>
        <v>0</v>
      </c>
      <c r="AV44" s="82">
        <f t="shared" si="4"/>
        <v>0</v>
      </c>
      <c r="AW44" s="82">
        <f t="shared" si="5"/>
        <v>0</v>
      </c>
      <c r="AX44" s="82">
        <f t="shared" si="6"/>
        <v>0</v>
      </c>
      <c r="AY44" s="92">
        <f t="shared" si="13"/>
        <v>0</v>
      </c>
      <c r="AZ44" s="92">
        <f t="shared" si="13"/>
        <v>0</v>
      </c>
      <c r="BA44" s="95">
        <f t="shared" si="14"/>
        <v>0</v>
      </c>
      <c r="BB44" s="75"/>
      <c r="BC44"/>
    </row>
    <row r="45" spans="1:55" ht="15" customHeight="1" thickBot="1" x14ac:dyDescent="0.3">
      <c r="A45" s="103" t="s">
        <v>67</v>
      </c>
      <c r="B45" s="123" t="s">
        <v>140</v>
      </c>
      <c r="C45" s="114">
        <v>38</v>
      </c>
      <c r="D45" s="121">
        <f>AT45*AU45*AW45</f>
        <v>0</v>
      </c>
      <c r="E45" s="16">
        <f>ROUND(AT45*AV45*AX45,4)</f>
        <v>0</v>
      </c>
      <c r="F45" s="91"/>
      <c r="G45" s="91"/>
      <c r="H45" s="92"/>
      <c r="I45" s="92"/>
      <c r="J45" s="13" t="s">
        <v>55</v>
      </c>
      <c r="K45" s="94"/>
      <c r="L45" s="94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7">
        <f t="shared" si="2"/>
        <v>0</v>
      </c>
      <c r="AR45" s="16">
        <f t="shared" si="12"/>
        <v>0</v>
      </c>
      <c r="AS45" s="16"/>
      <c r="AT45" s="16"/>
      <c r="AU45" s="82">
        <f t="shared" si="3"/>
        <v>0</v>
      </c>
      <c r="AV45" s="82">
        <f t="shared" si="4"/>
        <v>0</v>
      </c>
      <c r="AW45" s="82">
        <f t="shared" si="5"/>
        <v>0</v>
      </c>
      <c r="AX45" s="82">
        <f t="shared" si="6"/>
        <v>0</v>
      </c>
      <c r="AY45" s="92">
        <f t="shared" si="13"/>
        <v>0</v>
      </c>
      <c r="AZ45" s="92">
        <f t="shared" si="13"/>
        <v>0</v>
      </c>
      <c r="BA45" s="95">
        <f t="shared" si="14"/>
        <v>0</v>
      </c>
      <c r="BB45" s="96"/>
      <c r="BC45"/>
    </row>
    <row r="46" spans="1:55" ht="15" customHeight="1" thickBot="1" x14ac:dyDescent="0.3">
      <c r="A46" s="102" t="s">
        <v>82</v>
      </c>
      <c r="B46" s="124"/>
      <c r="C46" s="87"/>
      <c r="D46" s="132">
        <f>SUM(D47:D51)</f>
        <v>0</v>
      </c>
      <c r="E46" s="129">
        <f>SUM(E47:E51)</f>
        <v>0</v>
      </c>
      <c r="F46" s="129">
        <f>SUM(F47:F51)</f>
        <v>0</v>
      </c>
      <c r="G46" s="129"/>
      <c r="H46" s="131">
        <f>SUM(H47:H51)</f>
        <v>0</v>
      </c>
      <c r="I46" s="131">
        <f>SUM(I47:I51)</f>
        <v>0</v>
      </c>
      <c r="J46" s="88"/>
      <c r="K46" s="130"/>
      <c r="L46" s="130"/>
      <c r="M46" s="129">
        <f>SUM(M47:M51)</f>
        <v>0</v>
      </c>
      <c r="N46" s="129">
        <f t="shared" ref="N46:AP46" si="18">SUM(N47:N51)</f>
        <v>0</v>
      </c>
      <c r="O46" s="129">
        <f t="shared" si="18"/>
        <v>0</v>
      </c>
      <c r="P46" s="129">
        <f t="shared" si="18"/>
        <v>0</v>
      </c>
      <c r="Q46" s="129">
        <f t="shared" si="18"/>
        <v>0</v>
      </c>
      <c r="R46" s="129">
        <f t="shared" si="18"/>
        <v>0</v>
      </c>
      <c r="S46" s="129">
        <f t="shared" si="18"/>
        <v>0</v>
      </c>
      <c r="T46" s="129">
        <f t="shared" si="18"/>
        <v>0</v>
      </c>
      <c r="U46" s="129">
        <f t="shared" si="18"/>
        <v>0</v>
      </c>
      <c r="V46" s="129">
        <f t="shared" si="18"/>
        <v>0</v>
      </c>
      <c r="W46" s="129">
        <f t="shared" si="18"/>
        <v>0</v>
      </c>
      <c r="X46" s="129">
        <f t="shared" si="18"/>
        <v>0</v>
      </c>
      <c r="Y46" s="129">
        <f t="shared" si="18"/>
        <v>0</v>
      </c>
      <c r="Z46" s="129">
        <f t="shared" si="18"/>
        <v>0</v>
      </c>
      <c r="AA46" s="129">
        <f t="shared" si="18"/>
        <v>0</v>
      </c>
      <c r="AB46" s="129">
        <f t="shared" si="18"/>
        <v>0</v>
      </c>
      <c r="AC46" s="129">
        <f t="shared" si="18"/>
        <v>0</v>
      </c>
      <c r="AD46" s="129">
        <f t="shared" si="18"/>
        <v>0</v>
      </c>
      <c r="AE46" s="129">
        <f t="shared" si="18"/>
        <v>0</v>
      </c>
      <c r="AF46" s="129">
        <f t="shared" si="18"/>
        <v>0</v>
      </c>
      <c r="AG46" s="129">
        <f t="shared" si="18"/>
        <v>0</v>
      </c>
      <c r="AH46" s="129">
        <f t="shared" si="18"/>
        <v>0</v>
      </c>
      <c r="AI46" s="129">
        <f t="shared" si="18"/>
        <v>0</v>
      </c>
      <c r="AJ46" s="129">
        <f t="shared" si="18"/>
        <v>0</v>
      </c>
      <c r="AK46" s="129">
        <f t="shared" si="18"/>
        <v>0</v>
      </c>
      <c r="AL46" s="129">
        <f t="shared" si="18"/>
        <v>0</v>
      </c>
      <c r="AM46" s="129">
        <f t="shared" si="18"/>
        <v>0</v>
      </c>
      <c r="AN46" s="129">
        <f t="shared" si="18"/>
        <v>0</v>
      </c>
      <c r="AO46" s="129">
        <f t="shared" si="18"/>
        <v>0</v>
      </c>
      <c r="AP46" s="129">
        <f t="shared" si="18"/>
        <v>0</v>
      </c>
      <c r="AQ46" s="129">
        <f t="shared" si="2"/>
        <v>0</v>
      </c>
      <c r="AR46" s="129">
        <f t="shared" si="12"/>
        <v>0</v>
      </c>
      <c r="AS46" s="129"/>
      <c r="AT46" s="129">
        <f>SUM(AT47:AT51)</f>
        <v>0</v>
      </c>
      <c r="AU46" s="131">
        <f t="shared" si="3"/>
        <v>0</v>
      </c>
      <c r="AV46" s="131">
        <f t="shared" si="4"/>
        <v>0</v>
      </c>
      <c r="AW46" s="131">
        <f t="shared" si="5"/>
        <v>0</v>
      </c>
      <c r="AX46" s="131">
        <f t="shared" si="6"/>
        <v>0</v>
      </c>
      <c r="AY46" s="131">
        <f t="shared" si="13"/>
        <v>0</v>
      </c>
      <c r="AZ46" s="131">
        <f t="shared" si="13"/>
        <v>0</v>
      </c>
      <c r="BA46" s="129">
        <f t="shared" si="14"/>
        <v>0</v>
      </c>
      <c r="BB46" s="99"/>
      <c r="BC46"/>
    </row>
    <row r="47" spans="1:55" ht="15" customHeight="1" x14ac:dyDescent="0.25">
      <c r="A47" s="97" t="s">
        <v>46</v>
      </c>
      <c r="B47" s="123" t="s">
        <v>141</v>
      </c>
      <c r="C47" s="115">
        <v>28</v>
      </c>
      <c r="D47" s="121">
        <f>AT47*AU47*AW47</f>
        <v>0</v>
      </c>
      <c r="E47" s="17">
        <f>ROUND(AT47*AV47*AX47,4)</f>
        <v>0</v>
      </c>
      <c r="F47" s="81"/>
      <c r="G47" s="81"/>
      <c r="H47" s="82"/>
      <c r="I47" s="82"/>
      <c r="J47" s="14" t="s">
        <v>55</v>
      </c>
      <c r="K47" s="84"/>
      <c r="L47" s="84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>
        <f t="shared" si="2"/>
        <v>0</v>
      </c>
      <c r="AR47" s="16">
        <f t="shared" si="12"/>
        <v>0</v>
      </c>
      <c r="AS47" s="16"/>
      <c r="AT47" s="16"/>
      <c r="AU47" s="82">
        <f t="shared" si="3"/>
        <v>0</v>
      </c>
      <c r="AV47" s="82">
        <f t="shared" si="4"/>
        <v>0</v>
      </c>
      <c r="AW47" s="82">
        <f t="shared" si="5"/>
        <v>0</v>
      </c>
      <c r="AX47" s="82">
        <f t="shared" si="6"/>
        <v>0</v>
      </c>
      <c r="AY47" s="92">
        <f t="shared" si="13"/>
        <v>0</v>
      </c>
      <c r="AZ47" s="92">
        <f t="shared" si="13"/>
        <v>0</v>
      </c>
      <c r="BA47" s="95">
        <f t="shared" si="14"/>
        <v>0</v>
      </c>
      <c r="BB47" s="86"/>
      <c r="BC47"/>
    </row>
    <row r="48" spans="1:55" ht="15" customHeight="1" thickBot="1" x14ac:dyDescent="0.3">
      <c r="A48" s="71" t="s">
        <v>45</v>
      </c>
      <c r="B48" s="123" t="s">
        <v>142</v>
      </c>
      <c r="C48" s="112">
        <v>33</v>
      </c>
      <c r="D48" s="121">
        <f>AT48*AU48*AW48</f>
        <v>0</v>
      </c>
      <c r="E48" s="17">
        <f>ROUND(AT48*AV48*AX48,4)</f>
        <v>0</v>
      </c>
      <c r="F48" s="19"/>
      <c r="G48" s="19"/>
      <c r="H48" s="18"/>
      <c r="I48" s="18"/>
      <c r="J48" s="7" t="s">
        <v>55</v>
      </c>
      <c r="K48" s="20"/>
      <c r="L48" s="20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7">
        <f t="shared" si="2"/>
        <v>0</v>
      </c>
      <c r="AR48" s="16">
        <f t="shared" si="12"/>
        <v>0</v>
      </c>
      <c r="AS48" s="16"/>
      <c r="AT48" s="16"/>
      <c r="AU48" s="82">
        <f t="shared" si="3"/>
        <v>0</v>
      </c>
      <c r="AV48" s="82">
        <f t="shared" si="4"/>
        <v>0</v>
      </c>
      <c r="AW48" s="82">
        <f t="shared" si="5"/>
        <v>0</v>
      </c>
      <c r="AX48" s="82">
        <f t="shared" si="6"/>
        <v>0</v>
      </c>
      <c r="AY48" s="92">
        <f t="shared" si="13"/>
        <v>0</v>
      </c>
      <c r="AZ48" s="92">
        <f t="shared" si="13"/>
        <v>0</v>
      </c>
      <c r="BA48" s="95">
        <f t="shared" si="14"/>
        <v>0</v>
      </c>
      <c r="BB48" s="75"/>
      <c r="BC48"/>
    </row>
    <row r="49" spans="1:55" ht="15" hidden="1" customHeight="1" x14ac:dyDescent="0.3">
      <c r="A49" s="72" t="s">
        <v>48</v>
      </c>
      <c r="B49" s="111"/>
      <c r="C49" s="111">
        <v>35</v>
      </c>
      <c r="D49" s="120">
        <f t="shared" ref="D49:D51" si="19">AS49*AW49*AU49</f>
        <v>0</v>
      </c>
      <c r="E49" s="15">
        <f t="shared" si="15"/>
        <v>0</v>
      </c>
      <c r="F49" s="19"/>
      <c r="G49" s="19"/>
      <c r="H49" s="18"/>
      <c r="I49" s="18"/>
      <c r="J49" s="7" t="s">
        <v>55</v>
      </c>
      <c r="K49" s="20"/>
      <c r="L49" s="20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7">
        <f t="shared" si="2"/>
        <v>0</v>
      </c>
      <c r="AR49" s="16">
        <f t="shared" si="12"/>
        <v>0</v>
      </c>
      <c r="AS49" s="15"/>
      <c r="AT49" s="15"/>
      <c r="AU49" s="92">
        <f t="shared" si="3"/>
        <v>0</v>
      </c>
      <c r="AV49" s="92">
        <f t="shared" si="4"/>
        <v>0</v>
      </c>
      <c r="AW49" s="92">
        <f t="shared" si="5"/>
        <v>0</v>
      </c>
      <c r="AX49" s="92">
        <f t="shared" si="6"/>
        <v>0</v>
      </c>
      <c r="AY49" s="92">
        <f t="shared" si="13"/>
        <v>0</v>
      </c>
      <c r="AZ49" s="92">
        <f t="shared" si="13"/>
        <v>0</v>
      </c>
      <c r="BA49" s="95">
        <f t="shared" si="14"/>
        <v>0</v>
      </c>
      <c r="BB49" s="75"/>
      <c r="BC49"/>
    </row>
    <row r="50" spans="1:55" ht="15" hidden="1" customHeight="1" x14ac:dyDescent="0.3">
      <c r="A50" s="72" t="s">
        <v>47</v>
      </c>
      <c r="B50" s="111"/>
      <c r="C50" s="111">
        <v>36</v>
      </c>
      <c r="D50" s="120">
        <f t="shared" si="19"/>
        <v>0</v>
      </c>
      <c r="E50" s="15">
        <f t="shared" si="15"/>
        <v>0</v>
      </c>
      <c r="F50" s="19"/>
      <c r="G50" s="19"/>
      <c r="H50" s="18"/>
      <c r="I50" s="18"/>
      <c r="J50" s="7" t="s">
        <v>55</v>
      </c>
      <c r="K50" s="20"/>
      <c r="L50" s="20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7">
        <f t="shared" si="2"/>
        <v>0</v>
      </c>
      <c r="AR50" s="16">
        <f t="shared" si="12"/>
        <v>0</v>
      </c>
      <c r="AS50" s="15"/>
      <c r="AT50" s="15"/>
      <c r="AU50" s="92">
        <f t="shared" si="3"/>
        <v>0</v>
      </c>
      <c r="AV50" s="92">
        <f t="shared" si="4"/>
        <v>0</v>
      </c>
      <c r="AW50" s="92">
        <f t="shared" si="5"/>
        <v>0</v>
      </c>
      <c r="AX50" s="92">
        <f t="shared" si="6"/>
        <v>0</v>
      </c>
      <c r="AY50" s="92">
        <f t="shared" si="13"/>
        <v>0</v>
      </c>
      <c r="AZ50" s="92">
        <f t="shared" si="13"/>
        <v>0</v>
      </c>
      <c r="BA50" s="95">
        <f t="shared" si="14"/>
        <v>0</v>
      </c>
      <c r="BB50" s="75"/>
      <c r="BC50"/>
    </row>
    <row r="51" spans="1:55" ht="15" hidden="1" customHeight="1" thickBot="1" x14ac:dyDescent="0.3">
      <c r="A51" s="100" t="s">
        <v>64</v>
      </c>
      <c r="B51" s="116"/>
      <c r="C51" s="116">
        <v>37</v>
      </c>
      <c r="D51" s="121">
        <f t="shared" si="19"/>
        <v>0</v>
      </c>
      <c r="E51" s="16">
        <f t="shared" si="15"/>
        <v>0</v>
      </c>
      <c r="F51" s="91"/>
      <c r="G51" s="91"/>
      <c r="H51" s="92"/>
      <c r="I51" s="92"/>
      <c r="J51" s="13" t="s">
        <v>55</v>
      </c>
      <c r="K51" s="94"/>
      <c r="L51" s="94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7">
        <f t="shared" si="2"/>
        <v>0</v>
      </c>
      <c r="AR51" s="16">
        <f t="shared" si="12"/>
        <v>0</v>
      </c>
      <c r="AS51" s="16"/>
      <c r="AT51" s="16"/>
      <c r="AU51" s="92">
        <f t="shared" si="3"/>
        <v>0</v>
      </c>
      <c r="AV51" s="92">
        <f t="shared" si="4"/>
        <v>0</v>
      </c>
      <c r="AW51" s="92">
        <f t="shared" si="5"/>
        <v>0</v>
      </c>
      <c r="AX51" s="92">
        <f t="shared" si="6"/>
        <v>0</v>
      </c>
      <c r="AY51" s="92">
        <f t="shared" si="13"/>
        <v>0</v>
      </c>
      <c r="AZ51" s="92">
        <f t="shared" si="13"/>
        <v>0</v>
      </c>
      <c r="BA51" s="95">
        <f t="shared" si="14"/>
        <v>0</v>
      </c>
      <c r="BB51" s="96"/>
      <c r="BC51"/>
    </row>
    <row r="52" spans="1:55" ht="15" customHeight="1" thickBot="1" x14ac:dyDescent="0.3">
      <c r="A52" s="102" t="s">
        <v>49</v>
      </c>
      <c r="B52" s="124"/>
      <c r="C52" s="87"/>
      <c r="D52" s="132">
        <f>SUM(D53:D54)</f>
        <v>0</v>
      </c>
      <c r="E52" s="129">
        <f>SUM(E53:E54)</f>
        <v>0</v>
      </c>
      <c r="F52" s="129">
        <f>SUM(F53:F54)</f>
        <v>0</v>
      </c>
      <c r="G52" s="129"/>
      <c r="H52" s="131">
        <f>SUM(H53:H54)</f>
        <v>0</v>
      </c>
      <c r="I52" s="131">
        <f>SUM(I53:I54)</f>
        <v>0</v>
      </c>
      <c r="J52" s="88"/>
      <c r="K52" s="130"/>
      <c r="L52" s="130"/>
      <c r="M52" s="129">
        <f>SUM(M53:M54)</f>
        <v>0</v>
      </c>
      <c r="N52" s="129">
        <f t="shared" ref="N52:AP52" si="20">SUM(N53:N54)</f>
        <v>0</v>
      </c>
      <c r="O52" s="129">
        <f t="shared" si="20"/>
        <v>0</v>
      </c>
      <c r="P52" s="129">
        <f t="shared" si="20"/>
        <v>0</v>
      </c>
      <c r="Q52" s="129">
        <f t="shared" si="20"/>
        <v>0</v>
      </c>
      <c r="R52" s="129">
        <f t="shared" si="20"/>
        <v>0</v>
      </c>
      <c r="S52" s="129">
        <f t="shared" si="20"/>
        <v>0</v>
      </c>
      <c r="T52" s="129">
        <f t="shared" si="20"/>
        <v>0</v>
      </c>
      <c r="U52" s="129">
        <f t="shared" si="20"/>
        <v>0</v>
      </c>
      <c r="V52" s="129">
        <f t="shared" si="20"/>
        <v>0</v>
      </c>
      <c r="W52" s="129">
        <f t="shared" si="20"/>
        <v>0</v>
      </c>
      <c r="X52" s="129">
        <f t="shared" si="20"/>
        <v>0</v>
      </c>
      <c r="Y52" s="129">
        <f t="shared" si="20"/>
        <v>0</v>
      </c>
      <c r="Z52" s="129">
        <f t="shared" si="20"/>
        <v>0</v>
      </c>
      <c r="AA52" s="129">
        <f t="shared" si="20"/>
        <v>0</v>
      </c>
      <c r="AB52" s="129">
        <f t="shared" si="20"/>
        <v>0</v>
      </c>
      <c r="AC52" s="129">
        <f t="shared" si="20"/>
        <v>0</v>
      </c>
      <c r="AD52" s="129">
        <f t="shared" si="20"/>
        <v>0</v>
      </c>
      <c r="AE52" s="129">
        <f t="shared" si="20"/>
        <v>0</v>
      </c>
      <c r="AF52" s="129">
        <f t="shared" si="20"/>
        <v>0</v>
      </c>
      <c r="AG52" s="129">
        <f t="shared" si="20"/>
        <v>0</v>
      </c>
      <c r="AH52" s="129">
        <f t="shared" si="20"/>
        <v>0</v>
      </c>
      <c r="AI52" s="129">
        <f t="shared" si="20"/>
        <v>0</v>
      </c>
      <c r="AJ52" s="129">
        <f t="shared" si="20"/>
        <v>0</v>
      </c>
      <c r="AK52" s="129">
        <f t="shared" si="20"/>
        <v>0</v>
      </c>
      <c r="AL52" s="129">
        <f t="shared" si="20"/>
        <v>0</v>
      </c>
      <c r="AM52" s="129">
        <f t="shared" si="20"/>
        <v>0</v>
      </c>
      <c r="AN52" s="129">
        <f t="shared" si="20"/>
        <v>0</v>
      </c>
      <c r="AO52" s="129">
        <f t="shared" si="20"/>
        <v>0</v>
      </c>
      <c r="AP52" s="129">
        <f t="shared" si="20"/>
        <v>0</v>
      </c>
      <c r="AQ52" s="129">
        <f t="shared" si="2"/>
        <v>0</v>
      </c>
      <c r="AR52" s="129">
        <f t="shared" si="12"/>
        <v>0</v>
      </c>
      <c r="AS52" s="129"/>
      <c r="AT52" s="129">
        <f>SUM(AT53:AT54)</f>
        <v>0</v>
      </c>
      <c r="AU52" s="131">
        <f t="shared" si="3"/>
        <v>0</v>
      </c>
      <c r="AV52" s="131">
        <f t="shared" si="4"/>
        <v>0</v>
      </c>
      <c r="AW52" s="131">
        <f t="shared" si="5"/>
        <v>0</v>
      </c>
      <c r="AX52" s="131">
        <f t="shared" si="6"/>
        <v>0</v>
      </c>
      <c r="AY52" s="131">
        <f t="shared" si="13"/>
        <v>0</v>
      </c>
      <c r="AZ52" s="131">
        <f t="shared" si="13"/>
        <v>0</v>
      </c>
      <c r="BA52" s="129">
        <f t="shared" si="14"/>
        <v>0</v>
      </c>
      <c r="BB52" s="99"/>
      <c r="BC52"/>
    </row>
    <row r="53" spans="1:55" ht="15" customHeight="1" x14ac:dyDescent="0.25">
      <c r="A53" s="97" t="s">
        <v>51</v>
      </c>
      <c r="B53" s="123" t="s">
        <v>143</v>
      </c>
      <c r="C53" s="115">
        <v>4</v>
      </c>
      <c r="D53" s="121">
        <f>AT53*AU53*AW53</f>
        <v>0</v>
      </c>
      <c r="E53" s="17">
        <f>ROUND(AT53*AV53*AX53,4)</f>
        <v>0</v>
      </c>
      <c r="F53" s="81"/>
      <c r="G53" s="81"/>
      <c r="H53" s="82"/>
      <c r="I53" s="82"/>
      <c r="J53" s="14" t="s">
        <v>83</v>
      </c>
      <c r="K53" s="84"/>
      <c r="L53" s="84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>
        <f t="shared" si="2"/>
        <v>0</v>
      </c>
      <c r="AR53" s="16">
        <f t="shared" si="12"/>
        <v>0</v>
      </c>
      <c r="AS53" s="16"/>
      <c r="AT53" s="16"/>
      <c r="AU53" s="82">
        <f t="shared" si="3"/>
        <v>0</v>
      </c>
      <c r="AV53" s="82">
        <f t="shared" si="4"/>
        <v>0</v>
      </c>
      <c r="AW53" s="82">
        <f t="shared" si="5"/>
        <v>0</v>
      </c>
      <c r="AX53" s="82">
        <f t="shared" si="6"/>
        <v>0</v>
      </c>
      <c r="AY53" s="92">
        <f t="shared" si="13"/>
        <v>0</v>
      </c>
      <c r="AZ53" s="92">
        <f t="shared" si="13"/>
        <v>0</v>
      </c>
      <c r="BA53" s="95">
        <f t="shared" si="14"/>
        <v>0</v>
      </c>
      <c r="BB53" s="86"/>
      <c r="BC53"/>
    </row>
    <row r="54" spans="1:55" ht="15" customHeight="1" thickBot="1" x14ac:dyDescent="0.3">
      <c r="A54" s="104" t="s">
        <v>50</v>
      </c>
      <c r="B54" s="123" t="s">
        <v>153</v>
      </c>
      <c r="C54" s="117">
        <v>5</v>
      </c>
      <c r="D54" s="121">
        <f>AT54*AU54*AW54</f>
        <v>0</v>
      </c>
      <c r="E54" s="17">
        <f>ROUND(AT54*AV54*AX54,4)</f>
        <v>0</v>
      </c>
      <c r="F54" s="91"/>
      <c r="G54" s="91"/>
      <c r="H54" s="92"/>
      <c r="I54" s="92"/>
      <c r="J54" s="13" t="s">
        <v>83</v>
      </c>
      <c r="K54" s="94"/>
      <c r="L54" s="94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7">
        <f t="shared" si="2"/>
        <v>0</v>
      </c>
      <c r="AR54" s="16">
        <f t="shared" si="12"/>
        <v>0</v>
      </c>
      <c r="AS54" s="16"/>
      <c r="AT54" s="16"/>
      <c r="AU54" s="82">
        <f t="shared" si="3"/>
        <v>0</v>
      </c>
      <c r="AV54" s="82">
        <f t="shared" si="4"/>
        <v>0</v>
      </c>
      <c r="AW54" s="82">
        <f t="shared" si="5"/>
        <v>0</v>
      </c>
      <c r="AX54" s="82">
        <f t="shared" si="6"/>
        <v>0</v>
      </c>
      <c r="AY54" s="92">
        <f t="shared" si="13"/>
        <v>0</v>
      </c>
      <c r="AZ54" s="92">
        <f t="shared" si="13"/>
        <v>0</v>
      </c>
      <c r="BA54" s="95">
        <f t="shared" si="14"/>
        <v>0</v>
      </c>
      <c r="BB54" s="96"/>
      <c r="BC54"/>
    </row>
    <row r="55" spans="1:55" ht="15" customHeight="1" thickBot="1" x14ac:dyDescent="0.3">
      <c r="A55" s="87" t="s">
        <v>52</v>
      </c>
      <c r="B55" s="124"/>
      <c r="C55" s="87"/>
      <c r="D55" s="132">
        <f>SUM(D56:D61)</f>
        <v>0</v>
      </c>
      <c r="E55" s="129">
        <f>SUM(E56:E61)</f>
        <v>0</v>
      </c>
      <c r="F55" s="129">
        <f>SUM(F56:F61)</f>
        <v>0</v>
      </c>
      <c r="G55" s="129"/>
      <c r="H55" s="131"/>
      <c r="I55" s="131"/>
      <c r="J55" s="88"/>
      <c r="K55" s="130"/>
      <c r="L55" s="130"/>
      <c r="M55" s="129">
        <f>SUM(M56:M61)</f>
        <v>0</v>
      </c>
      <c r="N55" s="129">
        <f t="shared" ref="N55:AP55" si="21">SUM(N56:N61)</f>
        <v>0</v>
      </c>
      <c r="O55" s="129">
        <f t="shared" si="21"/>
        <v>0</v>
      </c>
      <c r="P55" s="129">
        <f t="shared" si="21"/>
        <v>0</v>
      </c>
      <c r="Q55" s="129">
        <f t="shared" si="21"/>
        <v>0</v>
      </c>
      <c r="R55" s="129">
        <f t="shared" si="21"/>
        <v>0</v>
      </c>
      <c r="S55" s="129">
        <f t="shared" si="21"/>
        <v>0</v>
      </c>
      <c r="T55" s="129">
        <f t="shared" si="21"/>
        <v>0</v>
      </c>
      <c r="U55" s="129">
        <f t="shared" si="21"/>
        <v>0</v>
      </c>
      <c r="V55" s="129">
        <f t="shared" si="21"/>
        <v>0</v>
      </c>
      <c r="W55" s="129">
        <f t="shared" si="21"/>
        <v>0</v>
      </c>
      <c r="X55" s="129">
        <f t="shared" si="21"/>
        <v>0</v>
      </c>
      <c r="Y55" s="129">
        <f t="shared" si="21"/>
        <v>0</v>
      </c>
      <c r="Z55" s="129">
        <f t="shared" si="21"/>
        <v>0</v>
      </c>
      <c r="AA55" s="129">
        <f t="shared" si="21"/>
        <v>0</v>
      </c>
      <c r="AB55" s="129">
        <f t="shared" si="21"/>
        <v>0</v>
      </c>
      <c r="AC55" s="129">
        <f t="shared" si="21"/>
        <v>0</v>
      </c>
      <c r="AD55" s="129">
        <f t="shared" si="21"/>
        <v>0</v>
      </c>
      <c r="AE55" s="129">
        <f t="shared" si="21"/>
        <v>0</v>
      </c>
      <c r="AF55" s="129">
        <f t="shared" si="21"/>
        <v>0</v>
      </c>
      <c r="AG55" s="129">
        <f t="shared" si="21"/>
        <v>0</v>
      </c>
      <c r="AH55" s="129">
        <f t="shared" si="21"/>
        <v>0</v>
      </c>
      <c r="AI55" s="129">
        <f t="shared" si="21"/>
        <v>0</v>
      </c>
      <c r="AJ55" s="129">
        <f t="shared" si="21"/>
        <v>0</v>
      </c>
      <c r="AK55" s="129">
        <f t="shared" si="21"/>
        <v>0</v>
      </c>
      <c r="AL55" s="129">
        <f t="shared" si="21"/>
        <v>0</v>
      </c>
      <c r="AM55" s="129">
        <f t="shared" si="21"/>
        <v>0</v>
      </c>
      <c r="AN55" s="129">
        <f t="shared" si="21"/>
        <v>0</v>
      </c>
      <c r="AO55" s="129">
        <f t="shared" si="21"/>
        <v>0</v>
      </c>
      <c r="AP55" s="129">
        <f t="shared" si="21"/>
        <v>0</v>
      </c>
      <c r="AQ55" s="129">
        <f t="shared" si="2"/>
        <v>0</v>
      </c>
      <c r="AR55" s="129">
        <f t="shared" si="12"/>
        <v>0</v>
      </c>
      <c r="AS55" s="129"/>
      <c r="AT55" s="129">
        <f>SUM(AT56:AT61)</f>
        <v>0</v>
      </c>
      <c r="AU55" s="131">
        <f t="shared" si="3"/>
        <v>0</v>
      </c>
      <c r="AV55" s="131">
        <f t="shared" si="4"/>
        <v>0</v>
      </c>
      <c r="AW55" s="131">
        <f t="shared" si="5"/>
        <v>0</v>
      </c>
      <c r="AX55" s="131">
        <f t="shared" si="6"/>
        <v>0</v>
      </c>
      <c r="AY55" s="131">
        <f t="shared" si="13"/>
        <v>0</v>
      </c>
      <c r="AZ55" s="131">
        <f t="shared" si="13"/>
        <v>0</v>
      </c>
      <c r="BA55" s="129">
        <f t="shared" si="14"/>
        <v>0</v>
      </c>
      <c r="BB55" s="99"/>
      <c r="BC55"/>
    </row>
    <row r="56" spans="1:55" ht="15" customHeight="1" x14ac:dyDescent="0.25">
      <c r="A56" s="145" t="s">
        <v>53</v>
      </c>
      <c r="B56" s="147" t="s">
        <v>144</v>
      </c>
      <c r="C56" s="146">
        <v>15</v>
      </c>
      <c r="D56" s="121">
        <f>AT56*AU56*AW56</f>
        <v>0</v>
      </c>
      <c r="E56" s="17">
        <f>ROUND(AT56*AV56*AX56,4)</f>
        <v>0</v>
      </c>
      <c r="F56" s="81"/>
      <c r="G56" s="81"/>
      <c r="H56" s="82"/>
      <c r="I56" s="82"/>
      <c r="J56" s="14" t="s">
        <v>55</v>
      </c>
      <c r="K56" s="84"/>
      <c r="L56" s="84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>
        <f t="shared" si="2"/>
        <v>0</v>
      </c>
      <c r="AR56" s="16">
        <f t="shared" si="12"/>
        <v>0</v>
      </c>
      <c r="AS56" s="16"/>
      <c r="AT56" s="16"/>
      <c r="AU56" s="82">
        <f t="shared" si="3"/>
        <v>0</v>
      </c>
      <c r="AV56" s="82">
        <f t="shared" si="4"/>
        <v>0</v>
      </c>
      <c r="AW56" s="82">
        <f t="shared" si="5"/>
        <v>0</v>
      </c>
      <c r="AX56" s="82">
        <f t="shared" si="6"/>
        <v>0</v>
      </c>
      <c r="AY56" s="92">
        <f t="shared" si="13"/>
        <v>0</v>
      </c>
      <c r="AZ56" s="92">
        <f t="shared" si="13"/>
        <v>0</v>
      </c>
      <c r="BA56" s="95">
        <f t="shared" si="14"/>
        <v>0</v>
      </c>
      <c r="BB56" s="86"/>
      <c r="BC56"/>
    </row>
    <row r="57" spans="1:55" ht="15" customHeight="1" x14ac:dyDescent="0.25">
      <c r="A57" s="71" t="s">
        <v>54</v>
      </c>
      <c r="B57" s="123" t="s">
        <v>145</v>
      </c>
      <c r="C57" s="112">
        <v>16</v>
      </c>
      <c r="D57" s="121">
        <f>AT57*AU57*AW57</f>
        <v>0</v>
      </c>
      <c r="E57" s="17">
        <f t="shared" ref="E57:E61" si="22">ROUND(AT57*AV57*AX57,4)</f>
        <v>0</v>
      </c>
      <c r="F57" s="19"/>
      <c r="G57" s="19"/>
      <c r="H57" s="18"/>
      <c r="I57" s="18"/>
      <c r="J57" s="7" t="s">
        <v>55</v>
      </c>
      <c r="K57" s="20"/>
      <c r="L57" s="20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7">
        <f t="shared" si="2"/>
        <v>0</v>
      </c>
      <c r="AR57" s="16">
        <f t="shared" si="12"/>
        <v>0</v>
      </c>
      <c r="AS57" s="16"/>
      <c r="AT57" s="16"/>
      <c r="AU57" s="82">
        <f t="shared" si="3"/>
        <v>0</v>
      </c>
      <c r="AV57" s="82">
        <f t="shared" si="4"/>
        <v>0</v>
      </c>
      <c r="AW57" s="82">
        <f t="shared" si="5"/>
        <v>0</v>
      </c>
      <c r="AX57" s="82">
        <f t="shared" si="6"/>
        <v>0</v>
      </c>
      <c r="AY57" s="92">
        <f t="shared" si="13"/>
        <v>0</v>
      </c>
      <c r="AZ57" s="92">
        <f t="shared" si="13"/>
        <v>0</v>
      </c>
      <c r="BA57" s="95">
        <f t="shared" si="14"/>
        <v>0</v>
      </c>
      <c r="BB57" s="75"/>
      <c r="BC57"/>
    </row>
    <row r="58" spans="1:55" ht="15" customHeight="1" x14ac:dyDescent="0.25">
      <c r="A58" s="73" t="s">
        <v>124</v>
      </c>
      <c r="B58" s="123" t="s">
        <v>146</v>
      </c>
      <c r="C58" s="113">
        <v>26</v>
      </c>
      <c r="D58" s="121">
        <f>AT58*AU58*AW58</f>
        <v>0</v>
      </c>
      <c r="E58" s="17">
        <f t="shared" si="22"/>
        <v>0</v>
      </c>
      <c r="F58" s="19"/>
      <c r="G58" s="19"/>
      <c r="H58" s="18"/>
      <c r="I58" s="18"/>
      <c r="J58" s="7" t="s">
        <v>55</v>
      </c>
      <c r="K58" s="20"/>
      <c r="L58" s="20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7">
        <f t="shared" si="2"/>
        <v>0</v>
      </c>
      <c r="AR58" s="16">
        <f t="shared" si="12"/>
        <v>0</v>
      </c>
      <c r="AS58" s="16"/>
      <c r="AT58" s="16"/>
      <c r="AU58" s="82">
        <f t="shared" si="3"/>
        <v>0</v>
      </c>
      <c r="AV58" s="82">
        <f t="shared" si="4"/>
        <v>0</v>
      </c>
      <c r="AW58" s="82">
        <f t="shared" si="5"/>
        <v>0</v>
      </c>
      <c r="AX58" s="82">
        <f t="shared" si="6"/>
        <v>0</v>
      </c>
      <c r="AY58" s="92">
        <f t="shared" si="13"/>
        <v>0</v>
      </c>
      <c r="AZ58" s="92">
        <f t="shared" si="13"/>
        <v>0</v>
      </c>
      <c r="BA58" s="95">
        <f t="shared" si="14"/>
        <v>0</v>
      </c>
      <c r="BB58" s="75"/>
      <c r="BC58"/>
    </row>
    <row r="59" spans="1:55" ht="15" customHeight="1" x14ac:dyDescent="0.25">
      <c r="A59" s="73" t="s">
        <v>125</v>
      </c>
      <c r="B59" s="123" t="s">
        <v>147</v>
      </c>
      <c r="C59" s="112">
        <v>30</v>
      </c>
      <c r="D59" s="121">
        <f t="shared" ref="D59:D61" si="23">AT59*AU59*AW59</f>
        <v>0</v>
      </c>
      <c r="E59" s="17">
        <f t="shared" si="22"/>
        <v>0</v>
      </c>
      <c r="F59" s="19"/>
      <c r="G59" s="19"/>
      <c r="H59" s="18"/>
      <c r="I59" s="18"/>
      <c r="J59" s="7" t="s">
        <v>55</v>
      </c>
      <c r="K59" s="20"/>
      <c r="L59" s="20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7">
        <f t="shared" si="2"/>
        <v>0</v>
      </c>
      <c r="AR59" s="16">
        <f t="shared" si="12"/>
        <v>0</v>
      </c>
      <c r="AS59" s="16"/>
      <c r="AT59" s="16"/>
      <c r="AU59" s="82">
        <f t="shared" si="3"/>
        <v>0</v>
      </c>
      <c r="AV59" s="82">
        <f t="shared" si="4"/>
        <v>0</v>
      </c>
      <c r="AW59" s="82">
        <f t="shared" si="5"/>
        <v>0</v>
      </c>
      <c r="AX59" s="82">
        <f t="shared" si="6"/>
        <v>0</v>
      </c>
      <c r="AY59" s="92">
        <f t="shared" si="13"/>
        <v>0</v>
      </c>
      <c r="AZ59" s="92">
        <f t="shared" si="13"/>
        <v>0</v>
      </c>
      <c r="BA59" s="95">
        <f t="shared" si="14"/>
        <v>0</v>
      </c>
      <c r="BB59" s="75"/>
      <c r="BC59"/>
    </row>
    <row r="60" spans="1:55" ht="15" customHeight="1" x14ac:dyDescent="0.25">
      <c r="A60" s="73" t="s">
        <v>151</v>
      </c>
      <c r="B60" s="148" t="s">
        <v>150</v>
      </c>
      <c r="C60" s="112">
        <v>32</v>
      </c>
      <c r="D60" s="121">
        <f t="shared" si="23"/>
        <v>0</v>
      </c>
      <c r="E60" s="17">
        <f t="shared" si="22"/>
        <v>0</v>
      </c>
      <c r="F60" s="19"/>
      <c r="G60" s="19"/>
      <c r="H60" s="18"/>
      <c r="I60" s="18"/>
      <c r="J60" s="7" t="s">
        <v>55</v>
      </c>
      <c r="K60" s="20"/>
      <c r="L60" s="20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7">
        <f t="shared" si="2"/>
        <v>0</v>
      </c>
      <c r="AR60" s="16">
        <f t="shared" si="12"/>
        <v>0</v>
      </c>
      <c r="AS60" s="16"/>
      <c r="AT60" s="16"/>
      <c r="AU60" s="82">
        <f t="shared" si="3"/>
        <v>0</v>
      </c>
      <c r="AV60" s="82">
        <f t="shared" si="4"/>
        <v>0</v>
      </c>
      <c r="AW60" s="82">
        <f t="shared" si="5"/>
        <v>0</v>
      </c>
      <c r="AX60" s="82">
        <f t="shared" si="6"/>
        <v>0</v>
      </c>
      <c r="AY60" s="92">
        <f t="shared" si="13"/>
        <v>0</v>
      </c>
      <c r="AZ60" s="92">
        <f t="shared" si="13"/>
        <v>0</v>
      </c>
      <c r="BA60" s="95">
        <f t="shared" si="14"/>
        <v>0</v>
      </c>
      <c r="BB60" s="75"/>
      <c r="BC60"/>
    </row>
    <row r="61" spans="1:55" ht="15.75" thickBot="1" x14ac:dyDescent="0.3">
      <c r="A61" s="143" t="s">
        <v>152</v>
      </c>
      <c r="B61" s="125" t="s">
        <v>154</v>
      </c>
      <c r="C61" s="144">
        <v>24</v>
      </c>
      <c r="D61" s="122">
        <f t="shared" si="23"/>
        <v>0</v>
      </c>
      <c r="E61" s="149">
        <f t="shared" si="22"/>
        <v>0</v>
      </c>
      <c r="F61" s="64"/>
      <c r="G61" s="64"/>
      <c r="H61" s="65"/>
      <c r="I61" s="65"/>
      <c r="J61" s="66" t="s">
        <v>55</v>
      </c>
      <c r="K61" s="67"/>
      <c r="L61" s="67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149">
        <f t="shared" si="2"/>
        <v>0</v>
      </c>
      <c r="AR61" s="63">
        <f t="shared" si="12"/>
        <v>0</v>
      </c>
      <c r="AS61" s="63"/>
      <c r="AT61" s="63"/>
      <c r="AU61" s="150">
        <f t="shared" si="3"/>
        <v>0</v>
      </c>
      <c r="AV61" s="150">
        <f t="shared" si="4"/>
        <v>0</v>
      </c>
      <c r="AW61" s="150">
        <f t="shared" si="5"/>
        <v>0</v>
      </c>
      <c r="AX61" s="150">
        <f t="shared" si="6"/>
        <v>0</v>
      </c>
      <c r="AY61" s="65">
        <f t="shared" si="13"/>
        <v>0</v>
      </c>
      <c r="AZ61" s="65">
        <f t="shared" si="13"/>
        <v>0</v>
      </c>
      <c r="BA61" s="151">
        <f t="shared" si="14"/>
        <v>0</v>
      </c>
      <c r="BB61" s="76"/>
    </row>
    <row r="62" spans="1:55" x14ac:dyDescent="0.25">
      <c r="C62" s="2"/>
      <c r="D62" s="3"/>
      <c r="F62" s="2"/>
      <c r="G62" s="2"/>
      <c r="H62" s="1"/>
      <c r="I62" s="1"/>
      <c r="M62" s="5"/>
      <c r="O62" s="4"/>
      <c r="P62" s="5"/>
      <c r="Q62" s="5"/>
      <c r="U62" s="2"/>
      <c r="V62" s="2"/>
      <c r="W62" s="2"/>
      <c r="X62" s="2"/>
      <c r="Y62" s="1"/>
      <c r="Z62" s="1"/>
      <c r="AA62" s="1"/>
      <c r="AB62" s="1"/>
    </row>
    <row r="63" spans="1:55" x14ac:dyDescent="0.25">
      <c r="A63" s="10"/>
      <c r="B63" s="10"/>
      <c r="C63" s="10"/>
      <c r="D63" s="3"/>
      <c r="F63" s="2"/>
      <c r="G63" s="2"/>
      <c r="H63" s="1"/>
      <c r="I63" s="1"/>
      <c r="M63" s="5"/>
      <c r="O63" s="4"/>
      <c r="P63" s="5"/>
      <c r="Q63" s="5"/>
      <c r="U63" s="2"/>
      <c r="V63" s="2"/>
      <c r="W63" s="2"/>
      <c r="X63" s="2"/>
      <c r="Y63" s="1"/>
      <c r="Z63" s="1"/>
      <c r="AA63" s="1"/>
      <c r="AB63" s="1"/>
    </row>
    <row r="64" spans="1:55" x14ac:dyDescent="0.2">
      <c r="A64" s="6" t="s">
        <v>126</v>
      </c>
      <c r="B64" s="6"/>
      <c r="C64" s="6"/>
      <c r="D64" s="6"/>
      <c r="F64" s="2"/>
      <c r="G64" s="2"/>
      <c r="H64" s="1"/>
      <c r="I64" s="1"/>
      <c r="M64" s="5"/>
      <c r="O64" s="4"/>
      <c r="P64" s="5"/>
      <c r="Q64" s="5"/>
      <c r="U64" s="2"/>
      <c r="V64" s="2"/>
      <c r="W64" s="2"/>
      <c r="X64" s="2"/>
      <c r="Y64" s="1"/>
      <c r="Z64" s="1"/>
      <c r="AA64" s="1"/>
      <c r="AB64" s="1"/>
    </row>
    <row r="65" spans="1:28" x14ac:dyDescent="0.2">
      <c r="A65" s="6"/>
      <c r="B65" s="6"/>
      <c r="C65" s="6"/>
      <c r="D65" s="6"/>
      <c r="F65" s="2"/>
      <c r="G65" s="2"/>
      <c r="H65" s="1"/>
      <c r="I65" s="1"/>
      <c r="M65" s="5"/>
      <c r="O65" s="4"/>
      <c r="P65" s="5"/>
      <c r="Q65" s="5"/>
      <c r="U65" s="2"/>
      <c r="V65" s="2"/>
      <c r="W65" s="2"/>
      <c r="X65" s="2"/>
      <c r="Y65" s="1"/>
      <c r="Z65" s="1"/>
      <c r="AA65" s="1"/>
      <c r="AB65" s="1"/>
    </row>
    <row r="66" spans="1:28" x14ac:dyDescent="0.2">
      <c r="A66" s="6" t="s">
        <v>128</v>
      </c>
      <c r="B66" s="6"/>
      <c r="C66" s="6"/>
      <c r="D66" s="6"/>
      <c r="F66" s="2"/>
      <c r="G66" s="2"/>
      <c r="H66" s="1"/>
      <c r="I66" s="1"/>
      <c r="M66" s="5"/>
      <c r="O66" s="4"/>
      <c r="P66" s="5"/>
      <c r="Q66" s="5"/>
      <c r="U66" s="2"/>
      <c r="V66" s="2"/>
      <c r="W66" s="2"/>
      <c r="X66" s="2"/>
      <c r="Y66" s="1"/>
      <c r="Z66" s="1"/>
      <c r="AA66" s="1"/>
      <c r="AB66" s="1"/>
    </row>
    <row r="67" spans="1:28" x14ac:dyDescent="0.2">
      <c r="A67" s="6"/>
      <c r="B67" s="6"/>
      <c r="C67" s="6"/>
      <c r="D67" s="6"/>
      <c r="F67" s="2"/>
      <c r="G67" s="2"/>
      <c r="H67" s="1"/>
      <c r="I67" s="1"/>
      <c r="M67" s="5"/>
      <c r="O67" s="4"/>
      <c r="P67" s="5"/>
      <c r="Q67" s="5"/>
      <c r="U67" s="2"/>
      <c r="V67" s="2"/>
      <c r="W67" s="2"/>
      <c r="X67" s="2"/>
      <c r="Y67" s="1"/>
      <c r="Z67" s="1"/>
      <c r="AA67" s="1"/>
      <c r="AB67" s="1"/>
    </row>
    <row r="68" spans="1:28" x14ac:dyDescent="0.2">
      <c r="A68" s="6" t="s">
        <v>127</v>
      </c>
      <c r="B68" s="6"/>
      <c r="C68" s="6"/>
      <c r="D68" s="6"/>
      <c r="F68" s="2"/>
      <c r="G68" s="2"/>
      <c r="H68" s="1"/>
      <c r="I68" s="1"/>
      <c r="M68" s="5"/>
      <c r="O68" s="4"/>
      <c r="P68" s="5"/>
      <c r="Q68" s="5"/>
      <c r="U68" s="2"/>
      <c r="V68" s="2"/>
      <c r="W68" s="2"/>
      <c r="X68" s="2"/>
      <c r="Y68" s="1"/>
      <c r="Z68" s="1"/>
      <c r="AA68" s="1"/>
      <c r="AB68" s="1"/>
    </row>
    <row r="71" spans="1:28" x14ac:dyDescent="0.25">
      <c r="A71" s="10"/>
      <c r="B71" s="10"/>
    </row>
    <row r="72" spans="1:28" x14ac:dyDescent="0.25">
      <c r="A72" s="10"/>
      <c r="B72" s="10"/>
    </row>
    <row r="73" spans="1:28" x14ac:dyDescent="0.25">
      <c r="A73" s="10"/>
      <c r="B73" s="10"/>
    </row>
    <row r="74" spans="1:28" x14ac:dyDescent="0.25">
      <c r="A74" s="10"/>
      <c r="B74" s="10"/>
    </row>
    <row r="75" spans="1:28" x14ac:dyDescent="0.25">
      <c r="A75" s="10"/>
      <c r="B75" s="10"/>
    </row>
    <row r="76" spans="1:28" x14ac:dyDescent="0.25">
      <c r="A76" s="10"/>
      <c r="B76" s="10"/>
    </row>
    <row r="77" spans="1:28" x14ac:dyDescent="0.25">
      <c r="A77" s="10"/>
      <c r="B77" s="10"/>
    </row>
    <row r="78" spans="1:28" x14ac:dyDescent="0.25">
      <c r="A78" s="10"/>
      <c r="B78" s="10"/>
    </row>
  </sheetData>
  <mergeCells count="32">
    <mergeCell ref="A7:BB7"/>
    <mergeCell ref="A9:BB9"/>
    <mergeCell ref="C12:C15"/>
    <mergeCell ref="D12:E14"/>
    <mergeCell ref="H12:I14"/>
    <mergeCell ref="J12:J15"/>
    <mergeCell ref="K12:L14"/>
    <mergeCell ref="M12:AP12"/>
    <mergeCell ref="AQ12:AR14"/>
    <mergeCell ref="AS12:AT14"/>
    <mergeCell ref="AU12:AV14"/>
    <mergeCell ref="AW12:AX14"/>
    <mergeCell ref="AY12:AZ14"/>
    <mergeCell ref="BA12:BA15"/>
    <mergeCell ref="BB12:BB15"/>
    <mergeCell ref="M13:AB13"/>
    <mergeCell ref="AC13:AP13"/>
    <mergeCell ref="AP14:AP15"/>
    <mergeCell ref="A12:A15"/>
    <mergeCell ref="B12:B15"/>
    <mergeCell ref="F12:G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J14"/>
    <mergeCell ref="AK14:AN14"/>
    <mergeCell ref="AO14:AO1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8"/>
  <sheetViews>
    <sheetView showZeros="0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9" sqref="A9:BB9"/>
    </sheetView>
  </sheetViews>
  <sheetFormatPr defaultRowHeight="14.25" x14ac:dyDescent="0.25"/>
  <cols>
    <col min="1" max="1" width="30.7109375" style="2" customWidth="1"/>
    <col min="2" max="2" width="10.7109375" style="2" customWidth="1"/>
    <col min="3" max="3" width="9.7109375" style="3" customWidth="1"/>
    <col min="4" max="5" width="9.7109375" style="2" customWidth="1"/>
    <col min="6" max="7" width="9.7109375" style="1" customWidth="1"/>
    <col min="8" max="9" width="9.7109375" style="5" customWidth="1"/>
    <col min="10" max="10" width="8.7109375" style="5" customWidth="1"/>
    <col min="11" max="12" width="14.7109375" style="5" customWidth="1"/>
    <col min="13" max="13" width="9.7109375" style="4" customWidth="1"/>
    <col min="14" max="15" width="9.7109375" style="5" customWidth="1"/>
    <col min="16" max="20" width="9.7109375" style="2" customWidth="1"/>
    <col min="21" max="24" width="9.7109375" style="1" customWidth="1"/>
    <col min="25" max="54" width="9.7109375" style="2" customWidth="1"/>
    <col min="55" max="16384" width="9.140625" style="2"/>
  </cols>
  <sheetData>
    <row r="1" spans="1:55" ht="12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/>
      <c r="AJ1"/>
      <c r="AK1"/>
      <c r="AL1"/>
      <c r="AM1"/>
    </row>
    <row r="2" spans="1:55" ht="12.75" customHeight="1" x14ac:dyDescent="0.25">
      <c r="A2" s="11" t="s">
        <v>134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X2" s="11" t="s">
        <v>56</v>
      </c>
      <c r="AY2"/>
      <c r="AZ2"/>
      <c r="BA2"/>
      <c r="BB2"/>
      <c r="BC2"/>
    </row>
    <row r="3" spans="1:55" s="6" customFormat="1" ht="12.75" customHeight="1" x14ac:dyDescent="0.25">
      <c r="A3" s="11" t="s">
        <v>57</v>
      </c>
      <c r="AX3" s="11" t="s">
        <v>65</v>
      </c>
      <c r="AY3"/>
      <c r="AZ3"/>
      <c r="BA3"/>
      <c r="BB3"/>
      <c r="BC3"/>
    </row>
    <row r="4" spans="1:55" s="6" customFormat="1" ht="12.75" customHeight="1" x14ac:dyDescent="0.25">
      <c r="AX4" s="24" t="s">
        <v>123</v>
      </c>
      <c r="AY4"/>
      <c r="AZ4"/>
      <c r="BA4"/>
      <c r="BB4"/>
      <c r="BC4"/>
    </row>
    <row r="5" spans="1:55" s="6" customFormat="1" ht="12.75" customHeight="1" x14ac:dyDescent="0.25">
      <c r="AY5"/>
      <c r="AZ5"/>
      <c r="BA5"/>
      <c r="BB5"/>
      <c r="BC5"/>
    </row>
    <row r="6" spans="1:55" s="6" customFormat="1" ht="15" x14ac:dyDescent="0.25">
      <c r="AX6" s="25" t="s">
        <v>85</v>
      </c>
      <c r="AY6"/>
      <c r="AZ6"/>
      <c r="BA6"/>
      <c r="BB6"/>
      <c r="BC6"/>
    </row>
    <row r="7" spans="1:55" s="6" customFormat="1" ht="15.75" customHeight="1" x14ac:dyDescent="0.2">
      <c r="A7" s="184" t="s">
        <v>58</v>
      </c>
      <c r="B7" s="184"/>
      <c r="C7" s="184"/>
      <c r="D7" s="184"/>
      <c r="E7" s="184"/>
      <c r="F7" s="184"/>
      <c r="G7" s="184"/>
      <c r="H7" s="184"/>
      <c r="I7" s="184"/>
      <c r="J7" s="184"/>
      <c r="K7" s="184"/>
      <c r="L7" s="184"/>
      <c r="M7" s="184"/>
      <c r="N7" s="184"/>
      <c r="O7" s="184"/>
      <c r="P7" s="184"/>
      <c r="Q7" s="184"/>
      <c r="R7" s="184"/>
      <c r="S7" s="184"/>
      <c r="T7" s="184"/>
      <c r="U7" s="184"/>
      <c r="V7" s="184"/>
      <c r="W7" s="184"/>
      <c r="X7" s="184"/>
      <c r="Y7" s="184"/>
      <c r="Z7" s="184"/>
      <c r="AA7" s="184"/>
      <c r="AB7" s="184"/>
      <c r="AC7" s="184"/>
      <c r="AD7" s="184"/>
      <c r="AE7" s="184"/>
      <c r="AF7" s="184"/>
      <c r="AG7" s="184"/>
      <c r="AH7" s="184"/>
      <c r="AI7" s="184"/>
      <c r="AJ7" s="184"/>
      <c r="AK7" s="184"/>
      <c r="AL7" s="184"/>
      <c r="AM7" s="184"/>
      <c r="AN7" s="184"/>
      <c r="AO7" s="184"/>
      <c r="AP7" s="184"/>
      <c r="AQ7" s="184"/>
      <c r="AR7" s="184"/>
      <c r="AS7" s="184"/>
      <c r="AT7" s="184"/>
      <c r="AU7" s="184"/>
      <c r="AV7" s="184"/>
      <c r="AW7" s="184"/>
      <c r="AX7" s="184"/>
      <c r="AY7" s="184"/>
      <c r="AZ7" s="184"/>
      <c r="BA7" s="184"/>
      <c r="BB7" s="184"/>
      <c r="BC7" s="109"/>
    </row>
    <row r="8" spans="1:55" s="6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55" ht="15.75" x14ac:dyDescent="0.25">
      <c r="A9" s="185"/>
      <c r="B9" s="185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  <c r="Z9" s="185"/>
      <c r="AA9" s="185"/>
      <c r="AB9" s="185"/>
      <c r="AC9" s="185"/>
      <c r="AD9" s="185"/>
      <c r="AE9" s="185"/>
      <c r="AF9" s="185"/>
      <c r="AG9" s="185"/>
      <c r="AH9" s="185"/>
      <c r="AI9" s="185"/>
      <c r="AJ9" s="185"/>
      <c r="AK9" s="185"/>
      <c r="AL9" s="185"/>
      <c r="AM9" s="185"/>
      <c r="AN9" s="185"/>
      <c r="AO9" s="185"/>
      <c r="AP9" s="185"/>
      <c r="AQ9" s="185"/>
      <c r="AR9" s="185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08"/>
    </row>
    <row r="10" spans="1:55" s="6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55" ht="12.7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3"/>
      <c r="L11" s="2"/>
      <c r="M11" s="2"/>
      <c r="N11" s="2"/>
      <c r="O11" s="2"/>
      <c r="U11" s="2"/>
      <c r="V11" s="2"/>
      <c r="W11" s="2"/>
      <c r="X11" s="2"/>
    </row>
    <row r="12" spans="1:55" ht="14.25" customHeight="1" x14ac:dyDescent="0.25">
      <c r="A12" s="160" t="s">
        <v>2</v>
      </c>
      <c r="B12" s="163" t="s">
        <v>129</v>
      </c>
      <c r="C12" s="163" t="s">
        <v>3</v>
      </c>
      <c r="D12" s="166" t="s">
        <v>60</v>
      </c>
      <c r="E12" s="155"/>
      <c r="F12" s="154" t="s">
        <v>131</v>
      </c>
      <c r="G12" s="155"/>
      <c r="H12" s="154" t="s">
        <v>1</v>
      </c>
      <c r="I12" s="155"/>
      <c r="J12" s="186" t="s">
        <v>135</v>
      </c>
      <c r="K12" s="154" t="s">
        <v>4</v>
      </c>
      <c r="L12" s="155"/>
      <c r="M12" s="175" t="s">
        <v>62</v>
      </c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  <c r="AA12" s="176"/>
      <c r="AB12" s="176"/>
      <c r="AC12" s="176"/>
      <c r="AD12" s="176"/>
      <c r="AE12" s="176"/>
      <c r="AF12" s="176"/>
      <c r="AG12" s="176"/>
      <c r="AH12" s="176"/>
      <c r="AI12" s="176"/>
      <c r="AJ12" s="176"/>
      <c r="AK12" s="176"/>
      <c r="AL12" s="176"/>
      <c r="AM12" s="176"/>
      <c r="AN12" s="176"/>
      <c r="AO12" s="176"/>
      <c r="AP12" s="177"/>
      <c r="AQ12" s="154" t="s">
        <v>69</v>
      </c>
      <c r="AR12" s="155"/>
      <c r="AS12" s="154" t="s">
        <v>59</v>
      </c>
      <c r="AT12" s="155"/>
      <c r="AU12" s="154" t="s">
        <v>70</v>
      </c>
      <c r="AV12" s="155"/>
      <c r="AW12" s="154" t="s">
        <v>71</v>
      </c>
      <c r="AX12" s="155"/>
      <c r="AY12" s="154" t="s">
        <v>72</v>
      </c>
      <c r="AZ12" s="155"/>
      <c r="BA12" s="182" t="s">
        <v>73</v>
      </c>
      <c r="BB12" s="179" t="s">
        <v>133</v>
      </c>
      <c r="BC12"/>
    </row>
    <row r="13" spans="1:55" ht="14.25" customHeight="1" x14ac:dyDescent="0.25">
      <c r="A13" s="161"/>
      <c r="B13" s="164"/>
      <c r="C13" s="164"/>
      <c r="D13" s="167"/>
      <c r="E13" s="157"/>
      <c r="F13" s="156"/>
      <c r="G13" s="157"/>
      <c r="H13" s="156"/>
      <c r="I13" s="157"/>
      <c r="J13" s="187"/>
      <c r="K13" s="156"/>
      <c r="L13" s="157"/>
      <c r="M13" s="152" t="s">
        <v>5</v>
      </c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  <c r="AA13" s="178"/>
      <c r="AB13" s="153"/>
      <c r="AC13" s="152" t="s">
        <v>6</v>
      </c>
      <c r="AD13" s="178"/>
      <c r="AE13" s="178"/>
      <c r="AF13" s="178"/>
      <c r="AG13" s="178"/>
      <c r="AH13" s="178"/>
      <c r="AI13" s="178"/>
      <c r="AJ13" s="178"/>
      <c r="AK13" s="178"/>
      <c r="AL13" s="178"/>
      <c r="AM13" s="178"/>
      <c r="AN13" s="178"/>
      <c r="AO13" s="178"/>
      <c r="AP13" s="153"/>
      <c r="AQ13" s="156"/>
      <c r="AR13" s="157"/>
      <c r="AS13" s="156"/>
      <c r="AT13" s="157"/>
      <c r="AU13" s="156"/>
      <c r="AV13" s="157"/>
      <c r="AW13" s="156"/>
      <c r="AX13" s="157"/>
      <c r="AY13" s="156"/>
      <c r="AZ13" s="157"/>
      <c r="BA13" s="183"/>
      <c r="BB13" s="180"/>
      <c r="BC13"/>
    </row>
    <row r="14" spans="1:55" ht="63.75" customHeight="1" x14ac:dyDescent="0.25">
      <c r="A14" s="161"/>
      <c r="B14" s="164"/>
      <c r="C14" s="164"/>
      <c r="D14" s="168"/>
      <c r="E14" s="159"/>
      <c r="F14" s="158"/>
      <c r="G14" s="159"/>
      <c r="H14" s="158"/>
      <c r="I14" s="159"/>
      <c r="J14" s="187"/>
      <c r="K14" s="158"/>
      <c r="L14" s="159"/>
      <c r="M14" s="152" t="s">
        <v>10</v>
      </c>
      <c r="N14" s="153"/>
      <c r="O14" s="152" t="s">
        <v>74</v>
      </c>
      <c r="P14" s="153"/>
      <c r="Q14" s="152" t="s">
        <v>75</v>
      </c>
      <c r="R14" s="153"/>
      <c r="S14" s="152" t="s">
        <v>86</v>
      </c>
      <c r="T14" s="153"/>
      <c r="U14" s="152" t="s">
        <v>136</v>
      </c>
      <c r="V14" s="153"/>
      <c r="W14" s="169" t="s">
        <v>132</v>
      </c>
      <c r="X14" s="170"/>
      <c r="Y14" s="152" t="s">
        <v>84</v>
      </c>
      <c r="Z14" s="153"/>
      <c r="AA14" s="152" t="s">
        <v>76</v>
      </c>
      <c r="AB14" s="153"/>
      <c r="AC14" s="152" t="s">
        <v>7</v>
      </c>
      <c r="AD14" s="178"/>
      <c r="AE14" s="178"/>
      <c r="AF14" s="178"/>
      <c r="AG14" s="178"/>
      <c r="AH14" s="178"/>
      <c r="AI14" s="178"/>
      <c r="AJ14" s="153"/>
      <c r="AK14" s="152" t="s">
        <v>8</v>
      </c>
      <c r="AL14" s="178"/>
      <c r="AM14" s="178"/>
      <c r="AN14" s="153"/>
      <c r="AO14" s="171" t="s">
        <v>77</v>
      </c>
      <c r="AP14" s="173" t="s">
        <v>18</v>
      </c>
      <c r="AQ14" s="158"/>
      <c r="AR14" s="159"/>
      <c r="AS14" s="158"/>
      <c r="AT14" s="159"/>
      <c r="AU14" s="158"/>
      <c r="AV14" s="159"/>
      <c r="AW14" s="158"/>
      <c r="AX14" s="159"/>
      <c r="AY14" s="158"/>
      <c r="AZ14" s="159"/>
      <c r="BA14" s="183"/>
      <c r="BB14" s="180"/>
      <c r="BC14"/>
    </row>
    <row r="15" spans="1:55" ht="38.25" customHeight="1" thickBot="1" x14ac:dyDescent="0.3">
      <c r="A15" s="162"/>
      <c r="B15" s="165"/>
      <c r="C15" s="165"/>
      <c r="D15" s="118" t="s">
        <v>61</v>
      </c>
      <c r="E15" s="77" t="s">
        <v>9</v>
      </c>
      <c r="F15" s="77" t="s">
        <v>11</v>
      </c>
      <c r="G15" s="77" t="s">
        <v>130</v>
      </c>
      <c r="H15" s="77" t="s">
        <v>0</v>
      </c>
      <c r="I15" s="77" t="s">
        <v>78</v>
      </c>
      <c r="J15" s="188"/>
      <c r="K15" s="77" t="s">
        <v>61</v>
      </c>
      <c r="L15" s="77" t="s">
        <v>9</v>
      </c>
      <c r="M15" s="77" t="s">
        <v>61</v>
      </c>
      <c r="N15" s="77" t="s">
        <v>9</v>
      </c>
      <c r="O15" s="77" t="s">
        <v>61</v>
      </c>
      <c r="P15" s="77" t="s">
        <v>9</v>
      </c>
      <c r="Q15" s="77" t="s">
        <v>61</v>
      </c>
      <c r="R15" s="77" t="s">
        <v>9</v>
      </c>
      <c r="S15" s="77" t="s">
        <v>61</v>
      </c>
      <c r="T15" s="77" t="s">
        <v>9</v>
      </c>
      <c r="U15" s="77" t="s">
        <v>61</v>
      </c>
      <c r="V15" s="77" t="s">
        <v>9</v>
      </c>
      <c r="W15" s="77" t="s">
        <v>61</v>
      </c>
      <c r="X15" s="77" t="s">
        <v>9</v>
      </c>
      <c r="Y15" s="77" t="s">
        <v>61</v>
      </c>
      <c r="Z15" s="77" t="s">
        <v>9</v>
      </c>
      <c r="AA15" s="77" t="s">
        <v>61</v>
      </c>
      <c r="AB15" s="77" t="s">
        <v>9</v>
      </c>
      <c r="AC15" s="77" t="s">
        <v>11</v>
      </c>
      <c r="AD15" s="77" t="s">
        <v>12</v>
      </c>
      <c r="AE15" s="77" t="s">
        <v>13</v>
      </c>
      <c r="AF15" s="77" t="s">
        <v>14</v>
      </c>
      <c r="AG15" s="77" t="s">
        <v>15</v>
      </c>
      <c r="AH15" s="77" t="s">
        <v>16</v>
      </c>
      <c r="AI15" s="107" t="s">
        <v>18</v>
      </c>
      <c r="AJ15" s="107" t="s">
        <v>17</v>
      </c>
      <c r="AK15" s="77" t="s">
        <v>19</v>
      </c>
      <c r="AL15" s="77" t="s">
        <v>20</v>
      </c>
      <c r="AM15" s="77" t="s">
        <v>21</v>
      </c>
      <c r="AN15" s="77" t="s">
        <v>22</v>
      </c>
      <c r="AO15" s="172"/>
      <c r="AP15" s="174"/>
      <c r="AQ15" s="77" t="s">
        <v>61</v>
      </c>
      <c r="AR15" s="77" t="s">
        <v>9</v>
      </c>
      <c r="AS15" s="77" t="s">
        <v>61</v>
      </c>
      <c r="AT15" s="77" t="s">
        <v>9</v>
      </c>
      <c r="AU15" s="77" t="s">
        <v>61</v>
      </c>
      <c r="AV15" s="77" t="s">
        <v>9</v>
      </c>
      <c r="AW15" s="77" t="s">
        <v>61</v>
      </c>
      <c r="AX15" s="77" t="s">
        <v>9</v>
      </c>
      <c r="AY15" s="77" t="s">
        <v>61</v>
      </c>
      <c r="AZ15" s="77" t="s">
        <v>9</v>
      </c>
      <c r="BA15" s="172"/>
      <c r="BB15" s="181"/>
      <c r="BC15"/>
    </row>
    <row r="16" spans="1:55" ht="15" customHeight="1" thickBot="1" x14ac:dyDescent="0.3">
      <c r="A16" s="106">
        <v>1</v>
      </c>
      <c r="B16" s="106">
        <v>2</v>
      </c>
      <c r="C16" s="106">
        <v>3</v>
      </c>
      <c r="D16" s="105">
        <v>4</v>
      </c>
      <c r="E16" s="78">
        <v>5</v>
      </c>
      <c r="F16" s="78">
        <v>6</v>
      </c>
      <c r="G16" s="78">
        <v>7</v>
      </c>
      <c r="H16" s="78">
        <v>8</v>
      </c>
      <c r="I16" s="78">
        <v>9</v>
      </c>
      <c r="J16" s="78">
        <v>10</v>
      </c>
      <c r="K16" s="78">
        <v>11</v>
      </c>
      <c r="L16" s="78">
        <v>12</v>
      </c>
      <c r="M16" s="78">
        <v>13</v>
      </c>
      <c r="N16" s="78">
        <v>14</v>
      </c>
      <c r="O16" s="78">
        <v>15</v>
      </c>
      <c r="P16" s="78">
        <v>16</v>
      </c>
      <c r="Q16" s="78">
        <v>17</v>
      </c>
      <c r="R16" s="78">
        <v>18</v>
      </c>
      <c r="S16" s="78">
        <v>19</v>
      </c>
      <c r="T16" s="78">
        <v>20</v>
      </c>
      <c r="U16" s="78">
        <v>21</v>
      </c>
      <c r="V16" s="78">
        <v>22</v>
      </c>
      <c r="W16" s="78">
        <v>23</v>
      </c>
      <c r="X16" s="78">
        <v>24</v>
      </c>
      <c r="Y16" s="78">
        <v>25</v>
      </c>
      <c r="Z16" s="78">
        <v>26</v>
      </c>
      <c r="AA16" s="78">
        <v>27</v>
      </c>
      <c r="AB16" s="78">
        <v>28</v>
      </c>
      <c r="AC16" s="78">
        <v>29</v>
      </c>
      <c r="AD16" s="78">
        <v>30</v>
      </c>
      <c r="AE16" s="78">
        <v>31</v>
      </c>
      <c r="AF16" s="78">
        <v>32</v>
      </c>
      <c r="AG16" s="78">
        <v>33</v>
      </c>
      <c r="AH16" s="78">
        <v>34</v>
      </c>
      <c r="AI16" s="78">
        <v>35</v>
      </c>
      <c r="AJ16" s="78">
        <v>36</v>
      </c>
      <c r="AK16" s="78">
        <v>37</v>
      </c>
      <c r="AL16" s="78">
        <v>38</v>
      </c>
      <c r="AM16" s="78">
        <v>39</v>
      </c>
      <c r="AN16" s="78">
        <v>40</v>
      </c>
      <c r="AO16" s="78">
        <v>41</v>
      </c>
      <c r="AP16" s="78">
        <v>42</v>
      </c>
      <c r="AQ16" s="78">
        <v>43</v>
      </c>
      <c r="AR16" s="78">
        <v>44</v>
      </c>
      <c r="AS16" s="78">
        <v>45</v>
      </c>
      <c r="AT16" s="78">
        <v>46</v>
      </c>
      <c r="AU16" s="78">
        <v>47</v>
      </c>
      <c r="AV16" s="78">
        <v>48</v>
      </c>
      <c r="AW16" s="78">
        <v>49</v>
      </c>
      <c r="AX16" s="78">
        <v>50</v>
      </c>
      <c r="AY16" s="78">
        <v>51</v>
      </c>
      <c r="AZ16" s="78">
        <v>52</v>
      </c>
      <c r="BA16" s="78">
        <v>53</v>
      </c>
      <c r="BB16" s="79">
        <v>54</v>
      </c>
      <c r="BC16"/>
    </row>
    <row r="17" spans="1:55" ht="15" customHeight="1" thickBot="1" x14ac:dyDescent="0.3">
      <c r="A17" s="87" t="s">
        <v>79</v>
      </c>
      <c r="B17" s="87"/>
      <c r="C17" s="87"/>
      <c r="D17" s="132">
        <f>AT17*AW17*AU17</f>
        <v>0</v>
      </c>
      <c r="E17" s="129">
        <f>ROUND(AT17*AV17*AX17,4)</f>
        <v>0</v>
      </c>
      <c r="F17" s="129"/>
      <c r="G17" s="129"/>
      <c r="H17" s="131">
        <f>SUM(H18:H23)</f>
        <v>0</v>
      </c>
      <c r="I17" s="131">
        <f>SUM(I18:I23)</f>
        <v>0</v>
      </c>
      <c r="J17" s="88"/>
      <c r="K17" s="130">
        <f>SUM(K18:K23)</f>
        <v>0</v>
      </c>
      <c r="L17" s="130">
        <f>SUM(L18:L23)</f>
        <v>0</v>
      </c>
      <c r="M17" s="129">
        <f>SUM(M18:M23)</f>
        <v>0</v>
      </c>
      <c r="N17" s="129">
        <f t="shared" ref="N17:AO17" si="0">SUM(N18:N23)</f>
        <v>0</v>
      </c>
      <c r="O17" s="129">
        <f t="shared" si="0"/>
        <v>0</v>
      </c>
      <c r="P17" s="129">
        <f t="shared" si="0"/>
        <v>0</v>
      </c>
      <c r="Q17" s="129">
        <f t="shared" si="0"/>
        <v>0</v>
      </c>
      <c r="R17" s="129">
        <f t="shared" si="0"/>
        <v>0</v>
      </c>
      <c r="S17" s="129">
        <f t="shared" si="0"/>
        <v>0</v>
      </c>
      <c r="T17" s="129">
        <f t="shared" si="0"/>
        <v>0</v>
      </c>
      <c r="U17" s="129">
        <f t="shared" si="0"/>
        <v>0</v>
      </c>
      <c r="V17" s="129">
        <f t="shared" si="0"/>
        <v>0</v>
      </c>
      <c r="W17" s="129">
        <f t="shared" si="0"/>
        <v>0</v>
      </c>
      <c r="X17" s="129">
        <f t="shared" si="0"/>
        <v>0</v>
      </c>
      <c r="Y17" s="129">
        <f t="shared" si="0"/>
        <v>0</v>
      </c>
      <c r="Z17" s="129">
        <f t="shared" si="0"/>
        <v>0</v>
      </c>
      <c r="AA17" s="129">
        <f t="shared" si="0"/>
        <v>0</v>
      </c>
      <c r="AB17" s="129">
        <f>SUM(AB18:AB23)</f>
        <v>0</v>
      </c>
      <c r="AC17" s="129">
        <f t="shared" si="0"/>
        <v>0</v>
      </c>
      <c r="AD17" s="129">
        <f t="shared" si="0"/>
        <v>0</v>
      </c>
      <c r="AE17" s="129">
        <f t="shared" si="0"/>
        <v>0</v>
      </c>
      <c r="AF17" s="129">
        <f t="shared" si="0"/>
        <v>0</v>
      </c>
      <c r="AG17" s="129">
        <f t="shared" si="0"/>
        <v>0</v>
      </c>
      <c r="AH17" s="129">
        <f t="shared" si="0"/>
        <v>0</v>
      </c>
      <c r="AI17" s="129">
        <f t="shared" si="0"/>
        <v>0</v>
      </c>
      <c r="AJ17" s="129">
        <f t="shared" si="0"/>
        <v>0</v>
      </c>
      <c r="AK17" s="129">
        <f t="shared" si="0"/>
        <v>0</v>
      </c>
      <c r="AL17" s="129">
        <f t="shared" si="0"/>
        <v>0</v>
      </c>
      <c r="AM17" s="129">
        <f t="shared" si="0"/>
        <v>0</v>
      </c>
      <c r="AN17" s="129">
        <f t="shared" si="0"/>
        <v>0</v>
      </c>
      <c r="AO17" s="129">
        <f t="shared" si="0"/>
        <v>0</v>
      </c>
      <c r="AP17" s="129">
        <f>SUM(AP18:AP23)</f>
        <v>0</v>
      </c>
      <c r="AQ17" s="129">
        <f>M17+O17+S17+U17+W17+AA17+Q17+Y17</f>
        <v>0</v>
      </c>
      <c r="AR17" s="129">
        <f>N17+P17+R17+AC17+AD17+AE17+AF17+AG17+AH17+AI17+AJ17+AK17+AL17+AM17+AN17+AO17+AP17+T17+V17+AB17+X17+Z17</f>
        <v>0</v>
      </c>
      <c r="AS17" s="129">
        <f>SUM(AS18:AS23)</f>
        <v>0</v>
      </c>
      <c r="AT17" s="129">
        <f>SUM(AT18:AT23)</f>
        <v>0</v>
      </c>
      <c r="AU17" s="131">
        <f>IF(AT17-AQ17=0,0,(AT17-M17-O17-Q17)/AT17)</f>
        <v>0</v>
      </c>
      <c r="AV17" s="131">
        <f>IF(AT17=0,0,(AT17-N17-P17-R17-AC17-AD17-AE17-AF17-AG17-AH17-AI17-AJ17-AL17)/AT17)</f>
        <v>0</v>
      </c>
      <c r="AW17" s="131">
        <f>IF(OR(AT17=0,AU17=0),0,((AT17*AU17)-S17-U17-W17-Y17-AA17)/(AT17*AU17))</f>
        <v>0</v>
      </c>
      <c r="AX17" s="131">
        <f>IF(OR(AT17=0,AV17=0),0,((AT17*AV17)-AK17-AM17-AN17-AO17-AP17-T17-V17-X17-Z17-AB17)/(AT17*AV17))</f>
        <v>0</v>
      </c>
      <c r="AY17" s="131">
        <f>IF(K17=0,0,K17/(D17-Y17)/24)</f>
        <v>0</v>
      </c>
      <c r="AZ17" s="131">
        <f t="shared" ref="AY17:AZ22" si="1">IF(L17=0,0,L17/(E17-Z17)/24)</f>
        <v>0</v>
      </c>
      <c r="BA17" s="129">
        <f>ROUND(AT17-E17-AR17,4)</f>
        <v>0</v>
      </c>
      <c r="BB17" s="89"/>
      <c r="BC17"/>
    </row>
    <row r="18" spans="1:55" ht="15" hidden="1" customHeight="1" x14ac:dyDescent="0.25">
      <c r="A18" s="80" t="s">
        <v>23</v>
      </c>
      <c r="B18" s="110">
        <v>22</v>
      </c>
      <c r="C18" s="110">
        <v>22</v>
      </c>
      <c r="D18" s="119">
        <f>AS18*AW18*AU18</f>
        <v>0</v>
      </c>
      <c r="E18" s="17">
        <f>ROUND(AS18*AV18*AX18,4)</f>
        <v>0</v>
      </c>
      <c r="F18" s="81"/>
      <c r="G18" s="81"/>
      <c r="H18" s="82"/>
      <c r="I18" s="82"/>
      <c r="J18" s="83" t="s">
        <v>55</v>
      </c>
      <c r="K18" s="84"/>
      <c r="L18" s="84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>
        <f t="shared" ref="AQ18:AQ61" si="2">M18+O18+S18+U18+W18+AA18+Q18+Y18</f>
        <v>0</v>
      </c>
      <c r="AR18" s="17">
        <f>N18+P18+R18+AC18+AD18+AE18+AF18+AG18+AH18+AI18+AJ18+AK18+AL18+AM18+AN18+AO18+AP18+T18+V18+AB18+X18+Z18</f>
        <v>0</v>
      </c>
      <c r="AS18" s="17">
        <f>AT18</f>
        <v>0</v>
      </c>
      <c r="AT18" s="17"/>
      <c r="AU18" s="18">
        <f t="shared" ref="AU18:AU61" si="3">IF(AT18-AQ18=0,0,(AT18-M18-O18-Q18)/AT18)</f>
        <v>0</v>
      </c>
      <c r="AV18" s="18">
        <f t="shared" ref="AV18:AV61" si="4">IF(AT18=0,0,(AT18-N18-P18-R18-AC18-AD18-AE18-AF18-AG18-AH18-AI18-AJ18-AL18)/AT18)</f>
        <v>0</v>
      </c>
      <c r="AW18" s="18">
        <f t="shared" ref="AW18:AW61" si="5">IF(OR(AT18=0,AU18=0),0,((AT18*AU18)-S18-U18-W18-Y18-AA18)/(AT18*AU18))</f>
        <v>0</v>
      </c>
      <c r="AX18" s="18">
        <f t="shared" ref="AX18:AX61" si="6">IF(OR(AT18=0,AV18=0),0,((AT18*AV18)-AK18-AM18-AN18-AO18-AP18-T18-V18-X18-Z18-AB18)/(AT18*AV18))</f>
        <v>0</v>
      </c>
      <c r="AY18" s="82">
        <f>IF(K18=0,0,K18/(D18-Y18)/24)</f>
        <v>0</v>
      </c>
      <c r="AZ18" s="82">
        <f t="shared" si="1"/>
        <v>0</v>
      </c>
      <c r="BA18" s="85">
        <f>ROUND(AS18-E18-AR18,4)</f>
        <v>0</v>
      </c>
      <c r="BB18" s="86"/>
      <c r="BC18"/>
    </row>
    <row r="19" spans="1:55" ht="15" hidden="1" customHeight="1" x14ac:dyDescent="0.25">
      <c r="A19" s="68" t="s">
        <v>24</v>
      </c>
      <c r="B19" s="111">
        <v>23</v>
      </c>
      <c r="C19" s="111">
        <v>23</v>
      </c>
      <c r="D19" s="119">
        <f t="shared" ref="D19:D23" si="7">AS19*AW19*AU19</f>
        <v>0</v>
      </c>
      <c r="E19" s="17">
        <f t="shared" ref="E19:E22" si="8">ROUND(AS19*AV19*AX19,4)</f>
        <v>0</v>
      </c>
      <c r="F19" s="19"/>
      <c r="G19" s="19"/>
      <c r="H19" s="18"/>
      <c r="I19" s="18"/>
      <c r="J19" s="8" t="s">
        <v>55</v>
      </c>
      <c r="K19" s="20"/>
      <c r="L19" s="20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7">
        <f t="shared" si="2"/>
        <v>0</v>
      </c>
      <c r="AR19" s="15">
        <f>N19+P19+R19+AC19+AD19+AE19+AF19+AG19+AH19+AI19+AJ19+AK19+AL19+AM19+AN19+AO19+AP19+T19+V19+AB19</f>
        <v>0</v>
      </c>
      <c r="AS19" s="17">
        <f t="shared" ref="AS19:AS23" si="9">AT19</f>
        <v>0</v>
      </c>
      <c r="AT19" s="15"/>
      <c r="AU19" s="18">
        <f t="shared" si="3"/>
        <v>0</v>
      </c>
      <c r="AV19" s="18">
        <f t="shared" si="4"/>
        <v>0</v>
      </c>
      <c r="AW19" s="18">
        <f t="shared" si="5"/>
        <v>0</v>
      </c>
      <c r="AX19" s="18">
        <f t="shared" si="6"/>
        <v>0</v>
      </c>
      <c r="AY19" s="18">
        <f t="shared" si="1"/>
        <v>0</v>
      </c>
      <c r="AZ19" s="18">
        <f t="shared" si="1"/>
        <v>0</v>
      </c>
      <c r="BA19" s="74">
        <f>ROUND(AS19-E19-AR19,4)</f>
        <v>0</v>
      </c>
      <c r="BB19" s="75"/>
      <c r="BC19"/>
    </row>
    <row r="20" spans="1:55" ht="15" hidden="1" customHeight="1" x14ac:dyDescent="0.25">
      <c r="A20" s="69" t="s">
        <v>25</v>
      </c>
      <c r="B20" s="112"/>
      <c r="C20" s="112">
        <v>24</v>
      </c>
      <c r="D20" s="119">
        <f t="shared" si="7"/>
        <v>0</v>
      </c>
      <c r="E20" s="17">
        <f t="shared" si="8"/>
        <v>0</v>
      </c>
      <c r="F20" s="19"/>
      <c r="G20" s="19"/>
      <c r="H20" s="18"/>
      <c r="I20" s="18"/>
      <c r="J20" s="8" t="s">
        <v>55</v>
      </c>
      <c r="K20" s="20"/>
      <c r="L20" s="20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7">
        <f t="shared" si="2"/>
        <v>0</v>
      </c>
      <c r="AR20" s="15">
        <f>N20+P20+R20+AC20+AD20+AE20+AF20+AG20+AH20+AI20+AJ20+AK20+AL20+AM20+AN20+AO20+AP20+T20+V20+AB20</f>
        <v>0</v>
      </c>
      <c r="AS20" s="17">
        <f t="shared" si="9"/>
        <v>0</v>
      </c>
      <c r="AT20" s="15"/>
      <c r="AU20" s="18">
        <f t="shared" si="3"/>
        <v>0</v>
      </c>
      <c r="AV20" s="18">
        <f t="shared" si="4"/>
        <v>0</v>
      </c>
      <c r="AW20" s="18">
        <f t="shared" si="5"/>
        <v>0</v>
      </c>
      <c r="AX20" s="18">
        <f t="shared" si="6"/>
        <v>0</v>
      </c>
      <c r="AY20" s="18">
        <f t="shared" si="1"/>
        <v>0</v>
      </c>
      <c r="AZ20" s="18">
        <f t="shared" si="1"/>
        <v>0</v>
      </c>
      <c r="BA20" s="74">
        <f t="shared" ref="BA20:BA22" si="10">ROUND(AS20-E20-AR20,4)</f>
        <v>0</v>
      </c>
      <c r="BB20" s="75"/>
      <c r="BC20"/>
    </row>
    <row r="21" spans="1:55" ht="15" hidden="1" customHeight="1" x14ac:dyDescent="0.25">
      <c r="A21" s="68" t="s">
        <v>26</v>
      </c>
      <c r="B21" s="111"/>
      <c r="C21" s="111">
        <v>24</v>
      </c>
      <c r="D21" s="119">
        <f t="shared" si="7"/>
        <v>0</v>
      </c>
      <c r="E21" s="17">
        <f t="shared" si="8"/>
        <v>0</v>
      </c>
      <c r="F21" s="19"/>
      <c r="G21" s="19"/>
      <c r="H21" s="18"/>
      <c r="I21" s="18"/>
      <c r="J21" s="8" t="s">
        <v>55</v>
      </c>
      <c r="K21" s="20"/>
      <c r="L21" s="20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7">
        <f t="shared" si="2"/>
        <v>0</v>
      </c>
      <c r="AR21" s="15">
        <f>N21+P21+R21+AC21+AD21+AE21+AF21+AG21+AH21+AI21+AJ21+AK21+AL21+AM21+AN21+AO21+AP21+T21+V21+AB21</f>
        <v>0</v>
      </c>
      <c r="AS21" s="17">
        <f>AT21</f>
        <v>0</v>
      </c>
      <c r="AT21" s="15"/>
      <c r="AU21" s="18">
        <f t="shared" si="3"/>
        <v>0</v>
      </c>
      <c r="AV21" s="18">
        <f t="shared" si="4"/>
        <v>0</v>
      </c>
      <c r="AW21" s="18">
        <f t="shared" si="5"/>
        <v>0</v>
      </c>
      <c r="AX21" s="18">
        <f t="shared" si="6"/>
        <v>0</v>
      </c>
      <c r="AY21" s="18">
        <f t="shared" si="1"/>
        <v>0</v>
      </c>
      <c r="AZ21" s="18">
        <f t="shared" si="1"/>
        <v>0</v>
      </c>
      <c r="BA21" s="74">
        <f t="shared" si="10"/>
        <v>0</v>
      </c>
      <c r="BB21" s="75"/>
      <c r="BC21"/>
    </row>
    <row r="22" spans="1:55" ht="15" hidden="1" customHeight="1" x14ac:dyDescent="0.25">
      <c r="A22" s="70" t="s">
        <v>63</v>
      </c>
      <c r="B22" s="113"/>
      <c r="C22" s="113">
        <v>25</v>
      </c>
      <c r="D22" s="119">
        <f t="shared" si="7"/>
        <v>0</v>
      </c>
      <c r="E22" s="17">
        <f t="shared" si="8"/>
        <v>0</v>
      </c>
      <c r="F22" s="19"/>
      <c r="G22" s="19"/>
      <c r="H22" s="18"/>
      <c r="I22" s="18"/>
      <c r="J22" s="8" t="s">
        <v>55</v>
      </c>
      <c r="K22" s="20"/>
      <c r="L22" s="20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7">
        <f t="shared" si="2"/>
        <v>0</v>
      </c>
      <c r="AR22" s="15">
        <f>N22+P22+R22+AC22+AD22+AE22+AF22+AG22+AH22+AI22+AJ22+AK22+AL22+AM22+AN22+AO22+AP22+T22+V22+AB22</f>
        <v>0</v>
      </c>
      <c r="AS22" s="17">
        <f t="shared" si="9"/>
        <v>0</v>
      </c>
      <c r="AT22" s="15"/>
      <c r="AU22" s="18">
        <f t="shared" si="3"/>
        <v>0</v>
      </c>
      <c r="AV22" s="18">
        <f t="shared" si="4"/>
        <v>0</v>
      </c>
      <c r="AW22" s="18">
        <f t="shared" si="5"/>
        <v>0</v>
      </c>
      <c r="AX22" s="18">
        <f t="shared" si="6"/>
        <v>0</v>
      </c>
      <c r="AY22" s="18">
        <f t="shared" si="1"/>
        <v>0</v>
      </c>
      <c r="AZ22" s="18">
        <f t="shared" si="1"/>
        <v>0</v>
      </c>
      <c r="BA22" s="74">
        <f t="shared" si="10"/>
        <v>0</v>
      </c>
      <c r="BB22" s="75"/>
      <c r="BC22"/>
    </row>
    <row r="23" spans="1:55" ht="15" customHeight="1" thickBot="1" x14ac:dyDescent="0.3">
      <c r="A23" s="90" t="s">
        <v>27</v>
      </c>
      <c r="B23" s="123" t="s">
        <v>148</v>
      </c>
      <c r="C23" s="114">
        <v>17</v>
      </c>
      <c r="D23" s="119">
        <f t="shared" si="7"/>
        <v>0</v>
      </c>
      <c r="E23" s="17">
        <f>ROUND(AT23*AV23*AX23,4)</f>
        <v>0</v>
      </c>
      <c r="F23" s="91"/>
      <c r="G23" s="91"/>
      <c r="H23" s="92"/>
      <c r="I23" s="92"/>
      <c r="J23" s="93" t="s">
        <v>55</v>
      </c>
      <c r="K23" s="94"/>
      <c r="L23" s="94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7">
        <f t="shared" si="2"/>
        <v>0</v>
      </c>
      <c r="AR23" s="16">
        <f>N23+P23+R23+AC23+AD23+AE23+AF23+AG23+AH23+AI23+AJ23+AK23+AL23+AM23+AN23+AO23+AP23+T23+V23+X23+Z23+AB23</f>
        <v>0</v>
      </c>
      <c r="AS23" s="17">
        <f t="shared" si="9"/>
        <v>0</v>
      </c>
      <c r="AT23" s="16"/>
      <c r="AU23" s="82">
        <f t="shared" si="3"/>
        <v>0</v>
      </c>
      <c r="AV23" s="82">
        <f t="shared" si="4"/>
        <v>0</v>
      </c>
      <c r="AW23" s="82">
        <f t="shared" si="5"/>
        <v>0</v>
      </c>
      <c r="AX23" s="82">
        <f t="shared" si="6"/>
        <v>0</v>
      </c>
      <c r="AY23" s="92">
        <f>IF(D23=0,0,K23/D23/24)</f>
        <v>0</v>
      </c>
      <c r="AZ23" s="92">
        <f>IF(E23=0,0,L23/E23/24)</f>
        <v>0</v>
      </c>
      <c r="BA23" s="95">
        <f>ROUND(AT23-E23-AR23,4)</f>
        <v>0</v>
      </c>
      <c r="BB23" s="96"/>
      <c r="BC23"/>
    </row>
    <row r="24" spans="1:55" ht="15" customHeight="1" thickBot="1" x14ac:dyDescent="0.3">
      <c r="A24" s="87" t="s">
        <v>80</v>
      </c>
      <c r="B24" s="124"/>
      <c r="C24" s="87"/>
      <c r="D24" s="132">
        <f>AT24*AW24*AU24</f>
        <v>0</v>
      </c>
      <c r="E24" s="129">
        <f>SUM(E26:E27)</f>
        <v>0</v>
      </c>
      <c r="F24" s="129">
        <f>SUM(F25:F41)</f>
        <v>0</v>
      </c>
      <c r="G24" s="129"/>
      <c r="H24" s="131">
        <f>SUM(H25:H41)</f>
        <v>0</v>
      </c>
      <c r="I24" s="131">
        <f>SUM(I25:I41)</f>
        <v>0</v>
      </c>
      <c r="J24" s="88"/>
      <c r="K24" s="130">
        <f>SUM(K25:K41)</f>
        <v>0</v>
      </c>
      <c r="L24" s="130">
        <f>SUM(L25:L41)</f>
        <v>0</v>
      </c>
      <c r="M24" s="129">
        <f>SUM(M25:M41)</f>
        <v>0</v>
      </c>
      <c r="N24" s="129">
        <f t="shared" ref="N24:AO24" si="11">SUM(N25:N41)</f>
        <v>0</v>
      </c>
      <c r="O24" s="129">
        <f t="shared" si="11"/>
        <v>0</v>
      </c>
      <c r="P24" s="129">
        <f t="shared" si="11"/>
        <v>0</v>
      </c>
      <c r="Q24" s="129">
        <f t="shared" si="11"/>
        <v>0</v>
      </c>
      <c r="R24" s="129">
        <f t="shared" si="11"/>
        <v>0</v>
      </c>
      <c r="S24" s="129">
        <f t="shared" si="11"/>
        <v>0</v>
      </c>
      <c r="T24" s="129">
        <f t="shared" si="11"/>
        <v>0</v>
      </c>
      <c r="U24" s="129">
        <f t="shared" si="11"/>
        <v>0</v>
      </c>
      <c r="V24" s="129">
        <f t="shared" si="11"/>
        <v>0</v>
      </c>
      <c r="W24" s="129">
        <f t="shared" si="11"/>
        <v>0</v>
      </c>
      <c r="X24" s="129">
        <f t="shared" si="11"/>
        <v>0</v>
      </c>
      <c r="Y24" s="129">
        <f t="shared" si="11"/>
        <v>0</v>
      </c>
      <c r="Z24" s="129">
        <f t="shared" si="11"/>
        <v>0</v>
      </c>
      <c r="AA24" s="129">
        <f t="shared" si="11"/>
        <v>0</v>
      </c>
      <c r="AB24" s="129">
        <f t="shared" si="11"/>
        <v>0</v>
      </c>
      <c r="AC24" s="129">
        <f t="shared" si="11"/>
        <v>0</v>
      </c>
      <c r="AD24" s="129">
        <f t="shared" si="11"/>
        <v>0</v>
      </c>
      <c r="AE24" s="129">
        <f t="shared" si="11"/>
        <v>0</v>
      </c>
      <c r="AF24" s="129">
        <f t="shared" si="11"/>
        <v>0</v>
      </c>
      <c r="AG24" s="129">
        <f t="shared" si="11"/>
        <v>0</v>
      </c>
      <c r="AH24" s="129">
        <f t="shared" si="11"/>
        <v>0</v>
      </c>
      <c r="AI24" s="129">
        <f t="shared" si="11"/>
        <v>0</v>
      </c>
      <c r="AJ24" s="129">
        <f t="shared" si="11"/>
        <v>0</v>
      </c>
      <c r="AK24" s="129">
        <f t="shared" si="11"/>
        <v>0</v>
      </c>
      <c r="AL24" s="129">
        <f t="shared" si="11"/>
        <v>0</v>
      </c>
      <c r="AM24" s="129">
        <f t="shared" si="11"/>
        <v>0</v>
      </c>
      <c r="AN24" s="129">
        <f t="shared" si="11"/>
        <v>0</v>
      </c>
      <c r="AO24" s="129">
        <f t="shared" si="11"/>
        <v>0</v>
      </c>
      <c r="AP24" s="129">
        <f>SUM(AP25:AP41)</f>
        <v>0</v>
      </c>
      <c r="AQ24" s="129">
        <f t="shared" si="2"/>
        <v>0</v>
      </c>
      <c r="AR24" s="129">
        <f t="shared" ref="AR24:AR61" si="12">N24+P24+R24+AC24+AD24+AE24+AF24+AG24+AH24+AI24+AJ24+AK24+AL24+AM24+AN24+AO24+AP24+T24+V24+X24+Z24+AB24</f>
        <v>0</v>
      </c>
      <c r="AS24" s="129">
        <f>SUM(AS25:AS41)</f>
        <v>0</v>
      </c>
      <c r="AT24" s="129">
        <f>SUM(AT25:AT41)</f>
        <v>0</v>
      </c>
      <c r="AU24" s="131">
        <f t="shared" si="3"/>
        <v>0</v>
      </c>
      <c r="AV24" s="131">
        <f t="shared" si="4"/>
        <v>0</v>
      </c>
      <c r="AW24" s="131">
        <f t="shared" si="5"/>
        <v>0</v>
      </c>
      <c r="AX24" s="131">
        <f t="shared" si="6"/>
        <v>0</v>
      </c>
      <c r="AY24" s="131">
        <f t="shared" ref="AY24:AZ61" si="13">IF(D24=0,0,K24/D24/24)</f>
        <v>0</v>
      </c>
      <c r="AZ24" s="131">
        <f t="shared" si="13"/>
        <v>0</v>
      </c>
      <c r="BA24" s="129">
        <f t="shared" ref="BA24:BA61" si="14">ROUND(AT24-E24-AR24,4)</f>
        <v>0</v>
      </c>
      <c r="BB24" s="99"/>
      <c r="BC24"/>
    </row>
    <row r="25" spans="1:55" ht="15" hidden="1" customHeight="1" x14ac:dyDescent="0.25">
      <c r="A25" s="97" t="s">
        <v>28</v>
      </c>
      <c r="B25" s="115"/>
      <c r="C25" s="115">
        <v>30</v>
      </c>
      <c r="D25" s="121">
        <f>AT25*AU25*AW25</f>
        <v>0</v>
      </c>
      <c r="E25" s="15">
        <f t="shared" ref="E25:E51" si="15">ROUND(AS25*AV25*AX25,4)</f>
        <v>0</v>
      </c>
      <c r="F25" s="81"/>
      <c r="G25" s="81"/>
      <c r="H25" s="82"/>
      <c r="I25" s="82"/>
      <c r="J25" s="98" t="s">
        <v>68</v>
      </c>
      <c r="K25" s="84"/>
      <c r="L25" s="84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>
        <f t="shared" si="2"/>
        <v>0</v>
      </c>
      <c r="AR25" s="16">
        <f t="shared" si="12"/>
        <v>0</v>
      </c>
      <c r="AS25" s="17"/>
      <c r="AT25" s="17"/>
      <c r="AU25" s="92">
        <f t="shared" si="3"/>
        <v>0</v>
      </c>
      <c r="AV25" s="92">
        <f t="shared" si="4"/>
        <v>0</v>
      </c>
      <c r="AW25" s="92">
        <f t="shared" si="5"/>
        <v>0</v>
      </c>
      <c r="AX25" s="92">
        <f t="shared" si="6"/>
        <v>0</v>
      </c>
      <c r="AY25" s="92">
        <f t="shared" si="13"/>
        <v>0</v>
      </c>
      <c r="AZ25" s="92">
        <f t="shared" si="13"/>
        <v>0</v>
      </c>
      <c r="BA25" s="95">
        <f t="shared" si="14"/>
        <v>0</v>
      </c>
      <c r="BB25" s="86"/>
      <c r="BC25"/>
    </row>
    <row r="26" spans="1:55" ht="15" customHeight="1" x14ac:dyDescent="0.25">
      <c r="A26" s="71" t="s">
        <v>29</v>
      </c>
      <c r="B26" s="123" t="s">
        <v>137</v>
      </c>
      <c r="C26" s="112">
        <v>32</v>
      </c>
      <c r="D26" s="121">
        <f>AT26*AU26*AW26</f>
        <v>0</v>
      </c>
      <c r="E26" s="15">
        <f>ROUND(AT26*AV26*AX26,4)</f>
        <v>0</v>
      </c>
      <c r="F26" s="19"/>
      <c r="G26" s="19"/>
      <c r="H26" s="18"/>
      <c r="I26" s="18"/>
      <c r="J26" s="9" t="s">
        <v>68</v>
      </c>
      <c r="K26" s="20"/>
      <c r="L26" s="20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7">
        <f t="shared" si="2"/>
        <v>0</v>
      </c>
      <c r="AR26" s="16">
        <f t="shared" si="12"/>
        <v>0</v>
      </c>
      <c r="AS26" s="16"/>
      <c r="AT26" s="16"/>
      <c r="AU26" s="92">
        <f t="shared" si="3"/>
        <v>0</v>
      </c>
      <c r="AV26" s="92">
        <f t="shared" si="4"/>
        <v>0</v>
      </c>
      <c r="AW26" s="92">
        <f t="shared" si="5"/>
        <v>0</v>
      </c>
      <c r="AX26" s="92">
        <f t="shared" si="6"/>
        <v>0</v>
      </c>
      <c r="AY26" s="92">
        <f t="shared" si="13"/>
        <v>0</v>
      </c>
      <c r="AZ26" s="92">
        <f t="shared" si="13"/>
        <v>0</v>
      </c>
      <c r="BA26" s="95">
        <f t="shared" si="14"/>
        <v>0</v>
      </c>
      <c r="BB26" s="75"/>
      <c r="BC26"/>
    </row>
    <row r="27" spans="1:55" ht="15" customHeight="1" thickBot="1" x14ac:dyDescent="0.3">
      <c r="A27" s="71" t="s">
        <v>30</v>
      </c>
      <c r="B27" s="123" t="s">
        <v>138</v>
      </c>
      <c r="C27" s="112">
        <v>35</v>
      </c>
      <c r="D27" s="121">
        <f>AT27*AU27*AW27</f>
        <v>0</v>
      </c>
      <c r="E27" s="15">
        <f>ROUND(AT27*AV27*AX27,4)</f>
        <v>0</v>
      </c>
      <c r="F27" s="19"/>
      <c r="G27" s="19"/>
      <c r="H27" s="18"/>
      <c r="I27" s="18"/>
      <c r="J27" s="9" t="s">
        <v>68</v>
      </c>
      <c r="K27" s="20"/>
      <c r="L27" s="20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7">
        <f t="shared" si="2"/>
        <v>0</v>
      </c>
      <c r="AR27" s="16">
        <f t="shared" si="12"/>
        <v>0</v>
      </c>
      <c r="AS27" s="16"/>
      <c r="AT27" s="16"/>
      <c r="AU27" s="92">
        <f t="shared" si="3"/>
        <v>0</v>
      </c>
      <c r="AV27" s="92">
        <f t="shared" si="4"/>
        <v>0</v>
      </c>
      <c r="AW27" s="92">
        <f t="shared" si="5"/>
        <v>0</v>
      </c>
      <c r="AX27" s="92">
        <f t="shared" si="6"/>
        <v>0</v>
      </c>
      <c r="AY27" s="92">
        <f t="shared" si="13"/>
        <v>0</v>
      </c>
      <c r="AZ27" s="92">
        <f t="shared" si="13"/>
        <v>0</v>
      </c>
      <c r="BA27" s="95">
        <f t="shared" si="14"/>
        <v>0</v>
      </c>
      <c r="BB27" s="75"/>
      <c r="BC27"/>
    </row>
    <row r="28" spans="1:55" ht="15" hidden="1" customHeight="1" x14ac:dyDescent="0.3">
      <c r="A28" s="72" t="s">
        <v>31</v>
      </c>
      <c r="B28" s="111"/>
      <c r="C28" s="111">
        <v>39</v>
      </c>
      <c r="D28" s="121">
        <f t="shared" ref="D28:D41" si="16">AT28*AU28*AW28</f>
        <v>0</v>
      </c>
      <c r="E28" s="15">
        <f t="shared" si="15"/>
        <v>0</v>
      </c>
      <c r="F28" s="19"/>
      <c r="G28" s="19"/>
      <c r="H28" s="18"/>
      <c r="I28" s="18"/>
      <c r="J28" s="9" t="s">
        <v>68</v>
      </c>
      <c r="K28" s="20"/>
      <c r="L28" s="20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7">
        <f t="shared" si="2"/>
        <v>0</v>
      </c>
      <c r="AR28" s="16">
        <f t="shared" si="12"/>
        <v>0</v>
      </c>
      <c r="AS28" s="15"/>
      <c r="AT28" s="15"/>
      <c r="AU28" s="92">
        <f t="shared" si="3"/>
        <v>0</v>
      </c>
      <c r="AV28" s="92">
        <f t="shared" si="4"/>
        <v>0</v>
      </c>
      <c r="AW28" s="92">
        <f t="shared" si="5"/>
        <v>0</v>
      </c>
      <c r="AX28" s="92">
        <f t="shared" si="6"/>
        <v>0</v>
      </c>
      <c r="AY28" s="92">
        <f t="shared" si="13"/>
        <v>0</v>
      </c>
      <c r="AZ28" s="92">
        <f t="shared" si="13"/>
        <v>0</v>
      </c>
      <c r="BA28" s="95">
        <f t="shared" si="14"/>
        <v>0</v>
      </c>
      <c r="BB28" s="75"/>
      <c r="BC28"/>
    </row>
    <row r="29" spans="1:55" ht="15" hidden="1" customHeight="1" x14ac:dyDescent="0.3">
      <c r="A29" s="72" t="s">
        <v>32</v>
      </c>
      <c r="B29" s="111"/>
      <c r="C29" s="111">
        <v>40</v>
      </c>
      <c r="D29" s="121">
        <f t="shared" si="16"/>
        <v>0</v>
      </c>
      <c r="E29" s="15">
        <f t="shared" si="15"/>
        <v>0</v>
      </c>
      <c r="F29" s="19"/>
      <c r="G29" s="19"/>
      <c r="H29" s="18"/>
      <c r="I29" s="18"/>
      <c r="J29" s="9" t="s">
        <v>68</v>
      </c>
      <c r="K29" s="20"/>
      <c r="L29" s="20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7">
        <f t="shared" si="2"/>
        <v>0</v>
      </c>
      <c r="AR29" s="16">
        <f t="shared" si="12"/>
        <v>0</v>
      </c>
      <c r="AS29" s="15"/>
      <c r="AT29" s="15"/>
      <c r="AU29" s="92">
        <f t="shared" si="3"/>
        <v>0</v>
      </c>
      <c r="AV29" s="92">
        <f t="shared" si="4"/>
        <v>0</v>
      </c>
      <c r="AW29" s="92">
        <f t="shared" si="5"/>
        <v>0</v>
      </c>
      <c r="AX29" s="92">
        <f t="shared" si="6"/>
        <v>0</v>
      </c>
      <c r="AY29" s="92">
        <f t="shared" si="13"/>
        <v>0</v>
      </c>
      <c r="AZ29" s="92">
        <f t="shared" si="13"/>
        <v>0</v>
      </c>
      <c r="BA29" s="95">
        <f t="shared" si="14"/>
        <v>0</v>
      </c>
      <c r="BB29" s="75"/>
      <c r="BC29"/>
    </row>
    <row r="30" spans="1:55" ht="15" hidden="1" customHeight="1" x14ac:dyDescent="0.3">
      <c r="A30" s="72" t="s">
        <v>33</v>
      </c>
      <c r="B30" s="111"/>
      <c r="C30" s="111">
        <v>41</v>
      </c>
      <c r="D30" s="121">
        <f t="shared" si="16"/>
        <v>0</v>
      </c>
      <c r="E30" s="15">
        <f t="shared" si="15"/>
        <v>0</v>
      </c>
      <c r="F30" s="19"/>
      <c r="G30" s="19"/>
      <c r="H30" s="18"/>
      <c r="I30" s="18"/>
      <c r="J30" s="9" t="s">
        <v>68</v>
      </c>
      <c r="K30" s="20"/>
      <c r="L30" s="20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7">
        <f t="shared" si="2"/>
        <v>0</v>
      </c>
      <c r="AR30" s="16">
        <f t="shared" si="12"/>
        <v>0</v>
      </c>
      <c r="AS30" s="15"/>
      <c r="AT30" s="15"/>
      <c r="AU30" s="92">
        <f t="shared" si="3"/>
        <v>0</v>
      </c>
      <c r="AV30" s="92">
        <f t="shared" si="4"/>
        <v>0</v>
      </c>
      <c r="AW30" s="92">
        <f t="shared" si="5"/>
        <v>0</v>
      </c>
      <c r="AX30" s="92">
        <f t="shared" si="6"/>
        <v>0</v>
      </c>
      <c r="AY30" s="92">
        <f t="shared" si="13"/>
        <v>0</v>
      </c>
      <c r="AZ30" s="92">
        <f t="shared" si="13"/>
        <v>0</v>
      </c>
      <c r="BA30" s="95">
        <f t="shared" si="14"/>
        <v>0</v>
      </c>
      <c r="BB30" s="75"/>
      <c r="BC30"/>
    </row>
    <row r="31" spans="1:55" ht="15" hidden="1" customHeight="1" x14ac:dyDescent="0.3">
      <c r="A31" s="72" t="s">
        <v>34</v>
      </c>
      <c r="B31" s="111"/>
      <c r="C31" s="111">
        <v>42</v>
      </c>
      <c r="D31" s="121">
        <f t="shared" si="16"/>
        <v>0</v>
      </c>
      <c r="E31" s="15">
        <f t="shared" si="15"/>
        <v>0</v>
      </c>
      <c r="F31" s="19"/>
      <c r="G31" s="19"/>
      <c r="H31" s="18"/>
      <c r="I31" s="18"/>
      <c r="J31" s="9" t="s">
        <v>68</v>
      </c>
      <c r="K31" s="20"/>
      <c r="L31" s="20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7">
        <f t="shared" si="2"/>
        <v>0</v>
      </c>
      <c r="AR31" s="16">
        <f t="shared" si="12"/>
        <v>0</v>
      </c>
      <c r="AS31" s="15"/>
      <c r="AT31" s="15"/>
      <c r="AU31" s="92">
        <f t="shared" si="3"/>
        <v>0</v>
      </c>
      <c r="AV31" s="92">
        <f t="shared" si="4"/>
        <v>0</v>
      </c>
      <c r="AW31" s="92">
        <f t="shared" si="5"/>
        <v>0</v>
      </c>
      <c r="AX31" s="92">
        <f t="shared" si="6"/>
        <v>0</v>
      </c>
      <c r="AY31" s="92">
        <f t="shared" si="13"/>
        <v>0</v>
      </c>
      <c r="AZ31" s="92">
        <f t="shared" si="13"/>
        <v>0</v>
      </c>
      <c r="BA31" s="95">
        <f t="shared" si="14"/>
        <v>0</v>
      </c>
      <c r="BB31" s="75"/>
      <c r="BC31"/>
    </row>
    <row r="32" spans="1:55" ht="15" hidden="1" customHeight="1" x14ac:dyDescent="0.3">
      <c r="A32" s="72" t="s">
        <v>35</v>
      </c>
      <c r="B32" s="111"/>
      <c r="C32" s="111">
        <v>43</v>
      </c>
      <c r="D32" s="121">
        <f t="shared" si="16"/>
        <v>0</v>
      </c>
      <c r="E32" s="15">
        <f t="shared" si="15"/>
        <v>0</v>
      </c>
      <c r="F32" s="19"/>
      <c r="G32" s="19"/>
      <c r="H32" s="18"/>
      <c r="I32" s="18"/>
      <c r="J32" s="9" t="s">
        <v>68</v>
      </c>
      <c r="K32" s="20"/>
      <c r="L32" s="20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7">
        <f t="shared" si="2"/>
        <v>0</v>
      </c>
      <c r="AR32" s="16">
        <f t="shared" si="12"/>
        <v>0</v>
      </c>
      <c r="AS32" s="15"/>
      <c r="AT32" s="15"/>
      <c r="AU32" s="92">
        <f t="shared" si="3"/>
        <v>0</v>
      </c>
      <c r="AV32" s="92">
        <f t="shared" si="4"/>
        <v>0</v>
      </c>
      <c r="AW32" s="92">
        <f t="shared" si="5"/>
        <v>0</v>
      </c>
      <c r="AX32" s="92">
        <f t="shared" si="6"/>
        <v>0</v>
      </c>
      <c r="AY32" s="92">
        <f t="shared" si="13"/>
        <v>0</v>
      </c>
      <c r="AZ32" s="92">
        <f t="shared" si="13"/>
        <v>0</v>
      </c>
      <c r="BA32" s="95">
        <f t="shared" si="14"/>
        <v>0</v>
      </c>
      <c r="BB32" s="75"/>
      <c r="BC32"/>
    </row>
    <row r="33" spans="1:55" ht="15" hidden="1" customHeight="1" x14ac:dyDescent="0.3">
      <c r="A33" s="72" t="s">
        <v>36</v>
      </c>
      <c r="B33" s="111"/>
      <c r="C33" s="111">
        <v>44</v>
      </c>
      <c r="D33" s="121">
        <f t="shared" si="16"/>
        <v>0</v>
      </c>
      <c r="E33" s="15">
        <f t="shared" si="15"/>
        <v>0</v>
      </c>
      <c r="F33" s="19"/>
      <c r="G33" s="19"/>
      <c r="H33" s="18"/>
      <c r="I33" s="18"/>
      <c r="J33" s="9" t="s">
        <v>68</v>
      </c>
      <c r="K33" s="20"/>
      <c r="L33" s="20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7">
        <f t="shared" si="2"/>
        <v>0</v>
      </c>
      <c r="AR33" s="16">
        <f t="shared" si="12"/>
        <v>0</v>
      </c>
      <c r="AS33" s="15"/>
      <c r="AT33" s="15"/>
      <c r="AU33" s="92">
        <f t="shared" si="3"/>
        <v>0</v>
      </c>
      <c r="AV33" s="92">
        <f t="shared" si="4"/>
        <v>0</v>
      </c>
      <c r="AW33" s="92">
        <f t="shared" si="5"/>
        <v>0</v>
      </c>
      <c r="AX33" s="92">
        <f t="shared" si="6"/>
        <v>0</v>
      </c>
      <c r="AY33" s="92">
        <f t="shared" si="13"/>
        <v>0</v>
      </c>
      <c r="AZ33" s="92">
        <f t="shared" si="13"/>
        <v>0</v>
      </c>
      <c r="BA33" s="95">
        <f t="shared" si="14"/>
        <v>0</v>
      </c>
      <c r="BB33" s="75"/>
      <c r="BC33"/>
    </row>
    <row r="34" spans="1:55" ht="15" hidden="1" customHeight="1" x14ac:dyDescent="0.3">
      <c r="A34" s="72" t="s">
        <v>37</v>
      </c>
      <c r="B34" s="111"/>
      <c r="C34" s="111">
        <v>45</v>
      </c>
      <c r="D34" s="121">
        <f t="shared" si="16"/>
        <v>0</v>
      </c>
      <c r="E34" s="15">
        <f t="shared" si="15"/>
        <v>0</v>
      </c>
      <c r="F34" s="19"/>
      <c r="G34" s="19"/>
      <c r="H34" s="18"/>
      <c r="I34" s="18"/>
      <c r="J34" s="9" t="s">
        <v>68</v>
      </c>
      <c r="K34" s="20"/>
      <c r="L34" s="20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7">
        <f t="shared" si="2"/>
        <v>0</v>
      </c>
      <c r="AR34" s="16">
        <f t="shared" si="12"/>
        <v>0</v>
      </c>
      <c r="AS34" s="15"/>
      <c r="AT34" s="15"/>
      <c r="AU34" s="92">
        <f t="shared" si="3"/>
        <v>0</v>
      </c>
      <c r="AV34" s="92">
        <f t="shared" si="4"/>
        <v>0</v>
      </c>
      <c r="AW34" s="92">
        <f t="shared" si="5"/>
        <v>0</v>
      </c>
      <c r="AX34" s="92">
        <f t="shared" si="6"/>
        <v>0</v>
      </c>
      <c r="AY34" s="92">
        <f t="shared" si="13"/>
        <v>0</v>
      </c>
      <c r="AZ34" s="92">
        <f t="shared" si="13"/>
        <v>0</v>
      </c>
      <c r="BA34" s="95">
        <f t="shared" si="14"/>
        <v>0</v>
      </c>
      <c r="BB34" s="75"/>
      <c r="BC34"/>
    </row>
    <row r="35" spans="1:55" ht="15" hidden="1" customHeight="1" x14ac:dyDescent="0.3">
      <c r="A35" s="72" t="s">
        <v>38</v>
      </c>
      <c r="B35" s="111"/>
      <c r="C35" s="111">
        <v>46</v>
      </c>
      <c r="D35" s="121">
        <f t="shared" si="16"/>
        <v>0</v>
      </c>
      <c r="E35" s="15">
        <f t="shared" si="15"/>
        <v>0</v>
      </c>
      <c r="F35" s="19"/>
      <c r="G35" s="19"/>
      <c r="H35" s="18"/>
      <c r="I35" s="18"/>
      <c r="J35" s="9" t="s">
        <v>68</v>
      </c>
      <c r="K35" s="20"/>
      <c r="L35" s="20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7">
        <f t="shared" si="2"/>
        <v>0</v>
      </c>
      <c r="AR35" s="16">
        <f t="shared" si="12"/>
        <v>0</v>
      </c>
      <c r="AS35" s="15"/>
      <c r="AT35" s="15"/>
      <c r="AU35" s="92">
        <f t="shared" si="3"/>
        <v>0</v>
      </c>
      <c r="AV35" s="92">
        <f t="shared" si="4"/>
        <v>0</v>
      </c>
      <c r="AW35" s="92">
        <f t="shared" si="5"/>
        <v>0</v>
      </c>
      <c r="AX35" s="92">
        <f t="shared" si="6"/>
        <v>0</v>
      </c>
      <c r="AY35" s="92">
        <f t="shared" si="13"/>
        <v>0</v>
      </c>
      <c r="AZ35" s="92">
        <f t="shared" si="13"/>
        <v>0</v>
      </c>
      <c r="BA35" s="95">
        <f t="shared" si="14"/>
        <v>0</v>
      </c>
      <c r="BB35" s="75"/>
      <c r="BC35"/>
    </row>
    <row r="36" spans="1:55" ht="15" hidden="1" customHeight="1" x14ac:dyDescent="0.3">
      <c r="A36" s="72" t="s">
        <v>39</v>
      </c>
      <c r="B36" s="111"/>
      <c r="C36" s="111">
        <v>47</v>
      </c>
      <c r="D36" s="121">
        <f t="shared" si="16"/>
        <v>0</v>
      </c>
      <c r="E36" s="15">
        <f t="shared" si="15"/>
        <v>0</v>
      </c>
      <c r="F36" s="19"/>
      <c r="G36" s="19"/>
      <c r="H36" s="18"/>
      <c r="I36" s="18"/>
      <c r="J36" s="9" t="s">
        <v>68</v>
      </c>
      <c r="K36" s="20"/>
      <c r="L36" s="20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7">
        <f t="shared" si="2"/>
        <v>0</v>
      </c>
      <c r="AR36" s="16">
        <f t="shared" si="12"/>
        <v>0</v>
      </c>
      <c r="AS36" s="15"/>
      <c r="AT36" s="15"/>
      <c r="AU36" s="92">
        <f t="shared" si="3"/>
        <v>0</v>
      </c>
      <c r="AV36" s="92">
        <f t="shared" si="4"/>
        <v>0</v>
      </c>
      <c r="AW36" s="92">
        <f t="shared" si="5"/>
        <v>0</v>
      </c>
      <c r="AX36" s="92">
        <f t="shared" si="6"/>
        <v>0</v>
      </c>
      <c r="AY36" s="92">
        <f t="shared" si="13"/>
        <v>0</v>
      </c>
      <c r="AZ36" s="92">
        <f t="shared" si="13"/>
        <v>0</v>
      </c>
      <c r="BA36" s="95">
        <f t="shared" si="14"/>
        <v>0</v>
      </c>
      <c r="BB36" s="75"/>
      <c r="BC36"/>
    </row>
    <row r="37" spans="1:55" ht="15" hidden="1" customHeight="1" x14ac:dyDescent="0.3">
      <c r="A37" s="72" t="s">
        <v>40</v>
      </c>
      <c r="B37" s="111"/>
      <c r="C37" s="111">
        <v>48</v>
      </c>
      <c r="D37" s="121">
        <f t="shared" si="16"/>
        <v>0</v>
      </c>
      <c r="E37" s="15">
        <f t="shared" si="15"/>
        <v>0</v>
      </c>
      <c r="F37" s="19"/>
      <c r="G37" s="19"/>
      <c r="H37" s="18"/>
      <c r="I37" s="18"/>
      <c r="J37" s="9" t="s">
        <v>68</v>
      </c>
      <c r="K37" s="20"/>
      <c r="L37" s="20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7">
        <f t="shared" si="2"/>
        <v>0</v>
      </c>
      <c r="AR37" s="16">
        <f t="shared" si="12"/>
        <v>0</v>
      </c>
      <c r="AS37" s="15"/>
      <c r="AT37" s="15"/>
      <c r="AU37" s="92">
        <f t="shared" si="3"/>
        <v>0</v>
      </c>
      <c r="AV37" s="92">
        <f t="shared" si="4"/>
        <v>0</v>
      </c>
      <c r="AW37" s="92">
        <f t="shared" si="5"/>
        <v>0</v>
      </c>
      <c r="AX37" s="92">
        <f t="shared" si="6"/>
        <v>0</v>
      </c>
      <c r="AY37" s="92">
        <f t="shared" si="13"/>
        <v>0</v>
      </c>
      <c r="AZ37" s="92">
        <f t="shared" si="13"/>
        <v>0</v>
      </c>
      <c r="BA37" s="95">
        <f t="shared" si="14"/>
        <v>0</v>
      </c>
      <c r="BB37" s="75"/>
      <c r="BC37"/>
    </row>
    <row r="38" spans="1:55" ht="15" hidden="1" customHeight="1" x14ac:dyDescent="0.3">
      <c r="A38" s="72" t="s">
        <v>41</v>
      </c>
      <c r="B38" s="111"/>
      <c r="C38" s="111">
        <v>49</v>
      </c>
      <c r="D38" s="121">
        <f t="shared" si="16"/>
        <v>0</v>
      </c>
      <c r="E38" s="15">
        <f t="shared" si="15"/>
        <v>0</v>
      </c>
      <c r="F38" s="19"/>
      <c r="G38" s="19"/>
      <c r="H38" s="18"/>
      <c r="I38" s="18"/>
      <c r="J38" s="9" t="s">
        <v>68</v>
      </c>
      <c r="K38" s="20"/>
      <c r="L38" s="20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7">
        <f t="shared" si="2"/>
        <v>0</v>
      </c>
      <c r="AR38" s="16">
        <f t="shared" si="12"/>
        <v>0</v>
      </c>
      <c r="AS38" s="15"/>
      <c r="AT38" s="15"/>
      <c r="AU38" s="92">
        <f t="shared" si="3"/>
        <v>0</v>
      </c>
      <c r="AV38" s="92">
        <f t="shared" si="4"/>
        <v>0</v>
      </c>
      <c r="AW38" s="92">
        <f t="shared" si="5"/>
        <v>0</v>
      </c>
      <c r="AX38" s="92">
        <f t="shared" si="6"/>
        <v>0</v>
      </c>
      <c r="AY38" s="92">
        <f t="shared" si="13"/>
        <v>0</v>
      </c>
      <c r="AZ38" s="92">
        <f t="shared" si="13"/>
        <v>0</v>
      </c>
      <c r="BA38" s="95">
        <f t="shared" si="14"/>
        <v>0</v>
      </c>
      <c r="BB38" s="75"/>
      <c r="BC38"/>
    </row>
    <row r="39" spans="1:55" ht="15" hidden="1" customHeight="1" x14ac:dyDescent="0.3">
      <c r="A39" s="72" t="s">
        <v>42</v>
      </c>
      <c r="B39" s="111"/>
      <c r="C39" s="111">
        <v>50</v>
      </c>
      <c r="D39" s="121">
        <f t="shared" si="16"/>
        <v>0</v>
      </c>
      <c r="E39" s="15">
        <f t="shared" si="15"/>
        <v>0</v>
      </c>
      <c r="F39" s="19"/>
      <c r="G39" s="19"/>
      <c r="H39" s="18"/>
      <c r="I39" s="18"/>
      <c r="J39" s="9" t="s">
        <v>68</v>
      </c>
      <c r="K39" s="20"/>
      <c r="L39" s="20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7">
        <f t="shared" si="2"/>
        <v>0</v>
      </c>
      <c r="AR39" s="16">
        <f t="shared" si="12"/>
        <v>0</v>
      </c>
      <c r="AS39" s="15"/>
      <c r="AT39" s="15"/>
      <c r="AU39" s="92">
        <f t="shared" si="3"/>
        <v>0</v>
      </c>
      <c r="AV39" s="92">
        <f t="shared" si="4"/>
        <v>0</v>
      </c>
      <c r="AW39" s="92">
        <f t="shared" si="5"/>
        <v>0</v>
      </c>
      <c r="AX39" s="92">
        <f t="shared" si="6"/>
        <v>0</v>
      </c>
      <c r="AY39" s="92">
        <f t="shared" si="13"/>
        <v>0</v>
      </c>
      <c r="AZ39" s="92">
        <f t="shared" si="13"/>
        <v>0</v>
      </c>
      <c r="BA39" s="95">
        <f t="shared" si="14"/>
        <v>0</v>
      </c>
      <c r="BB39" s="75"/>
      <c r="BC39"/>
    </row>
    <row r="40" spans="1:55" ht="15" hidden="1" customHeight="1" x14ac:dyDescent="0.3">
      <c r="A40" s="72" t="s">
        <v>43</v>
      </c>
      <c r="B40" s="111"/>
      <c r="C40" s="111">
        <v>51</v>
      </c>
      <c r="D40" s="121">
        <f t="shared" si="16"/>
        <v>0</v>
      </c>
      <c r="E40" s="15">
        <f t="shared" si="15"/>
        <v>0</v>
      </c>
      <c r="F40" s="19"/>
      <c r="G40" s="19"/>
      <c r="H40" s="18"/>
      <c r="I40" s="18"/>
      <c r="J40" s="9" t="s">
        <v>68</v>
      </c>
      <c r="K40" s="20"/>
      <c r="L40" s="20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7">
        <f t="shared" si="2"/>
        <v>0</v>
      </c>
      <c r="AR40" s="16">
        <f t="shared" si="12"/>
        <v>0</v>
      </c>
      <c r="AS40" s="15"/>
      <c r="AT40" s="15"/>
      <c r="AU40" s="92">
        <f t="shared" si="3"/>
        <v>0</v>
      </c>
      <c r="AV40" s="92">
        <f t="shared" si="4"/>
        <v>0</v>
      </c>
      <c r="AW40" s="92">
        <f t="shared" si="5"/>
        <v>0</v>
      </c>
      <c r="AX40" s="92">
        <f t="shared" si="6"/>
        <v>0</v>
      </c>
      <c r="AY40" s="92">
        <f t="shared" si="13"/>
        <v>0</v>
      </c>
      <c r="AZ40" s="92">
        <f t="shared" si="13"/>
        <v>0</v>
      </c>
      <c r="BA40" s="95">
        <f t="shared" si="14"/>
        <v>0</v>
      </c>
      <c r="BB40" s="75"/>
      <c r="BC40"/>
    </row>
    <row r="41" spans="1:55" ht="15" hidden="1" customHeight="1" thickBot="1" x14ac:dyDescent="0.3">
      <c r="A41" s="100" t="s">
        <v>44</v>
      </c>
      <c r="B41" s="116"/>
      <c r="C41" s="116">
        <v>52</v>
      </c>
      <c r="D41" s="121">
        <f t="shared" si="16"/>
        <v>0</v>
      </c>
      <c r="E41" s="15">
        <f t="shared" si="15"/>
        <v>0</v>
      </c>
      <c r="F41" s="91"/>
      <c r="G41" s="91"/>
      <c r="H41" s="92"/>
      <c r="I41" s="92"/>
      <c r="J41" s="101" t="s">
        <v>68</v>
      </c>
      <c r="K41" s="94"/>
      <c r="L41" s="94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7">
        <f t="shared" si="2"/>
        <v>0</v>
      </c>
      <c r="AR41" s="16">
        <f t="shared" si="12"/>
        <v>0</v>
      </c>
      <c r="AS41" s="16"/>
      <c r="AT41" s="16"/>
      <c r="AU41" s="92">
        <f t="shared" si="3"/>
        <v>0</v>
      </c>
      <c r="AV41" s="92">
        <f t="shared" si="4"/>
        <v>0</v>
      </c>
      <c r="AW41" s="92">
        <f t="shared" si="5"/>
        <v>0</v>
      </c>
      <c r="AX41" s="92">
        <f t="shared" si="6"/>
        <v>0</v>
      </c>
      <c r="AY41" s="92">
        <f t="shared" si="13"/>
        <v>0</v>
      </c>
      <c r="AZ41" s="92">
        <f t="shared" si="13"/>
        <v>0</v>
      </c>
      <c r="BA41" s="95">
        <f t="shared" si="14"/>
        <v>0</v>
      </c>
      <c r="BB41" s="96"/>
      <c r="BC41"/>
    </row>
    <row r="42" spans="1:55" ht="15" customHeight="1" thickBot="1" x14ac:dyDescent="0.3">
      <c r="A42" s="102" t="s">
        <v>81</v>
      </c>
      <c r="B42" s="124"/>
      <c r="C42" s="87"/>
      <c r="D42" s="132">
        <f>SUM(D43:D45)</f>
        <v>0</v>
      </c>
      <c r="E42" s="129">
        <f>SUM(E43:E45)</f>
        <v>0</v>
      </c>
      <c r="F42" s="129">
        <f>SUM(F43:F45)</f>
        <v>0</v>
      </c>
      <c r="G42" s="129"/>
      <c r="H42" s="131">
        <f>SUM(H43:H45)</f>
        <v>0</v>
      </c>
      <c r="I42" s="131">
        <f>SUM(I43:I45)</f>
        <v>0</v>
      </c>
      <c r="J42" s="88"/>
      <c r="K42" s="130"/>
      <c r="L42" s="130"/>
      <c r="M42" s="129">
        <f>SUM(M43:M45)</f>
        <v>0</v>
      </c>
      <c r="N42" s="129">
        <f t="shared" ref="N42:AP42" si="17">SUM(N43:N45)</f>
        <v>0</v>
      </c>
      <c r="O42" s="129">
        <f t="shared" si="17"/>
        <v>0</v>
      </c>
      <c r="P42" s="129">
        <f t="shared" si="17"/>
        <v>0</v>
      </c>
      <c r="Q42" s="129">
        <f t="shared" si="17"/>
        <v>0</v>
      </c>
      <c r="R42" s="129">
        <f t="shared" si="17"/>
        <v>0</v>
      </c>
      <c r="S42" s="129">
        <f t="shared" si="17"/>
        <v>0</v>
      </c>
      <c r="T42" s="129">
        <f t="shared" si="17"/>
        <v>0</v>
      </c>
      <c r="U42" s="129">
        <f t="shared" si="17"/>
        <v>0</v>
      </c>
      <c r="V42" s="129">
        <f t="shared" si="17"/>
        <v>0</v>
      </c>
      <c r="W42" s="129">
        <f t="shared" si="17"/>
        <v>0</v>
      </c>
      <c r="X42" s="129">
        <f t="shared" si="17"/>
        <v>0</v>
      </c>
      <c r="Y42" s="129">
        <f t="shared" si="17"/>
        <v>0</v>
      </c>
      <c r="Z42" s="129">
        <f t="shared" si="17"/>
        <v>0</v>
      </c>
      <c r="AA42" s="129">
        <f t="shared" si="17"/>
        <v>0</v>
      </c>
      <c r="AB42" s="129">
        <f t="shared" si="17"/>
        <v>0</v>
      </c>
      <c r="AC42" s="129">
        <f t="shared" si="17"/>
        <v>0</v>
      </c>
      <c r="AD42" s="129">
        <f t="shared" si="17"/>
        <v>0</v>
      </c>
      <c r="AE42" s="129">
        <f t="shared" si="17"/>
        <v>0</v>
      </c>
      <c r="AF42" s="129">
        <f t="shared" si="17"/>
        <v>0</v>
      </c>
      <c r="AG42" s="129">
        <f t="shared" si="17"/>
        <v>0</v>
      </c>
      <c r="AH42" s="129">
        <f t="shared" si="17"/>
        <v>0</v>
      </c>
      <c r="AI42" s="129">
        <f t="shared" si="17"/>
        <v>0</v>
      </c>
      <c r="AJ42" s="129">
        <f t="shared" si="17"/>
        <v>0</v>
      </c>
      <c r="AK42" s="129">
        <f t="shared" si="17"/>
        <v>0</v>
      </c>
      <c r="AL42" s="129">
        <f t="shared" si="17"/>
        <v>0</v>
      </c>
      <c r="AM42" s="129">
        <f t="shared" si="17"/>
        <v>0</v>
      </c>
      <c r="AN42" s="129">
        <f t="shared" si="17"/>
        <v>0</v>
      </c>
      <c r="AO42" s="129">
        <f t="shared" si="17"/>
        <v>0</v>
      </c>
      <c r="AP42" s="129">
        <f t="shared" si="17"/>
        <v>0</v>
      </c>
      <c r="AQ42" s="129">
        <f t="shared" si="2"/>
        <v>0</v>
      </c>
      <c r="AR42" s="129">
        <f t="shared" si="12"/>
        <v>0</v>
      </c>
      <c r="AS42" s="129"/>
      <c r="AT42" s="129">
        <f>SUM(AT43:AT45)</f>
        <v>0</v>
      </c>
      <c r="AU42" s="131">
        <f t="shared" si="3"/>
        <v>0</v>
      </c>
      <c r="AV42" s="131">
        <f t="shared" si="4"/>
        <v>0</v>
      </c>
      <c r="AW42" s="131">
        <f t="shared" si="5"/>
        <v>0</v>
      </c>
      <c r="AX42" s="131">
        <f t="shared" si="6"/>
        <v>0</v>
      </c>
      <c r="AY42" s="131">
        <f t="shared" si="13"/>
        <v>0</v>
      </c>
      <c r="AZ42" s="131">
        <f t="shared" si="13"/>
        <v>0</v>
      </c>
      <c r="BA42" s="129">
        <f t="shared" si="14"/>
        <v>0</v>
      </c>
      <c r="BB42" s="99"/>
      <c r="BC42"/>
    </row>
    <row r="43" spans="1:55" ht="15" customHeight="1" x14ac:dyDescent="0.25">
      <c r="A43" s="97" t="s">
        <v>66</v>
      </c>
      <c r="B43" s="123" t="s">
        <v>139</v>
      </c>
      <c r="C43" s="115">
        <v>25</v>
      </c>
      <c r="D43" s="121">
        <f>AT43*AU43*AW43</f>
        <v>0</v>
      </c>
      <c r="E43" s="17">
        <f>ROUND(AT43*AV43*AX43,4)</f>
        <v>0</v>
      </c>
      <c r="F43" s="81"/>
      <c r="G43" s="81"/>
      <c r="H43" s="82"/>
      <c r="I43" s="82"/>
      <c r="J43" s="14" t="s">
        <v>55</v>
      </c>
      <c r="K43" s="84"/>
      <c r="L43" s="84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>
        <f t="shared" si="2"/>
        <v>0</v>
      </c>
      <c r="AR43" s="16">
        <f t="shared" si="12"/>
        <v>0</v>
      </c>
      <c r="AS43" s="16"/>
      <c r="AT43" s="16"/>
      <c r="AU43" s="82">
        <f t="shared" si="3"/>
        <v>0</v>
      </c>
      <c r="AV43" s="82">
        <f t="shared" si="4"/>
        <v>0</v>
      </c>
      <c r="AW43" s="82">
        <f t="shared" si="5"/>
        <v>0</v>
      </c>
      <c r="AX43" s="82">
        <f t="shared" si="6"/>
        <v>0</v>
      </c>
      <c r="AY43" s="92">
        <f t="shared" si="13"/>
        <v>0</v>
      </c>
      <c r="AZ43" s="92">
        <f t="shared" si="13"/>
        <v>0</v>
      </c>
      <c r="BA43" s="95">
        <f t="shared" si="14"/>
        <v>0</v>
      </c>
      <c r="BB43" s="86"/>
      <c r="BC43"/>
    </row>
    <row r="44" spans="1:55" ht="15" hidden="1" customHeight="1" x14ac:dyDescent="0.25">
      <c r="A44" s="72" t="s">
        <v>67</v>
      </c>
      <c r="B44" s="123"/>
      <c r="C44" s="111">
        <v>31</v>
      </c>
      <c r="D44" s="121">
        <f>AT44*AU44*AW44</f>
        <v>0</v>
      </c>
      <c r="E44" s="15">
        <f t="shared" si="15"/>
        <v>0</v>
      </c>
      <c r="F44" s="19"/>
      <c r="G44" s="19"/>
      <c r="H44" s="18"/>
      <c r="I44" s="18"/>
      <c r="J44" s="7" t="s">
        <v>55</v>
      </c>
      <c r="K44" s="20"/>
      <c r="L44" s="20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7">
        <f t="shared" si="2"/>
        <v>0</v>
      </c>
      <c r="AR44" s="16">
        <f t="shared" si="12"/>
        <v>0</v>
      </c>
      <c r="AS44" s="15"/>
      <c r="AT44" s="15"/>
      <c r="AU44" s="82">
        <f t="shared" si="3"/>
        <v>0</v>
      </c>
      <c r="AV44" s="82">
        <f t="shared" si="4"/>
        <v>0</v>
      </c>
      <c r="AW44" s="82">
        <f t="shared" si="5"/>
        <v>0</v>
      </c>
      <c r="AX44" s="82">
        <f t="shared" si="6"/>
        <v>0</v>
      </c>
      <c r="AY44" s="92">
        <f t="shared" si="13"/>
        <v>0</v>
      </c>
      <c r="AZ44" s="92">
        <f t="shared" si="13"/>
        <v>0</v>
      </c>
      <c r="BA44" s="95">
        <f t="shared" si="14"/>
        <v>0</v>
      </c>
      <c r="BB44" s="75"/>
      <c r="BC44"/>
    </row>
    <row r="45" spans="1:55" ht="15" customHeight="1" thickBot="1" x14ac:dyDescent="0.3">
      <c r="A45" s="103" t="s">
        <v>67</v>
      </c>
      <c r="B45" s="123" t="s">
        <v>140</v>
      </c>
      <c r="C45" s="114">
        <v>38</v>
      </c>
      <c r="D45" s="121">
        <f>AT45*AU45*AW45</f>
        <v>0</v>
      </c>
      <c r="E45" s="16">
        <f>ROUND(AT45*AV45*AX45,4)</f>
        <v>0</v>
      </c>
      <c r="F45" s="91"/>
      <c r="G45" s="91"/>
      <c r="H45" s="92"/>
      <c r="I45" s="92"/>
      <c r="J45" s="13" t="s">
        <v>55</v>
      </c>
      <c r="K45" s="94"/>
      <c r="L45" s="94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7">
        <f t="shared" si="2"/>
        <v>0</v>
      </c>
      <c r="AR45" s="16">
        <f t="shared" si="12"/>
        <v>0</v>
      </c>
      <c r="AS45" s="16"/>
      <c r="AT45" s="16"/>
      <c r="AU45" s="82">
        <f t="shared" si="3"/>
        <v>0</v>
      </c>
      <c r="AV45" s="82">
        <f t="shared" si="4"/>
        <v>0</v>
      </c>
      <c r="AW45" s="82">
        <f t="shared" si="5"/>
        <v>0</v>
      </c>
      <c r="AX45" s="82">
        <f t="shared" si="6"/>
        <v>0</v>
      </c>
      <c r="AY45" s="92">
        <f t="shared" si="13"/>
        <v>0</v>
      </c>
      <c r="AZ45" s="92">
        <f t="shared" si="13"/>
        <v>0</v>
      </c>
      <c r="BA45" s="95">
        <f t="shared" si="14"/>
        <v>0</v>
      </c>
      <c r="BB45" s="96"/>
      <c r="BC45"/>
    </row>
    <row r="46" spans="1:55" ht="15" customHeight="1" thickBot="1" x14ac:dyDescent="0.3">
      <c r="A46" s="102" t="s">
        <v>82</v>
      </c>
      <c r="B46" s="124"/>
      <c r="C46" s="87"/>
      <c r="D46" s="132">
        <f>SUM(D47:D51)</f>
        <v>0</v>
      </c>
      <c r="E46" s="129">
        <f>SUM(E47:E51)</f>
        <v>0</v>
      </c>
      <c r="F46" s="129">
        <f>SUM(F47:F51)</f>
        <v>0</v>
      </c>
      <c r="G46" s="129"/>
      <c r="H46" s="131">
        <f>SUM(H47:H51)</f>
        <v>0</v>
      </c>
      <c r="I46" s="131">
        <f>SUM(I47:I51)</f>
        <v>0</v>
      </c>
      <c r="J46" s="88"/>
      <c r="K46" s="130"/>
      <c r="L46" s="130"/>
      <c r="M46" s="129">
        <f>SUM(M47:M51)</f>
        <v>0</v>
      </c>
      <c r="N46" s="129">
        <f t="shared" ref="N46:AP46" si="18">SUM(N47:N51)</f>
        <v>0</v>
      </c>
      <c r="O46" s="129">
        <f t="shared" si="18"/>
        <v>0</v>
      </c>
      <c r="P46" s="129">
        <f t="shared" si="18"/>
        <v>0</v>
      </c>
      <c r="Q46" s="129">
        <f t="shared" si="18"/>
        <v>0</v>
      </c>
      <c r="R46" s="129">
        <f t="shared" si="18"/>
        <v>0</v>
      </c>
      <c r="S46" s="129">
        <f t="shared" si="18"/>
        <v>0</v>
      </c>
      <c r="T46" s="129">
        <f t="shared" si="18"/>
        <v>0</v>
      </c>
      <c r="U46" s="129">
        <f t="shared" si="18"/>
        <v>0</v>
      </c>
      <c r="V46" s="129">
        <f t="shared" si="18"/>
        <v>0</v>
      </c>
      <c r="W46" s="129">
        <f t="shared" si="18"/>
        <v>0</v>
      </c>
      <c r="X46" s="129">
        <f t="shared" si="18"/>
        <v>0</v>
      </c>
      <c r="Y46" s="129">
        <f t="shared" si="18"/>
        <v>0</v>
      </c>
      <c r="Z46" s="129">
        <f t="shared" si="18"/>
        <v>0</v>
      </c>
      <c r="AA46" s="129">
        <f t="shared" si="18"/>
        <v>0</v>
      </c>
      <c r="AB46" s="129">
        <f t="shared" si="18"/>
        <v>0</v>
      </c>
      <c r="AC46" s="129">
        <f t="shared" si="18"/>
        <v>0</v>
      </c>
      <c r="AD46" s="129">
        <f t="shared" si="18"/>
        <v>0</v>
      </c>
      <c r="AE46" s="129">
        <f t="shared" si="18"/>
        <v>0</v>
      </c>
      <c r="AF46" s="129">
        <f t="shared" si="18"/>
        <v>0</v>
      </c>
      <c r="AG46" s="129">
        <f t="shared" si="18"/>
        <v>0</v>
      </c>
      <c r="AH46" s="129">
        <f t="shared" si="18"/>
        <v>0</v>
      </c>
      <c r="AI46" s="129">
        <f t="shared" si="18"/>
        <v>0</v>
      </c>
      <c r="AJ46" s="129">
        <f t="shared" si="18"/>
        <v>0</v>
      </c>
      <c r="AK46" s="129">
        <f t="shared" si="18"/>
        <v>0</v>
      </c>
      <c r="AL46" s="129">
        <f t="shared" si="18"/>
        <v>0</v>
      </c>
      <c r="AM46" s="129">
        <f t="shared" si="18"/>
        <v>0</v>
      </c>
      <c r="AN46" s="129">
        <f t="shared" si="18"/>
        <v>0</v>
      </c>
      <c r="AO46" s="129">
        <f t="shared" si="18"/>
        <v>0</v>
      </c>
      <c r="AP46" s="129">
        <f t="shared" si="18"/>
        <v>0</v>
      </c>
      <c r="AQ46" s="129">
        <f t="shared" si="2"/>
        <v>0</v>
      </c>
      <c r="AR46" s="129">
        <f t="shared" si="12"/>
        <v>0</v>
      </c>
      <c r="AS46" s="129"/>
      <c r="AT46" s="129">
        <f>SUM(AT47:AT51)</f>
        <v>0</v>
      </c>
      <c r="AU46" s="131">
        <f t="shared" si="3"/>
        <v>0</v>
      </c>
      <c r="AV46" s="131">
        <f t="shared" si="4"/>
        <v>0</v>
      </c>
      <c r="AW46" s="131">
        <f t="shared" si="5"/>
        <v>0</v>
      </c>
      <c r="AX46" s="131">
        <f t="shared" si="6"/>
        <v>0</v>
      </c>
      <c r="AY46" s="131">
        <f t="shared" si="13"/>
        <v>0</v>
      </c>
      <c r="AZ46" s="131">
        <f t="shared" si="13"/>
        <v>0</v>
      </c>
      <c r="BA46" s="129">
        <f t="shared" si="14"/>
        <v>0</v>
      </c>
      <c r="BB46" s="99"/>
      <c r="BC46"/>
    </row>
    <row r="47" spans="1:55" ht="15" customHeight="1" x14ac:dyDescent="0.25">
      <c r="A47" s="97" t="s">
        <v>46</v>
      </c>
      <c r="B47" s="123" t="s">
        <v>141</v>
      </c>
      <c r="C47" s="115">
        <v>28</v>
      </c>
      <c r="D47" s="121">
        <f>AT47*AU47*AW47</f>
        <v>0</v>
      </c>
      <c r="E47" s="17">
        <f>ROUND(AT47*AV47*AX47,4)</f>
        <v>0</v>
      </c>
      <c r="F47" s="81"/>
      <c r="G47" s="81"/>
      <c r="H47" s="82"/>
      <c r="I47" s="82"/>
      <c r="J47" s="14" t="s">
        <v>55</v>
      </c>
      <c r="K47" s="84"/>
      <c r="L47" s="84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>
        <f t="shared" si="2"/>
        <v>0</v>
      </c>
      <c r="AR47" s="16">
        <f t="shared" si="12"/>
        <v>0</v>
      </c>
      <c r="AS47" s="16"/>
      <c r="AT47" s="16"/>
      <c r="AU47" s="82">
        <f t="shared" si="3"/>
        <v>0</v>
      </c>
      <c r="AV47" s="82">
        <f t="shared" si="4"/>
        <v>0</v>
      </c>
      <c r="AW47" s="82">
        <f t="shared" si="5"/>
        <v>0</v>
      </c>
      <c r="AX47" s="82">
        <f t="shared" si="6"/>
        <v>0</v>
      </c>
      <c r="AY47" s="92">
        <f t="shared" si="13"/>
        <v>0</v>
      </c>
      <c r="AZ47" s="92">
        <f t="shared" si="13"/>
        <v>0</v>
      </c>
      <c r="BA47" s="95">
        <f t="shared" si="14"/>
        <v>0</v>
      </c>
      <c r="BB47" s="86"/>
      <c r="BC47"/>
    </row>
    <row r="48" spans="1:55" ht="15" customHeight="1" thickBot="1" x14ac:dyDescent="0.3">
      <c r="A48" s="71" t="s">
        <v>45</v>
      </c>
      <c r="B48" s="123" t="s">
        <v>142</v>
      </c>
      <c r="C48" s="112">
        <v>33</v>
      </c>
      <c r="D48" s="121">
        <f>AT48*AU48*AW48</f>
        <v>0</v>
      </c>
      <c r="E48" s="17">
        <f>ROUND(AT48*AV48*AX48,4)</f>
        <v>0</v>
      </c>
      <c r="F48" s="19"/>
      <c r="G48" s="19"/>
      <c r="H48" s="18"/>
      <c r="I48" s="18"/>
      <c r="J48" s="7" t="s">
        <v>55</v>
      </c>
      <c r="K48" s="20"/>
      <c r="L48" s="20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7">
        <f t="shared" si="2"/>
        <v>0</v>
      </c>
      <c r="AR48" s="16">
        <f t="shared" si="12"/>
        <v>0</v>
      </c>
      <c r="AS48" s="16"/>
      <c r="AT48" s="16"/>
      <c r="AU48" s="82">
        <f t="shared" si="3"/>
        <v>0</v>
      </c>
      <c r="AV48" s="82">
        <f t="shared" si="4"/>
        <v>0</v>
      </c>
      <c r="AW48" s="82">
        <f t="shared" si="5"/>
        <v>0</v>
      </c>
      <c r="AX48" s="82">
        <f t="shared" si="6"/>
        <v>0</v>
      </c>
      <c r="AY48" s="92">
        <f t="shared" si="13"/>
        <v>0</v>
      </c>
      <c r="AZ48" s="92">
        <f t="shared" si="13"/>
        <v>0</v>
      </c>
      <c r="BA48" s="95">
        <f t="shared" si="14"/>
        <v>0</v>
      </c>
      <c r="BB48" s="75"/>
      <c r="BC48"/>
    </row>
    <row r="49" spans="1:55" ht="15" hidden="1" customHeight="1" x14ac:dyDescent="0.3">
      <c r="A49" s="72" t="s">
        <v>48</v>
      </c>
      <c r="B49" s="111"/>
      <c r="C49" s="111">
        <v>35</v>
      </c>
      <c r="D49" s="120">
        <f t="shared" ref="D49:D51" si="19">AS49*AW49*AU49</f>
        <v>0</v>
      </c>
      <c r="E49" s="15">
        <f t="shared" si="15"/>
        <v>0</v>
      </c>
      <c r="F49" s="19"/>
      <c r="G49" s="19"/>
      <c r="H49" s="18"/>
      <c r="I49" s="18"/>
      <c r="J49" s="7" t="s">
        <v>55</v>
      </c>
      <c r="K49" s="20"/>
      <c r="L49" s="20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7">
        <f t="shared" si="2"/>
        <v>0</v>
      </c>
      <c r="AR49" s="16">
        <f t="shared" si="12"/>
        <v>0</v>
      </c>
      <c r="AS49" s="15"/>
      <c r="AT49" s="15"/>
      <c r="AU49" s="92">
        <f t="shared" si="3"/>
        <v>0</v>
      </c>
      <c r="AV49" s="92">
        <f t="shared" si="4"/>
        <v>0</v>
      </c>
      <c r="AW49" s="92">
        <f t="shared" si="5"/>
        <v>0</v>
      </c>
      <c r="AX49" s="92">
        <f t="shared" si="6"/>
        <v>0</v>
      </c>
      <c r="AY49" s="92">
        <f t="shared" si="13"/>
        <v>0</v>
      </c>
      <c r="AZ49" s="92">
        <f t="shared" si="13"/>
        <v>0</v>
      </c>
      <c r="BA49" s="95">
        <f t="shared" si="14"/>
        <v>0</v>
      </c>
      <c r="BB49" s="75"/>
      <c r="BC49"/>
    </row>
    <row r="50" spans="1:55" ht="15" hidden="1" customHeight="1" x14ac:dyDescent="0.3">
      <c r="A50" s="72" t="s">
        <v>47</v>
      </c>
      <c r="B50" s="111"/>
      <c r="C50" s="111">
        <v>36</v>
      </c>
      <c r="D50" s="120">
        <f t="shared" si="19"/>
        <v>0</v>
      </c>
      <c r="E50" s="15">
        <f t="shared" si="15"/>
        <v>0</v>
      </c>
      <c r="F50" s="19"/>
      <c r="G50" s="19"/>
      <c r="H50" s="18"/>
      <c r="I50" s="18"/>
      <c r="J50" s="7" t="s">
        <v>55</v>
      </c>
      <c r="K50" s="20"/>
      <c r="L50" s="20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7">
        <f t="shared" si="2"/>
        <v>0</v>
      </c>
      <c r="AR50" s="16">
        <f t="shared" si="12"/>
        <v>0</v>
      </c>
      <c r="AS50" s="15"/>
      <c r="AT50" s="15"/>
      <c r="AU50" s="92">
        <f t="shared" si="3"/>
        <v>0</v>
      </c>
      <c r="AV50" s="92">
        <f t="shared" si="4"/>
        <v>0</v>
      </c>
      <c r="AW50" s="92">
        <f t="shared" si="5"/>
        <v>0</v>
      </c>
      <c r="AX50" s="92">
        <f t="shared" si="6"/>
        <v>0</v>
      </c>
      <c r="AY50" s="92">
        <f t="shared" si="13"/>
        <v>0</v>
      </c>
      <c r="AZ50" s="92">
        <f t="shared" si="13"/>
        <v>0</v>
      </c>
      <c r="BA50" s="95">
        <f t="shared" si="14"/>
        <v>0</v>
      </c>
      <c r="BB50" s="75"/>
      <c r="BC50"/>
    </row>
    <row r="51" spans="1:55" ht="15" hidden="1" customHeight="1" thickBot="1" x14ac:dyDescent="0.3">
      <c r="A51" s="100" t="s">
        <v>64</v>
      </c>
      <c r="B51" s="116"/>
      <c r="C51" s="116">
        <v>37</v>
      </c>
      <c r="D51" s="121">
        <f t="shared" si="19"/>
        <v>0</v>
      </c>
      <c r="E51" s="16">
        <f t="shared" si="15"/>
        <v>0</v>
      </c>
      <c r="F51" s="91"/>
      <c r="G51" s="91"/>
      <c r="H51" s="92"/>
      <c r="I51" s="92"/>
      <c r="J51" s="13" t="s">
        <v>55</v>
      </c>
      <c r="K51" s="94"/>
      <c r="L51" s="94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7">
        <f t="shared" si="2"/>
        <v>0</v>
      </c>
      <c r="AR51" s="16">
        <f t="shared" si="12"/>
        <v>0</v>
      </c>
      <c r="AS51" s="16"/>
      <c r="AT51" s="16"/>
      <c r="AU51" s="92">
        <f t="shared" si="3"/>
        <v>0</v>
      </c>
      <c r="AV51" s="92">
        <f t="shared" si="4"/>
        <v>0</v>
      </c>
      <c r="AW51" s="92">
        <f t="shared" si="5"/>
        <v>0</v>
      </c>
      <c r="AX51" s="92">
        <f t="shared" si="6"/>
        <v>0</v>
      </c>
      <c r="AY51" s="92">
        <f t="shared" si="13"/>
        <v>0</v>
      </c>
      <c r="AZ51" s="92">
        <f t="shared" si="13"/>
        <v>0</v>
      </c>
      <c r="BA51" s="95">
        <f t="shared" si="14"/>
        <v>0</v>
      </c>
      <c r="BB51" s="96"/>
      <c r="BC51"/>
    </row>
    <row r="52" spans="1:55" ht="15" customHeight="1" thickBot="1" x14ac:dyDescent="0.3">
      <c r="A52" s="102" t="s">
        <v>49</v>
      </c>
      <c r="B52" s="124"/>
      <c r="C52" s="87"/>
      <c r="D52" s="132">
        <f>SUM(D53:D54)</f>
        <v>0</v>
      </c>
      <c r="E52" s="129">
        <f>SUM(E53:E54)</f>
        <v>0</v>
      </c>
      <c r="F52" s="129">
        <f>SUM(F53:F54)</f>
        <v>0</v>
      </c>
      <c r="G52" s="129"/>
      <c r="H52" s="131">
        <f>SUM(H53:H54)</f>
        <v>0</v>
      </c>
      <c r="I52" s="131">
        <f>SUM(I53:I54)</f>
        <v>0</v>
      </c>
      <c r="J52" s="88"/>
      <c r="K52" s="130"/>
      <c r="L52" s="130"/>
      <c r="M52" s="129">
        <f>SUM(M53:M54)</f>
        <v>0</v>
      </c>
      <c r="N52" s="129">
        <f t="shared" ref="N52:AP52" si="20">SUM(N53:N54)</f>
        <v>0</v>
      </c>
      <c r="O52" s="129">
        <f t="shared" si="20"/>
        <v>0</v>
      </c>
      <c r="P52" s="129">
        <f t="shared" si="20"/>
        <v>0</v>
      </c>
      <c r="Q52" s="129">
        <f t="shared" si="20"/>
        <v>0</v>
      </c>
      <c r="R52" s="129">
        <f t="shared" si="20"/>
        <v>0</v>
      </c>
      <c r="S52" s="129">
        <f t="shared" si="20"/>
        <v>0</v>
      </c>
      <c r="T52" s="129">
        <f t="shared" si="20"/>
        <v>0</v>
      </c>
      <c r="U52" s="129">
        <f t="shared" si="20"/>
        <v>0</v>
      </c>
      <c r="V52" s="129">
        <f t="shared" si="20"/>
        <v>0</v>
      </c>
      <c r="W52" s="129">
        <f t="shared" si="20"/>
        <v>0</v>
      </c>
      <c r="X52" s="129">
        <f t="shared" si="20"/>
        <v>0</v>
      </c>
      <c r="Y52" s="129">
        <f t="shared" si="20"/>
        <v>0</v>
      </c>
      <c r="Z52" s="129">
        <f t="shared" si="20"/>
        <v>0</v>
      </c>
      <c r="AA52" s="129">
        <f t="shared" si="20"/>
        <v>0</v>
      </c>
      <c r="AB52" s="129">
        <f t="shared" si="20"/>
        <v>0</v>
      </c>
      <c r="AC52" s="129">
        <f t="shared" si="20"/>
        <v>0</v>
      </c>
      <c r="AD52" s="129">
        <f t="shared" si="20"/>
        <v>0</v>
      </c>
      <c r="AE52" s="129">
        <f t="shared" si="20"/>
        <v>0</v>
      </c>
      <c r="AF52" s="129">
        <f t="shared" si="20"/>
        <v>0</v>
      </c>
      <c r="AG52" s="129">
        <f t="shared" si="20"/>
        <v>0</v>
      </c>
      <c r="AH52" s="129">
        <f t="shared" si="20"/>
        <v>0</v>
      </c>
      <c r="AI52" s="129">
        <f t="shared" si="20"/>
        <v>0</v>
      </c>
      <c r="AJ52" s="129">
        <f t="shared" si="20"/>
        <v>0</v>
      </c>
      <c r="AK52" s="129">
        <f t="shared" si="20"/>
        <v>0</v>
      </c>
      <c r="AL52" s="129">
        <f t="shared" si="20"/>
        <v>0</v>
      </c>
      <c r="AM52" s="129">
        <f t="shared" si="20"/>
        <v>0</v>
      </c>
      <c r="AN52" s="129">
        <f t="shared" si="20"/>
        <v>0</v>
      </c>
      <c r="AO52" s="129">
        <f t="shared" si="20"/>
        <v>0</v>
      </c>
      <c r="AP52" s="129">
        <f t="shared" si="20"/>
        <v>0</v>
      </c>
      <c r="AQ52" s="129">
        <f t="shared" si="2"/>
        <v>0</v>
      </c>
      <c r="AR52" s="129">
        <f t="shared" si="12"/>
        <v>0</v>
      </c>
      <c r="AS52" s="129"/>
      <c r="AT52" s="129">
        <f>SUM(AT53:AT54)</f>
        <v>0</v>
      </c>
      <c r="AU52" s="131">
        <f t="shared" si="3"/>
        <v>0</v>
      </c>
      <c r="AV52" s="131">
        <f t="shared" si="4"/>
        <v>0</v>
      </c>
      <c r="AW52" s="131">
        <f t="shared" si="5"/>
        <v>0</v>
      </c>
      <c r="AX52" s="131">
        <f t="shared" si="6"/>
        <v>0</v>
      </c>
      <c r="AY52" s="131">
        <f t="shared" si="13"/>
        <v>0</v>
      </c>
      <c r="AZ52" s="131">
        <f t="shared" si="13"/>
        <v>0</v>
      </c>
      <c r="BA52" s="129">
        <f t="shared" si="14"/>
        <v>0</v>
      </c>
      <c r="BB52" s="99"/>
      <c r="BC52"/>
    </row>
    <row r="53" spans="1:55" ht="15" customHeight="1" x14ac:dyDescent="0.25">
      <c r="A53" s="97" t="s">
        <v>51</v>
      </c>
      <c r="B53" s="123" t="s">
        <v>143</v>
      </c>
      <c r="C53" s="115">
        <v>4</v>
      </c>
      <c r="D53" s="121">
        <f>AT53*AU53*AW53</f>
        <v>0</v>
      </c>
      <c r="E53" s="17">
        <f>ROUND(AT53*AV53*AX53,4)</f>
        <v>0</v>
      </c>
      <c r="F53" s="81"/>
      <c r="G53" s="81"/>
      <c r="H53" s="82"/>
      <c r="I53" s="82"/>
      <c r="J53" s="14" t="s">
        <v>83</v>
      </c>
      <c r="K53" s="84"/>
      <c r="L53" s="84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>
        <f t="shared" si="2"/>
        <v>0</v>
      </c>
      <c r="AR53" s="16">
        <f t="shared" si="12"/>
        <v>0</v>
      </c>
      <c r="AS53" s="16"/>
      <c r="AT53" s="16"/>
      <c r="AU53" s="82">
        <f t="shared" si="3"/>
        <v>0</v>
      </c>
      <c r="AV53" s="82">
        <f t="shared" si="4"/>
        <v>0</v>
      </c>
      <c r="AW53" s="82">
        <f t="shared" si="5"/>
        <v>0</v>
      </c>
      <c r="AX53" s="82">
        <f t="shared" si="6"/>
        <v>0</v>
      </c>
      <c r="AY53" s="92">
        <f t="shared" si="13"/>
        <v>0</v>
      </c>
      <c r="AZ53" s="92">
        <f t="shared" si="13"/>
        <v>0</v>
      </c>
      <c r="BA53" s="95">
        <f t="shared" si="14"/>
        <v>0</v>
      </c>
      <c r="BB53" s="86"/>
      <c r="BC53"/>
    </row>
    <row r="54" spans="1:55" ht="15" customHeight="1" thickBot="1" x14ac:dyDescent="0.3">
      <c r="A54" s="104" t="s">
        <v>50</v>
      </c>
      <c r="B54" s="123" t="s">
        <v>153</v>
      </c>
      <c r="C54" s="117">
        <v>5</v>
      </c>
      <c r="D54" s="121">
        <f>AT54*AU54*AW54</f>
        <v>0</v>
      </c>
      <c r="E54" s="17">
        <f>ROUND(AT54*AV54*AX54,4)</f>
        <v>0</v>
      </c>
      <c r="F54" s="91"/>
      <c r="G54" s="91"/>
      <c r="H54" s="92"/>
      <c r="I54" s="92"/>
      <c r="J54" s="13" t="s">
        <v>83</v>
      </c>
      <c r="K54" s="94"/>
      <c r="L54" s="94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7">
        <f t="shared" si="2"/>
        <v>0</v>
      </c>
      <c r="AR54" s="16">
        <f t="shared" si="12"/>
        <v>0</v>
      </c>
      <c r="AS54" s="16"/>
      <c r="AT54" s="16"/>
      <c r="AU54" s="82">
        <f t="shared" si="3"/>
        <v>0</v>
      </c>
      <c r="AV54" s="82">
        <f t="shared" si="4"/>
        <v>0</v>
      </c>
      <c r="AW54" s="82">
        <f t="shared" si="5"/>
        <v>0</v>
      </c>
      <c r="AX54" s="82">
        <f t="shared" si="6"/>
        <v>0</v>
      </c>
      <c r="AY54" s="92">
        <f t="shared" si="13"/>
        <v>0</v>
      </c>
      <c r="AZ54" s="92">
        <f t="shared" si="13"/>
        <v>0</v>
      </c>
      <c r="BA54" s="95">
        <f t="shared" si="14"/>
        <v>0</v>
      </c>
      <c r="BB54" s="96"/>
      <c r="BC54"/>
    </row>
    <row r="55" spans="1:55" ht="15" customHeight="1" thickBot="1" x14ac:dyDescent="0.3">
      <c r="A55" s="87" t="s">
        <v>52</v>
      </c>
      <c r="B55" s="124"/>
      <c r="C55" s="87"/>
      <c r="D55" s="132">
        <f>SUM(D56:D61)</f>
        <v>0</v>
      </c>
      <c r="E55" s="129">
        <f>SUM(E56:E61)</f>
        <v>0</v>
      </c>
      <c r="F55" s="129">
        <f>SUM(F56:F61)</f>
        <v>0</v>
      </c>
      <c r="G55" s="129"/>
      <c r="H55" s="131"/>
      <c r="I55" s="131"/>
      <c r="J55" s="88"/>
      <c r="K55" s="130"/>
      <c r="L55" s="130"/>
      <c r="M55" s="129">
        <f>SUM(M56:M61)</f>
        <v>0</v>
      </c>
      <c r="N55" s="129">
        <f t="shared" ref="N55:AP55" si="21">SUM(N56:N61)</f>
        <v>0</v>
      </c>
      <c r="O55" s="129">
        <f t="shared" si="21"/>
        <v>0</v>
      </c>
      <c r="P55" s="129">
        <f t="shared" si="21"/>
        <v>0</v>
      </c>
      <c r="Q55" s="129">
        <f t="shared" si="21"/>
        <v>0</v>
      </c>
      <c r="R55" s="129">
        <f t="shared" si="21"/>
        <v>0</v>
      </c>
      <c r="S55" s="129">
        <f t="shared" si="21"/>
        <v>0</v>
      </c>
      <c r="T55" s="129">
        <f t="shared" si="21"/>
        <v>0</v>
      </c>
      <c r="U55" s="129">
        <f t="shared" si="21"/>
        <v>0</v>
      </c>
      <c r="V55" s="129">
        <f t="shared" si="21"/>
        <v>0</v>
      </c>
      <c r="W55" s="129">
        <f t="shared" si="21"/>
        <v>0</v>
      </c>
      <c r="X55" s="129">
        <f t="shared" si="21"/>
        <v>0</v>
      </c>
      <c r="Y55" s="129">
        <f t="shared" si="21"/>
        <v>0</v>
      </c>
      <c r="Z55" s="129">
        <f t="shared" si="21"/>
        <v>0</v>
      </c>
      <c r="AA55" s="129">
        <f t="shared" si="21"/>
        <v>0</v>
      </c>
      <c r="AB55" s="129">
        <f t="shared" si="21"/>
        <v>0</v>
      </c>
      <c r="AC55" s="129">
        <f t="shared" si="21"/>
        <v>0</v>
      </c>
      <c r="AD55" s="129">
        <f t="shared" si="21"/>
        <v>0</v>
      </c>
      <c r="AE55" s="129">
        <f t="shared" si="21"/>
        <v>0</v>
      </c>
      <c r="AF55" s="129">
        <f t="shared" si="21"/>
        <v>0</v>
      </c>
      <c r="AG55" s="129">
        <f t="shared" si="21"/>
        <v>0</v>
      </c>
      <c r="AH55" s="129">
        <f t="shared" si="21"/>
        <v>0</v>
      </c>
      <c r="AI55" s="129">
        <f t="shared" si="21"/>
        <v>0</v>
      </c>
      <c r="AJ55" s="129">
        <f t="shared" si="21"/>
        <v>0</v>
      </c>
      <c r="AK55" s="129">
        <f t="shared" si="21"/>
        <v>0</v>
      </c>
      <c r="AL55" s="129">
        <f t="shared" si="21"/>
        <v>0</v>
      </c>
      <c r="AM55" s="129">
        <f t="shared" si="21"/>
        <v>0</v>
      </c>
      <c r="AN55" s="129">
        <f t="shared" si="21"/>
        <v>0</v>
      </c>
      <c r="AO55" s="129">
        <f t="shared" si="21"/>
        <v>0</v>
      </c>
      <c r="AP55" s="129">
        <f t="shared" si="21"/>
        <v>0</v>
      </c>
      <c r="AQ55" s="129">
        <f t="shared" si="2"/>
        <v>0</v>
      </c>
      <c r="AR55" s="129">
        <f t="shared" si="12"/>
        <v>0</v>
      </c>
      <c r="AS55" s="129"/>
      <c r="AT55" s="129">
        <f>SUM(AT56:AT61)</f>
        <v>0</v>
      </c>
      <c r="AU55" s="131">
        <f t="shared" si="3"/>
        <v>0</v>
      </c>
      <c r="AV55" s="131">
        <f t="shared" si="4"/>
        <v>0</v>
      </c>
      <c r="AW55" s="131">
        <f t="shared" si="5"/>
        <v>0</v>
      </c>
      <c r="AX55" s="131">
        <f t="shared" si="6"/>
        <v>0</v>
      </c>
      <c r="AY55" s="131">
        <f t="shared" si="13"/>
        <v>0</v>
      </c>
      <c r="AZ55" s="131">
        <f t="shared" si="13"/>
        <v>0</v>
      </c>
      <c r="BA55" s="129">
        <f t="shared" si="14"/>
        <v>0</v>
      </c>
      <c r="BB55" s="99"/>
      <c r="BC55"/>
    </row>
    <row r="56" spans="1:55" ht="15" customHeight="1" x14ac:dyDescent="0.25">
      <c r="A56" s="145" t="s">
        <v>53</v>
      </c>
      <c r="B56" s="147" t="s">
        <v>144</v>
      </c>
      <c r="C56" s="146">
        <v>15</v>
      </c>
      <c r="D56" s="121">
        <f>AT56*AU56*AW56</f>
        <v>0</v>
      </c>
      <c r="E56" s="17">
        <f>ROUND(AT56*AV56*AX56,4)</f>
        <v>0</v>
      </c>
      <c r="F56" s="81"/>
      <c r="G56" s="81"/>
      <c r="H56" s="82"/>
      <c r="I56" s="82"/>
      <c r="J56" s="14" t="s">
        <v>55</v>
      </c>
      <c r="K56" s="84"/>
      <c r="L56" s="84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>
        <f t="shared" si="2"/>
        <v>0</v>
      </c>
      <c r="AR56" s="16">
        <f t="shared" si="12"/>
        <v>0</v>
      </c>
      <c r="AS56" s="16"/>
      <c r="AT56" s="16"/>
      <c r="AU56" s="82">
        <f t="shared" si="3"/>
        <v>0</v>
      </c>
      <c r="AV56" s="82">
        <f t="shared" si="4"/>
        <v>0</v>
      </c>
      <c r="AW56" s="82">
        <f t="shared" si="5"/>
        <v>0</v>
      </c>
      <c r="AX56" s="82">
        <f t="shared" si="6"/>
        <v>0</v>
      </c>
      <c r="AY56" s="92">
        <f t="shared" si="13"/>
        <v>0</v>
      </c>
      <c r="AZ56" s="92">
        <f t="shared" si="13"/>
        <v>0</v>
      </c>
      <c r="BA56" s="95">
        <f t="shared" si="14"/>
        <v>0</v>
      </c>
      <c r="BB56" s="86"/>
      <c r="BC56"/>
    </row>
    <row r="57" spans="1:55" ht="15" customHeight="1" x14ac:dyDescent="0.25">
      <c r="A57" s="71" t="s">
        <v>54</v>
      </c>
      <c r="B57" s="123" t="s">
        <v>145</v>
      </c>
      <c r="C57" s="112">
        <v>16</v>
      </c>
      <c r="D57" s="121">
        <f>AT57*AU57*AW57</f>
        <v>0</v>
      </c>
      <c r="E57" s="17">
        <f t="shared" ref="E57:E61" si="22">ROUND(AT57*AV57*AX57,4)</f>
        <v>0</v>
      </c>
      <c r="F57" s="19"/>
      <c r="G57" s="19"/>
      <c r="H57" s="18"/>
      <c r="I57" s="18"/>
      <c r="J57" s="7" t="s">
        <v>55</v>
      </c>
      <c r="K57" s="20"/>
      <c r="L57" s="20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7">
        <f t="shared" si="2"/>
        <v>0</v>
      </c>
      <c r="AR57" s="16">
        <f t="shared" si="12"/>
        <v>0</v>
      </c>
      <c r="AS57" s="16"/>
      <c r="AT57" s="16"/>
      <c r="AU57" s="82">
        <f t="shared" si="3"/>
        <v>0</v>
      </c>
      <c r="AV57" s="82">
        <f t="shared" si="4"/>
        <v>0</v>
      </c>
      <c r="AW57" s="82">
        <f t="shared" si="5"/>
        <v>0</v>
      </c>
      <c r="AX57" s="82">
        <f t="shared" si="6"/>
        <v>0</v>
      </c>
      <c r="AY57" s="92">
        <f t="shared" si="13"/>
        <v>0</v>
      </c>
      <c r="AZ57" s="92">
        <f t="shared" si="13"/>
        <v>0</v>
      </c>
      <c r="BA57" s="95">
        <f t="shared" si="14"/>
        <v>0</v>
      </c>
      <c r="BB57" s="75"/>
      <c r="BC57"/>
    </row>
    <row r="58" spans="1:55" ht="15" customHeight="1" x14ac:dyDescent="0.25">
      <c r="A58" s="73" t="s">
        <v>124</v>
      </c>
      <c r="B58" s="123" t="s">
        <v>146</v>
      </c>
      <c r="C58" s="113">
        <v>26</v>
      </c>
      <c r="D58" s="121">
        <f>AT58*AU58*AW58</f>
        <v>0</v>
      </c>
      <c r="E58" s="17">
        <f t="shared" si="22"/>
        <v>0</v>
      </c>
      <c r="F58" s="19"/>
      <c r="G58" s="19"/>
      <c r="H58" s="18"/>
      <c r="I58" s="18"/>
      <c r="J58" s="7" t="s">
        <v>55</v>
      </c>
      <c r="K58" s="20"/>
      <c r="L58" s="20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7">
        <f t="shared" si="2"/>
        <v>0</v>
      </c>
      <c r="AR58" s="16">
        <f t="shared" si="12"/>
        <v>0</v>
      </c>
      <c r="AS58" s="16"/>
      <c r="AT58" s="16"/>
      <c r="AU58" s="82">
        <f t="shared" si="3"/>
        <v>0</v>
      </c>
      <c r="AV58" s="82">
        <f t="shared" si="4"/>
        <v>0</v>
      </c>
      <c r="AW58" s="82">
        <f t="shared" si="5"/>
        <v>0</v>
      </c>
      <c r="AX58" s="82">
        <f t="shared" si="6"/>
        <v>0</v>
      </c>
      <c r="AY58" s="92">
        <f t="shared" si="13"/>
        <v>0</v>
      </c>
      <c r="AZ58" s="92">
        <f t="shared" si="13"/>
        <v>0</v>
      </c>
      <c r="BA58" s="95">
        <f t="shared" si="14"/>
        <v>0</v>
      </c>
      <c r="BB58" s="75"/>
      <c r="BC58"/>
    </row>
    <row r="59" spans="1:55" ht="15" customHeight="1" x14ac:dyDescent="0.25">
      <c r="A59" s="73" t="s">
        <v>125</v>
      </c>
      <c r="B59" s="123" t="s">
        <v>147</v>
      </c>
      <c r="C59" s="112">
        <v>30</v>
      </c>
      <c r="D59" s="121">
        <f t="shared" ref="D59:D61" si="23">AT59*AU59*AW59</f>
        <v>0</v>
      </c>
      <c r="E59" s="17">
        <f t="shared" si="22"/>
        <v>0</v>
      </c>
      <c r="F59" s="19"/>
      <c r="G59" s="19"/>
      <c r="H59" s="18"/>
      <c r="I59" s="18"/>
      <c r="J59" s="7" t="s">
        <v>55</v>
      </c>
      <c r="K59" s="20"/>
      <c r="L59" s="20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7">
        <f t="shared" si="2"/>
        <v>0</v>
      </c>
      <c r="AR59" s="16">
        <f t="shared" si="12"/>
        <v>0</v>
      </c>
      <c r="AS59" s="16"/>
      <c r="AT59" s="16"/>
      <c r="AU59" s="82">
        <f t="shared" si="3"/>
        <v>0</v>
      </c>
      <c r="AV59" s="82">
        <f t="shared" si="4"/>
        <v>0</v>
      </c>
      <c r="AW59" s="82">
        <f t="shared" si="5"/>
        <v>0</v>
      </c>
      <c r="AX59" s="82">
        <f t="shared" si="6"/>
        <v>0</v>
      </c>
      <c r="AY59" s="92">
        <f t="shared" si="13"/>
        <v>0</v>
      </c>
      <c r="AZ59" s="92">
        <f t="shared" si="13"/>
        <v>0</v>
      </c>
      <c r="BA59" s="95">
        <f t="shared" si="14"/>
        <v>0</v>
      </c>
      <c r="BB59" s="75"/>
      <c r="BC59"/>
    </row>
    <row r="60" spans="1:55" ht="15" customHeight="1" x14ac:dyDescent="0.25">
      <c r="A60" s="73" t="s">
        <v>151</v>
      </c>
      <c r="B60" s="148" t="s">
        <v>150</v>
      </c>
      <c r="C60" s="112">
        <v>32</v>
      </c>
      <c r="D60" s="121">
        <f t="shared" si="23"/>
        <v>0</v>
      </c>
      <c r="E60" s="17">
        <f t="shared" si="22"/>
        <v>0</v>
      </c>
      <c r="F60" s="19"/>
      <c r="G60" s="19"/>
      <c r="H60" s="18"/>
      <c r="I60" s="18"/>
      <c r="J60" s="7" t="s">
        <v>55</v>
      </c>
      <c r="K60" s="20"/>
      <c r="L60" s="20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7">
        <f t="shared" si="2"/>
        <v>0</v>
      </c>
      <c r="AR60" s="16">
        <f t="shared" si="12"/>
        <v>0</v>
      </c>
      <c r="AS60" s="16"/>
      <c r="AT60" s="16"/>
      <c r="AU60" s="82">
        <f t="shared" si="3"/>
        <v>0</v>
      </c>
      <c r="AV60" s="82">
        <f t="shared" si="4"/>
        <v>0</v>
      </c>
      <c r="AW60" s="82">
        <f t="shared" si="5"/>
        <v>0</v>
      </c>
      <c r="AX60" s="82">
        <f t="shared" si="6"/>
        <v>0</v>
      </c>
      <c r="AY60" s="92">
        <f t="shared" si="13"/>
        <v>0</v>
      </c>
      <c r="AZ60" s="92">
        <f t="shared" si="13"/>
        <v>0</v>
      </c>
      <c r="BA60" s="95">
        <f t="shared" si="14"/>
        <v>0</v>
      </c>
      <c r="BB60" s="75"/>
      <c r="BC60"/>
    </row>
    <row r="61" spans="1:55" ht="15.75" thickBot="1" x14ac:dyDescent="0.3">
      <c r="A61" s="143" t="s">
        <v>152</v>
      </c>
      <c r="B61" s="125" t="s">
        <v>154</v>
      </c>
      <c r="C61" s="144">
        <v>24</v>
      </c>
      <c r="D61" s="122">
        <f t="shared" si="23"/>
        <v>0</v>
      </c>
      <c r="E61" s="149">
        <f t="shared" si="22"/>
        <v>0</v>
      </c>
      <c r="F61" s="64"/>
      <c r="G61" s="64"/>
      <c r="H61" s="65"/>
      <c r="I61" s="65"/>
      <c r="J61" s="66" t="s">
        <v>55</v>
      </c>
      <c r="K61" s="67"/>
      <c r="L61" s="67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149">
        <f t="shared" si="2"/>
        <v>0</v>
      </c>
      <c r="AR61" s="63">
        <f t="shared" si="12"/>
        <v>0</v>
      </c>
      <c r="AS61" s="63"/>
      <c r="AT61" s="63"/>
      <c r="AU61" s="150">
        <f t="shared" si="3"/>
        <v>0</v>
      </c>
      <c r="AV61" s="150">
        <f t="shared" si="4"/>
        <v>0</v>
      </c>
      <c r="AW61" s="150">
        <f t="shared" si="5"/>
        <v>0</v>
      </c>
      <c r="AX61" s="150">
        <f t="shared" si="6"/>
        <v>0</v>
      </c>
      <c r="AY61" s="65">
        <f t="shared" si="13"/>
        <v>0</v>
      </c>
      <c r="AZ61" s="65">
        <f t="shared" si="13"/>
        <v>0</v>
      </c>
      <c r="BA61" s="151">
        <f t="shared" si="14"/>
        <v>0</v>
      </c>
      <c r="BB61" s="76"/>
    </row>
    <row r="62" spans="1:55" x14ac:dyDescent="0.25">
      <c r="C62" s="2"/>
      <c r="D62" s="3"/>
      <c r="F62" s="2"/>
      <c r="G62" s="2"/>
      <c r="H62" s="1"/>
      <c r="I62" s="1"/>
      <c r="M62" s="5"/>
      <c r="O62" s="4"/>
      <c r="P62" s="5"/>
      <c r="Q62" s="5"/>
      <c r="U62" s="2"/>
      <c r="V62" s="2"/>
      <c r="W62" s="2"/>
      <c r="X62" s="2"/>
      <c r="Y62" s="1"/>
      <c r="Z62" s="1"/>
      <c r="AA62" s="1"/>
      <c r="AB62" s="1"/>
    </row>
    <row r="63" spans="1:55" x14ac:dyDescent="0.25">
      <c r="A63" s="10"/>
      <c r="B63" s="10"/>
      <c r="C63" s="10"/>
      <c r="D63" s="3"/>
      <c r="F63" s="2"/>
      <c r="G63" s="2"/>
      <c r="H63" s="1"/>
      <c r="I63" s="1"/>
      <c r="M63" s="5"/>
      <c r="O63" s="4"/>
      <c r="P63" s="5"/>
      <c r="Q63" s="5"/>
      <c r="U63" s="2"/>
      <c r="V63" s="2"/>
      <c r="W63" s="2"/>
      <c r="X63" s="2"/>
      <c r="Y63" s="1"/>
      <c r="Z63" s="1"/>
      <c r="AA63" s="1"/>
      <c r="AB63" s="1"/>
    </row>
    <row r="64" spans="1:55" x14ac:dyDescent="0.2">
      <c r="A64" s="6" t="s">
        <v>126</v>
      </c>
      <c r="B64" s="6"/>
      <c r="C64" s="6"/>
      <c r="D64" s="6"/>
      <c r="F64" s="2"/>
      <c r="G64" s="2"/>
      <c r="H64" s="1"/>
      <c r="I64" s="1"/>
      <c r="M64" s="5"/>
      <c r="O64" s="4"/>
      <c r="P64" s="5"/>
      <c r="Q64" s="5"/>
      <c r="U64" s="2"/>
      <c r="V64" s="2"/>
      <c r="W64" s="2"/>
      <c r="X64" s="2"/>
      <c r="Y64" s="1"/>
      <c r="Z64" s="1"/>
      <c r="AA64" s="1"/>
      <c r="AB64" s="1"/>
    </row>
    <row r="65" spans="1:28" x14ac:dyDescent="0.2">
      <c r="A65" s="6"/>
      <c r="B65" s="6"/>
      <c r="C65" s="6"/>
      <c r="D65" s="6"/>
      <c r="F65" s="2"/>
      <c r="G65" s="2"/>
      <c r="H65" s="1"/>
      <c r="I65" s="1"/>
      <c r="M65" s="5"/>
      <c r="O65" s="4"/>
      <c r="P65" s="5"/>
      <c r="Q65" s="5"/>
      <c r="U65" s="2"/>
      <c r="V65" s="2"/>
      <c r="W65" s="2"/>
      <c r="X65" s="2"/>
      <c r="Y65" s="1"/>
      <c r="Z65" s="1"/>
      <c r="AA65" s="1"/>
      <c r="AB65" s="1"/>
    </row>
    <row r="66" spans="1:28" x14ac:dyDescent="0.2">
      <c r="A66" s="6" t="s">
        <v>128</v>
      </c>
      <c r="B66" s="6"/>
      <c r="C66" s="6"/>
      <c r="D66" s="6"/>
      <c r="F66" s="2"/>
      <c r="G66" s="2"/>
      <c r="H66" s="1"/>
      <c r="I66" s="1"/>
      <c r="M66" s="5"/>
      <c r="O66" s="4"/>
      <c r="P66" s="5"/>
      <c r="Q66" s="5"/>
      <c r="U66" s="2"/>
      <c r="V66" s="2"/>
      <c r="W66" s="2"/>
      <c r="X66" s="2"/>
      <c r="Y66" s="1"/>
      <c r="Z66" s="1"/>
      <c r="AA66" s="1"/>
      <c r="AB66" s="1"/>
    </row>
    <row r="67" spans="1:28" x14ac:dyDescent="0.2">
      <c r="A67" s="6"/>
      <c r="B67" s="6"/>
      <c r="C67" s="6"/>
      <c r="D67" s="6"/>
      <c r="F67" s="2"/>
      <c r="G67" s="2"/>
      <c r="H67" s="1"/>
      <c r="I67" s="1"/>
      <c r="M67" s="5"/>
      <c r="O67" s="4"/>
      <c r="P67" s="5"/>
      <c r="Q67" s="5"/>
      <c r="U67" s="2"/>
      <c r="V67" s="2"/>
      <c r="W67" s="2"/>
      <c r="X67" s="2"/>
      <c r="Y67" s="1"/>
      <c r="Z67" s="1"/>
      <c r="AA67" s="1"/>
      <c r="AB67" s="1"/>
    </row>
    <row r="68" spans="1:28" x14ac:dyDescent="0.2">
      <c r="A68" s="6" t="s">
        <v>127</v>
      </c>
      <c r="B68" s="6"/>
      <c r="C68" s="6"/>
      <c r="D68" s="6"/>
      <c r="F68" s="2"/>
      <c r="G68" s="2"/>
      <c r="H68" s="1"/>
      <c r="I68" s="1"/>
      <c r="M68" s="5"/>
      <c r="O68" s="4"/>
      <c r="P68" s="5"/>
      <c r="Q68" s="5"/>
      <c r="U68" s="2"/>
      <c r="V68" s="2"/>
      <c r="W68" s="2"/>
      <c r="X68" s="2"/>
      <c r="Y68" s="1"/>
      <c r="Z68" s="1"/>
      <c r="AA68" s="1"/>
      <c r="AB68" s="1"/>
    </row>
    <row r="71" spans="1:28" x14ac:dyDescent="0.25">
      <c r="A71" s="10"/>
      <c r="B71" s="10"/>
    </row>
    <row r="72" spans="1:28" x14ac:dyDescent="0.25">
      <c r="A72" s="10"/>
      <c r="B72" s="10"/>
    </row>
    <row r="73" spans="1:28" x14ac:dyDescent="0.25">
      <c r="A73" s="10"/>
      <c r="B73" s="10"/>
    </row>
    <row r="74" spans="1:28" x14ac:dyDescent="0.25">
      <c r="A74" s="10"/>
      <c r="B74" s="10"/>
    </row>
    <row r="75" spans="1:28" x14ac:dyDescent="0.25">
      <c r="A75" s="10"/>
      <c r="B75" s="10"/>
    </row>
    <row r="76" spans="1:28" x14ac:dyDescent="0.25">
      <c r="A76" s="10"/>
      <c r="B76" s="10"/>
    </row>
    <row r="77" spans="1:28" x14ac:dyDescent="0.25">
      <c r="A77" s="10"/>
      <c r="B77" s="10"/>
    </row>
    <row r="78" spans="1:28" x14ac:dyDescent="0.25">
      <c r="A78" s="10"/>
      <c r="B78" s="10"/>
    </row>
  </sheetData>
  <mergeCells count="32">
    <mergeCell ref="A7:BB7"/>
    <mergeCell ref="A9:BB9"/>
    <mergeCell ref="C12:C15"/>
    <mergeCell ref="D12:E14"/>
    <mergeCell ref="H12:I14"/>
    <mergeCell ref="J12:J15"/>
    <mergeCell ref="K12:L14"/>
    <mergeCell ref="M12:AP12"/>
    <mergeCell ref="AQ12:AR14"/>
    <mergeCell ref="AS12:AT14"/>
    <mergeCell ref="AU12:AV14"/>
    <mergeCell ref="AW12:AX14"/>
    <mergeCell ref="AY12:AZ14"/>
    <mergeCell ref="BA12:BA15"/>
    <mergeCell ref="BB12:BB15"/>
    <mergeCell ref="M13:AB13"/>
    <mergeCell ref="AC13:AP13"/>
    <mergeCell ref="AP14:AP15"/>
    <mergeCell ref="A12:A15"/>
    <mergeCell ref="B12:B15"/>
    <mergeCell ref="F12:G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J14"/>
    <mergeCell ref="AK14:AN14"/>
    <mergeCell ref="AO14:AO15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8"/>
  <sheetViews>
    <sheetView showZeros="0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9" sqref="A9:BB9"/>
    </sheetView>
  </sheetViews>
  <sheetFormatPr defaultRowHeight="14.25" x14ac:dyDescent="0.25"/>
  <cols>
    <col min="1" max="1" width="30.7109375" style="2" customWidth="1"/>
    <col min="2" max="2" width="10.7109375" style="2" customWidth="1"/>
    <col min="3" max="3" width="9.7109375" style="3" customWidth="1"/>
    <col min="4" max="5" width="9.7109375" style="2" customWidth="1"/>
    <col min="6" max="7" width="9.7109375" style="1" customWidth="1"/>
    <col min="8" max="9" width="9.7109375" style="5" customWidth="1"/>
    <col min="10" max="10" width="8.7109375" style="5" customWidth="1"/>
    <col min="11" max="12" width="14.7109375" style="5" customWidth="1"/>
    <col min="13" max="13" width="9.7109375" style="4" customWidth="1"/>
    <col min="14" max="15" width="9.7109375" style="5" customWidth="1"/>
    <col min="16" max="20" width="9.7109375" style="2" customWidth="1"/>
    <col min="21" max="24" width="9.7109375" style="1" customWidth="1"/>
    <col min="25" max="54" width="9.7109375" style="2" customWidth="1"/>
    <col min="55" max="16384" width="9.140625" style="2"/>
  </cols>
  <sheetData>
    <row r="1" spans="1:55" ht="12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/>
      <c r="AJ1"/>
      <c r="AK1"/>
      <c r="AL1"/>
      <c r="AM1"/>
    </row>
    <row r="2" spans="1:55" ht="12.75" customHeight="1" x14ac:dyDescent="0.25">
      <c r="A2" s="11" t="s">
        <v>134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X2" s="11" t="s">
        <v>56</v>
      </c>
      <c r="AY2"/>
      <c r="AZ2"/>
      <c r="BA2"/>
      <c r="BB2"/>
      <c r="BC2"/>
    </row>
    <row r="3" spans="1:55" s="6" customFormat="1" ht="12.75" customHeight="1" x14ac:dyDescent="0.25">
      <c r="A3" s="11" t="s">
        <v>57</v>
      </c>
      <c r="AX3" s="11" t="s">
        <v>65</v>
      </c>
      <c r="AY3"/>
      <c r="AZ3"/>
      <c r="BA3"/>
      <c r="BB3"/>
      <c r="BC3"/>
    </row>
    <row r="4" spans="1:55" s="6" customFormat="1" ht="12.75" customHeight="1" x14ac:dyDescent="0.25">
      <c r="AX4" s="24" t="s">
        <v>123</v>
      </c>
      <c r="AY4"/>
      <c r="AZ4"/>
      <c r="BA4"/>
      <c r="BB4"/>
      <c r="BC4"/>
    </row>
    <row r="5" spans="1:55" s="6" customFormat="1" ht="12.75" customHeight="1" x14ac:dyDescent="0.25">
      <c r="AY5"/>
      <c r="AZ5"/>
      <c r="BA5"/>
      <c r="BB5"/>
      <c r="BC5"/>
    </row>
    <row r="6" spans="1:55" s="6" customFormat="1" ht="15" x14ac:dyDescent="0.25">
      <c r="AX6" s="25" t="s">
        <v>85</v>
      </c>
      <c r="AY6"/>
      <c r="AZ6"/>
      <c r="BA6"/>
      <c r="BB6"/>
      <c r="BC6"/>
    </row>
    <row r="7" spans="1:55" s="6" customFormat="1" ht="15.75" customHeight="1" x14ac:dyDescent="0.2">
      <c r="A7" s="184" t="s">
        <v>58</v>
      </c>
      <c r="B7" s="184"/>
      <c r="C7" s="184"/>
      <c r="D7" s="184"/>
      <c r="E7" s="184"/>
      <c r="F7" s="184"/>
      <c r="G7" s="184"/>
      <c r="H7" s="184"/>
      <c r="I7" s="184"/>
      <c r="J7" s="184"/>
      <c r="K7" s="184"/>
      <c r="L7" s="184"/>
      <c r="M7" s="184"/>
      <c r="N7" s="184"/>
      <c r="O7" s="184"/>
      <c r="P7" s="184"/>
      <c r="Q7" s="184"/>
      <c r="R7" s="184"/>
      <c r="S7" s="184"/>
      <c r="T7" s="184"/>
      <c r="U7" s="184"/>
      <c r="V7" s="184"/>
      <c r="W7" s="184"/>
      <c r="X7" s="184"/>
      <c r="Y7" s="184"/>
      <c r="Z7" s="184"/>
      <c r="AA7" s="184"/>
      <c r="AB7" s="184"/>
      <c r="AC7" s="184"/>
      <c r="AD7" s="184"/>
      <c r="AE7" s="184"/>
      <c r="AF7" s="184"/>
      <c r="AG7" s="184"/>
      <c r="AH7" s="184"/>
      <c r="AI7" s="184"/>
      <c r="AJ7" s="184"/>
      <c r="AK7" s="184"/>
      <c r="AL7" s="184"/>
      <c r="AM7" s="184"/>
      <c r="AN7" s="184"/>
      <c r="AO7" s="184"/>
      <c r="AP7" s="184"/>
      <c r="AQ7" s="184"/>
      <c r="AR7" s="184"/>
      <c r="AS7" s="184"/>
      <c r="AT7" s="184"/>
      <c r="AU7" s="184"/>
      <c r="AV7" s="184"/>
      <c r="AW7" s="184"/>
      <c r="AX7" s="184"/>
      <c r="AY7" s="184"/>
      <c r="AZ7" s="184"/>
      <c r="BA7" s="184"/>
      <c r="BB7" s="184"/>
      <c r="BC7" s="109"/>
    </row>
    <row r="8" spans="1:55" s="6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55" ht="15.75" x14ac:dyDescent="0.25">
      <c r="A9" s="185"/>
      <c r="B9" s="185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  <c r="Z9" s="185"/>
      <c r="AA9" s="185"/>
      <c r="AB9" s="185"/>
      <c r="AC9" s="185"/>
      <c r="AD9" s="185"/>
      <c r="AE9" s="185"/>
      <c r="AF9" s="185"/>
      <c r="AG9" s="185"/>
      <c r="AH9" s="185"/>
      <c r="AI9" s="185"/>
      <c r="AJ9" s="185"/>
      <c r="AK9" s="185"/>
      <c r="AL9" s="185"/>
      <c r="AM9" s="185"/>
      <c r="AN9" s="185"/>
      <c r="AO9" s="185"/>
      <c r="AP9" s="185"/>
      <c r="AQ9" s="185"/>
      <c r="AR9" s="185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08"/>
    </row>
    <row r="10" spans="1:55" s="6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55" ht="12.7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3"/>
      <c r="L11" s="2"/>
      <c r="M11" s="2"/>
      <c r="N11" s="2"/>
      <c r="O11" s="2"/>
      <c r="U11" s="2"/>
      <c r="V11" s="2"/>
      <c r="W11" s="2"/>
      <c r="X11" s="2"/>
    </row>
    <row r="12" spans="1:55" ht="14.25" customHeight="1" x14ac:dyDescent="0.25">
      <c r="A12" s="160" t="s">
        <v>2</v>
      </c>
      <c r="B12" s="163" t="s">
        <v>129</v>
      </c>
      <c r="C12" s="163" t="s">
        <v>3</v>
      </c>
      <c r="D12" s="166" t="s">
        <v>60</v>
      </c>
      <c r="E12" s="155"/>
      <c r="F12" s="154" t="s">
        <v>131</v>
      </c>
      <c r="G12" s="155"/>
      <c r="H12" s="154" t="s">
        <v>1</v>
      </c>
      <c r="I12" s="155"/>
      <c r="J12" s="186" t="s">
        <v>135</v>
      </c>
      <c r="K12" s="154" t="s">
        <v>4</v>
      </c>
      <c r="L12" s="155"/>
      <c r="M12" s="175" t="s">
        <v>62</v>
      </c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  <c r="AA12" s="176"/>
      <c r="AB12" s="176"/>
      <c r="AC12" s="176"/>
      <c r="AD12" s="176"/>
      <c r="AE12" s="176"/>
      <c r="AF12" s="176"/>
      <c r="AG12" s="176"/>
      <c r="AH12" s="176"/>
      <c r="AI12" s="176"/>
      <c r="AJ12" s="176"/>
      <c r="AK12" s="176"/>
      <c r="AL12" s="176"/>
      <c r="AM12" s="176"/>
      <c r="AN12" s="176"/>
      <c r="AO12" s="176"/>
      <c r="AP12" s="177"/>
      <c r="AQ12" s="154" t="s">
        <v>69</v>
      </c>
      <c r="AR12" s="155"/>
      <c r="AS12" s="154" t="s">
        <v>59</v>
      </c>
      <c r="AT12" s="155"/>
      <c r="AU12" s="154" t="s">
        <v>70</v>
      </c>
      <c r="AV12" s="155"/>
      <c r="AW12" s="154" t="s">
        <v>71</v>
      </c>
      <c r="AX12" s="155"/>
      <c r="AY12" s="154" t="s">
        <v>72</v>
      </c>
      <c r="AZ12" s="155"/>
      <c r="BA12" s="182" t="s">
        <v>73</v>
      </c>
      <c r="BB12" s="179" t="s">
        <v>133</v>
      </c>
      <c r="BC12"/>
    </row>
    <row r="13" spans="1:55" ht="14.25" customHeight="1" x14ac:dyDescent="0.25">
      <c r="A13" s="161"/>
      <c r="B13" s="164"/>
      <c r="C13" s="164"/>
      <c r="D13" s="167"/>
      <c r="E13" s="157"/>
      <c r="F13" s="156"/>
      <c r="G13" s="157"/>
      <c r="H13" s="156"/>
      <c r="I13" s="157"/>
      <c r="J13" s="187"/>
      <c r="K13" s="156"/>
      <c r="L13" s="157"/>
      <c r="M13" s="152" t="s">
        <v>5</v>
      </c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  <c r="AA13" s="178"/>
      <c r="AB13" s="153"/>
      <c r="AC13" s="152" t="s">
        <v>6</v>
      </c>
      <c r="AD13" s="178"/>
      <c r="AE13" s="178"/>
      <c r="AF13" s="178"/>
      <c r="AG13" s="178"/>
      <c r="AH13" s="178"/>
      <c r="AI13" s="178"/>
      <c r="AJ13" s="178"/>
      <c r="AK13" s="178"/>
      <c r="AL13" s="178"/>
      <c r="AM13" s="178"/>
      <c r="AN13" s="178"/>
      <c r="AO13" s="178"/>
      <c r="AP13" s="153"/>
      <c r="AQ13" s="156"/>
      <c r="AR13" s="157"/>
      <c r="AS13" s="156"/>
      <c r="AT13" s="157"/>
      <c r="AU13" s="156"/>
      <c r="AV13" s="157"/>
      <c r="AW13" s="156"/>
      <c r="AX13" s="157"/>
      <c r="AY13" s="156"/>
      <c r="AZ13" s="157"/>
      <c r="BA13" s="183"/>
      <c r="BB13" s="180"/>
      <c r="BC13"/>
    </row>
    <row r="14" spans="1:55" ht="63.75" customHeight="1" x14ac:dyDescent="0.25">
      <c r="A14" s="161"/>
      <c r="B14" s="164"/>
      <c r="C14" s="164"/>
      <c r="D14" s="168"/>
      <c r="E14" s="159"/>
      <c r="F14" s="158"/>
      <c r="G14" s="159"/>
      <c r="H14" s="158"/>
      <c r="I14" s="159"/>
      <c r="J14" s="187"/>
      <c r="K14" s="158"/>
      <c r="L14" s="159"/>
      <c r="M14" s="152" t="s">
        <v>10</v>
      </c>
      <c r="N14" s="153"/>
      <c r="O14" s="152" t="s">
        <v>74</v>
      </c>
      <c r="P14" s="153"/>
      <c r="Q14" s="152" t="s">
        <v>75</v>
      </c>
      <c r="R14" s="153"/>
      <c r="S14" s="152" t="s">
        <v>86</v>
      </c>
      <c r="T14" s="153"/>
      <c r="U14" s="152" t="s">
        <v>136</v>
      </c>
      <c r="V14" s="153"/>
      <c r="W14" s="169" t="s">
        <v>132</v>
      </c>
      <c r="X14" s="170"/>
      <c r="Y14" s="152" t="s">
        <v>84</v>
      </c>
      <c r="Z14" s="153"/>
      <c r="AA14" s="152" t="s">
        <v>76</v>
      </c>
      <c r="AB14" s="153"/>
      <c r="AC14" s="152" t="s">
        <v>7</v>
      </c>
      <c r="AD14" s="178"/>
      <c r="AE14" s="178"/>
      <c r="AF14" s="178"/>
      <c r="AG14" s="178"/>
      <c r="AH14" s="178"/>
      <c r="AI14" s="178"/>
      <c r="AJ14" s="153"/>
      <c r="AK14" s="152" t="s">
        <v>8</v>
      </c>
      <c r="AL14" s="178"/>
      <c r="AM14" s="178"/>
      <c r="AN14" s="153"/>
      <c r="AO14" s="171" t="s">
        <v>77</v>
      </c>
      <c r="AP14" s="173" t="s">
        <v>18</v>
      </c>
      <c r="AQ14" s="158"/>
      <c r="AR14" s="159"/>
      <c r="AS14" s="158"/>
      <c r="AT14" s="159"/>
      <c r="AU14" s="158"/>
      <c r="AV14" s="159"/>
      <c r="AW14" s="158"/>
      <c r="AX14" s="159"/>
      <c r="AY14" s="158"/>
      <c r="AZ14" s="159"/>
      <c r="BA14" s="183"/>
      <c r="BB14" s="180"/>
      <c r="BC14"/>
    </row>
    <row r="15" spans="1:55" ht="38.25" customHeight="1" thickBot="1" x14ac:dyDescent="0.3">
      <c r="A15" s="162"/>
      <c r="B15" s="165"/>
      <c r="C15" s="165"/>
      <c r="D15" s="118" t="s">
        <v>61</v>
      </c>
      <c r="E15" s="77" t="s">
        <v>9</v>
      </c>
      <c r="F15" s="77" t="s">
        <v>11</v>
      </c>
      <c r="G15" s="77" t="s">
        <v>130</v>
      </c>
      <c r="H15" s="77" t="s">
        <v>0</v>
      </c>
      <c r="I15" s="77" t="s">
        <v>78</v>
      </c>
      <c r="J15" s="188"/>
      <c r="K15" s="77" t="s">
        <v>61</v>
      </c>
      <c r="L15" s="77" t="s">
        <v>9</v>
      </c>
      <c r="M15" s="77" t="s">
        <v>61</v>
      </c>
      <c r="N15" s="77" t="s">
        <v>9</v>
      </c>
      <c r="O15" s="77" t="s">
        <v>61</v>
      </c>
      <c r="P15" s="77" t="s">
        <v>9</v>
      </c>
      <c r="Q15" s="77" t="s">
        <v>61</v>
      </c>
      <c r="R15" s="77" t="s">
        <v>9</v>
      </c>
      <c r="S15" s="77" t="s">
        <v>61</v>
      </c>
      <c r="T15" s="77" t="s">
        <v>9</v>
      </c>
      <c r="U15" s="77" t="s">
        <v>61</v>
      </c>
      <c r="V15" s="77" t="s">
        <v>9</v>
      </c>
      <c r="W15" s="77" t="s">
        <v>61</v>
      </c>
      <c r="X15" s="77" t="s">
        <v>9</v>
      </c>
      <c r="Y15" s="77" t="s">
        <v>61</v>
      </c>
      <c r="Z15" s="77" t="s">
        <v>9</v>
      </c>
      <c r="AA15" s="77" t="s">
        <v>61</v>
      </c>
      <c r="AB15" s="77" t="s">
        <v>9</v>
      </c>
      <c r="AC15" s="77" t="s">
        <v>11</v>
      </c>
      <c r="AD15" s="77" t="s">
        <v>12</v>
      </c>
      <c r="AE15" s="77" t="s">
        <v>13</v>
      </c>
      <c r="AF15" s="77" t="s">
        <v>14</v>
      </c>
      <c r="AG15" s="77" t="s">
        <v>15</v>
      </c>
      <c r="AH15" s="77" t="s">
        <v>16</v>
      </c>
      <c r="AI15" s="107" t="s">
        <v>18</v>
      </c>
      <c r="AJ15" s="107" t="s">
        <v>17</v>
      </c>
      <c r="AK15" s="77" t="s">
        <v>19</v>
      </c>
      <c r="AL15" s="77" t="s">
        <v>20</v>
      </c>
      <c r="AM15" s="77" t="s">
        <v>21</v>
      </c>
      <c r="AN15" s="77" t="s">
        <v>22</v>
      </c>
      <c r="AO15" s="172"/>
      <c r="AP15" s="174"/>
      <c r="AQ15" s="77" t="s">
        <v>61</v>
      </c>
      <c r="AR15" s="77" t="s">
        <v>9</v>
      </c>
      <c r="AS15" s="77" t="s">
        <v>61</v>
      </c>
      <c r="AT15" s="77" t="s">
        <v>9</v>
      </c>
      <c r="AU15" s="77" t="s">
        <v>61</v>
      </c>
      <c r="AV15" s="77" t="s">
        <v>9</v>
      </c>
      <c r="AW15" s="77" t="s">
        <v>61</v>
      </c>
      <c r="AX15" s="77" t="s">
        <v>9</v>
      </c>
      <c r="AY15" s="77" t="s">
        <v>61</v>
      </c>
      <c r="AZ15" s="77" t="s">
        <v>9</v>
      </c>
      <c r="BA15" s="172"/>
      <c r="BB15" s="181"/>
      <c r="BC15"/>
    </row>
    <row r="16" spans="1:55" ht="15" customHeight="1" thickBot="1" x14ac:dyDescent="0.3">
      <c r="A16" s="106">
        <v>1</v>
      </c>
      <c r="B16" s="106">
        <v>2</v>
      </c>
      <c r="C16" s="106">
        <v>3</v>
      </c>
      <c r="D16" s="105">
        <v>4</v>
      </c>
      <c r="E16" s="78">
        <v>5</v>
      </c>
      <c r="F16" s="78">
        <v>6</v>
      </c>
      <c r="G16" s="78">
        <v>7</v>
      </c>
      <c r="H16" s="78">
        <v>8</v>
      </c>
      <c r="I16" s="78">
        <v>9</v>
      </c>
      <c r="J16" s="78">
        <v>10</v>
      </c>
      <c r="K16" s="78">
        <v>11</v>
      </c>
      <c r="L16" s="78">
        <v>12</v>
      </c>
      <c r="M16" s="78">
        <v>13</v>
      </c>
      <c r="N16" s="78">
        <v>14</v>
      </c>
      <c r="O16" s="78">
        <v>15</v>
      </c>
      <c r="P16" s="78">
        <v>16</v>
      </c>
      <c r="Q16" s="78">
        <v>17</v>
      </c>
      <c r="R16" s="78">
        <v>18</v>
      </c>
      <c r="S16" s="78">
        <v>19</v>
      </c>
      <c r="T16" s="78">
        <v>20</v>
      </c>
      <c r="U16" s="78">
        <v>21</v>
      </c>
      <c r="V16" s="78">
        <v>22</v>
      </c>
      <c r="W16" s="78">
        <v>23</v>
      </c>
      <c r="X16" s="78">
        <v>24</v>
      </c>
      <c r="Y16" s="78">
        <v>25</v>
      </c>
      <c r="Z16" s="78">
        <v>26</v>
      </c>
      <c r="AA16" s="78">
        <v>27</v>
      </c>
      <c r="AB16" s="78">
        <v>28</v>
      </c>
      <c r="AC16" s="78">
        <v>29</v>
      </c>
      <c r="AD16" s="78">
        <v>30</v>
      </c>
      <c r="AE16" s="78">
        <v>31</v>
      </c>
      <c r="AF16" s="78">
        <v>32</v>
      </c>
      <c r="AG16" s="78">
        <v>33</v>
      </c>
      <c r="AH16" s="78">
        <v>34</v>
      </c>
      <c r="AI16" s="78">
        <v>35</v>
      </c>
      <c r="AJ16" s="78">
        <v>36</v>
      </c>
      <c r="AK16" s="78">
        <v>37</v>
      </c>
      <c r="AL16" s="78">
        <v>38</v>
      </c>
      <c r="AM16" s="78">
        <v>39</v>
      </c>
      <c r="AN16" s="78">
        <v>40</v>
      </c>
      <c r="AO16" s="78">
        <v>41</v>
      </c>
      <c r="AP16" s="78">
        <v>42</v>
      </c>
      <c r="AQ16" s="78">
        <v>43</v>
      </c>
      <c r="AR16" s="78">
        <v>44</v>
      </c>
      <c r="AS16" s="78">
        <v>45</v>
      </c>
      <c r="AT16" s="78">
        <v>46</v>
      </c>
      <c r="AU16" s="78">
        <v>47</v>
      </c>
      <c r="AV16" s="78">
        <v>48</v>
      </c>
      <c r="AW16" s="78">
        <v>49</v>
      </c>
      <c r="AX16" s="78">
        <v>50</v>
      </c>
      <c r="AY16" s="78">
        <v>51</v>
      </c>
      <c r="AZ16" s="78">
        <v>52</v>
      </c>
      <c r="BA16" s="78">
        <v>53</v>
      </c>
      <c r="BB16" s="79">
        <v>54</v>
      </c>
      <c r="BC16"/>
    </row>
    <row r="17" spans="1:55" ht="15" customHeight="1" thickBot="1" x14ac:dyDescent="0.3">
      <c r="A17" s="87" t="s">
        <v>79</v>
      </c>
      <c r="B17" s="87"/>
      <c r="C17" s="87"/>
      <c r="D17" s="132">
        <f>AT17*AW17*AU17</f>
        <v>0</v>
      </c>
      <c r="E17" s="129">
        <f>ROUND(AT17*AV17*AX17,4)</f>
        <v>0</v>
      </c>
      <c r="F17" s="129"/>
      <c r="G17" s="129"/>
      <c r="H17" s="131">
        <f>SUM(H18:H23)</f>
        <v>0</v>
      </c>
      <c r="I17" s="131">
        <f>SUM(I18:I23)</f>
        <v>0</v>
      </c>
      <c r="J17" s="88"/>
      <c r="K17" s="130">
        <f>SUM(K18:K23)</f>
        <v>0</v>
      </c>
      <c r="L17" s="130">
        <f>SUM(L18:L23)</f>
        <v>0</v>
      </c>
      <c r="M17" s="129">
        <f>SUM(M18:M23)</f>
        <v>0</v>
      </c>
      <c r="N17" s="129">
        <f t="shared" ref="N17:AO17" si="0">SUM(N18:N23)</f>
        <v>0</v>
      </c>
      <c r="O17" s="129">
        <f t="shared" si="0"/>
        <v>0</v>
      </c>
      <c r="P17" s="129">
        <f t="shared" si="0"/>
        <v>0</v>
      </c>
      <c r="Q17" s="129">
        <f t="shared" si="0"/>
        <v>0</v>
      </c>
      <c r="R17" s="129">
        <f t="shared" si="0"/>
        <v>0</v>
      </c>
      <c r="S17" s="129">
        <f t="shared" si="0"/>
        <v>0</v>
      </c>
      <c r="T17" s="129">
        <f t="shared" si="0"/>
        <v>0</v>
      </c>
      <c r="U17" s="129">
        <f t="shared" si="0"/>
        <v>0</v>
      </c>
      <c r="V17" s="129">
        <f t="shared" si="0"/>
        <v>0</v>
      </c>
      <c r="W17" s="129">
        <f t="shared" si="0"/>
        <v>0</v>
      </c>
      <c r="X17" s="129">
        <f t="shared" si="0"/>
        <v>0</v>
      </c>
      <c r="Y17" s="129">
        <f t="shared" si="0"/>
        <v>0</v>
      </c>
      <c r="Z17" s="129">
        <f t="shared" si="0"/>
        <v>0</v>
      </c>
      <c r="AA17" s="129">
        <f t="shared" si="0"/>
        <v>0</v>
      </c>
      <c r="AB17" s="129">
        <f>SUM(AB18:AB23)</f>
        <v>0</v>
      </c>
      <c r="AC17" s="129">
        <f t="shared" si="0"/>
        <v>0</v>
      </c>
      <c r="AD17" s="129">
        <f t="shared" si="0"/>
        <v>0</v>
      </c>
      <c r="AE17" s="129">
        <f t="shared" si="0"/>
        <v>0</v>
      </c>
      <c r="AF17" s="129">
        <f t="shared" si="0"/>
        <v>0</v>
      </c>
      <c r="AG17" s="129">
        <f t="shared" si="0"/>
        <v>0</v>
      </c>
      <c r="AH17" s="129">
        <f t="shared" si="0"/>
        <v>0</v>
      </c>
      <c r="AI17" s="129">
        <f t="shared" si="0"/>
        <v>0</v>
      </c>
      <c r="AJ17" s="129">
        <f t="shared" si="0"/>
        <v>0</v>
      </c>
      <c r="AK17" s="129">
        <f t="shared" si="0"/>
        <v>0</v>
      </c>
      <c r="AL17" s="129">
        <f t="shared" si="0"/>
        <v>0</v>
      </c>
      <c r="AM17" s="129">
        <f t="shared" si="0"/>
        <v>0</v>
      </c>
      <c r="AN17" s="129">
        <f t="shared" si="0"/>
        <v>0</v>
      </c>
      <c r="AO17" s="129">
        <f t="shared" si="0"/>
        <v>0</v>
      </c>
      <c r="AP17" s="129">
        <f>SUM(AP18:AP23)</f>
        <v>0</v>
      </c>
      <c r="AQ17" s="129">
        <f>M17+O17+S17+U17+W17+AA17+Q17+Y17</f>
        <v>0</v>
      </c>
      <c r="AR17" s="129">
        <f>N17+P17+R17+AC17+AD17+AE17+AF17+AG17+AH17+AI17+AJ17+AK17+AL17+AM17+AN17+AO17+AP17+T17+V17+AB17+X17+Z17</f>
        <v>0</v>
      </c>
      <c r="AS17" s="129">
        <f>SUM(AS18:AS23)</f>
        <v>0</v>
      </c>
      <c r="AT17" s="129">
        <f>SUM(AT18:AT23)</f>
        <v>0</v>
      </c>
      <c r="AU17" s="131">
        <f>IF(AT17-AQ17=0,0,(AT17-M17-O17-Q17)/AT17)</f>
        <v>0</v>
      </c>
      <c r="AV17" s="131">
        <f>IF(AT17=0,0,(AT17-N17-P17-R17-AC17-AD17-AE17-AF17-AG17-AH17-AI17-AJ17-AL17)/AT17)</f>
        <v>0</v>
      </c>
      <c r="AW17" s="131">
        <f>IF(OR(AT17=0,AU17=0),0,((AT17*AU17)-S17-U17-W17-Y17-AA17)/(AT17*AU17))</f>
        <v>0</v>
      </c>
      <c r="AX17" s="131">
        <f>IF(OR(AT17=0,AV17=0),0,((AT17*AV17)-AK17-AM17-AN17-AO17-AP17-T17-V17-X17-Z17-AB17)/(AT17*AV17))</f>
        <v>0</v>
      </c>
      <c r="AY17" s="131">
        <f>IF(K17=0,0,K17/(D17-Y17)/24)</f>
        <v>0</v>
      </c>
      <c r="AZ17" s="131">
        <f t="shared" ref="AY17:AZ22" si="1">IF(L17=0,0,L17/(E17-Z17)/24)</f>
        <v>0</v>
      </c>
      <c r="BA17" s="129">
        <f>ROUND(AT17-E17-AR17,4)</f>
        <v>0</v>
      </c>
      <c r="BB17" s="89"/>
      <c r="BC17"/>
    </row>
    <row r="18" spans="1:55" ht="15" hidden="1" customHeight="1" x14ac:dyDescent="0.25">
      <c r="A18" s="80" t="s">
        <v>23</v>
      </c>
      <c r="B18" s="110">
        <v>22</v>
      </c>
      <c r="C18" s="110">
        <v>22</v>
      </c>
      <c r="D18" s="119">
        <f>AS18*AW18*AU18</f>
        <v>0</v>
      </c>
      <c r="E18" s="17">
        <f>ROUND(AS18*AV18*AX18,4)</f>
        <v>0</v>
      </c>
      <c r="F18" s="81"/>
      <c r="G18" s="81"/>
      <c r="H18" s="82"/>
      <c r="I18" s="82"/>
      <c r="J18" s="83" t="s">
        <v>55</v>
      </c>
      <c r="K18" s="84"/>
      <c r="L18" s="84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>
        <f t="shared" ref="AQ18:AQ61" si="2">M18+O18+S18+U18+W18+AA18+Q18+Y18</f>
        <v>0</v>
      </c>
      <c r="AR18" s="17">
        <f>N18+P18+R18+AC18+AD18+AE18+AF18+AG18+AH18+AI18+AJ18+AK18+AL18+AM18+AN18+AO18+AP18+T18+V18+AB18+X18+Z18</f>
        <v>0</v>
      </c>
      <c r="AS18" s="17">
        <f>AT18</f>
        <v>0</v>
      </c>
      <c r="AT18" s="17"/>
      <c r="AU18" s="18">
        <f t="shared" ref="AU18:AU61" si="3">IF(AT18-AQ18=0,0,(AT18-M18-O18-Q18)/AT18)</f>
        <v>0</v>
      </c>
      <c r="AV18" s="18">
        <f t="shared" ref="AV18:AV61" si="4">IF(AT18=0,0,(AT18-N18-P18-R18-AC18-AD18-AE18-AF18-AG18-AH18-AI18-AJ18-AL18)/AT18)</f>
        <v>0</v>
      </c>
      <c r="AW18" s="18">
        <f t="shared" ref="AW18:AW61" si="5">IF(OR(AT18=0,AU18=0),0,((AT18*AU18)-S18-U18-W18-Y18-AA18)/(AT18*AU18))</f>
        <v>0</v>
      </c>
      <c r="AX18" s="18">
        <f t="shared" ref="AX18:AX61" si="6">IF(OR(AT18=0,AV18=0),0,((AT18*AV18)-AK18-AM18-AN18-AO18-AP18-T18-V18-X18-Z18-AB18)/(AT18*AV18))</f>
        <v>0</v>
      </c>
      <c r="AY18" s="82">
        <f>IF(K18=0,0,K18/(D18-Y18)/24)</f>
        <v>0</v>
      </c>
      <c r="AZ18" s="82">
        <f t="shared" si="1"/>
        <v>0</v>
      </c>
      <c r="BA18" s="85">
        <f>ROUND(AS18-E18-AR18,4)</f>
        <v>0</v>
      </c>
      <c r="BB18" s="86"/>
      <c r="BC18"/>
    </row>
    <row r="19" spans="1:55" ht="15" hidden="1" customHeight="1" x14ac:dyDescent="0.25">
      <c r="A19" s="68" t="s">
        <v>24</v>
      </c>
      <c r="B19" s="111">
        <v>23</v>
      </c>
      <c r="C19" s="111">
        <v>23</v>
      </c>
      <c r="D19" s="119">
        <f t="shared" ref="D19:D23" si="7">AS19*AW19*AU19</f>
        <v>0</v>
      </c>
      <c r="E19" s="17">
        <f t="shared" ref="E19:E22" si="8">ROUND(AS19*AV19*AX19,4)</f>
        <v>0</v>
      </c>
      <c r="F19" s="19"/>
      <c r="G19" s="19"/>
      <c r="H19" s="18"/>
      <c r="I19" s="18"/>
      <c r="J19" s="8" t="s">
        <v>55</v>
      </c>
      <c r="K19" s="20"/>
      <c r="L19" s="20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7">
        <f t="shared" si="2"/>
        <v>0</v>
      </c>
      <c r="AR19" s="15">
        <f>N19+P19+R19+AC19+AD19+AE19+AF19+AG19+AH19+AI19+AJ19+AK19+AL19+AM19+AN19+AO19+AP19+T19+V19+AB19</f>
        <v>0</v>
      </c>
      <c r="AS19" s="17">
        <f t="shared" ref="AS19:AS23" si="9">AT19</f>
        <v>0</v>
      </c>
      <c r="AT19" s="15"/>
      <c r="AU19" s="18">
        <f t="shared" si="3"/>
        <v>0</v>
      </c>
      <c r="AV19" s="18">
        <f t="shared" si="4"/>
        <v>0</v>
      </c>
      <c r="AW19" s="18">
        <f t="shared" si="5"/>
        <v>0</v>
      </c>
      <c r="AX19" s="18">
        <f t="shared" si="6"/>
        <v>0</v>
      </c>
      <c r="AY19" s="18">
        <f t="shared" si="1"/>
        <v>0</v>
      </c>
      <c r="AZ19" s="18">
        <f t="shared" si="1"/>
        <v>0</v>
      </c>
      <c r="BA19" s="74">
        <f>ROUND(AS19-E19-AR19,4)</f>
        <v>0</v>
      </c>
      <c r="BB19" s="75"/>
      <c r="BC19"/>
    </row>
    <row r="20" spans="1:55" ht="15" hidden="1" customHeight="1" x14ac:dyDescent="0.25">
      <c r="A20" s="69" t="s">
        <v>25</v>
      </c>
      <c r="B20" s="112"/>
      <c r="C20" s="112">
        <v>24</v>
      </c>
      <c r="D20" s="119">
        <f t="shared" si="7"/>
        <v>0</v>
      </c>
      <c r="E20" s="17">
        <f t="shared" si="8"/>
        <v>0</v>
      </c>
      <c r="F20" s="19"/>
      <c r="G20" s="19"/>
      <c r="H20" s="18"/>
      <c r="I20" s="18"/>
      <c r="J20" s="8" t="s">
        <v>55</v>
      </c>
      <c r="K20" s="20"/>
      <c r="L20" s="20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7">
        <f t="shared" si="2"/>
        <v>0</v>
      </c>
      <c r="AR20" s="15">
        <f>N20+P20+R20+AC20+AD20+AE20+AF20+AG20+AH20+AI20+AJ20+AK20+AL20+AM20+AN20+AO20+AP20+T20+V20+AB20</f>
        <v>0</v>
      </c>
      <c r="AS20" s="17">
        <f t="shared" si="9"/>
        <v>0</v>
      </c>
      <c r="AT20" s="15"/>
      <c r="AU20" s="18">
        <f t="shared" si="3"/>
        <v>0</v>
      </c>
      <c r="AV20" s="18">
        <f t="shared" si="4"/>
        <v>0</v>
      </c>
      <c r="AW20" s="18">
        <f t="shared" si="5"/>
        <v>0</v>
      </c>
      <c r="AX20" s="18">
        <f t="shared" si="6"/>
        <v>0</v>
      </c>
      <c r="AY20" s="18">
        <f t="shared" si="1"/>
        <v>0</v>
      </c>
      <c r="AZ20" s="18">
        <f t="shared" si="1"/>
        <v>0</v>
      </c>
      <c r="BA20" s="74">
        <f t="shared" ref="BA20:BA22" si="10">ROUND(AS20-E20-AR20,4)</f>
        <v>0</v>
      </c>
      <c r="BB20" s="75"/>
      <c r="BC20"/>
    </row>
    <row r="21" spans="1:55" ht="15" hidden="1" customHeight="1" x14ac:dyDescent="0.25">
      <c r="A21" s="68" t="s">
        <v>26</v>
      </c>
      <c r="B21" s="111"/>
      <c r="C21" s="111">
        <v>24</v>
      </c>
      <c r="D21" s="119">
        <f t="shared" si="7"/>
        <v>0</v>
      </c>
      <c r="E21" s="17">
        <f t="shared" si="8"/>
        <v>0</v>
      </c>
      <c r="F21" s="19"/>
      <c r="G21" s="19"/>
      <c r="H21" s="18"/>
      <c r="I21" s="18"/>
      <c r="J21" s="8" t="s">
        <v>55</v>
      </c>
      <c r="K21" s="20"/>
      <c r="L21" s="20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7">
        <f t="shared" si="2"/>
        <v>0</v>
      </c>
      <c r="AR21" s="15">
        <f>N21+P21+R21+AC21+AD21+AE21+AF21+AG21+AH21+AI21+AJ21+AK21+AL21+AM21+AN21+AO21+AP21+T21+V21+AB21</f>
        <v>0</v>
      </c>
      <c r="AS21" s="17">
        <f>AT21</f>
        <v>0</v>
      </c>
      <c r="AT21" s="15"/>
      <c r="AU21" s="18">
        <f t="shared" si="3"/>
        <v>0</v>
      </c>
      <c r="AV21" s="18">
        <f t="shared" si="4"/>
        <v>0</v>
      </c>
      <c r="AW21" s="18">
        <f t="shared" si="5"/>
        <v>0</v>
      </c>
      <c r="AX21" s="18">
        <f t="shared" si="6"/>
        <v>0</v>
      </c>
      <c r="AY21" s="18">
        <f t="shared" si="1"/>
        <v>0</v>
      </c>
      <c r="AZ21" s="18">
        <f t="shared" si="1"/>
        <v>0</v>
      </c>
      <c r="BA21" s="74">
        <f t="shared" si="10"/>
        <v>0</v>
      </c>
      <c r="BB21" s="75"/>
      <c r="BC21"/>
    </row>
    <row r="22" spans="1:55" ht="15" hidden="1" customHeight="1" x14ac:dyDescent="0.25">
      <c r="A22" s="70" t="s">
        <v>63</v>
      </c>
      <c r="B22" s="113"/>
      <c r="C22" s="113">
        <v>25</v>
      </c>
      <c r="D22" s="119">
        <f t="shared" si="7"/>
        <v>0</v>
      </c>
      <c r="E22" s="17">
        <f t="shared" si="8"/>
        <v>0</v>
      </c>
      <c r="F22" s="19"/>
      <c r="G22" s="19"/>
      <c r="H22" s="18"/>
      <c r="I22" s="18"/>
      <c r="J22" s="8" t="s">
        <v>55</v>
      </c>
      <c r="K22" s="20"/>
      <c r="L22" s="20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7">
        <f t="shared" si="2"/>
        <v>0</v>
      </c>
      <c r="AR22" s="15">
        <f>N22+P22+R22+AC22+AD22+AE22+AF22+AG22+AH22+AI22+AJ22+AK22+AL22+AM22+AN22+AO22+AP22+T22+V22+AB22</f>
        <v>0</v>
      </c>
      <c r="AS22" s="17">
        <f t="shared" si="9"/>
        <v>0</v>
      </c>
      <c r="AT22" s="15"/>
      <c r="AU22" s="18">
        <f t="shared" si="3"/>
        <v>0</v>
      </c>
      <c r="AV22" s="18">
        <f t="shared" si="4"/>
        <v>0</v>
      </c>
      <c r="AW22" s="18">
        <f t="shared" si="5"/>
        <v>0</v>
      </c>
      <c r="AX22" s="18">
        <f t="shared" si="6"/>
        <v>0</v>
      </c>
      <c r="AY22" s="18">
        <f t="shared" si="1"/>
        <v>0</v>
      </c>
      <c r="AZ22" s="18">
        <f t="shared" si="1"/>
        <v>0</v>
      </c>
      <c r="BA22" s="74">
        <f t="shared" si="10"/>
        <v>0</v>
      </c>
      <c r="BB22" s="75"/>
      <c r="BC22"/>
    </row>
    <row r="23" spans="1:55" ht="15" customHeight="1" thickBot="1" x14ac:dyDescent="0.3">
      <c r="A23" s="90" t="s">
        <v>27</v>
      </c>
      <c r="B23" s="123" t="s">
        <v>148</v>
      </c>
      <c r="C23" s="114">
        <v>17</v>
      </c>
      <c r="D23" s="119">
        <f t="shared" si="7"/>
        <v>0</v>
      </c>
      <c r="E23" s="17">
        <f>ROUND(AT23*AV23*AX23,4)</f>
        <v>0</v>
      </c>
      <c r="F23" s="91"/>
      <c r="G23" s="91"/>
      <c r="H23" s="92"/>
      <c r="I23" s="92"/>
      <c r="J23" s="93" t="s">
        <v>55</v>
      </c>
      <c r="K23" s="94"/>
      <c r="L23" s="94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7">
        <f t="shared" si="2"/>
        <v>0</v>
      </c>
      <c r="AR23" s="16">
        <f>N23+P23+R23+AC23+AD23+AE23+AF23+AG23+AH23+AI23+AJ23+AK23+AL23+AM23+AN23+AO23+AP23+T23+V23+X23+Z23+AB23</f>
        <v>0</v>
      </c>
      <c r="AS23" s="17">
        <f t="shared" si="9"/>
        <v>0</v>
      </c>
      <c r="AT23" s="16"/>
      <c r="AU23" s="82">
        <f t="shared" si="3"/>
        <v>0</v>
      </c>
      <c r="AV23" s="82">
        <f t="shared" si="4"/>
        <v>0</v>
      </c>
      <c r="AW23" s="82">
        <f t="shared" si="5"/>
        <v>0</v>
      </c>
      <c r="AX23" s="82">
        <f t="shared" si="6"/>
        <v>0</v>
      </c>
      <c r="AY23" s="92">
        <f>IF(D23=0,0,K23/D23/24)</f>
        <v>0</v>
      </c>
      <c r="AZ23" s="92">
        <f>IF(E23=0,0,L23/E23/24)</f>
        <v>0</v>
      </c>
      <c r="BA23" s="95">
        <f>ROUND(AT23-E23-AR23,4)</f>
        <v>0</v>
      </c>
      <c r="BB23" s="96"/>
      <c r="BC23"/>
    </row>
    <row r="24" spans="1:55" ht="15" customHeight="1" thickBot="1" x14ac:dyDescent="0.3">
      <c r="A24" s="87" t="s">
        <v>80</v>
      </c>
      <c r="B24" s="124"/>
      <c r="C24" s="87"/>
      <c r="D24" s="132">
        <f>AT24*AW24*AU24</f>
        <v>0</v>
      </c>
      <c r="E24" s="129">
        <f>SUM(E26:E27)</f>
        <v>0</v>
      </c>
      <c r="F24" s="129">
        <f>SUM(F25:F41)</f>
        <v>0</v>
      </c>
      <c r="G24" s="129"/>
      <c r="H24" s="131">
        <f>SUM(H25:H41)</f>
        <v>0</v>
      </c>
      <c r="I24" s="131">
        <f>SUM(I25:I41)</f>
        <v>0</v>
      </c>
      <c r="J24" s="88"/>
      <c r="K24" s="130">
        <f>SUM(K25:K41)</f>
        <v>0</v>
      </c>
      <c r="L24" s="130">
        <f>SUM(L25:L41)</f>
        <v>0</v>
      </c>
      <c r="M24" s="129">
        <f>SUM(M25:M41)</f>
        <v>0</v>
      </c>
      <c r="N24" s="129">
        <f t="shared" ref="N24:AO24" si="11">SUM(N25:N41)</f>
        <v>0</v>
      </c>
      <c r="O24" s="129">
        <f t="shared" si="11"/>
        <v>0</v>
      </c>
      <c r="P24" s="129">
        <f t="shared" si="11"/>
        <v>0</v>
      </c>
      <c r="Q24" s="129">
        <f t="shared" si="11"/>
        <v>0</v>
      </c>
      <c r="R24" s="129">
        <f t="shared" si="11"/>
        <v>0</v>
      </c>
      <c r="S24" s="129">
        <f t="shared" si="11"/>
        <v>0</v>
      </c>
      <c r="T24" s="129">
        <f t="shared" si="11"/>
        <v>0</v>
      </c>
      <c r="U24" s="129">
        <f t="shared" si="11"/>
        <v>0</v>
      </c>
      <c r="V24" s="129">
        <f t="shared" si="11"/>
        <v>0</v>
      </c>
      <c r="W24" s="129">
        <f t="shared" si="11"/>
        <v>0</v>
      </c>
      <c r="X24" s="129">
        <f t="shared" si="11"/>
        <v>0</v>
      </c>
      <c r="Y24" s="129">
        <f t="shared" si="11"/>
        <v>0</v>
      </c>
      <c r="Z24" s="129">
        <f t="shared" si="11"/>
        <v>0</v>
      </c>
      <c r="AA24" s="129">
        <f t="shared" si="11"/>
        <v>0</v>
      </c>
      <c r="AB24" s="129">
        <f t="shared" si="11"/>
        <v>0</v>
      </c>
      <c r="AC24" s="129">
        <f t="shared" si="11"/>
        <v>0</v>
      </c>
      <c r="AD24" s="129">
        <f t="shared" si="11"/>
        <v>0</v>
      </c>
      <c r="AE24" s="129">
        <f t="shared" si="11"/>
        <v>0</v>
      </c>
      <c r="AF24" s="129">
        <f t="shared" si="11"/>
        <v>0</v>
      </c>
      <c r="AG24" s="129">
        <f t="shared" si="11"/>
        <v>0</v>
      </c>
      <c r="AH24" s="129">
        <f t="shared" si="11"/>
        <v>0</v>
      </c>
      <c r="AI24" s="129">
        <f t="shared" si="11"/>
        <v>0</v>
      </c>
      <c r="AJ24" s="129">
        <f t="shared" si="11"/>
        <v>0</v>
      </c>
      <c r="AK24" s="129">
        <f t="shared" si="11"/>
        <v>0</v>
      </c>
      <c r="AL24" s="129">
        <f t="shared" si="11"/>
        <v>0</v>
      </c>
      <c r="AM24" s="129">
        <f t="shared" si="11"/>
        <v>0</v>
      </c>
      <c r="AN24" s="129">
        <f t="shared" si="11"/>
        <v>0</v>
      </c>
      <c r="AO24" s="129">
        <f t="shared" si="11"/>
        <v>0</v>
      </c>
      <c r="AP24" s="129">
        <f>SUM(AP25:AP41)</f>
        <v>0</v>
      </c>
      <c r="AQ24" s="129">
        <f t="shared" si="2"/>
        <v>0</v>
      </c>
      <c r="AR24" s="129">
        <f t="shared" ref="AR24:AR61" si="12">N24+P24+R24+AC24+AD24+AE24+AF24+AG24+AH24+AI24+AJ24+AK24+AL24+AM24+AN24+AO24+AP24+T24+V24+X24+Z24+AB24</f>
        <v>0</v>
      </c>
      <c r="AS24" s="129">
        <f>SUM(AS25:AS41)</f>
        <v>0</v>
      </c>
      <c r="AT24" s="129">
        <f>SUM(AT25:AT41)</f>
        <v>0</v>
      </c>
      <c r="AU24" s="131">
        <f t="shared" si="3"/>
        <v>0</v>
      </c>
      <c r="AV24" s="131">
        <f t="shared" si="4"/>
        <v>0</v>
      </c>
      <c r="AW24" s="131">
        <f t="shared" si="5"/>
        <v>0</v>
      </c>
      <c r="AX24" s="131">
        <f t="shared" si="6"/>
        <v>0</v>
      </c>
      <c r="AY24" s="131">
        <f t="shared" ref="AY24:AZ61" si="13">IF(D24=0,0,K24/D24/24)</f>
        <v>0</v>
      </c>
      <c r="AZ24" s="131">
        <f t="shared" si="13"/>
        <v>0</v>
      </c>
      <c r="BA24" s="129">
        <f t="shared" ref="BA24:BA61" si="14">ROUND(AT24-E24-AR24,4)</f>
        <v>0</v>
      </c>
      <c r="BB24" s="99"/>
      <c r="BC24"/>
    </row>
    <row r="25" spans="1:55" ht="15" hidden="1" customHeight="1" x14ac:dyDescent="0.25">
      <c r="A25" s="97" t="s">
        <v>28</v>
      </c>
      <c r="B25" s="115"/>
      <c r="C25" s="115">
        <v>30</v>
      </c>
      <c r="D25" s="121">
        <f>AT25*AU25*AW25</f>
        <v>0</v>
      </c>
      <c r="E25" s="15">
        <f t="shared" ref="E25:E51" si="15">ROUND(AS25*AV25*AX25,4)</f>
        <v>0</v>
      </c>
      <c r="F25" s="81"/>
      <c r="G25" s="81"/>
      <c r="H25" s="82"/>
      <c r="I25" s="82"/>
      <c r="J25" s="98" t="s">
        <v>68</v>
      </c>
      <c r="K25" s="84"/>
      <c r="L25" s="84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>
        <f t="shared" si="2"/>
        <v>0</v>
      </c>
      <c r="AR25" s="16">
        <f t="shared" si="12"/>
        <v>0</v>
      </c>
      <c r="AS25" s="17"/>
      <c r="AT25" s="17"/>
      <c r="AU25" s="92">
        <f t="shared" si="3"/>
        <v>0</v>
      </c>
      <c r="AV25" s="92">
        <f t="shared" si="4"/>
        <v>0</v>
      </c>
      <c r="AW25" s="92">
        <f t="shared" si="5"/>
        <v>0</v>
      </c>
      <c r="AX25" s="92">
        <f t="shared" si="6"/>
        <v>0</v>
      </c>
      <c r="AY25" s="92">
        <f t="shared" si="13"/>
        <v>0</v>
      </c>
      <c r="AZ25" s="92">
        <f t="shared" si="13"/>
        <v>0</v>
      </c>
      <c r="BA25" s="95">
        <f t="shared" si="14"/>
        <v>0</v>
      </c>
      <c r="BB25" s="86"/>
      <c r="BC25"/>
    </row>
    <row r="26" spans="1:55" ht="15" customHeight="1" x14ac:dyDescent="0.25">
      <c r="A26" s="71" t="s">
        <v>29</v>
      </c>
      <c r="B26" s="123" t="s">
        <v>137</v>
      </c>
      <c r="C26" s="112">
        <v>32</v>
      </c>
      <c r="D26" s="121">
        <f>AT26*AU26*AW26</f>
        <v>0</v>
      </c>
      <c r="E26" s="15">
        <f>ROUND(AT26*AV26*AX26,4)</f>
        <v>0</v>
      </c>
      <c r="F26" s="19"/>
      <c r="G26" s="19"/>
      <c r="H26" s="18"/>
      <c r="I26" s="18"/>
      <c r="J26" s="9" t="s">
        <v>68</v>
      </c>
      <c r="K26" s="20"/>
      <c r="L26" s="20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7">
        <f t="shared" si="2"/>
        <v>0</v>
      </c>
      <c r="AR26" s="16">
        <f t="shared" si="12"/>
        <v>0</v>
      </c>
      <c r="AS26" s="16"/>
      <c r="AT26" s="16"/>
      <c r="AU26" s="92">
        <f t="shared" si="3"/>
        <v>0</v>
      </c>
      <c r="AV26" s="92">
        <f t="shared" si="4"/>
        <v>0</v>
      </c>
      <c r="AW26" s="92">
        <f t="shared" si="5"/>
        <v>0</v>
      </c>
      <c r="AX26" s="92">
        <f t="shared" si="6"/>
        <v>0</v>
      </c>
      <c r="AY26" s="92">
        <f t="shared" si="13"/>
        <v>0</v>
      </c>
      <c r="AZ26" s="92">
        <f t="shared" si="13"/>
        <v>0</v>
      </c>
      <c r="BA26" s="95">
        <f t="shared" si="14"/>
        <v>0</v>
      </c>
      <c r="BB26" s="75"/>
      <c r="BC26"/>
    </row>
    <row r="27" spans="1:55" ht="15" customHeight="1" thickBot="1" x14ac:dyDescent="0.3">
      <c r="A27" s="71" t="s">
        <v>30</v>
      </c>
      <c r="B27" s="123" t="s">
        <v>138</v>
      </c>
      <c r="C27" s="112">
        <v>35</v>
      </c>
      <c r="D27" s="121">
        <f>AT27*AU27*AW27</f>
        <v>0</v>
      </c>
      <c r="E27" s="15">
        <f>ROUND(AT27*AV27*AX27,4)</f>
        <v>0</v>
      </c>
      <c r="F27" s="19"/>
      <c r="G27" s="19"/>
      <c r="H27" s="18"/>
      <c r="I27" s="18"/>
      <c r="J27" s="9" t="s">
        <v>68</v>
      </c>
      <c r="K27" s="20"/>
      <c r="L27" s="20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7">
        <f t="shared" si="2"/>
        <v>0</v>
      </c>
      <c r="AR27" s="16">
        <f t="shared" si="12"/>
        <v>0</v>
      </c>
      <c r="AS27" s="16"/>
      <c r="AT27" s="16"/>
      <c r="AU27" s="92">
        <f t="shared" si="3"/>
        <v>0</v>
      </c>
      <c r="AV27" s="92">
        <f t="shared" si="4"/>
        <v>0</v>
      </c>
      <c r="AW27" s="92">
        <f t="shared" si="5"/>
        <v>0</v>
      </c>
      <c r="AX27" s="92">
        <f t="shared" si="6"/>
        <v>0</v>
      </c>
      <c r="AY27" s="92">
        <f t="shared" si="13"/>
        <v>0</v>
      </c>
      <c r="AZ27" s="92">
        <f t="shared" si="13"/>
        <v>0</v>
      </c>
      <c r="BA27" s="95">
        <f t="shared" si="14"/>
        <v>0</v>
      </c>
      <c r="BB27" s="75"/>
      <c r="BC27"/>
    </row>
    <row r="28" spans="1:55" ht="15" hidden="1" customHeight="1" x14ac:dyDescent="0.3">
      <c r="A28" s="72" t="s">
        <v>31</v>
      </c>
      <c r="B28" s="111"/>
      <c r="C28" s="111">
        <v>39</v>
      </c>
      <c r="D28" s="121">
        <f t="shared" ref="D28:D41" si="16">AT28*AU28*AW28</f>
        <v>0</v>
      </c>
      <c r="E28" s="15">
        <f t="shared" si="15"/>
        <v>0</v>
      </c>
      <c r="F28" s="19"/>
      <c r="G28" s="19"/>
      <c r="H28" s="18"/>
      <c r="I28" s="18"/>
      <c r="J28" s="9" t="s">
        <v>68</v>
      </c>
      <c r="K28" s="20"/>
      <c r="L28" s="20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7">
        <f t="shared" si="2"/>
        <v>0</v>
      </c>
      <c r="AR28" s="16">
        <f t="shared" si="12"/>
        <v>0</v>
      </c>
      <c r="AS28" s="15"/>
      <c r="AT28" s="15"/>
      <c r="AU28" s="92">
        <f t="shared" si="3"/>
        <v>0</v>
      </c>
      <c r="AV28" s="92">
        <f t="shared" si="4"/>
        <v>0</v>
      </c>
      <c r="AW28" s="92">
        <f t="shared" si="5"/>
        <v>0</v>
      </c>
      <c r="AX28" s="92">
        <f t="shared" si="6"/>
        <v>0</v>
      </c>
      <c r="AY28" s="92">
        <f t="shared" si="13"/>
        <v>0</v>
      </c>
      <c r="AZ28" s="92">
        <f t="shared" si="13"/>
        <v>0</v>
      </c>
      <c r="BA28" s="95">
        <f t="shared" si="14"/>
        <v>0</v>
      </c>
      <c r="BB28" s="75"/>
      <c r="BC28"/>
    </row>
    <row r="29" spans="1:55" ht="15" hidden="1" customHeight="1" x14ac:dyDescent="0.3">
      <c r="A29" s="72" t="s">
        <v>32</v>
      </c>
      <c r="B29" s="111"/>
      <c r="C29" s="111">
        <v>40</v>
      </c>
      <c r="D29" s="121">
        <f t="shared" si="16"/>
        <v>0</v>
      </c>
      <c r="E29" s="15">
        <f t="shared" si="15"/>
        <v>0</v>
      </c>
      <c r="F29" s="19"/>
      <c r="G29" s="19"/>
      <c r="H29" s="18"/>
      <c r="I29" s="18"/>
      <c r="J29" s="9" t="s">
        <v>68</v>
      </c>
      <c r="K29" s="20"/>
      <c r="L29" s="20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7">
        <f t="shared" si="2"/>
        <v>0</v>
      </c>
      <c r="AR29" s="16">
        <f t="shared" si="12"/>
        <v>0</v>
      </c>
      <c r="AS29" s="15"/>
      <c r="AT29" s="15"/>
      <c r="AU29" s="92">
        <f t="shared" si="3"/>
        <v>0</v>
      </c>
      <c r="AV29" s="92">
        <f t="shared" si="4"/>
        <v>0</v>
      </c>
      <c r="AW29" s="92">
        <f t="shared" si="5"/>
        <v>0</v>
      </c>
      <c r="AX29" s="92">
        <f t="shared" si="6"/>
        <v>0</v>
      </c>
      <c r="AY29" s="92">
        <f t="shared" si="13"/>
        <v>0</v>
      </c>
      <c r="AZ29" s="92">
        <f t="shared" si="13"/>
        <v>0</v>
      </c>
      <c r="BA29" s="95">
        <f t="shared" si="14"/>
        <v>0</v>
      </c>
      <c r="BB29" s="75"/>
      <c r="BC29"/>
    </row>
    <row r="30" spans="1:55" ht="15" hidden="1" customHeight="1" x14ac:dyDescent="0.3">
      <c r="A30" s="72" t="s">
        <v>33</v>
      </c>
      <c r="B30" s="111"/>
      <c r="C30" s="111">
        <v>41</v>
      </c>
      <c r="D30" s="121">
        <f t="shared" si="16"/>
        <v>0</v>
      </c>
      <c r="E30" s="15">
        <f t="shared" si="15"/>
        <v>0</v>
      </c>
      <c r="F30" s="19"/>
      <c r="G30" s="19"/>
      <c r="H30" s="18"/>
      <c r="I30" s="18"/>
      <c r="J30" s="9" t="s">
        <v>68</v>
      </c>
      <c r="K30" s="20"/>
      <c r="L30" s="20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7">
        <f t="shared" si="2"/>
        <v>0</v>
      </c>
      <c r="AR30" s="16">
        <f t="shared" si="12"/>
        <v>0</v>
      </c>
      <c r="AS30" s="15"/>
      <c r="AT30" s="15"/>
      <c r="AU30" s="92">
        <f t="shared" si="3"/>
        <v>0</v>
      </c>
      <c r="AV30" s="92">
        <f t="shared" si="4"/>
        <v>0</v>
      </c>
      <c r="AW30" s="92">
        <f t="shared" si="5"/>
        <v>0</v>
      </c>
      <c r="AX30" s="92">
        <f t="shared" si="6"/>
        <v>0</v>
      </c>
      <c r="AY30" s="92">
        <f t="shared" si="13"/>
        <v>0</v>
      </c>
      <c r="AZ30" s="92">
        <f t="shared" si="13"/>
        <v>0</v>
      </c>
      <c r="BA30" s="95">
        <f t="shared" si="14"/>
        <v>0</v>
      </c>
      <c r="BB30" s="75"/>
      <c r="BC30"/>
    </row>
    <row r="31" spans="1:55" ht="15" hidden="1" customHeight="1" x14ac:dyDescent="0.3">
      <c r="A31" s="72" t="s">
        <v>34</v>
      </c>
      <c r="B31" s="111"/>
      <c r="C31" s="111">
        <v>42</v>
      </c>
      <c r="D31" s="121">
        <f t="shared" si="16"/>
        <v>0</v>
      </c>
      <c r="E31" s="15">
        <f t="shared" si="15"/>
        <v>0</v>
      </c>
      <c r="F31" s="19"/>
      <c r="G31" s="19"/>
      <c r="H31" s="18"/>
      <c r="I31" s="18"/>
      <c r="J31" s="9" t="s">
        <v>68</v>
      </c>
      <c r="K31" s="20"/>
      <c r="L31" s="20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7">
        <f t="shared" si="2"/>
        <v>0</v>
      </c>
      <c r="AR31" s="16">
        <f t="shared" si="12"/>
        <v>0</v>
      </c>
      <c r="AS31" s="15"/>
      <c r="AT31" s="15"/>
      <c r="AU31" s="92">
        <f t="shared" si="3"/>
        <v>0</v>
      </c>
      <c r="AV31" s="92">
        <f t="shared" si="4"/>
        <v>0</v>
      </c>
      <c r="AW31" s="92">
        <f t="shared" si="5"/>
        <v>0</v>
      </c>
      <c r="AX31" s="92">
        <f t="shared" si="6"/>
        <v>0</v>
      </c>
      <c r="AY31" s="92">
        <f t="shared" si="13"/>
        <v>0</v>
      </c>
      <c r="AZ31" s="92">
        <f t="shared" si="13"/>
        <v>0</v>
      </c>
      <c r="BA31" s="95">
        <f t="shared" si="14"/>
        <v>0</v>
      </c>
      <c r="BB31" s="75"/>
      <c r="BC31"/>
    </row>
    <row r="32" spans="1:55" ht="15" hidden="1" customHeight="1" x14ac:dyDescent="0.3">
      <c r="A32" s="72" t="s">
        <v>35</v>
      </c>
      <c r="B32" s="111"/>
      <c r="C32" s="111">
        <v>43</v>
      </c>
      <c r="D32" s="121">
        <f t="shared" si="16"/>
        <v>0</v>
      </c>
      <c r="E32" s="15">
        <f t="shared" si="15"/>
        <v>0</v>
      </c>
      <c r="F32" s="19"/>
      <c r="G32" s="19"/>
      <c r="H32" s="18"/>
      <c r="I32" s="18"/>
      <c r="J32" s="9" t="s">
        <v>68</v>
      </c>
      <c r="K32" s="20"/>
      <c r="L32" s="20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7">
        <f t="shared" si="2"/>
        <v>0</v>
      </c>
      <c r="AR32" s="16">
        <f t="shared" si="12"/>
        <v>0</v>
      </c>
      <c r="AS32" s="15"/>
      <c r="AT32" s="15"/>
      <c r="AU32" s="92">
        <f t="shared" si="3"/>
        <v>0</v>
      </c>
      <c r="AV32" s="92">
        <f t="shared" si="4"/>
        <v>0</v>
      </c>
      <c r="AW32" s="92">
        <f t="shared" si="5"/>
        <v>0</v>
      </c>
      <c r="AX32" s="92">
        <f t="shared" si="6"/>
        <v>0</v>
      </c>
      <c r="AY32" s="92">
        <f t="shared" si="13"/>
        <v>0</v>
      </c>
      <c r="AZ32" s="92">
        <f t="shared" si="13"/>
        <v>0</v>
      </c>
      <c r="BA32" s="95">
        <f t="shared" si="14"/>
        <v>0</v>
      </c>
      <c r="BB32" s="75"/>
      <c r="BC32"/>
    </row>
    <row r="33" spans="1:55" ht="15" hidden="1" customHeight="1" x14ac:dyDescent="0.3">
      <c r="A33" s="72" t="s">
        <v>36</v>
      </c>
      <c r="B33" s="111"/>
      <c r="C33" s="111">
        <v>44</v>
      </c>
      <c r="D33" s="121">
        <f t="shared" si="16"/>
        <v>0</v>
      </c>
      <c r="E33" s="15">
        <f t="shared" si="15"/>
        <v>0</v>
      </c>
      <c r="F33" s="19"/>
      <c r="G33" s="19"/>
      <c r="H33" s="18"/>
      <c r="I33" s="18"/>
      <c r="J33" s="9" t="s">
        <v>68</v>
      </c>
      <c r="K33" s="20"/>
      <c r="L33" s="20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7">
        <f t="shared" si="2"/>
        <v>0</v>
      </c>
      <c r="AR33" s="16">
        <f t="shared" si="12"/>
        <v>0</v>
      </c>
      <c r="AS33" s="15"/>
      <c r="AT33" s="15"/>
      <c r="AU33" s="92">
        <f t="shared" si="3"/>
        <v>0</v>
      </c>
      <c r="AV33" s="92">
        <f t="shared" si="4"/>
        <v>0</v>
      </c>
      <c r="AW33" s="92">
        <f t="shared" si="5"/>
        <v>0</v>
      </c>
      <c r="AX33" s="92">
        <f t="shared" si="6"/>
        <v>0</v>
      </c>
      <c r="AY33" s="92">
        <f t="shared" si="13"/>
        <v>0</v>
      </c>
      <c r="AZ33" s="92">
        <f t="shared" si="13"/>
        <v>0</v>
      </c>
      <c r="BA33" s="95">
        <f t="shared" si="14"/>
        <v>0</v>
      </c>
      <c r="BB33" s="75"/>
      <c r="BC33"/>
    </row>
    <row r="34" spans="1:55" ht="15" hidden="1" customHeight="1" x14ac:dyDescent="0.3">
      <c r="A34" s="72" t="s">
        <v>37</v>
      </c>
      <c r="B34" s="111"/>
      <c r="C34" s="111">
        <v>45</v>
      </c>
      <c r="D34" s="121">
        <f t="shared" si="16"/>
        <v>0</v>
      </c>
      <c r="E34" s="15">
        <f t="shared" si="15"/>
        <v>0</v>
      </c>
      <c r="F34" s="19"/>
      <c r="G34" s="19"/>
      <c r="H34" s="18"/>
      <c r="I34" s="18"/>
      <c r="J34" s="9" t="s">
        <v>68</v>
      </c>
      <c r="K34" s="20"/>
      <c r="L34" s="20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7">
        <f t="shared" si="2"/>
        <v>0</v>
      </c>
      <c r="AR34" s="16">
        <f t="shared" si="12"/>
        <v>0</v>
      </c>
      <c r="AS34" s="15"/>
      <c r="AT34" s="15"/>
      <c r="AU34" s="92">
        <f t="shared" si="3"/>
        <v>0</v>
      </c>
      <c r="AV34" s="92">
        <f t="shared" si="4"/>
        <v>0</v>
      </c>
      <c r="AW34" s="92">
        <f t="shared" si="5"/>
        <v>0</v>
      </c>
      <c r="AX34" s="92">
        <f t="shared" si="6"/>
        <v>0</v>
      </c>
      <c r="AY34" s="92">
        <f t="shared" si="13"/>
        <v>0</v>
      </c>
      <c r="AZ34" s="92">
        <f t="shared" si="13"/>
        <v>0</v>
      </c>
      <c r="BA34" s="95">
        <f t="shared" si="14"/>
        <v>0</v>
      </c>
      <c r="BB34" s="75"/>
      <c r="BC34"/>
    </row>
    <row r="35" spans="1:55" ht="15" hidden="1" customHeight="1" x14ac:dyDescent="0.3">
      <c r="A35" s="72" t="s">
        <v>38</v>
      </c>
      <c r="B35" s="111"/>
      <c r="C35" s="111">
        <v>46</v>
      </c>
      <c r="D35" s="121">
        <f t="shared" si="16"/>
        <v>0</v>
      </c>
      <c r="E35" s="15">
        <f t="shared" si="15"/>
        <v>0</v>
      </c>
      <c r="F35" s="19"/>
      <c r="G35" s="19"/>
      <c r="H35" s="18"/>
      <c r="I35" s="18"/>
      <c r="J35" s="9" t="s">
        <v>68</v>
      </c>
      <c r="K35" s="20"/>
      <c r="L35" s="20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7">
        <f t="shared" si="2"/>
        <v>0</v>
      </c>
      <c r="AR35" s="16">
        <f t="shared" si="12"/>
        <v>0</v>
      </c>
      <c r="AS35" s="15"/>
      <c r="AT35" s="15"/>
      <c r="AU35" s="92">
        <f t="shared" si="3"/>
        <v>0</v>
      </c>
      <c r="AV35" s="92">
        <f t="shared" si="4"/>
        <v>0</v>
      </c>
      <c r="AW35" s="92">
        <f t="shared" si="5"/>
        <v>0</v>
      </c>
      <c r="AX35" s="92">
        <f t="shared" si="6"/>
        <v>0</v>
      </c>
      <c r="AY35" s="92">
        <f t="shared" si="13"/>
        <v>0</v>
      </c>
      <c r="AZ35" s="92">
        <f t="shared" si="13"/>
        <v>0</v>
      </c>
      <c r="BA35" s="95">
        <f t="shared" si="14"/>
        <v>0</v>
      </c>
      <c r="BB35" s="75"/>
      <c r="BC35"/>
    </row>
    <row r="36" spans="1:55" ht="15" hidden="1" customHeight="1" x14ac:dyDescent="0.3">
      <c r="A36" s="72" t="s">
        <v>39</v>
      </c>
      <c r="B36" s="111"/>
      <c r="C36" s="111">
        <v>47</v>
      </c>
      <c r="D36" s="121">
        <f t="shared" si="16"/>
        <v>0</v>
      </c>
      <c r="E36" s="15">
        <f t="shared" si="15"/>
        <v>0</v>
      </c>
      <c r="F36" s="19"/>
      <c r="G36" s="19"/>
      <c r="H36" s="18"/>
      <c r="I36" s="18"/>
      <c r="J36" s="9" t="s">
        <v>68</v>
      </c>
      <c r="K36" s="20"/>
      <c r="L36" s="20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7">
        <f t="shared" si="2"/>
        <v>0</v>
      </c>
      <c r="AR36" s="16">
        <f t="shared" si="12"/>
        <v>0</v>
      </c>
      <c r="AS36" s="15"/>
      <c r="AT36" s="15"/>
      <c r="AU36" s="92">
        <f t="shared" si="3"/>
        <v>0</v>
      </c>
      <c r="AV36" s="92">
        <f t="shared" si="4"/>
        <v>0</v>
      </c>
      <c r="AW36" s="92">
        <f t="shared" si="5"/>
        <v>0</v>
      </c>
      <c r="AX36" s="92">
        <f t="shared" si="6"/>
        <v>0</v>
      </c>
      <c r="AY36" s="92">
        <f t="shared" si="13"/>
        <v>0</v>
      </c>
      <c r="AZ36" s="92">
        <f t="shared" si="13"/>
        <v>0</v>
      </c>
      <c r="BA36" s="95">
        <f t="shared" si="14"/>
        <v>0</v>
      </c>
      <c r="BB36" s="75"/>
      <c r="BC36"/>
    </row>
    <row r="37" spans="1:55" ht="15" hidden="1" customHeight="1" x14ac:dyDescent="0.3">
      <c r="A37" s="72" t="s">
        <v>40</v>
      </c>
      <c r="B37" s="111"/>
      <c r="C37" s="111">
        <v>48</v>
      </c>
      <c r="D37" s="121">
        <f t="shared" si="16"/>
        <v>0</v>
      </c>
      <c r="E37" s="15">
        <f t="shared" si="15"/>
        <v>0</v>
      </c>
      <c r="F37" s="19"/>
      <c r="G37" s="19"/>
      <c r="H37" s="18"/>
      <c r="I37" s="18"/>
      <c r="J37" s="9" t="s">
        <v>68</v>
      </c>
      <c r="K37" s="20"/>
      <c r="L37" s="20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7">
        <f t="shared" si="2"/>
        <v>0</v>
      </c>
      <c r="AR37" s="16">
        <f t="shared" si="12"/>
        <v>0</v>
      </c>
      <c r="AS37" s="15"/>
      <c r="AT37" s="15"/>
      <c r="AU37" s="92">
        <f t="shared" si="3"/>
        <v>0</v>
      </c>
      <c r="AV37" s="92">
        <f t="shared" si="4"/>
        <v>0</v>
      </c>
      <c r="AW37" s="92">
        <f t="shared" si="5"/>
        <v>0</v>
      </c>
      <c r="AX37" s="92">
        <f t="shared" si="6"/>
        <v>0</v>
      </c>
      <c r="AY37" s="92">
        <f t="shared" si="13"/>
        <v>0</v>
      </c>
      <c r="AZ37" s="92">
        <f t="shared" si="13"/>
        <v>0</v>
      </c>
      <c r="BA37" s="95">
        <f t="shared" si="14"/>
        <v>0</v>
      </c>
      <c r="BB37" s="75"/>
      <c r="BC37"/>
    </row>
    <row r="38" spans="1:55" ht="15" hidden="1" customHeight="1" x14ac:dyDescent="0.3">
      <c r="A38" s="72" t="s">
        <v>41</v>
      </c>
      <c r="B38" s="111"/>
      <c r="C38" s="111">
        <v>49</v>
      </c>
      <c r="D38" s="121">
        <f t="shared" si="16"/>
        <v>0</v>
      </c>
      <c r="E38" s="15">
        <f t="shared" si="15"/>
        <v>0</v>
      </c>
      <c r="F38" s="19"/>
      <c r="G38" s="19"/>
      <c r="H38" s="18"/>
      <c r="I38" s="18"/>
      <c r="J38" s="9" t="s">
        <v>68</v>
      </c>
      <c r="K38" s="20"/>
      <c r="L38" s="20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7">
        <f t="shared" si="2"/>
        <v>0</v>
      </c>
      <c r="AR38" s="16">
        <f t="shared" si="12"/>
        <v>0</v>
      </c>
      <c r="AS38" s="15"/>
      <c r="AT38" s="15"/>
      <c r="AU38" s="92">
        <f t="shared" si="3"/>
        <v>0</v>
      </c>
      <c r="AV38" s="92">
        <f t="shared" si="4"/>
        <v>0</v>
      </c>
      <c r="AW38" s="92">
        <f t="shared" si="5"/>
        <v>0</v>
      </c>
      <c r="AX38" s="92">
        <f t="shared" si="6"/>
        <v>0</v>
      </c>
      <c r="AY38" s="92">
        <f t="shared" si="13"/>
        <v>0</v>
      </c>
      <c r="AZ38" s="92">
        <f t="shared" si="13"/>
        <v>0</v>
      </c>
      <c r="BA38" s="95">
        <f t="shared" si="14"/>
        <v>0</v>
      </c>
      <c r="BB38" s="75"/>
      <c r="BC38"/>
    </row>
    <row r="39" spans="1:55" ht="15" hidden="1" customHeight="1" x14ac:dyDescent="0.3">
      <c r="A39" s="72" t="s">
        <v>42</v>
      </c>
      <c r="B39" s="111"/>
      <c r="C39" s="111">
        <v>50</v>
      </c>
      <c r="D39" s="121">
        <f t="shared" si="16"/>
        <v>0</v>
      </c>
      <c r="E39" s="15">
        <f t="shared" si="15"/>
        <v>0</v>
      </c>
      <c r="F39" s="19"/>
      <c r="G39" s="19"/>
      <c r="H39" s="18"/>
      <c r="I39" s="18"/>
      <c r="J39" s="9" t="s">
        <v>68</v>
      </c>
      <c r="K39" s="20"/>
      <c r="L39" s="20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7">
        <f t="shared" si="2"/>
        <v>0</v>
      </c>
      <c r="AR39" s="16">
        <f t="shared" si="12"/>
        <v>0</v>
      </c>
      <c r="AS39" s="15"/>
      <c r="AT39" s="15"/>
      <c r="AU39" s="92">
        <f t="shared" si="3"/>
        <v>0</v>
      </c>
      <c r="AV39" s="92">
        <f t="shared" si="4"/>
        <v>0</v>
      </c>
      <c r="AW39" s="92">
        <f t="shared" si="5"/>
        <v>0</v>
      </c>
      <c r="AX39" s="92">
        <f t="shared" si="6"/>
        <v>0</v>
      </c>
      <c r="AY39" s="92">
        <f t="shared" si="13"/>
        <v>0</v>
      </c>
      <c r="AZ39" s="92">
        <f t="shared" si="13"/>
        <v>0</v>
      </c>
      <c r="BA39" s="95">
        <f t="shared" si="14"/>
        <v>0</v>
      </c>
      <c r="BB39" s="75"/>
      <c r="BC39"/>
    </row>
    <row r="40" spans="1:55" ht="15" hidden="1" customHeight="1" x14ac:dyDescent="0.3">
      <c r="A40" s="72" t="s">
        <v>43</v>
      </c>
      <c r="B40" s="111"/>
      <c r="C40" s="111">
        <v>51</v>
      </c>
      <c r="D40" s="121">
        <f t="shared" si="16"/>
        <v>0</v>
      </c>
      <c r="E40" s="15">
        <f t="shared" si="15"/>
        <v>0</v>
      </c>
      <c r="F40" s="19"/>
      <c r="G40" s="19"/>
      <c r="H40" s="18"/>
      <c r="I40" s="18"/>
      <c r="J40" s="9" t="s">
        <v>68</v>
      </c>
      <c r="K40" s="20"/>
      <c r="L40" s="20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7">
        <f t="shared" si="2"/>
        <v>0</v>
      </c>
      <c r="AR40" s="16">
        <f t="shared" si="12"/>
        <v>0</v>
      </c>
      <c r="AS40" s="15"/>
      <c r="AT40" s="15"/>
      <c r="AU40" s="92">
        <f t="shared" si="3"/>
        <v>0</v>
      </c>
      <c r="AV40" s="92">
        <f t="shared" si="4"/>
        <v>0</v>
      </c>
      <c r="AW40" s="92">
        <f t="shared" si="5"/>
        <v>0</v>
      </c>
      <c r="AX40" s="92">
        <f t="shared" si="6"/>
        <v>0</v>
      </c>
      <c r="AY40" s="92">
        <f t="shared" si="13"/>
        <v>0</v>
      </c>
      <c r="AZ40" s="92">
        <f t="shared" si="13"/>
        <v>0</v>
      </c>
      <c r="BA40" s="95">
        <f t="shared" si="14"/>
        <v>0</v>
      </c>
      <c r="BB40" s="75"/>
      <c r="BC40"/>
    </row>
    <row r="41" spans="1:55" ht="15" hidden="1" customHeight="1" thickBot="1" x14ac:dyDescent="0.3">
      <c r="A41" s="100" t="s">
        <v>44</v>
      </c>
      <c r="B41" s="116"/>
      <c r="C41" s="116">
        <v>52</v>
      </c>
      <c r="D41" s="121">
        <f t="shared" si="16"/>
        <v>0</v>
      </c>
      <c r="E41" s="15">
        <f t="shared" si="15"/>
        <v>0</v>
      </c>
      <c r="F41" s="91"/>
      <c r="G41" s="91"/>
      <c r="H41" s="92"/>
      <c r="I41" s="92"/>
      <c r="J41" s="101" t="s">
        <v>68</v>
      </c>
      <c r="K41" s="94"/>
      <c r="L41" s="94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7">
        <f t="shared" si="2"/>
        <v>0</v>
      </c>
      <c r="AR41" s="16">
        <f t="shared" si="12"/>
        <v>0</v>
      </c>
      <c r="AS41" s="16"/>
      <c r="AT41" s="16"/>
      <c r="AU41" s="92">
        <f t="shared" si="3"/>
        <v>0</v>
      </c>
      <c r="AV41" s="92">
        <f t="shared" si="4"/>
        <v>0</v>
      </c>
      <c r="AW41" s="92">
        <f t="shared" si="5"/>
        <v>0</v>
      </c>
      <c r="AX41" s="92">
        <f t="shared" si="6"/>
        <v>0</v>
      </c>
      <c r="AY41" s="92">
        <f t="shared" si="13"/>
        <v>0</v>
      </c>
      <c r="AZ41" s="92">
        <f t="shared" si="13"/>
        <v>0</v>
      </c>
      <c r="BA41" s="95">
        <f t="shared" si="14"/>
        <v>0</v>
      </c>
      <c r="BB41" s="96"/>
      <c r="BC41"/>
    </row>
    <row r="42" spans="1:55" ht="15" customHeight="1" thickBot="1" x14ac:dyDescent="0.3">
      <c r="A42" s="102" t="s">
        <v>81</v>
      </c>
      <c r="B42" s="124"/>
      <c r="C42" s="87"/>
      <c r="D42" s="132">
        <f>SUM(D43:D45)</f>
        <v>0</v>
      </c>
      <c r="E42" s="129">
        <f>SUM(E43:E45)</f>
        <v>0</v>
      </c>
      <c r="F42" s="129">
        <f>SUM(F43:F45)</f>
        <v>0</v>
      </c>
      <c r="G42" s="129"/>
      <c r="H42" s="131">
        <f>SUM(H43:H45)</f>
        <v>0</v>
      </c>
      <c r="I42" s="131">
        <f>SUM(I43:I45)</f>
        <v>0</v>
      </c>
      <c r="J42" s="88"/>
      <c r="K42" s="130"/>
      <c r="L42" s="130"/>
      <c r="M42" s="129">
        <f>SUM(M43:M45)</f>
        <v>0</v>
      </c>
      <c r="N42" s="129">
        <f t="shared" ref="N42:AP42" si="17">SUM(N43:N45)</f>
        <v>0</v>
      </c>
      <c r="O42" s="129">
        <f t="shared" si="17"/>
        <v>0</v>
      </c>
      <c r="P42" s="129">
        <f t="shared" si="17"/>
        <v>0</v>
      </c>
      <c r="Q42" s="129">
        <f t="shared" si="17"/>
        <v>0</v>
      </c>
      <c r="R42" s="129">
        <f t="shared" si="17"/>
        <v>0</v>
      </c>
      <c r="S42" s="129">
        <f t="shared" si="17"/>
        <v>0</v>
      </c>
      <c r="T42" s="129">
        <f t="shared" si="17"/>
        <v>0</v>
      </c>
      <c r="U42" s="129">
        <f t="shared" si="17"/>
        <v>0</v>
      </c>
      <c r="V42" s="129">
        <f t="shared" si="17"/>
        <v>0</v>
      </c>
      <c r="W42" s="129">
        <f t="shared" si="17"/>
        <v>0</v>
      </c>
      <c r="X42" s="129">
        <f t="shared" si="17"/>
        <v>0</v>
      </c>
      <c r="Y42" s="129">
        <f t="shared" si="17"/>
        <v>0</v>
      </c>
      <c r="Z42" s="129">
        <f t="shared" si="17"/>
        <v>0</v>
      </c>
      <c r="AA42" s="129">
        <f t="shared" si="17"/>
        <v>0</v>
      </c>
      <c r="AB42" s="129">
        <f t="shared" si="17"/>
        <v>0</v>
      </c>
      <c r="AC42" s="129">
        <f t="shared" si="17"/>
        <v>0</v>
      </c>
      <c r="AD42" s="129">
        <f t="shared" si="17"/>
        <v>0</v>
      </c>
      <c r="AE42" s="129">
        <f t="shared" si="17"/>
        <v>0</v>
      </c>
      <c r="AF42" s="129">
        <f t="shared" si="17"/>
        <v>0</v>
      </c>
      <c r="AG42" s="129">
        <f t="shared" si="17"/>
        <v>0</v>
      </c>
      <c r="AH42" s="129">
        <f t="shared" si="17"/>
        <v>0</v>
      </c>
      <c r="AI42" s="129">
        <f t="shared" si="17"/>
        <v>0</v>
      </c>
      <c r="AJ42" s="129">
        <f t="shared" si="17"/>
        <v>0</v>
      </c>
      <c r="AK42" s="129">
        <f t="shared" si="17"/>
        <v>0</v>
      </c>
      <c r="AL42" s="129">
        <f t="shared" si="17"/>
        <v>0</v>
      </c>
      <c r="AM42" s="129">
        <f t="shared" si="17"/>
        <v>0</v>
      </c>
      <c r="AN42" s="129">
        <f t="shared" si="17"/>
        <v>0</v>
      </c>
      <c r="AO42" s="129">
        <f t="shared" si="17"/>
        <v>0</v>
      </c>
      <c r="AP42" s="129">
        <f t="shared" si="17"/>
        <v>0</v>
      </c>
      <c r="AQ42" s="129">
        <f t="shared" si="2"/>
        <v>0</v>
      </c>
      <c r="AR42" s="129">
        <f t="shared" si="12"/>
        <v>0</v>
      </c>
      <c r="AS42" s="129"/>
      <c r="AT42" s="129">
        <f>SUM(AT43:AT45)</f>
        <v>0</v>
      </c>
      <c r="AU42" s="131">
        <f t="shared" si="3"/>
        <v>0</v>
      </c>
      <c r="AV42" s="131">
        <f t="shared" si="4"/>
        <v>0</v>
      </c>
      <c r="AW42" s="131">
        <f t="shared" si="5"/>
        <v>0</v>
      </c>
      <c r="AX42" s="131">
        <f t="shared" si="6"/>
        <v>0</v>
      </c>
      <c r="AY42" s="131">
        <f t="shared" si="13"/>
        <v>0</v>
      </c>
      <c r="AZ42" s="131">
        <f t="shared" si="13"/>
        <v>0</v>
      </c>
      <c r="BA42" s="129">
        <f t="shared" si="14"/>
        <v>0</v>
      </c>
      <c r="BB42" s="99"/>
      <c r="BC42"/>
    </row>
    <row r="43" spans="1:55" ht="15" customHeight="1" x14ac:dyDescent="0.25">
      <c r="A43" s="97" t="s">
        <v>66</v>
      </c>
      <c r="B43" s="123" t="s">
        <v>139</v>
      </c>
      <c r="C43" s="115">
        <v>25</v>
      </c>
      <c r="D43" s="121">
        <f>AT43*AU43*AW43</f>
        <v>0</v>
      </c>
      <c r="E43" s="17">
        <f>ROUND(AT43*AV43*AX43,4)</f>
        <v>0</v>
      </c>
      <c r="F43" s="81"/>
      <c r="G43" s="81"/>
      <c r="H43" s="82"/>
      <c r="I43" s="82"/>
      <c r="J43" s="14" t="s">
        <v>55</v>
      </c>
      <c r="K43" s="84"/>
      <c r="L43" s="84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>
        <f t="shared" si="2"/>
        <v>0</v>
      </c>
      <c r="AR43" s="16">
        <f t="shared" si="12"/>
        <v>0</v>
      </c>
      <c r="AS43" s="16"/>
      <c r="AT43" s="16"/>
      <c r="AU43" s="82">
        <f t="shared" si="3"/>
        <v>0</v>
      </c>
      <c r="AV43" s="82">
        <f t="shared" si="4"/>
        <v>0</v>
      </c>
      <c r="AW43" s="82">
        <f t="shared" si="5"/>
        <v>0</v>
      </c>
      <c r="AX43" s="82">
        <f t="shared" si="6"/>
        <v>0</v>
      </c>
      <c r="AY43" s="92">
        <f t="shared" si="13"/>
        <v>0</v>
      </c>
      <c r="AZ43" s="92">
        <f t="shared" si="13"/>
        <v>0</v>
      </c>
      <c r="BA43" s="95">
        <f t="shared" si="14"/>
        <v>0</v>
      </c>
      <c r="BB43" s="86"/>
      <c r="BC43"/>
    </row>
    <row r="44" spans="1:55" ht="15" hidden="1" customHeight="1" x14ac:dyDescent="0.25">
      <c r="A44" s="72" t="s">
        <v>67</v>
      </c>
      <c r="B44" s="123"/>
      <c r="C44" s="111">
        <v>31</v>
      </c>
      <c r="D44" s="121">
        <f>AT44*AU44*AW44</f>
        <v>0</v>
      </c>
      <c r="E44" s="15">
        <f t="shared" si="15"/>
        <v>0</v>
      </c>
      <c r="F44" s="19"/>
      <c r="G44" s="19"/>
      <c r="H44" s="18"/>
      <c r="I44" s="18"/>
      <c r="J44" s="7" t="s">
        <v>55</v>
      </c>
      <c r="K44" s="20"/>
      <c r="L44" s="20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7">
        <f t="shared" si="2"/>
        <v>0</v>
      </c>
      <c r="AR44" s="16">
        <f t="shared" si="12"/>
        <v>0</v>
      </c>
      <c r="AS44" s="15"/>
      <c r="AT44" s="15"/>
      <c r="AU44" s="82">
        <f t="shared" si="3"/>
        <v>0</v>
      </c>
      <c r="AV44" s="82">
        <f t="shared" si="4"/>
        <v>0</v>
      </c>
      <c r="AW44" s="82">
        <f t="shared" si="5"/>
        <v>0</v>
      </c>
      <c r="AX44" s="82">
        <f t="shared" si="6"/>
        <v>0</v>
      </c>
      <c r="AY44" s="92">
        <f t="shared" si="13"/>
        <v>0</v>
      </c>
      <c r="AZ44" s="92">
        <f t="shared" si="13"/>
        <v>0</v>
      </c>
      <c r="BA44" s="95">
        <f t="shared" si="14"/>
        <v>0</v>
      </c>
      <c r="BB44" s="75"/>
      <c r="BC44"/>
    </row>
    <row r="45" spans="1:55" ht="15" customHeight="1" thickBot="1" x14ac:dyDescent="0.3">
      <c r="A45" s="103" t="s">
        <v>67</v>
      </c>
      <c r="B45" s="123" t="s">
        <v>140</v>
      </c>
      <c r="C45" s="114">
        <v>38</v>
      </c>
      <c r="D45" s="121">
        <f>AT45*AU45*AW45</f>
        <v>0</v>
      </c>
      <c r="E45" s="16">
        <f>ROUND(AT45*AV45*AX45,4)</f>
        <v>0</v>
      </c>
      <c r="F45" s="91"/>
      <c r="G45" s="91"/>
      <c r="H45" s="92"/>
      <c r="I45" s="92"/>
      <c r="J45" s="13" t="s">
        <v>55</v>
      </c>
      <c r="K45" s="94"/>
      <c r="L45" s="94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7">
        <f t="shared" si="2"/>
        <v>0</v>
      </c>
      <c r="AR45" s="16">
        <f t="shared" si="12"/>
        <v>0</v>
      </c>
      <c r="AS45" s="16"/>
      <c r="AT45" s="16"/>
      <c r="AU45" s="82">
        <f t="shared" si="3"/>
        <v>0</v>
      </c>
      <c r="AV45" s="82">
        <f t="shared" si="4"/>
        <v>0</v>
      </c>
      <c r="AW45" s="82">
        <f t="shared" si="5"/>
        <v>0</v>
      </c>
      <c r="AX45" s="82">
        <f t="shared" si="6"/>
        <v>0</v>
      </c>
      <c r="AY45" s="92">
        <f t="shared" si="13"/>
        <v>0</v>
      </c>
      <c r="AZ45" s="92">
        <f t="shared" si="13"/>
        <v>0</v>
      </c>
      <c r="BA45" s="95">
        <f t="shared" si="14"/>
        <v>0</v>
      </c>
      <c r="BB45" s="96"/>
      <c r="BC45"/>
    </row>
    <row r="46" spans="1:55" ht="15" customHeight="1" thickBot="1" x14ac:dyDescent="0.3">
      <c r="A46" s="102" t="s">
        <v>82</v>
      </c>
      <c r="B46" s="124"/>
      <c r="C46" s="87"/>
      <c r="D46" s="132">
        <f>SUM(D47:D51)</f>
        <v>0</v>
      </c>
      <c r="E46" s="129">
        <f>SUM(E47:E51)</f>
        <v>0</v>
      </c>
      <c r="F46" s="129">
        <f>SUM(F47:F51)</f>
        <v>0</v>
      </c>
      <c r="G46" s="129"/>
      <c r="H46" s="131">
        <f>SUM(H47:H51)</f>
        <v>0</v>
      </c>
      <c r="I46" s="131">
        <f>SUM(I47:I51)</f>
        <v>0</v>
      </c>
      <c r="J46" s="88"/>
      <c r="K46" s="130"/>
      <c r="L46" s="130"/>
      <c r="M46" s="129">
        <f>SUM(M47:M51)</f>
        <v>0</v>
      </c>
      <c r="N46" s="129">
        <f t="shared" ref="N46:AP46" si="18">SUM(N47:N51)</f>
        <v>0</v>
      </c>
      <c r="O46" s="129">
        <f t="shared" si="18"/>
        <v>0</v>
      </c>
      <c r="P46" s="129">
        <f t="shared" si="18"/>
        <v>0</v>
      </c>
      <c r="Q46" s="129">
        <f t="shared" si="18"/>
        <v>0</v>
      </c>
      <c r="R46" s="129">
        <f t="shared" si="18"/>
        <v>0</v>
      </c>
      <c r="S46" s="129">
        <f t="shared" si="18"/>
        <v>0</v>
      </c>
      <c r="T46" s="129">
        <f t="shared" si="18"/>
        <v>0</v>
      </c>
      <c r="U46" s="129">
        <f t="shared" si="18"/>
        <v>0</v>
      </c>
      <c r="V46" s="129">
        <f t="shared" si="18"/>
        <v>0</v>
      </c>
      <c r="W46" s="129">
        <f t="shared" si="18"/>
        <v>0</v>
      </c>
      <c r="X46" s="129">
        <f t="shared" si="18"/>
        <v>0</v>
      </c>
      <c r="Y46" s="129">
        <f t="shared" si="18"/>
        <v>0</v>
      </c>
      <c r="Z46" s="129">
        <f t="shared" si="18"/>
        <v>0</v>
      </c>
      <c r="AA46" s="129">
        <f t="shared" si="18"/>
        <v>0</v>
      </c>
      <c r="AB46" s="129">
        <f t="shared" si="18"/>
        <v>0</v>
      </c>
      <c r="AC46" s="129">
        <f t="shared" si="18"/>
        <v>0</v>
      </c>
      <c r="AD46" s="129">
        <f t="shared" si="18"/>
        <v>0</v>
      </c>
      <c r="AE46" s="129">
        <f t="shared" si="18"/>
        <v>0</v>
      </c>
      <c r="AF46" s="129">
        <f t="shared" si="18"/>
        <v>0</v>
      </c>
      <c r="AG46" s="129">
        <f t="shared" si="18"/>
        <v>0</v>
      </c>
      <c r="AH46" s="129">
        <f t="shared" si="18"/>
        <v>0</v>
      </c>
      <c r="AI46" s="129">
        <f t="shared" si="18"/>
        <v>0</v>
      </c>
      <c r="AJ46" s="129">
        <f t="shared" si="18"/>
        <v>0</v>
      </c>
      <c r="AK46" s="129">
        <f t="shared" si="18"/>
        <v>0</v>
      </c>
      <c r="AL46" s="129">
        <f t="shared" si="18"/>
        <v>0</v>
      </c>
      <c r="AM46" s="129">
        <f t="shared" si="18"/>
        <v>0</v>
      </c>
      <c r="AN46" s="129">
        <f t="shared" si="18"/>
        <v>0</v>
      </c>
      <c r="AO46" s="129">
        <f t="shared" si="18"/>
        <v>0</v>
      </c>
      <c r="AP46" s="129">
        <f t="shared" si="18"/>
        <v>0</v>
      </c>
      <c r="AQ46" s="129">
        <f t="shared" si="2"/>
        <v>0</v>
      </c>
      <c r="AR46" s="129">
        <f t="shared" si="12"/>
        <v>0</v>
      </c>
      <c r="AS46" s="129"/>
      <c r="AT46" s="129">
        <f>SUM(AT47:AT51)</f>
        <v>0</v>
      </c>
      <c r="AU46" s="131">
        <f t="shared" si="3"/>
        <v>0</v>
      </c>
      <c r="AV46" s="131">
        <f t="shared" si="4"/>
        <v>0</v>
      </c>
      <c r="AW46" s="131">
        <f t="shared" si="5"/>
        <v>0</v>
      </c>
      <c r="AX46" s="131">
        <f t="shared" si="6"/>
        <v>0</v>
      </c>
      <c r="AY46" s="131">
        <f t="shared" si="13"/>
        <v>0</v>
      </c>
      <c r="AZ46" s="131">
        <f t="shared" si="13"/>
        <v>0</v>
      </c>
      <c r="BA46" s="129">
        <f t="shared" si="14"/>
        <v>0</v>
      </c>
      <c r="BB46" s="99"/>
      <c r="BC46"/>
    </row>
    <row r="47" spans="1:55" ht="15" customHeight="1" x14ac:dyDescent="0.25">
      <c r="A47" s="97" t="s">
        <v>46</v>
      </c>
      <c r="B47" s="123" t="s">
        <v>141</v>
      </c>
      <c r="C47" s="115">
        <v>28</v>
      </c>
      <c r="D47" s="121">
        <f>AT47*AU47*AW47</f>
        <v>0</v>
      </c>
      <c r="E47" s="17">
        <f>ROUND(AT47*AV47*AX47,4)</f>
        <v>0</v>
      </c>
      <c r="F47" s="81"/>
      <c r="G47" s="81"/>
      <c r="H47" s="82"/>
      <c r="I47" s="82"/>
      <c r="J47" s="14" t="s">
        <v>55</v>
      </c>
      <c r="K47" s="84"/>
      <c r="L47" s="84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>
        <f t="shared" si="2"/>
        <v>0</v>
      </c>
      <c r="AR47" s="16">
        <f t="shared" si="12"/>
        <v>0</v>
      </c>
      <c r="AS47" s="16"/>
      <c r="AT47" s="16"/>
      <c r="AU47" s="82">
        <f t="shared" si="3"/>
        <v>0</v>
      </c>
      <c r="AV47" s="82">
        <f t="shared" si="4"/>
        <v>0</v>
      </c>
      <c r="AW47" s="82">
        <f t="shared" si="5"/>
        <v>0</v>
      </c>
      <c r="AX47" s="82">
        <f t="shared" si="6"/>
        <v>0</v>
      </c>
      <c r="AY47" s="92">
        <f t="shared" si="13"/>
        <v>0</v>
      </c>
      <c r="AZ47" s="92">
        <f t="shared" si="13"/>
        <v>0</v>
      </c>
      <c r="BA47" s="95">
        <f t="shared" si="14"/>
        <v>0</v>
      </c>
      <c r="BB47" s="86"/>
      <c r="BC47"/>
    </row>
    <row r="48" spans="1:55" ht="15" customHeight="1" thickBot="1" x14ac:dyDescent="0.3">
      <c r="A48" s="71" t="s">
        <v>45</v>
      </c>
      <c r="B48" s="123" t="s">
        <v>142</v>
      </c>
      <c r="C48" s="112">
        <v>33</v>
      </c>
      <c r="D48" s="121">
        <f>AT48*AU48*AW48</f>
        <v>0</v>
      </c>
      <c r="E48" s="17">
        <f>ROUND(AT48*AV48*AX48,4)</f>
        <v>0</v>
      </c>
      <c r="F48" s="19"/>
      <c r="G48" s="19"/>
      <c r="H48" s="18"/>
      <c r="I48" s="18"/>
      <c r="J48" s="7" t="s">
        <v>55</v>
      </c>
      <c r="K48" s="20"/>
      <c r="L48" s="20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7">
        <f t="shared" si="2"/>
        <v>0</v>
      </c>
      <c r="AR48" s="16">
        <f t="shared" si="12"/>
        <v>0</v>
      </c>
      <c r="AS48" s="16"/>
      <c r="AT48" s="16"/>
      <c r="AU48" s="82">
        <f t="shared" si="3"/>
        <v>0</v>
      </c>
      <c r="AV48" s="82">
        <f t="shared" si="4"/>
        <v>0</v>
      </c>
      <c r="AW48" s="82">
        <f t="shared" si="5"/>
        <v>0</v>
      </c>
      <c r="AX48" s="82">
        <f t="shared" si="6"/>
        <v>0</v>
      </c>
      <c r="AY48" s="92">
        <f t="shared" si="13"/>
        <v>0</v>
      </c>
      <c r="AZ48" s="92">
        <f t="shared" si="13"/>
        <v>0</v>
      </c>
      <c r="BA48" s="95">
        <f t="shared" si="14"/>
        <v>0</v>
      </c>
      <c r="BB48" s="75"/>
      <c r="BC48"/>
    </row>
    <row r="49" spans="1:55" ht="15" hidden="1" customHeight="1" x14ac:dyDescent="0.3">
      <c r="A49" s="72" t="s">
        <v>48</v>
      </c>
      <c r="B49" s="111"/>
      <c r="C49" s="111">
        <v>35</v>
      </c>
      <c r="D49" s="120">
        <f t="shared" ref="D49:D51" si="19">AS49*AW49*AU49</f>
        <v>0</v>
      </c>
      <c r="E49" s="15">
        <f t="shared" si="15"/>
        <v>0</v>
      </c>
      <c r="F49" s="19"/>
      <c r="G49" s="19"/>
      <c r="H49" s="18"/>
      <c r="I49" s="18"/>
      <c r="J49" s="7" t="s">
        <v>55</v>
      </c>
      <c r="K49" s="20"/>
      <c r="L49" s="20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7">
        <f t="shared" si="2"/>
        <v>0</v>
      </c>
      <c r="AR49" s="16">
        <f t="shared" si="12"/>
        <v>0</v>
      </c>
      <c r="AS49" s="15"/>
      <c r="AT49" s="15"/>
      <c r="AU49" s="92">
        <f t="shared" si="3"/>
        <v>0</v>
      </c>
      <c r="AV49" s="92">
        <f t="shared" si="4"/>
        <v>0</v>
      </c>
      <c r="AW49" s="92">
        <f t="shared" si="5"/>
        <v>0</v>
      </c>
      <c r="AX49" s="92">
        <f t="shared" si="6"/>
        <v>0</v>
      </c>
      <c r="AY49" s="92">
        <f t="shared" si="13"/>
        <v>0</v>
      </c>
      <c r="AZ49" s="92">
        <f t="shared" si="13"/>
        <v>0</v>
      </c>
      <c r="BA49" s="95">
        <f t="shared" si="14"/>
        <v>0</v>
      </c>
      <c r="BB49" s="75"/>
      <c r="BC49"/>
    </row>
    <row r="50" spans="1:55" ht="15" hidden="1" customHeight="1" x14ac:dyDescent="0.3">
      <c r="A50" s="72" t="s">
        <v>47</v>
      </c>
      <c r="B50" s="111"/>
      <c r="C50" s="111">
        <v>36</v>
      </c>
      <c r="D50" s="120">
        <f t="shared" si="19"/>
        <v>0</v>
      </c>
      <c r="E50" s="15">
        <f t="shared" si="15"/>
        <v>0</v>
      </c>
      <c r="F50" s="19"/>
      <c r="G50" s="19"/>
      <c r="H50" s="18"/>
      <c r="I50" s="18"/>
      <c r="J50" s="7" t="s">
        <v>55</v>
      </c>
      <c r="K50" s="20"/>
      <c r="L50" s="20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7">
        <f t="shared" si="2"/>
        <v>0</v>
      </c>
      <c r="AR50" s="16">
        <f t="shared" si="12"/>
        <v>0</v>
      </c>
      <c r="AS50" s="15"/>
      <c r="AT50" s="15"/>
      <c r="AU50" s="92">
        <f t="shared" si="3"/>
        <v>0</v>
      </c>
      <c r="AV50" s="92">
        <f t="shared" si="4"/>
        <v>0</v>
      </c>
      <c r="AW50" s="92">
        <f t="shared" si="5"/>
        <v>0</v>
      </c>
      <c r="AX50" s="92">
        <f t="shared" si="6"/>
        <v>0</v>
      </c>
      <c r="AY50" s="92">
        <f t="shared" si="13"/>
        <v>0</v>
      </c>
      <c r="AZ50" s="92">
        <f t="shared" si="13"/>
        <v>0</v>
      </c>
      <c r="BA50" s="95">
        <f t="shared" si="14"/>
        <v>0</v>
      </c>
      <c r="BB50" s="75"/>
      <c r="BC50"/>
    </row>
    <row r="51" spans="1:55" ht="15" hidden="1" customHeight="1" thickBot="1" x14ac:dyDescent="0.3">
      <c r="A51" s="100" t="s">
        <v>64</v>
      </c>
      <c r="B51" s="116"/>
      <c r="C51" s="116">
        <v>37</v>
      </c>
      <c r="D51" s="121">
        <f t="shared" si="19"/>
        <v>0</v>
      </c>
      <c r="E51" s="16">
        <f t="shared" si="15"/>
        <v>0</v>
      </c>
      <c r="F51" s="91"/>
      <c r="G51" s="91"/>
      <c r="H51" s="92"/>
      <c r="I51" s="92"/>
      <c r="J51" s="13" t="s">
        <v>55</v>
      </c>
      <c r="K51" s="94"/>
      <c r="L51" s="94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7">
        <f t="shared" si="2"/>
        <v>0</v>
      </c>
      <c r="AR51" s="16">
        <f t="shared" si="12"/>
        <v>0</v>
      </c>
      <c r="AS51" s="16"/>
      <c r="AT51" s="16"/>
      <c r="AU51" s="92">
        <f t="shared" si="3"/>
        <v>0</v>
      </c>
      <c r="AV51" s="92">
        <f t="shared" si="4"/>
        <v>0</v>
      </c>
      <c r="AW51" s="92">
        <f t="shared" si="5"/>
        <v>0</v>
      </c>
      <c r="AX51" s="92">
        <f t="shared" si="6"/>
        <v>0</v>
      </c>
      <c r="AY51" s="92">
        <f t="shared" si="13"/>
        <v>0</v>
      </c>
      <c r="AZ51" s="92">
        <f t="shared" si="13"/>
        <v>0</v>
      </c>
      <c r="BA51" s="95">
        <f t="shared" si="14"/>
        <v>0</v>
      </c>
      <c r="BB51" s="96"/>
      <c r="BC51"/>
    </row>
    <row r="52" spans="1:55" ht="15" customHeight="1" thickBot="1" x14ac:dyDescent="0.3">
      <c r="A52" s="102" t="s">
        <v>49</v>
      </c>
      <c r="B52" s="124"/>
      <c r="C52" s="87"/>
      <c r="D52" s="132">
        <f>SUM(D53:D54)</f>
        <v>0</v>
      </c>
      <c r="E52" s="129">
        <f>SUM(E53:E54)</f>
        <v>0</v>
      </c>
      <c r="F52" s="129">
        <f>SUM(F53:F54)</f>
        <v>0</v>
      </c>
      <c r="G52" s="129"/>
      <c r="H52" s="131">
        <f>SUM(H53:H54)</f>
        <v>0</v>
      </c>
      <c r="I52" s="131">
        <f>SUM(I53:I54)</f>
        <v>0</v>
      </c>
      <c r="J52" s="88"/>
      <c r="K52" s="130"/>
      <c r="L52" s="130"/>
      <c r="M52" s="129">
        <f>SUM(M53:M54)</f>
        <v>0</v>
      </c>
      <c r="N52" s="129">
        <f t="shared" ref="N52:AP52" si="20">SUM(N53:N54)</f>
        <v>0</v>
      </c>
      <c r="O52" s="129">
        <f t="shared" si="20"/>
        <v>0</v>
      </c>
      <c r="P52" s="129">
        <f t="shared" si="20"/>
        <v>0</v>
      </c>
      <c r="Q52" s="129">
        <f t="shared" si="20"/>
        <v>0</v>
      </c>
      <c r="R52" s="129">
        <f t="shared" si="20"/>
        <v>0</v>
      </c>
      <c r="S52" s="129">
        <f t="shared" si="20"/>
        <v>0</v>
      </c>
      <c r="T52" s="129">
        <f t="shared" si="20"/>
        <v>0</v>
      </c>
      <c r="U52" s="129">
        <f t="shared" si="20"/>
        <v>0</v>
      </c>
      <c r="V52" s="129">
        <f t="shared" si="20"/>
        <v>0</v>
      </c>
      <c r="W52" s="129">
        <f t="shared" si="20"/>
        <v>0</v>
      </c>
      <c r="X52" s="129">
        <f t="shared" si="20"/>
        <v>0</v>
      </c>
      <c r="Y52" s="129">
        <f t="shared" si="20"/>
        <v>0</v>
      </c>
      <c r="Z52" s="129">
        <f t="shared" si="20"/>
        <v>0</v>
      </c>
      <c r="AA52" s="129">
        <f t="shared" si="20"/>
        <v>0</v>
      </c>
      <c r="AB52" s="129">
        <f t="shared" si="20"/>
        <v>0</v>
      </c>
      <c r="AC52" s="129">
        <f t="shared" si="20"/>
        <v>0</v>
      </c>
      <c r="AD52" s="129">
        <f t="shared" si="20"/>
        <v>0</v>
      </c>
      <c r="AE52" s="129">
        <f t="shared" si="20"/>
        <v>0</v>
      </c>
      <c r="AF52" s="129">
        <f t="shared" si="20"/>
        <v>0</v>
      </c>
      <c r="AG52" s="129">
        <f t="shared" si="20"/>
        <v>0</v>
      </c>
      <c r="AH52" s="129">
        <f t="shared" si="20"/>
        <v>0</v>
      </c>
      <c r="AI52" s="129">
        <f t="shared" si="20"/>
        <v>0</v>
      </c>
      <c r="AJ52" s="129">
        <f t="shared" si="20"/>
        <v>0</v>
      </c>
      <c r="AK52" s="129">
        <f t="shared" si="20"/>
        <v>0</v>
      </c>
      <c r="AL52" s="129">
        <f t="shared" si="20"/>
        <v>0</v>
      </c>
      <c r="AM52" s="129">
        <f t="shared" si="20"/>
        <v>0</v>
      </c>
      <c r="AN52" s="129">
        <f t="shared" si="20"/>
        <v>0</v>
      </c>
      <c r="AO52" s="129">
        <f t="shared" si="20"/>
        <v>0</v>
      </c>
      <c r="AP52" s="129">
        <f t="shared" si="20"/>
        <v>0</v>
      </c>
      <c r="AQ52" s="129">
        <f t="shared" si="2"/>
        <v>0</v>
      </c>
      <c r="AR52" s="129">
        <f t="shared" si="12"/>
        <v>0</v>
      </c>
      <c r="AS52" s="129"/>
      <c r="AT52" s="129">
        <f>SUM(AT53:AT54)</f>
        <v>0</v>
      </c>
      <c r="AU52" s="131">
        <f t="shared" si="3"/>
        <v>0</v>
      </c>
      <c r="AV52" s="131">
        <f t="shared" si="4"/>
        <v>0</v>
      </c>
      <c r="AW52" s="131">
        <f t="shared" si="5"/>
        <v>0</v>
      </c>
      <c r="AX52" s="131">
        <f t="shared" si="6"/>
        <v>0</v>
      </c>
      <c r="AY52" s="131">
        <f t="shared" si="13"/>
        <v>0</v>
      </c>
      <c r="AZ52" s="131">
        <f t="shared" si="13"/>
        <v>0</v>
      </c>
      <c r="BA52" s="129">
        <f t="shared" si="14"/>
        <v>0</v>
      </c>
      <c r="BB52" s="99"/>
      <c r="BC52"/>
    </row>
    <row r="53" spans="1:55" ht="15" customHeight="1" x14ac:dyDescent="0.25">
      <c r="A53" s="97" t="s">
        <v>51</v>
      </c>
      <c r="B53" s="123" t="s">
        <v>143</v>
      </c>
      <c r="C53" s="115">
        <v>4</v>
      </c>
      <c r="D53" s="121">
        <f>AT53*AU53*AW53</f>
        <v>0</v>
      </c>
      <c r="E53" s="17">
        <f>ROUND(AT53*AV53*AX53,4)</f>
        <v>0</v>
      </c>
      <c r="F53" s="81"/>
      <c r="G53" s="81"/>
      <c r="H53" s="82"/>
      <c r="I53" s="82"/>
      <c r="J53" s="14" t="s">
        <v>83</v>
      </c>
      <c r="K53" s="84"/>
      <c r="L53" s="84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>
        <f t="shared" si="2"/>
        <v>0</v>
      </c>
      <c r="AR53" s="16">
        <f t="shared" si="12"/>
        <v>0</v>
      </c>
      <c r="AS53" s="16"/>
      <c r="AT53" s="16"/>
      <c r="AU53" s="82">
        <f t="shared" si="3"/>
        <v>0</v>
      </c>
      <c r="AV53" s="82">
        <f t="shared" si="4"/>
        <v>0</v>
      </c>
      <c r="AW53" s="82">
        <f t="shared" si="5"/>
        <v>0</v>
      </c>
      <c r="AX53" s="82">
        <f t="shared" si="6"/>
        <v>0</v>
      </c>
      <c r="AY53" s="92">
        <f t="shared" si="13"/>
        <v>0</v>
      </c>
      <c r="AZ53" s="92">
        <f t="shared" si="13"/>
        <v>0</v>
      </c>
      <c r="BA53" s="95">
        <f t="shared" si="14"/>
        <v>0</v>
      </c>
      <c r="BB53" s="86"/>
      <c r="BC53"/>
    </row>
    <row r="54" spans="1:55" ht="15" customHeight="1" thickBot="1" x14ac:dyDescent="0.3">
      <c r="A54" s="104" t="s">
        <v>50</v>
      </c>
      <c r="B54" s="123" t="s">
        <v>153</v>
      </c>
      <c r="C54" s="117">
        <v>5</v>
      </c>
      <c r="D54" s="121">
        <f>AT54*AU54*AW54</f>
        <v>0</v>
      </c>
      <c r="E54" s="17">
        <f>ROUND(AT54*AV54*AX54,4)</f>
        <v>0</v>
      </c>
      <c r="F54" s="91"/>
      <c r="G54" s="91"/>
      <c r="H54" s="92"/>
      <c r="I54" s="92"/>
      <c r="J54" s="13" t="s">
        <v>83</v>
      </c>
      <c r="K54" s="94"/>
      <c r="L54" s="94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7">
        <f t="shared" si="2"/>
        <v>0</v>
      </c>
      <c r="AR54" s="16">
        <f t="shared" si="12"/>
        <v>0</v>
      </c>
      <c r="AS54" s="16"/>
      <c r="AT54" s="16"/>
      <c r="AU54" s="82">
        <f t="shared" si="3"/>
        <v>0</v>
      </c>
      <c r="AV54" s="82">
        <f t="shared" si="4"/>
        <v>0</v>
      </c>
      <c r="AW54" s="82">
        <f t="shared" si="5"/>
        <v>0</v>
      </c>
      <c r="AX54" s="82">
        <f t="shared" si="6"/>
        <v>0</v>
      </c>
      <c r="AY54" s="92">
        <f t="shared" si="13"/>
        <v>0</v>
      </c>
      <c r="AZ54" s="92">
        <f t="shared" si="13"/>
        <v>0</v>
      </c>
      <c r="BA54" s="95">
        <f t="shared" si="14"/>
        <v>0</v>
      </c>
      <c r="BB54" s="96"/>
      <c r="BC54"/>
    </row>
    <row r="55" spans="1:55" ht="15" customHeight="1" thickBot="1" x14ac:dyDescent="0.3">
      <c r="A55" s="87" t="s">
        <v>52</v>
      </c>
      <c r="B55" s="124"/>
      <c r="C55" s="87"/>
      <c r="D55" s="132">
        <f>SUM(D56:D61)</f>
        <v>0</v>
      </c>
      <c r="E55" s="129">
        <f>SUM(E56:E61)</f>
        <v>0</v>
      </c>
      <c r="F55" s="129">
        <f>SUM(F56:F61)</f>
        <v>0</v>
      </c>
      <c r="G55" s="129"/>
      <c r="H55" s="131"/>
      <c r="I55" s="131"/>
      <c r="J55" s="88"/>
      <c r="K55" s="130"/>
      <c r="L55" s="130"/>
      <c r="M55" s="129">
        <f>SUM(M56:M61)</f>
        <v>0</v>
      </c>
      <c r="N55" s="129">
        <f t="shared" ref="N55:AP55" si="21">SUM(N56:N61)</f>
        <v>0</v>
      </c>
      <c r="O55" s="129">
        <f t="shared" si="21"/>
        <v>0</v>
      </c>
      <c r="P55" s="129">
        <f t="shared" si="21"/>
        <v>0</v>
      </c>
      <c r="Q55" s="129">
        <f t="shared" si="21"/>
        <v>0</v>
      </c>
      <c r="R55" s="129">
        <f t="shared" si="21"/>
        <v>0</v>
      </c>
      <c r="S55" s="129">
        <f t="shared" si="21"/>
        <v>0</v>
      </c>
      <c r="T55" s="129">
        <f t="shared" si="21"/>
        <v>0</v>
      </c>
      <c r="U55" s="129">
        <f t="shared" si="21"/>
        <v>0</v>
      </c>
      <c r="V55" s="129">
        <f t="shared" si="21"/>
        <v>0</v>
      </c>
      <c r="W55" s="129">
        <f t="shared" si="21"/>
        <v>0</v>
      </c>
      <c r="X55" s="129">
        <f t="shared" si="21"/>
        <v>0</v>
      </c>
      <c r="Y55" s="129">
        <f t="shared" si="21"/>
        <v>0</v>
      </c>
      <c r="Z55" s="129">
        <f t="shared" si="21"/>
        <v>0</v>
      </c>
      <c r="AA55" s="129">
        <f t="shared" si="21"/>
        <v>0</v>
      </c>
      <c r="AB55" s="129">
        <f t="shared" si="21"/>
        <v>0</v>
      </c>
      <c r="AC55" s="129">
        <f t="shared" si="21"/>
        <v>0</v>
      </c>
      <c r="AD55" s="129">
        <f t="shared" si="21"/>
        <v>0</v>
      </c>
      <c r="AE55" s="129">
        <f t="shared" si="21"/>
        <v>0</v>
      </c>
      <c r="AF55" s="129">
        <f t="shared" si="21"/>
        <v>0</v>
      </c>
      <c r="AG55" s="129">
        <f t="shared" si="21"/>
        <v>0</v>
      </c>
      <c r="AH55" s="129">
        <f t="shared" si="21"/>
        <v>0</v>
      </c>
      <c r="AI55" s="129">
        <f t="shared" si="21"/>
        <v>0</v>
      </c>
      <c r="AJ55" s="129">
        <f t="shared" si="21"/>
        <v>0</v>
      </c>
      <c r="AK55" s="129">
        <f t="shared" si="21"/>
        <v>0</v>
      </c>
      <c r="AL55" s="129">
        <f t="shared" si="21"/>
        <v>0</v>
      </c>
      <c r="AM55" s="129">
        <f t="shared" si="21"/>
        <v>0</v>
      </c>
      <c r="AN55" s="129">
        <f t="shared" si="21"/>
        <v>0</v>
      </c>
      <c r="AO55" s="129">
        <f t="shared" si="21"/>
        <v>0</v>
      </c>
      <c r="AP55" s="129">
        <f t="shared" si="21"/>
        <v>0</v>
      </c>
      <c r="AQ55" s="129">
        <f t="shared" si="2"/>
        <v>0</v>
      </c>
      <c r="AR55" s="129">
        <f t="shared" si="12"/>
        <v>0</v>
      </c>
      <c r="AS55" s="129"/>
      <c r="AT55" s="129">
        <f>SUM(AT56:AT61)</f>
        <v>0</v>
      </c>
      <c r="AU55" s="131">
        <f t="shared" si="3"/>
        <v>0</v>
      </c>
      <c r="AV55" s="131">
        <f t="shared" si="4"/>
        <v>0</v>
      </c>
      <c r="AW55" s="131">
        <f t="shared" si="5"/>
        <v>0</v>
      </c>
      <c r="AX55" s="131">
        <f t="shared" si="6"/>
        <v>0</v>
      </c>
      <c r="AY55" s="131">
        <f t="shared" si="13"/>
        <v>0</v>
      </c>
      <c r="AZ55" s="131">
        <f t="shared" si="13"/>
        <v>0</v>
      </c>
      <c r="BA55" s="129">
        <f t="shared" si="14"/>
        <v>0</v>
      </c>
      <c r="BB55" s="99"/>
      <c r="BC55"/>
    </row>
    <row r="56" spans="1:55" ht="15" customHeight="1" x14ac:dyDescent="0.25">
      <c r="A56" s="145" t="s">
        <v>53</v>
      </c>
      <c r="B56" s="147" t="s">
        <v>144</v>
      </c>
      <c r="C56" s="146">
        <v>15</v>
      </c>
      <c r="D56" s="121">
        <f>AT56*AU56*AW56</f>
        <v>0</v>
      </c>
      <c r="E56" s="17">
        <f>ROUND(AT56*AV56*AX56,4)</f>
        <v>0</v>
      </c>
      <c r="F56" s="81"/>
      <c r="G56" s="81"/>
      <c r="H56" s="82"/>
      <c r="I56" s="82"/>
      <c r="J56" s="14" t="s">
        <v>55</v>
      </c>
      <c r="K56" s="84"/>
      <c r="L56" s="84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>
        <f t="shared" si="2"/>
        <v>0</v>
      </c>
      <c r="AR56" s="16">
        <f t="shared" si="12"/>
        <v>0</v>
      </c>
      <c r="AS56" s="16"/>
      <c r="AT56" s="16"/>
      <c r="AU56" s="82">
        <f t="shared" si="3"/>
        <v>0</v>
      </c>
      <c r="AV56" s="82">
        <f t="shared" si="4"/>
        <v>0</v>
      </c>
      <c r="AW56" s="82">
        <f t="shared" si="5"/>
        <v>0</v>
      </c>
      <c r="AX56" s="82">
        <f t="shared" si="6"/>
        <v>0</v>
      </c>
      <c r="AY56" s="92">
        <f t="shared" si="13"/>
        <v>0</v>
      </c>
      <c r="AZ56" s="92">
        <f t="shared" si="13"/>
        <v>0</v>
      </c>
      <c r="BA56" s="95">
        <f t="shared" si="14"/>
        <v>0</v>
      </c>
      <c r="BB56" s="86"/>
      <c r="BC56"/>
    </row>
    <row r="57" spans="1:55" ht="15" customHeight="1" x14ac:dyDescent="0.25">
      <c r="A57" s="71" t="s">
        <v>54</v>
      </c>
      <c r="B57" s="123" t="s">
        <v>145</v>
      </c>
      <c r="C57" s="112">
        <v>16</v>
      </c>
      <c r="D57" s="121">
        <f>AT57*AU57*AW57</f>
        <v>0</v>
      </c>
      <c r="E57" s="17">
        <f t="shared" ref="E57:E61" si="22">ROUND(AT57*AV57*AX57,4)</f>
        <v>0</v>
      </c>
      <c r="F57" s="19"/>
      <c r="G57" s="19"/>
      <c r="H57" s="18"/>
      <c r="I57" s="18"/>
      <c r="J57" s="7" t="s">
        <v>55</v>
      </c>
      <c r="K57" s="20"/>
      <c r="L57" s="20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7">
        <f t="shared" si="2"/>
        <v>0</v>
      </c>
      <c r="AR57" s="16">
        <f t="shared" si="12"/>
        <v>0</v>
      </c>
      <c r="AS57" s="16"/>
      <c r="AT57" s="16"/>
      <c r="AU57" s="82">
        <f t="shared" si="3"/>
        <v>0</v>
      </c>
      <c r="AV57" s="82">
        <f t="shared" si="4"/>
        <v>0</v>
      </c>
      <c r="AW57" s="82">
        <f t="shared" si="5"/>
        <v>0</v>
      </c>
      <c r="AX57" s="82">
        <f t="shared" si="6"/>
        <v>0</v>
      </c>
      <c r="AY57" s="92">
        <f t="shared" si="13"/>
        <v>0</v>
      </c>
      <c r="AZ57" s="92">
        <f t="shared" si="13"/>
        <v>0</v>
      </c>
      <c r="BA57" s="95">
        <f t="shared" si="14"/>
        <v>0</v>
      </c>
      <c r="BB57" s="75"/>
      <c r="BC57"/>
    </row>
    <row r="58" spans="1:55" ht="15" customHeight="1" x14ac:dyDescent="0.25">
      <c r="A58" s="73" t="s">
        <v>124</v>
      </c>
      <c r="B58" s="123" t="s">
        <v>146</v>
      </c>
      <c r="C58" s="113">
        <v>26</v>
      </c>
      <c r="D58" s="121">
        <f>AT58*AU58*AW58</f>
        <v>0</v>
      </c>
      <c r="E58" s="17">
        <f t="shared" si="22"/>
        <v>0</v>
      </c>
      <c r="F58" s="19"/>
      <c r="G58" s="19"/>
      <c r="H58" s="18"/>
      <c r="I58" s="18"/>
      <c r="J58" s="7" t="s">
        <v>55</v>
      </c>
      <c r="K58" s="20"/>
      <c r="L58" s="20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7">
        <f t="shared" si="2"/>
        <v>0</v>
      </c>
      <c r="AR58" s="16">
        <f t="shared" si="12"/>
        <v>0</v>
      </c>
      <c r="AS58" s="16"/>
      <c r="AT58" s="16"/>
      <c r="AU58" s="82">
        <f t="shared" si="3"/>
        <v>0</v>
      </c>
      <c r="AV58" s="82">
        <f t="shared" si="4"/>
        <v>0</v>
      </c>
      <c r="AW58" s="82">
        <f t="shared" si="5"/>
        <v>0</v>
      </c>
      <c r="AX58" s="82">
        <f t="shared" si="6"/>
        <v>0</v>
      </c>
      <c r="AY58" s="92">
        <f t="shared" si="13"/>
        <v>0</v>
      </c>
      <c r="AZ58" s="92">
        <f t="shared" si="13"/>
        <v>0</v>
      </c>
      <c r="BA58" s="95">
        <f t="shared" si="14"/>
        <v>0</v>
      </c>
      <c r="BB58" s="75"/>
      <c r="BC58"/>
    </row>
    <row r="59" spans="1:55" ht="15" customHeight="1" x14ac:dyDescent="0.25">
      <c r="A59" s="73" t="s">
        <v>125</v>
      </c>
      <c r="B59" s="123" t="s">
        <v>147</v>
      </c>
      <c r="C59" s="112">
        <v>30</v>
      </c>
      <c r="D59" s="121">
        <f t="shared" ref="D59:D61" si="23">AT59*AU59*AW59</f>
        <v>0</v>
      </c>
      <c r="E59" s="17">
        <f t="shared" si="22"/>
        <v>0</v>
      </c>
      <c r="F59" s="19"/>
      <c r="G59" s="19"/>
      <c r="H59" s="18"/>
      <c r="I59" s="18"/>
      <c r="J59" s="7" t="s">
        <v>55</v>
      </c>
      <c r="K59" s="20"/>
      <c r="L59" s="20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7">
        <f t="shared" si="2"/>
        <v>0</v>
      </c>
      <c r="AR59" s="16">
        <f t="shared" si="12"/>
        <v>0</v>
      </c>
      <c r="AS59" s="16"/>
      <c r="AT59" s="16"/>
      <c r="AU59" s="82">
        <f t="shared" si="3"/>
        <v>0</v>
      </c>
      <c r="AV59" s="82">
        <f t="shared" si="4"/>
        <v>0</v>
      </c>
      <c r="AW59" s="82">
        <f t="shared" si="5"/>
        <v>0</v>
      </c>
      <c r="AX59" s="82">
        <f t="shared" si="6"/>
        <v>0</v>
      </c>
      <c r="AY59" s="92">
        <f t="shared" si="13"/>
        <v>0</v>
      </c>
      <c r="AZ59" s="92">
        <f t="shared" si="13"/>
        <v>0</v>
      </c>
      <c r="BA59" s="95">
        <f t="shared" si="14"/>
        <v>0</v>
      </c>
      <c r="BB59" s="75"/>
      <c r="BC59"/>
    </row>
    <row r="60" spans="1:55" ht="15" customHeight="1" x14ac:dyDescent="0.25">
      <c r="A60" s="73" t="s">
        <v>151</v>
      </c>
      <c r="B60" s="148" t="s">
        <v>150</v>
      </c>
      <c r="C60" s="112">
        <v>32</v>
      </c>
      <c r="D60" s="121">
        <f t="shared" si="23"/>
        <v>0</v>
      </c>
      <c r="E60" s="17">
        <f t="shared" si="22"/>
        <v>0</v>
      </c>
      <c r="F60" s="19"/>
      <c r="G60" s="19"/>
      <c r="H60" s="18"/>
      <c r="I60" s="18"/>
      <c r="J60" s="7" t="s">
        <v>55</v>
      </c>
      <c r="K60" s="20"/>
      <c r="L60" s="20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7">
        <f t="shared" si="2"/>
        <v>0</v>
      </c>
      <c r="AR60" s="16">
        <f t="shared" si="12"/>
        <v>0</v>
      </c>
      <c r="AS60" s="16"/>
      <c r="AT60" s="16"/>
      <c r="AU60" s="82">
        <f t="shared" si="3"/>
        <v>0</v>
      </c>
      <c r="AV60" s="82">
        <f t="shared" si="4"/>
        <v>0</v>
      </c>
      <c r="AW60" s="82">
        <f t="shared" si="5"/>
        <v>0</v>
      </c>
      <c r="AX60" s="82">
        <f t="shared" si="6"/>
        <v>0</v>
      </c>
      <c r="AY60" s="92">
        <f t="shared" si="13"/>
        <v>0</v>
      </c>
      <c r="AZ60" s="92">
        <f t="shared" si="13"/>
        <v>0</v>
      </c>
      <c r="BA60" s="95">
        <f t="shared" si="14"/>
        <v>0</v>
      </c>
      <c r="BB60" s="75"/>
      <c r="BC60"/>
    </row>
    <row r="61" spans="1:55" ht="15.75" thickBot="1" x14ac:dyDescent="0.3">
      <c r="A61" s="143" t="s">
        <v>152</v>
      </c>
      <c r="B61" s="125" t="s">
        <v>154</v>
      </c>
      <c r="C61" s="144">
        <v>24</v>
      </c>
      <c r="D61" s="122">
        <f t="shared" si="23"/>
        <v>0</v>
      </c>
      <c r="E61" s="149">
        <f t="shared" si="22"/>
        <v>0</v>
      </c>
      <c r="F61" s="64"/>
      <c r="G61" s="64"/>
      <c r="H61" s="65"/>
      <c r="I61" s="65"/>
      <c r="J61" s="66" t="s">
        <v>55</v>
      </c>
      <c r="K61" s="67"/>
      <c r="L61" s="67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149">
        <f t="shared" si="2"/>
        <v>0</v>
      </c>
      <c r="AR61" s="63">
        <f t="shared" si="12"/>
        <v>0</v>
      </c>
      <c r="AS61" s="63"/>
      <c r="AT61" s="63"/>
      <c r="AU61" s="150">
        <f t="shared" si="3"/>
        <v>0</v>
      </c>
      <c r="AV61" s="150">
        <f t="shared" si="4"/>
        <v>0</v>
      </c>
      <c r="AW61" s="150">
        <f t="shared" si="5"/>
        <v>0</v>
      </c>
      <c r="AX61" s="150">
        <f t="shared" si="6"/>
        <v>0</v>
      </c>
      <c r="AY61" s="65">
        <f t="shared" si="13"/>
        <v>0</v>
      </c>
      <c r="AZ61" s="65">
        <f t="shared" si="13"/>
        <v>0</v>
      </c>
      <c r="BA61" s="151">
        <f t="shared" si="14"/>
        <v>0</v>
      </c>
      <c r="BB61" s="76"/>
    </row>
    <row r="62" spans="1:55" x14ac:dyDescent="0.25">
      <c r="C62" s="2"/>
      <c r="D62" s="3"/>
      <c r="F62" s="2"/>
      <c r="G62" s="2"/>
      <c r="H62" s="1"/>
      <c r="I62" s="1"/>
      <c r="M62" s="5"/>
      <c r="O62" s="4"/>
      <c r="P62" s="5"/>
      <c r="Q62" s="5"/>
      <c r="U62" s="2"/>
      <c r="V62" s="2"/>
      <c r="W62" s="2"/>
      <c r="X62" s="2"/>
      <c r="Y62" s="1"/>
      <c r="Z62" s="1"/>
      <c r="AA62" s="1"/>
      <c r="AB62" s="1"/>
    </row>
    <row r="63" spans="1:55" x14ac:dyDescent="0.25">
      <c r="A63" s="10"/>
      <c r="B63" s="10"/>
      <c r="C63" s="10"/>
      <c r="D63" s="3"/>
      <c r="F63" s="2"/>
      <c r="G63" s="2"/>
      <c r="H63" s="1"/>
      <c r="I63" s="1"/>
      <c r="M63" s="5"/>
      <c r="O63" s="4"/>
      <c r="P63" s="5"/>
      <c r="Q63" s="5"/>
      <c r="U63" s="2"/>
      <c r="V63" s="2"/>
      <c r="W63" s="2"/>
      <c r="X63" s="2"/>
      <c r="Y63" s="1"/>
      <c r="Z63" s="1"/>
      <c r="AA63" s="1"/>
      <c r="AB63" s="1"/>
    </row>
    <row r="64" spans="1:55" x14ac:dyDescent="0.2">
      <c r="A64" s="6" t="s">
        <v>126</v>
      </c>
      <c r="B64" s="6"/>
      <c r="C64" s="6"/>
      <c r="D64" s="6"/>
      <c r="F64" s="2"/>
      <c r="G64" s="2"/>
      <c r="H64" s="1"/>
      <c r="I64" s="1"/>
      <c r="M64" s="5"/>
      <c r="O64" s="4"/>
      <c r="P64" s="5"/>
      <c r="Q64" s="5"/>
      <c r="U64" s="2"/>
      <c r="V64" s="2"/>
      <c r="W64" s="2"/>
      <c r="X64" s="2"/>
      <c r="Y64" s="1"/>
      <c r="Z64" s="1"/>
      <c r="AA64" s="1"/>
      <c r="AB64" s="1"/>
    </row>
    <row r="65" spans="1:28" x14ac:dyDescent="0.2">
      <c r="A65" s="6"/>
      <c r="B65" s="6"/>
      <c r="C65" s="6"/>
      <c r="D65" s="6"/>
      <c r="F65" s="2"/>
      <c r="G65" s="2"/>
      <c r="H65" s="1"/>
      <c r="I65" s="1"/>
      <c r="M65" s="5"/>
      <c r="O65" s="4"/>
      <c r="P65" s="5"/>
      <c r="Q65" s="5"/>
      <c r="U65" s="2"/>
      <c r="V65" s="2"/>
      <c r="W65" s="2"/>
      <c r="X65" s="2"/>
      <c r="Y65" s="1"/>
      <c r="Z65" s="1"/>
      <c r="AA65" s="1"/>
      <c r="AB65" s="1"/>
    </row>
    <row r="66" spans="1:28" x14ac:dyDescent="0.2">
      <c r="A66" s="6" t="s">
        <v>128</v>
      </c>
      <c r="B66" s="6"/>
      <c r="C66" s="6"/>
      <c r="D66" s="6"/>
      <c r="F66" s="2"/>
      <c r="G66" s="2"/>
      <c r="H66" s="1"/>
      <c r="I66" s="1"/>
      <c r="M66" s="5"/>
      <c r="O66" s="4"/>
      <c r="P66" s="5"/>
      <c r="Q66" s="5"/>
      <c r="U66" s="2"/>
      <c r="V66" s="2"/>
      <c r="W66" s="2"/>
      <c r="X66" s="2"/>
      <c r="Y66" s="1"/>
      <c r="Z66" s="1"/>
      <c r="AA66" s="1"/>
      <c r="AB66" s="1"/>
    </row>
    <row r="67" spans="1:28" x14ac:dyDescent="0.2">
      <c r="A67" s="6"/>
      <c r="B67" s="6"/>
      <c r="C67" s="6"/>
      <c r="D67" s="6"/>
      <c r="F67" s="2"/>
      <c r="G67" s="2"/>
      <c r="H67" s="1"/>
      <c r="I67" s="1"/>
      <c r="M67" s="5"/>
      <c r="O67" s="4"/>
      <c r="P67" s="5"/>
      <c r="Q67" s="5"/>
      <c r="U67" s="2"/>
      <c r="V67" s="2"/>
      <c r="W67" s="2"/>
      <c r="X67" s="2"/>
      <c r="Y67" s="1"/>
      <c r="Z67" s="1"/>
      <c r="AA67" s="1"/>
      <c r="AB67" s="1"/>
    </row>
    <row r="68" spans="1:28" x14ac:dyDescent="0.2">
      <c r="A68" s="6" t="s">
        <v>127</v>
      </c>
      <c r="B68" s="6"/>
      <c r="C68" s="6"/>
      <c r="D68" s="6"/>
      <c r="F68" s="2"/>
      <c r="G68" s="2"/>
      <c r="H68" s="1"/>
      <c r="I68" s="1"/>
      <c r="M68" s="5"/>
      <c r="O68" s="4"/>
      <c r="P68" s="5"/>
      <c r="Q68" s="5"/>
      <c r="U68" s="2"/>
      <c r="V68" s="2"/>
      <c r="W68" s="2"/>
      <c r="X68" s="2"/>
      <c r="Y68" s="1"/>
      <c r="Z68" s="1"/>
      <c r="AA68" s="1"/>
      <c r="AB68" s="1"/>
    </row>
    <row r="71" spans="1:28" x14ac:dyDescent="0.25">
      <c r="A71" s="10"/>
      <c r="B71" s="10"/>
    </row>
    <row r="72" spans="1:28" x14ac:dyDescent="0.25">
      <c r="A72" s="10"/>
      <c r="B72" s="10"/>
    </row>
    <row r="73" spans="1:28" x14ac:dyDescent="0.25">
      <c r="A73" s="10"/>
      <c r="B73" s="10"/>
    </row>
    <row r="74" spans="1:28" x14ac:dyDescent="0.25">
      <c r="A74" s="10"/>
      <c r="B74" s="10"/>
    </row>
    <row r="75" spans="1:28" x14ac:dyDescent="0.25">
      <c r="A75" s="10"/>
      <c r="B75" s="10"/>
    </row>
    <row r="76" spans="1:28" x14ac:dyDescent="0.25">
      <c r="A76" s="10"/>
      <c r="B76" s="10"/>
    </row>
    <row r="77" spans="1:28" x14ac:dyDescent="0.25">
      <c r="A77" s="10"/>
      <c r="B77" s="10"/>
    </row>
    <row r="78" spans="1:28" x14ac:dyDescent="0.25">
      <c r="A78" s="10"/>
      <c r="B78" s="10"/>
    </row>
  </sheetData>
  <mergeCells count="32">
    <mergeCell ref="A7:BB7"/>
    <mergeCell ref="A9:BB9"/>
    <mergeCell ref="C12:C15"/>
    <mergeCell ref="D12:E14"/>
    <mergeCell ref="H12:I14"/>
    <mergeCell ref="J12:J15"/>
    <mergeCell ref="K12:L14"/>
    <mergeCell ref="M12:AP12"/>
    <mergeCell ref="AQ12:AR14"/>
    <mergeCell ref="AS12:AT14"/>
    <mergeCell ref="AU12:AV14"/>
    <mergeCell ref="AW12:AX14"/>
    <mergeCell ref="AY12:AZ14"/>
    <mergeCell ref="BA12:BA15"/>
    <mergeCell ref="BB12:BB15"/>
    <mergeCell ref="M13:AB13"/>
    <mergeCell ref="AC13:AP13"/>
    <mergeCell ref="AP14:AP15"/>
    <mergeCell ref="A12:A15"/>
    <mergeCell ref="B12:B15"/>
    <mergeCell ref="F12:G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J14"/>
    <mergeCell ref="AK14:AN14"/>
    <mergeCell ref="AO14:AO15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8"/>
  <sheetViews>
    <sheetView showZeros="0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9" sqref="A9:BB9"/>
    </sheetView>
  </sheetViews>
  <sheetFormatPr defaultRowHeight="14.25" x14ac:dyDescent="0.25"/>
  <cols>
    <col min="1" max="1" width="30.7109375" style="2" customWidth="1"/>
    <col min="2" max="2" width="10.7109375" style="2" customWidth="1"/>
    <col min="3" max="3" width="9.7109375" style="3" customWidth="1"/>
    <col min="4" max="5" width="9.7109375" style="2" customWidth="1"/>
    <col min="6" max="7" width="9.7109375" style="1" customWidth="1"/>
    <col min="8" max="9" width="9.7109375" style="5" customWidth="1"/>
    <col min="10" max="10" width="8.7109375" style="5" customWidth="1"/>
    <col min="11" max="12" width="14.7109375" style="5" customWidth="1"/>
    <col min="13" max="13" width="9.7109375" style="4" customWidth="1"/>
    <col min="14" max="15" width="9.7109375" style="5" customWidth="1"/>
    <col min="16" max="20" width="9.7109375" style="2" customWidth="1"/>
    <col min="21" max="24" width="9.7109375" style="1" customWidth="1"/>
    <col min="25" max="54" width="9.7109375" style="2" customWidth="1"/>
    <col min="55" max="16384" width="9.140625" style="2"/>
  </cols>
  <sheetData>
    <row r="1" spans="1:55" ht="12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/>
      <c r="AJ1"/>
      <c r="AK1"/>
      <c r="AL1"/>
      <c r="AM1"/>
    </row>
    <row r="2" spans="1:55" ht="12.75" customHeight="1" x14ac:dyDescent="0.25">
      <c r="A2" s="11" t="s">
        <v>134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X2" s="11" t="s">
        <v>56</v>
      </c>
      <c r="AY2"/>
      <c r="AZ2"/>
      <c r="BA2"/>
      <c r="BB2"/>
      <c r="BC2"/>
    </row>
    <row r="3" spans="1:55" s="6" customFormat="1" ht="12.75" customHeight="1" x14ac:dyDescent="0.25">
      <c r="A3" s="11" t="s">
        <v>57</v>
      </c>
      <c r="AX3" s="11" t="s">
        <v>65</v>
      </c>
      <c r="AY3"/>
      <c r="AZ3"/>
      <c r="BA3"/>
      <c r="BB3"/>
      <c r="BC3"/>
    </row>
    <row r="4" spans="1:55" s="6" customFormat="1" ht="12.75" customHeight="1" x14ac:dyDescent="0.25">
      <c r="AX4" s="24" t="s">
        <v>123</v>
      </c>
      <c r="AY4"/>
      <c r="AZ4"/>
      <c r="BA4"/>
      <c r="BB4"/>
      <c r="BC4"/>
    </row>
    <row r="5" spans="1:55" s="6" customFormat="1" ht="12.75" customHeight="1" x14ac:dyDescent="0.25">
      <c r="AY5"/>
      <c r="AZ5"/>
      <c r="BA5"/>
      <c r="BB5"/>
      <c r="BC5"/>
    </row>
    <row r="6" spans="1:55" s="6" customFormat="1" ht="15" x14ac:dyDescent="0.25">
      <c r="AX6" s="25" t="s">
        <v>85</v>
      </c>
      <c r="AY6"/>
      <c r="AZ6"/>
      <c r="BA6"/>
      <c r="BB6"/>
      <c r="BC6"/>
    </row>
    <row r="7" spans="1:55" s="6" customFormat="1" ht="15.75" customHeight="1" x14ac:dyDescent="0.2">
      <c r="A7" s="184" t="s">
        <v>58</v>
      </c>
      <c r="B7" s="184"/>
      <c r="C7" s="184"/>
      <c r="D7" s="184"/>
      <c r="E7" s="184"/>
      <c r="F7" s="184"/>
      <c r="G7" s="184"/>
      <c r="H7" s="184"/>
      <c r="I7" s="184"/>
      <c r="J7" s="184"/>
      <c r="K7" s="184"/>
      <c r="L7" s="184"/>
      <c r="M7" s="184"/>
      <c r="N7" s="184"/>
      <c r="O7" s="184"/>
      <c r="P7" s="184"/>
      <c r="Q7" s="184"/>
      <c r="R7" s="184"/>
      <c r="S7" s="184"/>
      <c r="T7" s="184"/>
      <c r="U7" s="184"/>
      <c r="V7" s="184"/>
      <c r="W7" s="184"/>
      <c r="X7" s="184"/>
      <c r="Y7" s="184"/>
      <c r="Z7" s="184"/>
      <c r="AA7" s="184"/>
      <c r="AB7" s="184"/>
      <c r="AC7" s="184"/>
      <c r="AD7" s="184"/>
      <c r="AE7" s="184"/>
      <c r="AF7" s="184"/>
      <c r="AG7" s="184"/>
      <c r="AH7" s="184"/>
      <c r="AI7" s="184"/>
      <c r="AJ7" s="184"/>
      <c r="AK7" s="184"/>
      <c r="AL7" s="184"/>
      <c r="AM7" s="184"/>
      <c r="AN7" s="184"/>
      <c r="AO7" s="184"/>
      <c r="AP7" s="184"/>
      <c r="AQ7" s="184"/>
      <c r="AR7" s="184"/>
      <c r="AS7" s="184"/>
      <c r="AT7" s="184"/>
      <c r="AU7" s="184"/>
      <c r="AV7" s="184"/>
      <c r="AW7" s="184"/>
      <c r="AX7" s="184"/>
      <c r="AY7" s="184"/>
      <c r="AZ7" s="184"/>
      <c r="BA7" s="184"/>
      <c r="BB7" s="184"/>
      <c r="BC7" s="109"/>
    </row>
    <row r="8" spans="1:55" s="6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55" ht="15.75" x14ac:dyDescent="0.25">
      <c r="A9" s="185"/>
      <c r="B9" s="185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  <c r="Z9" s="185"/>
      <c r="AA9" s="185"/>
      <c r="AB9" s="185"/>
      <c r="AC9" s="185"/>
      <c r="AD9" s="185"/>
      <c r="AE9" s="185"/>
      <c r="AF9" s="185"/>
      <c r="AG9" s="185"/>
      <c r="AH9" s="185"/>
      <c r="AI9" s="185"/>
      <c r="AJ9" s="185"/>
      <c r="AK9" s="185"/>
      <c r="AL9" s="185"/>
      <c r="AM9" s="185"/>
      <c r="AN9" s="185"/>
      <c r="AO9" s="185"/>
      <c r="AP9" s="185"/>
      <c r="AQ9" s="185"/>
      <c r="AR9" s="185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08"/>
    </row>
    <row r="10" spans="1:55" s="6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55" ht="12.7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3"/>
      <c r="L11" s="2"/>
      <c r="M11" s="2"/>
      <c r="N11" s="2"/>
      <c r="O11" s="2"/>
      <c r="U11" s="2"/>
      <c r="V11" s="2"/>
      <c r="W11" s="2"/>
      <c r="X11" s="2"/>
    </row>
    <row r="12" spans="1:55" ht="14.25" customHeight="1" x14ac:dyDescent="0.25">
      <c r="A12" s="160" t="s">
        <v>2</v>
      </c>
      <c r="B12" s="163" t="s">
        <v>129</v>
      </c>
      <c r="C12" s="163" t="s">
        <v>3</v>
      </c>
      <c r="D12" s="166" t="s">
        <v>60</v>
      </c>
      <c r="E12" s="155"/>
      <c r="F12" s="154" t="s">
        <v>131</v>
      </c>
      <c r="G12" s="155"/>
      <c r="H12" s="154" t="s">
        <v>1</v>
      </c>
      <c r="I12" s="155"/>
      <c r="J12" s="186" t="s">
        <v>135</v>
      </c>
      <c r="K12" s="154" t="s">
        <v>4</v>
      </c>
      <c r="L12" s="155"/>
      <c r="M12" s="175" t="s">
        <v>62</v>
      </c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  <c r="AA12" s="176"/>
      <c r="AB12" s="176"/>
      <c r="AC12" s="176"/>
      <c r="AD12" s="176"/>
      <c r="AE12" s="176"/>
      <c r="AF12" s="176"/>
      <c r="AG12" s="176"/>
      <c r="AH12" s="176"/>
      <c r="AI12" s="176"/>
      <c r="AJ12" s="176"/>
      <c r="AK12" s="176"/>
      <c r="AL12" s="176"/>
      <c r="AM12" s="176"/>
      <c r="AN12" s="176"/>
      <c r="AO12" s="176"/>
      <c r="AP12" s="177"/>
      <c r="AQ12" s="154" t="s">
        <v>69</v>
      </c>
      <c r="AR12" s="155"/>
      <c r="AS12" s="154" t="s">
        <v>59</v>
      </c>
      <c r="AT12" s="155"/>
      <c r="AU12" s="154" t="s">
        <v>70</v>
      </c>
      <c r="AV12" s="155"/>
      <c r="AW12" s="154" t="s">
        <v>71</v>
      </c>
      <c r="AX12" s="155"/>
      <c r="AY12" s="154" t="s">
        <v>72</v>
      </c>
      <c r="AZ12" s="155"/>
      <c r="BA12" s="182" t="s">
        <v>73</v>
      </c>
      <c r="BB12" s="179" t="s">
        <v>133</v>
      </c>
      <c r="BC12"/>
    </row>
    <row r="13" spans="1:55" ht="14.25" customHeight="1" x14ac:dyDescent="0.25">
      <c r="A13" s="161"/>
      <c r="B13" s="164"/>
      <c r="C13" s="164"/>
      <c r="D13" s="167"/>
      <c r="E13" s="157"/>
      <c r="F13" s="156"/>
      <c r="G13" s="157"/>
      <c r="H13" s="156"/>
      <c r="I13" s="157"/>
      <c r="J13" s="187"/>
      <c r="K13" s="156"/>
      <c r="L13" s="157"/>
      <c r="M13" s="152" t="s">
        <v>5</v>
      </c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  <c r="AA13" s="178"/>
      <c r="AB13" s="153"/>
      <c r="AC13" s="152" t="s">
        <v>6</v>
      </c>
      <c r="AD13" s="178"/>
      <c r="AE13" s="178"/>
      <c r="AF13" s="178"/>
      <c r="AG13" s="178"/>
      <c r="AH13" s="178"/>
      <c r="AI13" s="178"/>
      <c r="AJ13" s="178"/>
      <c r="AK13" s="178"/>
      <c r="AL13" s="178"/>
      <c r="AM13" s="178"/>
      <c r="AN13" s="178"/>
      <c r="AO13" s="178"/>
      <c r="AP13" s="153"/>
      <c r="AQ13" s="156"/>
      <c r="AR13" s="157"/>
      <c r="AS13" s="156"/>
      <c r="AT13" s="157"/>
      <c r="AU13" s="156"/>
      <c r="AV13" s="157"/>
      <c r="AW13" s="156"/>
      <c r="AX13" s="157"/>
      <c r="AY13" s="156"/>
      <c r="AZ13" s="157"/>
      <c r="BA13" s="183"/>
      <c r="BB13" s="180"/>
      <c r="BC13"/>
    </row>
    <row r="14" spans="1:55" ht="63.75" customHeight="1" x14ac:dyDescent="0.25">
      <c r="A14" s="161"/>
      <c r="B14" s="164"/>
      <c r="C14" s="164"/>
      <c r="D14" s="168"/>
      <c r="E14" s="159"/>
      <c r="F14" s="158"/>
      <c r="G14" s="159"/>
      <c r="H14" s="158"/>
      <c r="I14" s="159"/>
      <c r="J14" s="187"/>
      <c r="K14" s="158"/>
      <c r="L14" s="159"/>
      <c r="M14" s="152" t="s">
        <v>10</v>
      </c>
      <c r="N14" s="153"/>
      <c r="O14" s="152" t="s">
        <v>74</v>
      </c>
      <c r="P14" s="153"/>
      <c r="Q14" s="152" t="s">
        <v>75</v>
      </c>
      <c r="R14" s="153"/>
      <c r="S14" s="152" t="s">
        <v>86</v>
      </c>
      <c r="T14" s="153"/>
      <c r="U14" s="152" t="s">
        <v>136</v>
      </c>
      <c r="V14" s="153"/>
      <c r="W14" s="169" t="s">
        <v>132</v>
      </c>
      <c r="X14" s="170"/>
      <c r="Y14" s="152" t="s">
        <v>84</v>
      </c>
      <c r="Z14" s="153"/>
      <c r="AA14" s="152" t="s">
        <v>76</v>
      </c>
      <c r="AB14" s="153"/>
      <c r="AC14" s="152" t="s">
        <v>7</v>
      </c>
      <c r="AD14" s="178"/>
      <c r="AE14" s="178"/>
      <c r="AF14" s="178"/>
      <c r="AG14" s="178"/>
      <c r="AH14" s="178"/>
      <c r="AI14" s="178"/>
      <c r="AJ14" s="153"/>
      <c r="AK14" s="152" t="s">
        <v>8</v>
      </c>
      <c r="AL14" s="178"/>
      <c r="AM14" s="178"/>
      <c r="AN14" s="153"/>
      <c r="AO14" s="171" t="s">
        <v>77</v>
      </c>
      <c r="AP14" s="173" t="s">
        <v>18</v>
      </c>
      <c r="AQ14" s="158"/>
      <c r="AR14" s="159"/>
      <c r="AS14" s="158"/>
      <c r="AT14" s="159"/>
      <c r="AU14" s="158"/>
      <c r="AV14" s="159"/>
      <c r="AW14" s="158"/>
      <c r="AX14" s="159"/>
      <c r="AY14" s="158"/>
      <c r="AZ14" s="159"/>
      <c r="BA14" s="183"/>
      <c r="BB14" s="180"/>
      <c r="BC14"/>
    </row>
    <row r="15" spans="1:55" ht="38.25" customHeight="1" thickBot="1" x14ac:dyDescent="0.3">
      <c r="A15" s="162"/>
      <c r="B15" s="165"/>
      <c r="C15" s="165"/>
      <c r="D15" s="118" t="s">
        <v>61</v>
      </c>
      <c r="E15" s="77" t="s">
        <v>9</v>
      </c>
      <c r="F15" s="77" t="s">
        <v>11</v>
      </c>
      <c r="G15" s="77" t="s">
        <v>130</v>
      </c>
      <c r="H15" s="77" t="s">
        <v>0</v>
      </c>
      <c r="I15" s="77" t="s">
        <v>78</v>
      </c>
      <c r="J15" s="188"/>
      <c r="K15" s="77" t="s">
        <v>61</v>
      </c>
      <c r="L15" s="77" t="s">
        <v>9</v>
      </c>
      <c r="M15" s="77" t="s">
        <v>61</v>
      </c>
      <c r="N15" s="77" t="s">
        <v>9</v>
      </c>
      <c r="O15" s="77" t="s">
        <v>61</v>
      </c>
      <c r="P15" s="77" t="s">
        <v>9</v>
      </c>
      <c r="Q15" s="77" t="s">
        <v>61</v>
      </c>
      <c r="R15" s="77" t="s">
        <v>9</v>
      </c>
      <c r="S15" s="77" t="s">
        <v>61</v>
      </c>
      <c r="T15" s="77" t="s">
        <v>9</v>
      </c>
      <c r="U15" s="77" t="s">
        <v>61</v>
      </c>
      <c r="V15" s="77" t="s">
        <v>9</v>
      </c>
      <c r="W15" s="77" t="s">
        <v>61</v>
      </c>
      <c r="X15" s="77" t="s">
        <v>9</v>
      </c>
      <c r="Y15" s="77" t="s">
        <v>61</v>
      </c>
      <c r="Z15" s="77" t="s">
        <v>9</v>
      </c>
      <c r="AA15" s="77" t="s">
        <v>61</v>
      </c>
      <c r="AB15" s="77" t="s">
        <v>9</v>
      </c>
      <c r="AC15" s="77" t="s">
        <v>11</v>
      </c>
      <c r="AD15" s="77" t="s">
        <v>12</v>
      </c>
      <c r="AE15" s="77" t="s">
        <v>13</v>
      </c>
      <c r="AF15" s="77" t="s">
        <v>14</v>
      </c>
      <c r="AG15" s="77" t="s">
        <v>15</v>
      </c>
      <c r="AH15" s="77" t="s">
        <v>16</v>
      </c>
      <c r="AI15" s="107" t="s">
        <v>18</v>
      </c>
      <c r="AJ15" s="107" t="s">
        <v>17</v>
      </c>
      <c r="AK15" s="77" t="s">
        <v>19</v>
      </c>
      <c r="AL15" s="77" t="s">
        <v>20</v>
      </c>
      <c r="AM15" s="77" t="s">
        <v>21</v>
      </c>
      <c r="AN15" s="77" t="s">
        <v>22</v>
      </c>
      <c r="AO15" s="172"/>
      <c r="AP15" s="174"/>
      <c r="AQ15" s="77" t="s">
        <v>61</v>
      </c>
      <c r="AR15" s="77" t="s">
        <v>9</v>
      </c>
      <c r="AS15" s="77" t="s">
        <v>61</v>
      </c>
      <c r="AT15" s="77" t="s">
        <v>9</v>
      </c>
      <c r="AU15" s="77" t="s">
        <v>61</v>
      </c>
      <c r="AV15" s="77" t="s">
        <v>9</v>
      </c>
      <c r="AW15" s="77" t="s">
        <v>61</v>
      </c>
      <c r="AX15" s="77" t="s">
        <v>9</v>
      </c>
      <c r="AY15" s="77" t="s">
        <v>61</v>
      </c>
      <c r="AZ15" s="77" t="s">
        <v>9</v>
      </c>
      <c r="BA15" s="172"/>
      <c r="BB15" s="181"/>
      <c r="BC15"/>
    </row>
    <row r="16" spans="1:55" ht="15" customHeight="1" thickBot="1" x14ac:dyDescent="0.3">
      <c r="A16" s="106">
        <v>1</v>
      </c>
      <c r="B16" s="106">
        <v>2</v>
      </c>
      <c r="C16" s="106">
        <v>3</v>
      </c>
      <c r="D16" s="105">
        <v>4</v>
      </c>
      <c r="E16" s="78">
        <v>5</v>
      </c>
      <c r="F16" s="78">
        <v>6</v>
      </c>
      <c r="G16" s="78">
        <v>7</v>
      </c>
      <c r="H16" s="78">
        <v>8</v>
      </c>
      <c r="I16" s="78">
        <v>9</v>
      </c>
      <c r="J16" s="78">
        <v>10</v>
      </c>
      <c r="K16" s="78">
        <v>11</v>
      </c>
      <c r="L16" s="78">
        <v>12</v>
      </c>
      <c r="M16" s="78">
        <v>13</v>
      </c>
      <c r="N16" s="78">
        <v>14</v>
      </c>
      <c r="O16" s="78">
        <v>15</v>
      </c>
      <c r="P16" s="78">
        <v>16</v>
      </c>
      <c r="Q16" s="78">
        <v>17</v>
      </c>
      <c r="R16" s="78">
        <v>18</v>
      </c>
      <c r="S16" s="78">
        <v>19</v>
      </c>
      <c r="T16" s="78">
        <v>20</v>
      </c>
      <c r="U16" s="78">
        <v>21</v>
      </c>
      <c r="V16" s="78">
        <v>22</v>
      </c>
      <c r="W16" s="78">
        <v>23</v>
      </c>
      <c r="X16" s="78">
        <v>24</v>
      </c>
      <c r="Y16" s="78">
        <v>25</v>
      </c>
      <c r="Z16" s="78">
        <v>26</v>
      </c>
      <c r="AA16" s="78">
        <v>27</v>
      </c>
      <c r="AB16" s="78">
        <v>28</v>
      </c>
      <c r="AC16" s="78">
        <v>29</v>
      </c>
      <c r="AD16" s="78">
        <v>30</v>
      </c>
      <c r="AE16" s="78">
        <v>31</v>
      </c>
      <c r="AF16" s="78">
        <v>32</v>
      </c>
      <c r="AG16" s="78">
        <v>33</v>
      </c>
      <c r="AH16" s="78">
        <v>34</v>
      </c>
      <c r="AI16" s="78">
        <v>35</v>
      </c>
      <c r="AJ16" s="78">
        <v>36</v>
      </c>
      <c r="AK16" s="78">
        <v>37</v>
      </c>
      <c r="AL16" s="78">
        <v>38</v>
      </c>
      <c r="AM16" s="78">
        <v>39</v>
      </c>
      <c r="AN16" s="78">
        <v>40</v>
      </c>
      <c r="AO16" s="78">
        <v>41</v>
      </c>
      <c r="AP16" s="78">
        <v>42</v>
      </c>
      <c r="AQ16" s="78">
        <v>43</v>
      </c>
      <c r="AR16" s="78">
        <v>44</v>
      </c>
      <c r="AS16" s="78">
        <v>45</v>
      </c>
      <c r="AT16" s="78">
        <v>46</v>
      </c>
      <c r="AU16" s="78">
        <v>47</v>
      </c>
      <c r="AV16" s="78">
        <v>48</v>
      </c>
      <c r="AW16" s="78">
        <v>49</v>
      </c>
      <c r="AX16" s="78">
        <v>50</v>
      </c>
      <c r="AY16" s="78">
        <v>51</v>
      </c>
      <c r="AZ16" s="78">
        <v>52</v>
      </c>
      <c r="BA16" s="78">
        <v>53</v>
      </c>
      <c r="BB16" s="79">
        <v>54</v>
      </c>
      <c r="BC16"/>
    </row>
    <row r="17" spans="1:55" ht="15" customHeight="1" thickBot="1" x14ac:dyDescent="0.3">
      <c r="A17" s="87" t="s">
        <v>79</v>
      </c>
      <c r="B17" s="87"/>
      <c r="C17" s="87"/>
      <c r="D17" s="132">
        <f>AT17*AW17*AU17</f>
        <v>0</v>
      </c>
      <c r="E17" s="129">
        <f>ROUND(AT17*AV17*AX17,4)</f>
        <v>0</v>
      </c>
      <c r="F17" s="129"/>
      <c r="G17" s="129"/>
      <c r="H17" s="131">
        <f>SUM(H18:H23)</f>
        <v>0</v>
      </c>
      <c r="I17" s="131">
        <f>SUM(I18:I23)</f>
        <v>0</v>
      </c>
      <c r="J17" s="88"/>
      <c r="K17" s="130">
        <f>SUM(K18:K23)</f>
        <v>0</v>
      </c>
      <c r="L17" s="130">
        <f>SUM(L18:L23)</f>
        <v>0</v>
      </c>
      <c r="M17" s="129">
        <f>SUM(M18:M23)</f>
        <v>0</v>
      </c>
      <c r="N17" s="129">
        <f t="shared" ref="N17:AO17" si="0">SUM(N18:N23)</f>
        <v>0</v>
      </c>
      <c r="O17" s="129">
        <f t="shared" si="0"/>
        <v>0</v>
      </c>
      <c r="P17" s="129">
        <f t="shared" si="0"/>
        <v>0</v>
      </c>
      <c r="Q17" s="129">
        <f t="shared" si="0"/>
        <v>0</v>
      </c>
      <c r="R17" s="129">
        <f t="shared" si="0"/>
        <v>0</v>
      </c>
      <c r="S17" s="129">
        <f t="shared" si="0"/>
        <v>0</v>
      </c>
      <c r="T17" s="129">
        <f t="shared" si="0"/>
        <v>0</v>
      </c>
      <c r="U17" s="129">
        <f t="shared" si="0"/>
        <v>0</v>
      </c>
      <c r="V17" s="129">
        <f t="shared" si="0"/>
        <v>0</v>
      </c>
      <c r="W17" s="129">
        <f t="shared" si="0"/>
        <v>0</v>
      </c>
      <c r="X17" s="129">
        <f t="shared" si="0"/>
        <v>0</v>
      </c>
      <c r="Y17" s="129">
        <f t="shared" si="0"/>
        <v>0</v>
      </c>
      <c r="Z17" s="129">
        <f t="shared" si="0"/>
        <v>0</v>
      </c>
      <c r="AA17" s="129">
        <f t="shared" si="0"/>
        <v>0</v>
      </c>
      <c r="AB17" s="129">
        <f>SUM(AB18:AB23)</f>
        <v>0</v>
      </c>
      <c r="AC17" s="129">
        <f t="shared" si="0"/>
        <v>0</v>
      </c>
      <c r="AD17" s="129">
        <f t="shared" si="0"/>
        <v>0</v>
      </c>
      <c r="AE17" s="129">
        <f t="shared" si="0"/>
        <v>0</v>
      </c>
      <c r="AF17" s="129">
        <f t="shared" si="0"/>
        <v>0</v>
      </c>
      <c r="AG17" s="129">
        <f t="shared" si="0"/>
        <v>0</v>
      </c>
      <c r="AH17" s="129">
        <f t="shared" si="0"/>
        <v>0</v>
      </c>
      <c r="AI17" s="129">
        <f t="shared" si="0"/>
        <v>0</v>
      </c>
      <c r="AJ17" s="129">
        <f t="shared" si="0"/>
        <v>0</v>
      </c>
      <c r="AK17" s="129">
        <f t="shared" si="0"/>
        <v>0</v>
      </c>
      <c r="AL17" s="129">
        <f t="shared" si="0"/>
        <v>0</v>
      </c>
      <c r="AM17" s="129">
        <f t="shared" si="0"/>
        <v>0</v>
      </c>
      <c r="AN17" s="129">
        <f t="shared" si="0"/>
        <v>0</v>
      </c>
      <c r="AO17" s="129">
        <f t="shared" si="0"/>
        <v>0</v>
      </c>
      <c r="AP17" s="129">
        <f>SUM(AP18:AP23)</f>
        <v>0</v>
      </c>
      <c r="AQ17" s="129">
        <f>M17+O17+S17+U17+W17+AA17+Q17+Y17</f>
        <v>0</v>
      </c>
      <c r="AR17" s="129">
        <f>N17+P17+R17+AC17+AD17+AE17+AF17+AG17+AH17+AI17+AJ17+AK17+AL17+AM17+AN17+AO17+AP17+T17+V17+AB17+X17+Z17</f>
        <v>0</v>
      </c>
      <c r="AS17" s="129">
        <f>SUM(AS18:AS23)</f>
        <v>0</v>
      </c>
      <c r="AT17" s="129">
        <f>SUM(AT18:AT23)</f>
        <v>0</v>
      </c>
      <c r="AU17" s="131">
        <f>IF(AT17-AQ17=0,0,(AT17-M17-O17-Q17)/AT17)</f>
        <v>0</v>
      </c>
      <c r="AV17" s="131">
        <f>IF(AT17=0,0,(AT17-N17-P17-R17-AC17-AD17-AE17-AF17-AG17-AH17-AI17-AJ17-AL17)/AT17)</f>
        <v>0</v>
      </c>
      <c r="AW17" s="131">
        <f>IF(OR(AT17=0,AU17=0),0,((AT17*AU17)-S17-U17-W17-Y17-AA17)/(AT17*AU17))</f>
        <v>0</v>
      </c>
      <c r="AX17" s="131">
        <f>IF(OR(AT17=0,AV17=0),0,((AT17*AV17)-AK17-AM17-AN17-AO17-AP17-T17-V17-X17-Z17-AB17)/(AT17*AV17))</f>
        <v>0</v>
      </c>
      <c r="AY17" s="131">
        <f>IF(K17=0,0,K17/(D17-Y17)/24)</f>
        <v>0</v>
      </c>
      <c r="AZ17" s="131">
        <f t="shared" ref="AY17:AZ22" si="1">IF(L17=0,0,L17/(E17-Z17)/24)</f>
        <v>0</v>
      </c>
      <c r="BA17" s="129">
        <f>ROUND(AT17-E17-AR17,4)</f>
        <v>0</v>
      </c>
      <c r="BB17" s="89"/>
      <c r="BC17"/>
    </row>
    <row r="18" spans="1:55" ht="15" hidden="1" customHeight="1" x14ac:dyDescent="0.25">
      <c r="A18" s="80" t="s">
        <v>23</v>
      </c>
      <c r="B18" s="110">
        <v>22</v>
      </c>
      <c r="C18" s="110">
        <v>22</v>
      </c>
      <c r="D18" s="119">
        <f>AS18*AW18*AU18</f>
        <v>0</v>
      </c>
      <c r="E18" s="17">
        <f>ROUND(AS18*AV18*AX18,4)</f>
        <v>0</v>
      </c>
      <c r="F18" s="81"/>
      <c r="G18" s="81"/>
      <c r="H18" s="82"/>
      <c r="I18" s="82"/>
      <c r="J18" s="83" t="s">
        <v>55</v>
      </c>
      <c r="K18" s="84"/>
      <c r="L18" s="84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>
        <f t="shared" ref="AQ18:AQ61" si="2">M18+O18+S18+U18+W18+AA18+Q18+Y18</f>
        <v>0</v>
      </c>
      <c r="AR18" s="17">
        <f>N18+P18+R18+AC18+AD18+AE18+AF18+AG18+AH18+AI18+AJ18+AK18+AL18+AM18+AN18+AO18+AP18+T18+V18+AB18+X18+Z18</f>
        <v>0</v>
      </c>
      <c r="AS18" s="17">
        <f>AT18</f>
        <v>0</v>
      </c>
      <c r="AT18" s="17"/>
      <c r="AU18" s="18">
        <f t="shared" ref="AU18:AU61" si="3">IF(AT18-AQ18=0,0,(AT18-M18-O18-Q18)/AT18)</f>
        <v>0</v>
      </c>
      <c r="AV18" s="18">
        <f t="shared" ref="AV18:AV61" si="4">IF(AT18=0,0,(AT18-N18-P18-R18-AC18-AD18-AE18-AF18-AG18-AH18-AI18-AJ18-AL18)/AT18)</f>
        <v>0</v>
      </c>
      <c r="AW18" s="18">
        <f t="shared" ref="AW18:AW61" si="5">IF(OR(AT18=0,AU18=0),0,((AT18*AU18)-S18-U18-W18-Y18-AA18)/(AT18*AU18))</f>
        <v>0</v>
      </c>
      <c r="AX18" s="18">
        <f t="shared" ref="AX18:AX61" si="6">IF(OR(AT18=0,AV18=0),0,((AT18*AV18)-AK18-AM18-AN18-AO18-AP18-T18-V18-X18-Z18-AB18)/(AT18*AV18))</f>
        <v>0</v>
      </c>
      <c r="AY18" s="82">
        <f>IF(K18=0,0,K18/(D18-Y18)/24)</f>
        <v>0</v>
      </c>
      <c r="AZ18" s="82">
        <f t="shared" si="1"/>
        <v>0</v>
      </c>
      <c r="BA18" s="85">
        <f>ROUND(AS18-E18-AR18,4)</f>
        <v>0</v>
      </c>
      <c r="BB18" s="86"/>
      <c r="BC18"/>
    </row>
    <row r="19" spans="1:55" ht="15" hidden="1" customHeight="1" x14ac:dyDescent="0.25">
      <c r="A19" s="68" t="s">
        <v>24</v>
      </c>
      <c r="B19" s="111">
        <v>23</v>
      </c>
      <c r="C19" s="111">
        <v>23</v>
      </c>
      <c r="D19" s="119">
        <f t="shared" ref="D19:D23" si="7">AS19*AW19*AU19</f>
        <v>0</v>
      </c>
      <c r="E19" s="17">
        <f t="shared" ref="E19:E22" si="8">ROUND(AS19*AV19*AX19,4)</f>
        <v>0</v>
      </c>
      <c r="F19" s="19"/>
      <c r="G19" s="19"/>
      <c r="H19" s="18"/>
      <c r="I19" s="18"/>
      <c r="J19" s="8" t="s">
        <v>55</v>
      </c>
      <c r="K19" s="20"/>
      <c r="L19" s="20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7">
        <f t="shared" si="2"/>
        <v>0</v>
      </c>
      <c r="AR19" s="15">
        <f>N19+P19+R19+AC19+AD19+AE19+AF19+AG19+AH19+AI19+AJ19+AK19+AL19+AM19+AN19+AO19+AP19+T19+V19+AB19</f>
        <v>0</v>
      </c>
      <c r="AS19" s="17">
        <f t="shared" ref="AS19:AS23" si="9">AT19</f>
        <v>0</v>
      </c>
      <c r="AT19" s="15"/>
      <c r="AU19" s="18">
        <f t="shared" si="3"/>
        <v>0</v>
      </c>
      <c r="AV19" s="18">
        <f t="shared" si="4"/>
        <v>0</v>
      </c>
      <c r="AW19" s="18">
        <f t="shared" si="5"/>
        <v>0</v>
      </c>
      <c r="AX19" s="18">
        <f t="shared" si="6"/>
        <v>0</v>
      </c>
      <c r="AY19" s="18">
        <f t="shared" si="1"/>
        <v>0</v>
      </c>
      <c r="AZ19" s="18">
        <f t="shared" si="1"/>
        <v>0</v>
      </c>
      <c r="BA19" s="74">
        <f>ROUND(AS19-E19-AR19,4)</f>
        <v>0</v>
      </c>
      <c r="BB19" s="75"/>
      <c r="BC19"/>
    </row>
    <row r="20" spans="1:55" ht="15" hidden="1" customHeight="1" x14ac:dyDescent="0.25">
      <c r="A20" s="69" t="s">
        <v>25</v>
      </c>
      <c r="B20" s="112"/>
      <c r="C20" s="112">
        <v>24</v>
      </c>
      <c r="D20" s="119">
        <f t="shared" si="7"/>
        <v>0</v>
      </c>
      <c r="E20" s="17">
        <f t="shared" si="8"/>
        <v>0</v>
      </c>
      <c r="F20" s="19"/>
      <c r="G20" s="19"/>
      <c r="H20" s="18"/>
      <c r="I20" s="18"/>
      <c r="J20" s="8" t="s">
        <v>55</v>
      </c>
      <c r="K20" s="20"/>
      <c r="L20" s="20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7">
        <f t="shared" si="2"/>
        <v>0</v>
      </c>
      <c r="AR20" s="15">
        <f>N20+P20+R20+AC20+AD20+AE20+AF20+AG20+AH20+AI20+AJ20+AK20+AL20+AM20+AN20+AO20+AP20+T20+V20+AB20</f>
        <v>0</v>
      </c>
      <c r="AS20" s="17">
        <f t="shared" si="9"/>
        <v>0</v>
      </c>
      <c r="AT20" s="15"/>
      <c r="AU20" s="18">
        <f t="shared" si="3"/>
        <v>0</v>
      </c>
      <c r="AV20" s="18">
        <f t="shared" si="4"/>
        <v>0</v>
      </c>
      <c r="AW20" s="18">
        <f t="shared" si="5"/>
        <v>0</v>
      </c>
      <c r="AX20" s="18">
        <f t="shared" si="6"/>
        <v>0</v>
      </c>
      <c r="AY20" s="18">
        <f t="shared" si="1"/>
        <v>0</v>
      </c>
      <c r="AZ20" s="18">
        <f t="shared" si="1"/>
        <v>0</v>
      </c>
      <c r="BA20" s="74">
        <f t="shared" ref="BA20:BA22" si="10">ROUND(AS20-E20-AR20,4)</f>
        <v>0</v>
      </c>
      <c r="BB20" s="75"/>
      <c r="BC20"/>
    </row>
    <row r="21" spans="1:55" ht="15" hidden="1" customHeight="1" x14ac:dyDescent="0.25">
      <c r="A21" s="68" t="s">
        <v>26</v>
      </c>
      <c r="B21" s="111"/>
      <c r="C21" s="111">
        <v>24</v>
      </c>
      <c r="D21" s="119">
        <f t="shared" si="7"/>
        <v>0</v>
      </c>
      <c r="E21" s="17">
        <f t="shared" si="8"/>
        <v>0</v>
      </c>
      <c r="F21" s="19"/>
      <c r="G21" s="19"/>
      <c r="H21" s="18"/>
      <c r="I21" s="18"/>
      <c r="J21" s="8" t="s">
        <v>55</v>
      </c>
      <c r="K21" s="20"/>
      <c r="L21" s="20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7">
        <f t="shared" si="2"/>
        <v>0</v>
      </c>
      <c r="AR21" s="15">
        <f>N21+P21+R21+AC21+AD21+AE21+AF21+AG21+AH21+AI21+AJ21+AK21+AL21+AM21+AN21+AO21+AP21+T21+V21+AB21</f>
        <v>0</v>
      </c>
      <c r="AS21" s="17">
        <f>AT21</f>
        <v>0</v>
      </c>
      <c r="AT21" s="15"/>
      <c r="AU21" s="18">
        <f t="shared" si="3"/>
        <v>0</v>
      </c>
      <c r="AV21" s="18">
        <f t="shared" si="4"/>
        <v>0</v>
      </c>
      <c r="AW21" s="18">
        <f t="shared" si="5"/>
        <v>0</v>
      </c>
      <c r="AX21" s="18">
        <f t="shared" si="6"/>
        <v>0</v>
      </c>
      <c r="AY21" s="18">
        <f t="shared" si="1"/>
        <v>0</v>
      </c>
      <c r="AZ21" s="18">
        <f t="shared" si="1"/>
        <v>0</v>
      </c>
      <c r="BA21" s="74">
        <f t="shared" si="10"/>
        <v>0</v>
      </c>
      <c r="BB21" s="75"/>
      <c r="BC21"/>
    </row>
    <row r="22" spans="1:55" ht="15" hidden="1" customHeight="1" x14ac:dyDescent="0.25">
      <c r="A22" s="70" t="s">
        <v>63</v>
      </c>
      <c r="B22" s="113"/>
      <c r="C22" s="113">
        <v>25</v>
      </c>
      <c r="D22" s="119">
        <f t="shared" si="7"/>
        <v>0</v>
      </c>
      <c r="E22" s="17">
        <f t="shared" si="8"/>
        <v>0</v>
      </c>
      <c r="F22" s="19"/>
      <c r="G22" s="19"/>
      <c r="H22" s="18"/>
      <c r="I22" s="18"/>
      <c r="J22" s="8" t="s">
        <v>55</v>
      </c>
      <c r="K22" s="20"/>
      <c r="L22" s="20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7">
        <f t="shared" si="2"/>
        <v>0</v>
      </c>
      <c r="AR22" s="15">
        <f>N22+P22+R22+AC22+AD22+AE22+AF22+AG22+AH22+AI22+AJ22+AK22+AL22+AM22+AN22+AO22+AP22+T22+V22+AB22</f>
        <v>0</v>
      </c>
      <c r="AS22" s="17">
        <f t="shared" si="9"/>
        <v>0</v>
      </c>
      <c r="AT22" s="15"/>
      <c r="AU22" s="18">
        <f t="shared" si="3"/>
        <v>0</v>
      </c>
      <c r="AV22" s="18">
        <f t="shared" si="4"/>
        <v>0</v>
      </c>
      <c r="AW22" s="18">
        <f t="shared" si="5"/>
        <v>0</v>
      </c>
      <c r="AX22" s="18">
        <f t="shared" si="6"/>
        <v>0</v>
      </c>
      <c r="AY22" s="18">
        <f t="shared" si="1"/>
        <v>0</v>
      </c>
      <c r="AZ22" s="18">
        <f t="shared" si="1"/>
        <v>0</v>
      </c>
      <c r="BA22" s="74">
        <f t="shared" si="10"/>
        <v>0</v>
      </c>
      <c r="BB22" s="75"/>
      <c r="BC22"/>
    </row>
    <row r="23" spans="1:55" ht="15" customHeight="1" thickBot="1" x14ac:dyDescent="0.3">
      <c r="A23" s="90" t="s">
        <v>27</v>
      </c>
      <c r="B23" s="123" t="s">
        <v>148</v>
      </c>
      <c r="C23" s="114">
        <v>17</v>
      </c>
      <c r="D23" s="119">
        <f t="shared" si="7"/>
        <v>0</v>
      </c>
      <c r="E23" s="17">
        <f>ROUND(AT23*AV23*AX23,4)</f>
        <v>0</v>
      </c>
      <c r="F23" s="91"/>
      <c r="G23" s="91"/>
      <c r="H23" s="92"/>
      <c r="I23" s="92"/>
      <c r="J23" s="93" t="s">
        <v>55</v>
      </c>
      <c r="K23" s="94"/>
      <c r="L23" s="94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7">
        <f t="shared" si="2"/>
        <v>0</v>
      </c>
      <c r="AR23" s="16">
        <f>N23+P23+R23+AC23+AD23+AE23+AF23+AG23+AH23+AI23+AJ23+AK23+AL23+AM23+AN23+AO23+AP23+T23+V23+X23+Z23+AB23</f>
        <v>0</v>
      </c>
      <c r="AS23" s="17">
        <f t="shared" si="9"/>
        <v>0</v>
      </c>
      <c r="AT23" s="16"/>
      <c r="AU23" s="82">
        <f t="shared" si="3"/>
        <v>0</v>
      </c>
      <c r="AV23" s="82">
        <f t="shared" si="4"/>
        <v>0</v>
      </c>
      <c r="AW23" s="82">
        <f t="shared" si="5"/>
        <v>0</v>
      </c>
      <c r="AX23" s="82">
        <f t="shared" si="6"/>
        <v>0</v>
      </c>
      <c r="AY23" s="92">
        <f>IF(D23=0,0,K23/D23/24)</f>
        <v>0</v>
      </c>
      <c r="AZ23" s="92">
        <f>IF(E23=0,0,L23/E23/24)</f>
        <v>0</v>
      </c>
      <c r="BA23" s="95">
        <f>ROUND(AT23-E23-AR23,4)</f>
        <v>0</v>
      </c>
      <c r="BB23" s="96"/>
      <c r="BC23"/>
    </row>
    <row r="24" spans="1:55" ht="15" customHeight="1" thickBot="1" x14ac:dyDescent="0.3">
      <c r="A24" s="87" t="s">
        <v>80</v>
      </c>
      <c r="B24" s="124"/>
      <c r="C24" s="87"/>
      <c r="D24" s="132">
        <f>AT24*AW24*AU24</f>
        <v>0</v>
      </c>
      <c r="E24" s="129">
        <f>SUM(E26:E27)</f>
        <v>0</v>
      </c>
      <c r="F24" s="129">
        <f>SUM(F25:F41)</f>
        <v>0</v>
      </c>
      <c r="G24" s="129"/>
      <c r="H24" s="131">
        <f>SUM(H25:H41)</f>
        <v>0</v>
      </c>
      <c r="I24" s="131">
        <f>SUM(I25:I41)</f>
        <v>0</v>
      </c>
      <c r="J24" s="88"/>
      <c r="K24" s="130">
        <f>SUM(K25:K41)</f>
        <v>0</v>
      </c>
      <c r="L24" s="130">
        <f>SUM(L25:L41)</f>
        <v>0</v>
      </c>
      <c r="M24" s="129">
        <f>SUM(M25:M41)</f>
        <v>0</v>
      </c>
      <c r="N24" s="129">
        <f t="shared" ref="N24:AO24" si="11">SUM(N25:N41)</f>
        <v>0</v>
      </c>
      <c r="O24" s="129">
        <f t="shared" si="11"/>
        <v>0</v>
      </c>
      <c r="P24" s="129">
        <f t="shared" si="11"/>
        <v>0</v>
      </c>
      <c r="Q24" s="129">
        <f t="shared" si="11"/>
        <v>0</v>
      </c>
      <c r="R24" s="129">
        <f t="shared" si="11"/>
        <v>0</v>
      </c>
      <c r="S24" s="129">
        <f t="shared" si="11"/>
        <v>0</v>
      </c>
      <c r="T24" s="129">
        <f t="shared" si="11"/>
        <v>0</v>
      </c>
      <c r="U24" s="129">
        <f t="shared" si="11"/>
        <v>0</v>
      </c>
      <c r="V24" s="129">
        <f t="shared" si="11"/>
        <v>0</v>
      </c>
      <c r="W24" s="129">
        <f t="shared" si="11"/>
        <v>0</v>
      </c>
      <c r="X24" s="129">
        <f t="shared" si="11"/>
        <v>0</v>
      </c>
      <c r="Y24" s="129">
        <f t="shared" si="11"/>
        <v>0</v>
      </c>
      <c r="Z24" s="129">
        <f t="shared" si="11"/>
        <v>0</v>
      </c>
      <c r="AA24" s="129">
        <f t="shared" si="11"/>
        <v>0</v>
      </c>
      <c r="AB24" s="129">
        <f t="shared" si="11"/>
        <v>0</v>
      </c>
      <c r="AC24" s="129">
        <f t="shared" si="11"/>
        <v>0</v>
      </c>
      <c r="AD24" s="129">
        <f t="shared" si="11"/>
        <v>0</v>
      </c>
      <c r="AE24" s="129">
        <f t="shared" si="11"/>
        <v>0</v>
      </c>
      <c r="AF24" s="129">
        <f t="shared" si="11"/>
        <v>0</v>
      </c>
      <c r="AG24" s="129">
        <f t="shared" si="11"/>
        <v>0</v>
      </c>
      <c r="AH24" s="129">
        <f t="shared" si="11"/>
        <v>0</v>
      </c>
      <c r="AI24" s="129">
        <f t="shared" si="11"/>
        <v>0</v>
      </c>
      <c r="AJ24" s="129">
        <f t="shared" si="11"/>
        <v>0</v>
      </c>
      <c r="AK24" s="129">
        <f t="shared" si="11"/>
        <v>0</v>
      </c>
      <c r="AL24" s="129">
        <f t="shared" si="11"/>
        <v>0</v>
      </c>
      <c r="AM24" s="129">
        <f t="shared" si="11"/>
        <v>0</v>
      </c>
      <c r="AN24" s="129">
        <f t="shared" si="11"/>
        <v>0</v>
      </c>
      <c r="AO24" s="129">
        <f t="shared" si="11"/>
        <v>0</v>
      </c>
      <c r="AP24" s="129">
        <f>SUM(AP25:AP41)</f>
        <v>0</v>
      </c>
      <c r="AQ24" s="129">
        <f t="shared" si="2"/>
        <v>0</v>
      </c>
      <c r="AR24" s="129">
        <f t="shared" ref="AR24:AR61" si="12">N24+P24+R24+AC24+AD24+AE24+AF24+AG24+AH24+AI24+AJ24+AK24+AL24+AM24+AN24+AO24+AP24+T24+V24+X24+Z24+AB24</f>
        <v>0</v>
      </c>
      <c r="AS24" s="129">
        <f>SUM(AS25:AS41)</f>
        <v>0</v>
      </c>
      <c r="AT24" s="129">
        <f>SUM(AT25:AT41)</f>
        <v>0</v>
      </c>
      <c r="AU24" s="131">
        <f t="shared" si="3"/>
        <v>0</v>
      </c>
      <c r="AV24" s="131">
        <f t="shared" si="4"/>
        <v>0</v>
      </c>
      <c r="AW24" s="131">
        <f t="shared" si="5"/>
        <v>0</v>
      </c>
      <c r="AX24" s="131">
        <f t="shared" si="6"/>
        <v>0</v>
      </c>
      <c r="AY24" s="131">
        <f t="shared" ref="AY24:AZ61" si="13">IF(D24=0,0,K24/D24/24)</f>
        <v>0</v>
      </c>
      <c r="AZ24" s="131">
        <f t="shared" si="13"/>
        <v>0</v>
      </c>
      <c r="BA24" s="129">
        <f t="shared" ref="BA24:BA61" si="14">ROUND(AT24-E24-AR24,4)</f>
        <v>0</v>
      </c>
      <c r="BB24" s="99"/>
      <c r="BC24"/>
    </row>
    <row r="25" spans="1:55" ht="15" hidden="1" customHeight="1" x14ac:dyDescent="0.25">
      <c r="A25" s="97" t="s">
        <v>28</v>
      </c>
      <c r="B25" s="115"/>
      <c r="C25" s="115">
        <v>30</v>
      </c>
      <c r="D25" s="121">
        <f>AT25*AU25*AW25</f>
        <v>0</v>
      </c>
      <c r="E25" s="15">
        <f t="shared" ref="E25:E51" si="15">ROUND(AS25*AV25*AX25,4)</f>
        <v>0</v>
      </c>
      <c r="F25" s="81"/>
      <c r="G25" s="81"/>
      <c r="H25" s="82"/>
      <c r="I25" s="82"/>
      <c r="J25" s="98" t="s">
        <v>68</v>
      </c>
      <c r="K25" s="84"/>
      <c r="L25" s="84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>
        <f t="shared" si="2"/>
        <v>0</v>
      </c>
      <c r="AR25" s="16">
        <f t="shared" si="12"/>
        <v>0</v>
      </c>
      <c r="AS25" s="17"/>
      <c r="AT25" s="17"/>
      <c r="AU25" s="92">
        <f t="shared" si="3"/>
        <v>0</v>
      </c>
      <c r="AV25" s="92">
        <f t="shared" si="4"/>
        <v>0</v>
      </c>
      <c r="AW25" s="92">
        <f t="shared" si="5"/>
        <v>0</v>
      </c>
      <c r="AX25" s="92">
        <f t="shared" si="6"/>
        <v>0</v>
      </c>
      <c r="AY25" s="92">
        <f t="shared" si="13"/>
        <v>0</v>
      </c>
      <c r="AZ25" s="92">
        <f t="shared" si="13"/>
        <v>0</v>
      </c>
      <c r="BA25" s="95">
        <f t="shared" si="14"/>
        <v>0</v>
      </c>
      <c r="BB25" s="86"/>
      <c r="BC25"/>
    </row>
    <row r="26" spans="1:55" ht="15" customHeight="1" x14ac:dyDescent="0.25">
      <c r="A26" s="71" t="s">
        <v>29</v>
      </c>
      <c r="B26" s="123" t="s">
        <v>137</v>
      </c>
      <c r="C26" s="112">
        <v>32</v>
      </c>
      <c r="D26" s="121">
        <f>AT26*AU26*AW26</f>
        <v>0</v>
      </c>
      <c r="E26" s="15">
        <f>ROUND(AT26*AV26*AX26,4)</f>
        <v>0</v>
      </c>
      <c r="F26" s="19"/>
      <c r="G26" s="19"/>
      <c r="H26" s="18"/>
      <c r="I26" s="18"/>
      <c r="J26" s="9" t="s">
        <v>68</v>
      </c>
      <c r="K26" s="20"/>
      <c r="L26" s="20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7">
        <f t="shared" si="2"/>
        <v>0</v>
      </c>
      <c r="AR26" s="16">
        <f t="shared" si="12"/>
        <v>0</v>
      </c>
      <c r="AS26" s="16"/>
      <c r="AT26" s="16"/>
      <c r="AU26" s="92">
        <f t="shared" si="3"/>
        <v>0</v>
      </c>
      <c r="AV26" s="92">
        <f t="shared" si="4"/>
        <v>0</v>
      </c>
      <c r="AW26" s="92">
        <f t="shared" si="5"/>
        <v>0</v>
      </c>
      <c r="AX26" s="92">
        <f t="shared" si="6"/>
        <v>0</v>
      </c>
      <c r="AY26" s="92">
        <f t="shared" si="13"/>
        <v>0</v>
      </c>
      <c r="AZ26" s="92">
        <f t="shared" si="13"/>
        <v>0</v>
      </c>
      <c r="BA26" s="95">
        <f t="shared" si="14"/>
        <v>0</v>
      </c>
      <c r="BB26" s="75"/>
      <c r="BC26"/>
    </row>
    <row r="27" spans="1:55" ht="15" customHeight="1" thickBot="1" x14ac:dyDescent="0.3">
      <c r="A27" s="71" t="s">
        <v>30</v>
      </c>
      <c r="B27" s="123" t="s">
        <v>138</v>
      </c>
      <c r="C27" s="112">
        <v>35</v>
      </c>
      <c r="D27" s="121">
        <f>AT27*AU27*AW27</f>
        <v>0</v>
      </c>
      <c r="E27" s="15">
        <f>ROUND(AT27*AV27*AX27,4)</f>
        <v>0</v>
      </c>
      <c r="F27" s="19"/>
      <c r="G27" s="19"/>
      <c r="H27" s="18"/>
      <c r="I27" s="18"/>
      <c r="J27" s="9" t="s">
        <v>68</v>
      </c>
      <c r="K27" s="20"/>
      <c r="L27" s="20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7">
        <f t="shared" si="2"/>
        <v>0</v>
      </c>
      <c r="AR27" s="16">
        <f t="shared" si="12"/>
        <v>0</v>
      </c>
      <c r="AS27" s="16"/>
      <c r="AT27" s="16"/>
      <c r="AU27" s="92">
        <f t="shared" si="3"/>
        <v>0</v>
      </c>
      <c r="AV27" s="92">
        <f t="shared" si="4"/>
        <v>0</v>
      </c>
      <c r="AW27" s="92">
        <f t="shared" si="5"/>
        <v>0</v>
      </c>
      <c r="AX27" s="92">
        <f t="shared" si="6"/>
        <v>0</v>
      </c>
      <c r="AY27" s="92">
        <f t="shared" si="13"/>
        <v>0</v>
      </c>
      <c r="AZ27" s="92">
        <f t="shared" si="13"/>
        <v>0</v>
      </c>
      <c r="BA27" s="95">
        <f t="shared" si="14"/>
        <v>0</v>
      </c>
      <c r="BB27" s="75"/>
      <c r="BC27"/>
    </row>
    <row r="28" spans="1:55" ht="15" hidden="1" customHeight="1" x14ac:dyDescent="0.3">
      <c r="A28" s="72" t="s">
        <v>31</v>
      </c>
      <c r="B28" s="111"/>
      <c r="C28" s="111">
        <v>39</v>
      </c>
      <c r="D28" s="121">
        <f t="shared" ref="D28:D41" si="16">AT28*AU28*AW28</f>
        <v>0</v>
      </c>
      <c r="E28" s="15">
        <f t="shared" si="15"/>
        <v>0</v>
      </c>
      <c r="F28" s="19"/>
      <c r="G28" s="19"/>
      <c r="H28" s="18"/>
      <c r="I28" s="18"/>
      <c r="J28" s="9" t="s">
        <v>68</v>
      </c>
      <c r="K28" s="20"/>
      <c r="L28" s="20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7">
        <f t="shared" si="2"/>
        <v>0</v>
      </c>
      <c r="AR28" s="16">
        <f t="shared" si="12"/>
        <v>0</v>
      </c>
      <c r="AS28" s="15"/>
      <c r="AT28" s="15"/>
      <c r="AU28" s="92">
        <f t="shared" si="3"/>
        <v>0</v>
      </c>
      <c r="AV28" s="92">
        <f t="shared" si="4"/>
        <v>0</v>
      </c>
      <c r="AW28" s="92">
        <f t="shared" si="5"/>
        <v>0</v>
      </c>
      <c r="AX28" s="92">
        <f t="shared" si="6"/>
        <v>0</v>
      </c>
      <c r="AY28" s="92">
        <f t="shared" si="13"/>
        <v>0</v>
      </c>
      <c r="AZ28" s="92">
        <f t="shared" si="13"/>
        <v>0</v>
      </c>
      <c r="BA28" s="95">
        <f t="shared" si="14"/>
        <v>0</v>
      </c>
      <c r="BB28" s="75"/>
      <c r="BC28"/>
    </row>
    <row r="29" spans="1:55" ht="15" hidden="1" customHeight="1" x14ac:dyDescent="0.3">
      <c r="A29" s="72" t="s">
        <v>32</v>
      </c>
      <c r="B29" s="111"/>
      <c r="C29" s="111">
        <v>40</v>
      </c>
      <c r="D29" s="121">
        <f t="shared" si="16"/>
        <v>0</v>
      </c>
      <c r="E29" s="15">
        <f t="shared" si="15"/>
        <v>0</v>
      </c>
      <c r="F29" s="19"/>
      <c r="G29" s="19"/>
      <c r="H29" s="18"/>
      <c r="I29" s="18"/>
      <c r="J29" s="9" t="s">
        <v>68</v>
      </c>
      <c r="K29" s="20"/>
      <c r="L29" s="20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7">
        <f t="shared" si="2"/>
        <v>0</v>
      </c>
      <c r="AR29" s="16">
        <f t="shared" si="12"/>
        <v>0</v>
      </c>
      <c r="AS29" s="15"/>
      <c r="AT29" s="15"/>
      <c r="AU29" s="92">
        <f t="shared" si="3"/>
        <v>0</v>
      </c>
      <c r="AV29" s="92">
        <f t="shared" si="4"/>
        <v>0</v>
      </c>
      <c r="AW29" s="92">
        <f t="shared" si="5"/>
        <v>0</v>
      </c>
      <c r="AX29" s="92">
        <f t="shared" si="6"/>
        <v>0</v>
      </c>
      <c r="AY29" s="92">
        <f t="shared" si="13"/>
        <v>0</v>
      </c>
      <c r="AZ29" s="92">
        <f t="shared" si="13"/>
        <v>0</v>
      </c>
      <c r="BA29" s="95">
        <f t="shared" si="14"/>
        <v>0</v>
      </c>
      <c r="BB29" s="75"/>
      <c r="BC29"/>
    </row>
    <row r="30" spans="1:55" ht="15" hidden="1" customHeight="1" x14ac:dyDescent="0.3">
      <c r="A30" s="72" t="s">
        <v>33</v>
      </c>
      <c r="B30" s="111"/>
      <c r="C30" s="111">
        <v>41</v>
      </c>
      <c r="D30" s="121">
        <f t="shared" si="16"/>
        <v>0</v>
      </c>
      <c r="E30" s="15">
        <f t="shared" si="15"/>
        <v>0</v>
      </c>
      <c r="F30" s="19"/>
      <c r="G30" s="19"/>
      <c r="H30" s="18"/>
      <c r="I30" s="18"/>
      <c r="J30" s="9" t="s">
        <v>68</v>
      </c>
      <c r="K30" s="20"/>
      <c r="L30" s="20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7">
        <f t="shared" si="2"/>
        <v>0</v>
      </c>
      <c r="AR30" s="16">
        <f t="shared" si="12"/>
        <v>0</v>
      </c>
      <c r="AS30" s="15"/>
      <c r="AT30" s="15"/>
      <c r="AU30" s="92">
        <f t="shared" si="3"/>
        <v>0</v>
      </c>
      <c r="AV30" s="92">
        <f t="shared" si="4"/>
        <v>0</v>
      </c>
      <c r="AW30" s="92">
        <f t="shared" si="5"/>
        <v>0</v>
      </c>
      <c r="AX30" s="92">
        <f t="shared" si="6"/>
        <v>0</v>
      </c>
      <c r="AY30" s="92">
        <f t="shared" si="13"/>
        <v>0</v>
      </c>
      <c r="AZ30" s="92">
        <f t="shared" si="13"/>
        <v>0</v>
      </c>
      <c r="BA30" s="95">
        <f t="shared" si="14"/>
        <v>0</v>
      </c>
      <c r="BB30" s="75"/>
      <c r="BC30"/>
    </row>
    <row r="31" spans="1:55" ht="15" hidden="1" customHeight="1" x14ac:dyDescent="0.3">
      <c r="A31" s="72" t="s">
        <v>34</v>
      </c>
      <c r="B31" s="111"/>
      <c r="C31" s="111">
        <v>42</v>
      </c>
      <c r="D31" s="121">
        <f t="shared" si="16"/>
        <v>0</v>
      </c>
      <c r="E31" s="15">
        <f t="shared" si="15"/>
        <v>0</v>
      </c>
      <c r="F31" s="19"/>
      <c r="G31" s="19"/>
      <c r="H31" s="18"/>
      <c r="I31" s="18"/>
      <c r="J31" s="9" t="s">
        <v>68</v>
      </c>
      <c r="K31" s="20"/>
      <c r="L31" s="20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7">
        <f t="shared" si="2"/>
        <v>0</v>
      </c>
      <c r="AR31" s="16">
        <f t="shared" si="12"/>
        <v>0</v>
      </c>
      <c r="AS31" s="15"/>
      <c r="AT31" s="15"/>
      <c r="AU31" s="92">
        <f t="shared" si="3"/>
        <v>0</v>
      </c>
      <c r="AV31" s="92">
        <f t="shared" si="4"/>
        <v>0</v>
      </c>
      <c r="AW31" s="92">
        <f t="shared" si="5"/>
        <v>0</v>
      </c>
      <c r="AX31" s="92">
        <f t="shared" si="6"/>
        <v>0</v>
      </c>
      <c r="AY31" s="92">
        <f t="shared" si="13"/>
        <v>0</v>
      </c>
      <c r="AZ31" s="92">
        <f t="shared" si="13"/>
        <v>0</v>
      </c>
      <c r="BA31" s="95">
        <f t="shared" si="14"/>
        <v>0</v>
      </c>
      <c r="BB31" s="75"/>
      <c r="BC31"/>
    </row>
    <row r="32" spans="1:55" ht="15" hidden="1" customHeight="1" x14ac:dyDescent="0.3">
      <c r="A32" s="72" t="s">
        <v>35</v>
      </c>
      <c r="B32" s="111"/>
      <c r="C32" s="111">
        <v>43</v>
      </c>
      <c r="D32" s="121">
        <f t="shared" si="16"/>
        <v>0</v>
      </c>
      <c r="E32" s="15">
        <f t="shared" si="15"/>
        <v>0</v>
      </c>
      <c r="F32" s="19"/>
      <c r="G32" s="19"/>
      <c r="H32" s="18"/>
      <c r="I32" s="18"/>
      <c r="J32" s="9" t="s">
        <v>68</v>
      </c>
      <c r="K32" s="20"/>
      <c r="L32" s="20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7">
        <f t="shared" si="2"/>
        <v>0</v>
      </c>
      <c r="AR32" s="16">
        <f t="shared" si="12"/>
        <v>0</v>
      </c>
      <c r="AS32" s="15"/>
      <c r="AT32" s="15"/>
      <c r="AU32" s="92">
        <f t="shared" si="3"/>
        <v>0</v>
      </c>
      <c r="AV32" s="92">
        <f t="shared" si="4"/>
        <v>0</v>
      </c>
      <c r="AW32" s="92">
        <f t="shared" si="5"/>
        <v>0</v>
      </c>
      <c r="AX32" s="92">
        <f t="shared" si="6"/>
        <v>0</v>
      </c>
      <c r="AY32" s="92">
        <f t="shared" si="13"/>
        <v>0</v>
      </c>
      <c r="AZ32" s="92">
        <f t="shared" si="13"/>
        <v>0</v>
      </c>
      <c r="BA32" s="95">
        <f t="shared" si="14"/>
        <v>0</v>
      </c>
      <c r="BB32" s="75"/>
      <c r="BC32"/>
    </row>
    <row r="33" spans="1:55" ht="15" hidden="1" customHeight="1" x14ac:dyDescent="0.3">
      <c r="A33" s="72" t="s">
        <v>36</v>
      </c>
      <c r="B33" s="111"/>
      <c r="C33" s="111">
        <v>44</v>
      </c>
      <c r="D33" s="121">
        <f t="shared" si="16"/>
        <v>0</v>
      </c>
      <c r="E33" s="15">
        <f t="shared" si="15"/>
        <v>0</v>
      </c>
      <c r="F33" s="19"/>
      <c r="G33" s="19"/>
      <c r="H33" s="18"/>
      <c r="I33" s="18"/>
      <c r="J33" s="9" t="s">
        <v>68</v>
      </c>
      <c r="K33" s="20"/>
      <c r="L33" s="20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7">
        <f t="shared" si="2"/>
        <v>0</v>
      </c>
      <c r="AR33" s="16">
        <f t="shared" si="12"/>
        <v>0</v>
      </c>
      <c r="AS33" s="15"/>
      <c r="AT33" s="15"/>
      <c r="AU33" s="92">
        <f t="shared" si="3"/>
        <v>0</v>
      </c>
      <c r="AV33" s="92">
        <f t="shared" si="4"/>
        <v>0</v>
      </c>
      <c r="AW33" s="92">
        <f t="shared" si="5"/>
        <v>0</v>
      </c>
      <c r="AX33" s="92">
        <f t="shared" si="6"/>
        <v>0</v>
      </c>
      <c r="AY33" s="92">
        <f t="shared" si="13"/>
        <v>0</v>
      </c>
      <c r="AZ33" s="92">
        <f t="shared" si="13"/>
        <v>0</v>
      </c>
      <c r="BA33" s="95">
        <f t="shared" si="14"/>
        <v>0</v>
      </c>
      <c r="BB33" s="75"/>
      <c r="BC33"/>
    </row>
    <row r="34" spans="1:55" ht="15" hidden="1" customHeight="1" x14ac:dyDescent="0.3">
      <c r="A34" s="72" t="s">
        <v>37</v>
      </c>
      <c r="B34" s="111"/>
      <c r="C34" s="111">
        <v>45</v>
      </c>
      <c r="D34" s="121">
        <f t="shared" si="16"/>
        <v>0</v>
      </c>
      <c r="E34" s="15">
        <f t="shared" si="15"/>
        <v>0</v>
      </c>
      <c r="F34" s="19"/>
      <c r="G34" s="19"/>
      <c r="H34" s="18"/>
      <c r="I34" s="18"/>
      <c r="J34" s="9" t="s">
        <v>68</v>
      </c>
      <c r="K34" s="20"/>
      <c r="L34" s="20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7">
        <f t="shared" si="2"/>
        <v>0</v>
      </c>
      <c r="AR34" s="16">
        <f t="shared" si="12"/>
        <v>0</v>
      </c>
      <c r="AS34" s="15"/>
      <c r="AT34" s="15"/>
      <c r="AU34" s="92">
        <f t="shared" si="3"/>
        <v>0</v>
      </c>
      <c r="AV34" s="92">
        <f t="shared" si="4"/>
        <v>0</v>
      </c>
      <c r="AW34" s="92">
        <f t="shared" si="5"/>
        <v>0</v>
      </c>
      <c r="AX34" s="92">
        <f t="shared" si="6"/>
        <v>0</v>
      </c>
      <c r="AY34" s="92">
        <f t="shared" si="13"/>
        <v>0</v>
      </c>
      <c r="AZ34" s="92">
        <f t="shared" si="13"/>
        <v>0</v>
      </c>
      <c r="BA34" s="95">
        <f t="shared" si="14"/>
        <v>0</v>
      </c>
      <c r="BB34" s="75"/>
      <c r="BC34"/>
    </row>
    <row r="35" spans="1:55" ht="15" hidden="1" customHeight="1" x14ac:dyDescent="0.3">
      <c r="A35" s="72" t="s">
        <v>38</v>
      </c>
      <c r="B35" s="111"/>
      <c r="C35" s="111">
        <v>46</v>
      </c>
      <c r="D35" s="121">
        <f t="shared" si="16"/>
        <v>0</v>
      </c>
      <c r="E35" s="15">
        <f t="shared" si="15"/>
        <v>0</v>
      </c>
      <c r="F35" s="19"/>
      <c r="G35" s="19"/>
      <c r="H35" s="18"/>
      <c r="I35" s="18"/>
      <c r="J35" s="9" t="s">
        <v>68</v>
      </c>
      <c r="K35" s="20"/>
      <c r="L35" s="20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7">
        <f t="shared" si="2"/>
        <v>0</v>
      </c>
      <c r="AR35" s="16">
        <f t="shared" si="12"/>
        <v>0</v>
      </c>
      <c r="AS35" s="15"/>
      <c r="AT35" s="15"/>
      <c r="AU35" s="92">
        <f t="shared" si="3"/>
        <v>0</v>
      </c>
      <c r="AV35" s="92">
        <f t="shared" si="4"/>
        <v>0</v>
      </c>
      <c r="AW35" s="92">
        <f t="shared" si="5"/>
        <v>0</v>
      </c>
      <c r="AX35" s="92">
        <f t="shared" si="6"/>
        <v>0</v>
      </c>
      <c r="AY35" s="92">
        <f t="shared" si="13"/>
        <v>0</v>
      </c>
      <c r="AZ35" s="92">
        <f t="shared" si="13"/>
        <v>0</v>
      </c>
      <c r="BA35" s="95">
        <f t="shared" si="14"/>
        <v>0</v>
      </c>
      <c r="BB35" s="75"/>
      <c r="BC35"/>
    </row>
    <row r="36" spans="1:55" ht="15" hidden="1" customHeight="1" x14ac:dyDescent="0.3">
      <c r="A36" s="72" t="s">
        <v>39</v>
      </c>
      <c r="B36" s="111"/>
      <c r="C36" s="111">
        <v>47</v>
      </c>
      <c r="D36" s="121">
        <f t="shared" si="16"/>
        <v>0</v>
      </c>
      <c r="E36" s="15">
        <f t="shared" si="15"/>
        <v>0</v>
      </c>
      <c r="F36" s="19"/>
      <c r="G36" s="19"/>
      <c r="H36" s="18"/>
      <c r="I36" s="18"/>
      <c r="J36" s="9" t="s">
        <v>68</v>
      </c>
      <c r="K36" s="20"/>
      <c r="L36" s="20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7">
        <f t="shared" si="2"/>
        <v>0</v>
      </c>
      <c r="AR36" s="16">
        <f t="shared" si="12"/>
        <v>0</v>
      </c>
      <c r="AS36" s="15"/>
      <c r="AT36" s="15"/>
      <c r="AU36" s="92">
        <f t="shared" si="3"/>
        <v>0</v>
      </c>
      <c r="AV36" s="92">
        <f t="shared" si="4"/>
        <v>0</v>
      </c>
      <c r="AW36" s="92">
        <f t="shared" si="5"/>
        <v>0</v>
      </c>
      <c r="AX36" s="92">
        <f t="shared" si="6"/>
        <v>0</v>
      </c>
      <c r="AY36" s="92">
        <f t="shared" si="13"/>
        <v>0</v>
      </c>
      <c r="AZ36" s="92">
        <f t="shared" si="13"/>
        <v>0</v>
      </c>
      <c r="BA36" s="95">
        <f t="shared" si="14"/>
        <v>0</v>
      </c>
      <c r="BB36" s="75"/>
      <c r="BC36"/>
    </row>
    <row r="37" spans="1:55" ht="15" hidden="1" customHeight="1" x14ac:dyDescent="0.3">
      <c r="A37" s="72" t="s">
        <v>40</v>
      </c>
      <c r="B37" s="111"/>
      <c r="C37" s="111">
        <v>48</v>
      </c>
      <c r="D37" s="121">
        <f t="shared" si="16"/>
        <v>0</v>
      </c>
      <c r="E37" s="15">
        <f t="shared" si="15"/>
        <v>0</v>
      </c>
      <c r="F37" s="19"/>
      <c r="G37" s="19"/>
      <c r="H37" s="18"/>
      <c r="I37" s="18"/>
      <c r="J37" s="9" t="s">
        <v>68</v>
      </c>
      <c r="K37" s="20"/>
      <c r="L37" s="20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7">
        <f t="shared" si="2"/>
        <v>0</v>
      </c>
      <c r="AR37" s="16">
        <f t="shared" si="12"/>
        <v>0</v>
      </c>
      <c r="AS37" s="15"/>
      <c r="AT37" s="15"/>
      <c r="AU37" s="92">
        <f t="shared" si="3"/>
        <v>0</v>
      </c>
      <c r="AV37" s="92">
        <f t="shared" si="4"/>
        <v>0</v>
      </c>
      <c r="AW37" s="92">
        <f t="shared" si="5"/>
        <v>0</v>
      </c>
      <c r="AX37" s="92">
        <f t="shared" si="6"/>
        <v>0</v>
      </c>
      <c r="AY37" s="92">
        <f t="shared" si="13"/>
        <v>0</v>
      </c>
      <c r="AZ37" s="92">
        <f t="shared" si="13"/>
        <v>0</v>
      </c>
      <c r="BA37" s="95">
        <f t="shared" si="14"/>
        <v>0</v>
      </c>
      <c r="BB37" s="75"/>
      <c r="BC37"/>
    </row>
    <row r="38" spans="1:55" ht="15" hidden="1" customHeight="1" x14ac:dyDescent="0.3">
      <c r="A38" s="72" t="s">
        <v>41</v>
      </c>
      <c r="B38" s="111"/>
      <c r="C38" s="111">
        <v>49</v>
      </c>
      <c r="D38" s="121">
        <f t="shared" si="16"/>
        <v>0</v>
      </c>
      <c r="E38" s="15">
        <f t="shared" si="15"/>
        <v>0</v>
      </c>
      <c r="F38" s="19"/>
      <c r="G38" s="19"/>
      <c r="H38" s="18"/>
      <c r="I38" s="18"/>
      <c r="J38" s="9" t="s">
        <v>68</v>
      </c>
      <c r="K38" s="20"/>
      <c r="L38" s="20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7">
        <f t="shared" si="2"/>
        <v>0</v>
      </c>
      <c r="AR38" s="16">
        <f t="shared" si="12"/>
        <v>0</v>
      </c>
      <c r="AS38" s="15"/>
      <c r="AT38" s="15"/>
      <c r="AU38" s="92">
        <f t="shared" si="3"/>
        <v>0</v>
      </c>
      <c r="AV38" s="92">
        <f t="shared" si="4"/>
        <v>0</v>
      </c>
      <c r="AW38" s="92">
        <f t="shared" si="5"/>
        <v>0</v>
      </c>
      <c r="AX38" s="92">
        <f t="shared" si="6"/>
        <v>0</v>
      </c>
      <c r="AY38" s="92">
        <f t="shared" si="13"/>
        <v>0</v>
      </c>
      <c r="AZ38" s="92">
        <f t="shared" si="13"/>
        <v>0</v>
      </c>
      <c r="BA38" s="95">
        <f t="shared" si="14"/>
        <v>0</v>
      </c>
      <c r="BB38" s="75"/>
      <c r="BC38"/>
    </row>
    <row r="39" spans="1:55" ht="15" hidden="1" customHeight="1" x14ac:dyDescent="0.3">
      <c r="A39" s="72" t="s">
        <v>42</v>
      </c>
      <c r="B39" s="111"/>
      <c r="C39" s="111">
        <v>50</v>
      </c>
      <c r="D39" s="121">
        <f t="shared" si="16"/>
        <v>0</v>
      </c>
      <c r="E39" s="15">
        <f t="shared" si="15"/>
        <v>0</v>
      </c>
      <c r="F39" s="19"/>
      <c r="G39" s="19"/>
      <c r="H39" s="18"/>
      <c r="I39" s="18"/>
      <c r="J39" s="9" t="s">
        <v>68</v>
      </c>
      <c r="K39" s="20"/>
      <c r="L39" s="20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7">
        <f t="shared" si="2"/>
        <v>0</v>
      </c>
      <c r="AR39" s="16">
        <f t="shared" si="12"/>
        <v>0</v>
      </c>
      <c r="AS39" s="15"/>
      <c r="AT39" s="15"/>
      <c r="AU39" s="92">
        <f t="shared" si="3"/>
        <v>0</v>
      </c>
      <c r="AV39" s="92">
        <f t="shared" si="4"/>
        <v>0</v>
      </c>
      <c r="AW39" s="92">
        <f t="shared" si="5"/>
        <v>0</v>
      </c>
      <c r="AX39" s="92">
        <f t="shared" si="6"/>
        <v>0</v>
      </c>
      <c r="AY39" s="92">
        <f t="shared" si="13"/>
        <v>0</v>
      </c>
      <c r="AZ39" s="92">
        <f t="shared" si="13"/>
        <v>0</v>
      </c>
      <c r="BA39" s="95">
        <f t="shared" si="14"/>
        <v>0</v>
      </c>
      <c r="BB39" s="75"/>
      <c r="BC39"/>
    </row>
    <row r="40" spans="1:55" ht="15" hidden="1" customHeight="1" x14ac:dyDescent="0.3">
      <c r="A40" s="72" t="s">
        <v>43</v>
      </c>
      <c r="B40" s="111"/>
      <c r="C40" s="111">
        <v>51</v>
      </c>
      <c r="D40" s="121">
        <f t="shared" si="16"/>
        <v>0</v>
      </c>
      <c r="E40" s="15">
        <f t="shared" si="15"/>
        <v>0</v>
      </c>
      <c r="F40" s="19"/>
      <c r="G40" s="19"/>
      <c r="H40" s="18"/>
      <c r="I40" s="18"/>
      <c r="J40" s="9" t="s">
        <v>68</v>
      </c>
      <c r="K40" s="20"/>
      <c r="L40" s="20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7">
        <f t="shared" si="2"/>
        <v>0</v>
      </c>
      <c r="AR40" s="16">
        <f t="shared" si="12"/>
        <v>0</v>
      </c>
      <c r="AS40" s="15"/>
      <c r="AT40" s="15"/>
      <c r="AU40" s="92">
        <f t="shared" si="3"/>
        <v>0</v>
      </c>
      <c r="AV40" s="92">
        <f t="shared" si="4"/>
        <v>0</v>
      </c>
      <c r="AW40" s="92">
        <f t="shared" si="5"/>
        <v>0</v>
      </c>
      <c r="AX40" s="92">
        <f t="shared" si="6"/>
        <v>0</v>
      </c>
      <c r="AY40" s="92">
        <f t="shared" si="13"/>
        <v>0</v>
      </c>
      <c r="AZ40" s="92">
        <f t="shared" si="13"/>
        <v>0</v>
      </c>
      <c r="BA40" s="95">
        <f t="shared" si="14"/>
        <v>0</v>
      </c>
      <c r="BB40" s="75"/>
      <c r="BC40"/>
    </row>
    <row r="41" spans="1:55" ht="15" hidden="1" customHeight="1" thickBot="1" x14ac:dyDescent="0.3">
      <c r="A41" s="100" t="s">
        <v>44</v>
      </c>
      <c r="B41" s="116"/>
      <c r="C41" s="116">
        <v>52</v>
      </c>
      <c r="D41" s="121">
        <f t="shared" si="16"/>
        <v>0</v>
      </c>
      <c r="E41" s="15">
        <f t="shared" si="15"/>
        <v>0</v>
      </c>
      <c r="F41" s="91"/>
      <c r="G41" s="91"/>
      <c r="H41" s="92"/>
      <c r="I41" s="92"/>
      <c r="J41" s="101" t="s">
        <v>68</v>
      </c>
      <c r="K41" s="94"/>
      <c r="L41" s="94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7">
        <f t="shared" si="2"/>
        <v>0</v>
      </c>
      <c r="AR41" s="16">
        <f t="shared" si="12"/>
        <v>0</v>
      </c>
      <c r="AS41" s="16"/>
      <c r="AT41" s="16"/>
      <c r="AU41" s="92">
        <f t="shared" si="3"/>
        <v>0</v>
      </c>
      <c r="AV41" s="92">
        <f t="shared" si="4"/>
        <v>0</v>
      </c>
      <c r="AW41" s="92">
        <f t="shared" si="5"/>
        <v>0</v>
      </c>
      <c r="AX41" s="92">
        <f t="shared" si="6"/>
        <v>0</v>
      </c>
      <c r="AY41" s="92">
        <f t="shared" si="13"/>
        <v>0</v>
      </c>
      <c r="AZ41" s="92">
        <f t="shared" si="13"/>
        <v>0</v>
      </c>
      <c r="BA41" s="95">
        <f t="shared" si="14"/>
        <v>0</v>
      </c>
      <c r="BB41" s="96"/>
      <c r="BC41"/>
    </row>
    <row r="42" spans="1:55" ht="15" customHeight="1" thickBot="1" x14ac:dyDescent="0.3">
      <c r="A42" s="102" t="s">
        <v>81</v>
      </c>
      <c r="B42" s="124"/>
      <c r="C42" s="87"/>
      <c r="D42" s="132">
        <f>SUM(D43:D45)</f>
        <v>0</v>
      </c>
      <c r="E42" s="129">
        <f>SUM(E43:E45)</f>
        <v>0</v>
      </c>
      <c r="F42" s="129">
        <f>SUM(F43:F45)</f>
        <v>0</v>
      </c>
      <c r="G42" s="129"/>
      <c r="H42" s="131">
        <f>SUM(H43:H45)</f>
        <v>0</v>
      </c>
      <c r="I42" s="131">
        <f>SUM(I43:I45)</f>
        <v>0</v>
      </c>
      <c r="J42" s="88"/>
      <c r="K42" s="130"/>
      <c r="L42" s="130"/>
      <c r="M42" s="129">
        <f>SUM(M43:M45)</f>
        <v>0</v>
      </c>
      <c r="N42" s="129">
        <f t="shared" ref="N42:AP42" si="17">SUM(N43:N45)</f>
        <v>0</v>
      </c>
      <c r="O42" s="129">
        <f t="shared" si="17"/>
        <v>0</v>
      </c>
      <c r="P42" s="129">
        <f t="shared" si="17"/>
        <v>0</v>
      </c>
      <c r="Q42" s="129">
        <f t="shared" si="17"/>
        <v>0</v>
      </c>
      <c r="R42" s="129">
        <f t="shared" si="17"/>
        <v>0</v>
      </c>
      <c r="S42" s="129">
        <f t="shared" si="17"/>
        <v>0</v>
      </c>
      <c r="T42" s="129">
        <f t="shared" si="17"/>
        <v>0</v>
      </c>
      <c r="U42" s="129">
        <f t="shared" si="17"/>
        <v>0</v>
      </c>
      <c r="V42" s="129">
        <f t="shared" si="17"/>
        <v>0</v>
      </c>
      <c r="W42" s="129">
        <f t="shared" si="17"/>
        <v>0</v>
      </c>
      <c r="X42" s="129">
        <f t="shared" si="17"/>
        <v>0</v>
      </c>
      <c r="Y42" s="129">
        <f t="shared" si="17"/>
        <v>0</v>
      </c>
      <c r="Z42" s="129">
        <f t="shared" si="17"/>
        <v>0</v>
      </c>
      <c r="AA42" s="129">
        <f t="shared" si="17"/>
        <v>0</v>
      </c>
      <c r="AB42" s="129">
        <f t="shared" si="17"/>
        <v>0</v>
      </c>
      <c r="AC42" s="129">
        <f t="shared" si="17"/>
        <v>0</v>
      </c>
      <c r="AD42" s="129">
        <f t="shared" si="17"/>
        <v>0</v>
      </c>
      <c r="AE42" s="129">
        <f t="shared" si="17"/>
        <v>0</v>
      </c>
      <c r="AF42" s="129">
        <f t="shared" si="17"/>
        <v>0</v>
      </c>
      <c r="AG42" s="129">
        <f t="shared" si="17"/>
        <v>0</v>
      </c>
      <c r="AH42" s="129">
        <f t="shared" si="17"/>
        <v>0</v>
      </c>
      <c r="AI42" s="129">
        <f t="shared" si="17"/>
        <v>0</v>
      </c>
      <c r="AJ42" s="129">
        <f t="shared" si="17"/>
        <v>0</v>
      </c>
      <c r="AK42" s="129">
        <f t="shared" si="17"/>
        <v>0</v>
      </c>
      <c r="AL42" s="129">
        <f t="shared" si="17"/>
        <v>0</v>
      </c>
      <c r="AM42" s="129">
        <f t="shared" si="17"/>
        <v>0</v>
      </c>
      <c r="AN42" s="129">
        <f t="shared" si="17"/>
        <v>0</v>
      </c>
      <c r="AO42" s="129">
        <f t="shared" si="17"/>
        <v>0</v>
      </c>
      <c r="AP42" s="129">
        <f t="shared" si="17"/>
        <v>0</v>
      </c>
      <c r="AQ42" s="129">
        <f t="shared" si="2"/>
        <v>0</v>
      </c>
      <c r="AR42" s="129">
        <f t="shared" si="12"/>
        <v>0</v>
      </c>
      <c r="AS42" s="129"/>
      <c r="AT42" s="129">
        <f>SUM(AT43:AT45)</f>
        <v>0</v>
      </c>
      <c r="AU42" s="131">
        <f t="shared" si="3"/>
        <v>0</v>
      </c>
      <c r="AV42" s="131">
        <f t="shared" si="4"/>
        <v>0</v>
      </c>
      <c r="AW42" s="131">
        <f t="shared" si="5"/>
        <v>0</v>
      </c>
      <c r="AX42" s="131">
        <f t="shared" si="6"/>
        <v>0</v>
      </c>
      <c r="AY42" s="131">
        <f t="shared" si="13"/>
        <v>0</v>
      </c>
      <c r="AZ42" s="131">
        <f t="shared" si="13"/>
        <v>0</v>
      </c>
      <c r="BA42" s="129">
        <f t="shared" si="14"/>
        <v>0</v>
      </c>
      <c r="BB42" s="99"/>
      <c r="BC42"/>
    </row>
    <row r="43" spans="1:55" ht="15" customHeight="1" x14ac:dyDescent="0.25">
      <c r="A43" s="97" t="s">
        <v>66</v>
      </c>
      <c r="B43" s="123" t="s">
        <v>139</v>
      </c>
      <c r="C43" s="115">
        <v>25</v>
      </c>
      <c r="D43" s="121">
        <f>AT43*AU43*AW43</f>
        <v>0</v>
      </c>
      <c r="E43" s="17">
        <f>ROUND(AT43*AV43*AX43,4)</f>
        <v>0</v>
      </c>
      <c r="F43" s="81"/>
      <c r="G43" s="81"/>
      <c r="H43" s="82"/>
      <c r="I43" s="82"/>
      <c r="J43" s="14" t="s">
        <v>55</v>
      </c>
      <c r="K43" s="84"/>
      <c r="L43" s="84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>
        <f t="shared" si="2"/>
        <v>0</v>
      </c>
      <c r="AR43" s="16">
        <f t="shared" si="12"/>
        <v>0</v>
      </c>
      <c r="AS43" s="16"/>
      <c r="AT43" s="16"/>
      <c r="AU43" s="82">
        <f t="shared" si="3"/>
        <v>0</v>
      </c>
      <c r="AV43" s="82">
        <f t="shared" si="4"/>
        <v>0</v>
      </c>
      <c r="AW43" s="82">
        <f t="shared" si="5"/>
        <v>0</v>
      </c>
      <c r="AX43" s="82">
        <f t="shared" si="6"/>
        <v>0</v>
      </c>
      <c r="AY43" s="92">
        <f t="shared" si="13"/>
        <v>0</v>
      </c>
      <c r="AZ43" s="92">
        <f t="shared" si="13"/>
        <v>0</v>
      </c>
      <c r="BA43" s="95">
        <f t="shared" si="14"/>
        <v>0</v>
      </c>
      <c r="BB43" s="86"/>
      <c r="BC43"/>
    </row>
    <row r="44" spans="1:55" ht="15" hidden="1" customHeight="1" x14ac:dyDescent="0.25">
      <c r="A44" s="72" t="s">
        <v>67</v>
      </c>
      <c r="B44" s="123"/>
      <c r="C44" s="111">
        <v>31</v>
      </c>
      <c r="D44" s="121">
        <f>AT44*AU44*AW44</f>
        <v>0</v>
      </c>
      <c r="E44" s="15">
        <f t="shared" si="15"/>
        <v>0</v>
      </c>
      <c r="F44" s="19"/>
      <c r="G44" s="19"/>
      <c r="H44" s="18"/>
      <c r="I44" s="18"/>
      <c r="J44" s="7" t="s">
        <v>55</v>
      </c>
      <c r="K44" s="20"/>
      <c r="L44" s="20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7">
        <f t="shared" si="2"/>
        <v>0</v>
      </c>
      <c r="AR44" s="16">
        <f t="shared" si="12"/>
        <v>0</v>
      </c>
      <c r="AS44" s="15"/>
      <c r="AT44" s="15"/>
      <c r="AU44" s="82">
        <f t="shared" si="3"/>
        <v>0</v>
      </c>
      <c r="AV44" s="82">
        <f t="shared" si="4"/>
        <v>0</v>
      </c>
      <c r="AW44" s="82">
        <f t="shared" si="5"/>
        <v>0</v>
      </c>
      <c r="AX44" s="82">
        <f t="shared" si="6"/>
        <v>0</v>
      </c>
      <c r="AY44" s="92">
        <f t="shared" si="13"/>
        <v>0</v>
      </c>
      <c r="AZ44" s="92">
        <f t="shared" si="13"/>
        <v>0</v>
      </c>
      <c r="BA44" s="95">
        <f t="shared" si="14"/>
        <v>0</v>
      </c>
      <c r="BB44" s="75"/>
      <c r="BC44"/>
    </row>
    <row r="45" spans="1:55" ht="15" customHeight="1" thickBot="1" x14ac:dyDescent="0.3">
      <c r="A45" s="103" t="s">
        <v>67</v>
      </c>
      <c r="B45" s="123" t="s">
        <v>140</v>
      </c>
      <c r="C45" s="114">
        <v>38</v>
      </c>
      <c r="D45" s="121">
        <f>AT45*AU45*AW45</f>
        <v>0</v>
      </c>
      <c r="E45" s="16">
        <f>ROUND(AT45*AV45*AX45,4)</f>
        <v>0</v>
      </c>
      <c r="F45" s="91"/>
      <c r="G45" s="91"/>
      <c r="H45" s="92"/>
      <c r="I45" s="92"/>
      <c r="J45" s="13" t="s">
        <v>55</v>
      </c>
      <c r="K45" s="94"/>
      <c r="L45" s="94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7">
        <f t="shared" si="2"/>
        <v>0</v>
      </c>
      <c r="AR45" s="16">
        <f t="shared" si="12"/>
        <v>0</v>
      </c>
      <c r="AS45" s="16"/>
      <c r="AT45" s="16"/>
      <c r="AU45" s="82">
        <f t="shared" si="3"/>
        <v>0</v>
      </c>
      <c r="AV45" s="82">
        <f t="shared" si="4"/>
        <v>0</v>
      </c>
      <c r="AW45" s="82">
        <f t="shared" si="5"/>
        <v>0</v>
      </c>
      <c r="AX45" s="82">
        <f t="shared" si="6"/>
        <v>0</v>
      </c>
      <c r="AY45" s="92">
        <f t="shared" si="13"/>
        <v>0</v>
      </c>
      <c r="AZ45" s="92">
        <f t="shared" si="13"/>
        <v>0</v>
      </c>
      <c r="BA45" s="95">
        <f t="shared" si="14"/>
        <v>0</v>
      </c>
      <c r="BB45" s="96"/>
      <c r="BC45"/>
    </row>
    <row r="46" spans="1:55" ht="15" customHeight="1" thickBot="1" x14ac:dyDescent="0.3">
      <c r="A46" s="102" t="s">
        <v>82</v>
      </c>
      <c r="B46" s="124"/>
      <c r="C46" s="87"/>
      <c r="D46" s="132">
        <f>SUM(D47:D51)</f>
        <v>0</v>
      </c>
      <c r="E46" s="129">
        <f>SUM(E47:E51)</f>
        <v>0</v>
      </c>
      <c r="F46" s="129">
        <f>SUM(F47:F51)</f>
        <v>0</v>
      </c>
      <c r="G46" s="129"/>
      <c r="H46" s="131">
        <f>SUM(H47:H51)</f>
        <v>0</v>
      </c>
      <c r="I46" s="131">
        <f>SUM(I47:I51)</f>
        <v>0</v>
      </c>
      <c r="J46" s="88"/>
      <c r="K46" s="130"/>
      <c r="L46" s="130"/>
      <c r="M46" s="129">
        <f>SUM(M47:M51)</f>
        <v>0</v>
      </c>
      <c r="N46" s="129">
        <f t="shared" ref="N46:AP46" si="18">SUM(N47:N51)</f>
        <v>0</v>
      </c>
      <c r="O46" s="129">
        <f t="shared" si="18"/>
        <v>0</v>
      </c>
      <c r="P46" s="129">
        <f t="shared" si="18"/>
        <v>0</v>
      </c>
      <c r="Q46" s="129">
        <f t="shared" si="18"/>
        <v>0</v>
      </c>
      <c r="R46" s="129">
        <f t="shared" si="18"/>
        <v>0</v>
      </c>
      <c r="S46" s="129">
        <f t="shared" si="18"/>
        <v>0</v>
      </c>
      <c r="T46" s="129">
        <f t="shared" si="18"/>
        <v>0</v>
      </c>
      <c r="U46" s="129">
        <f t="shared" si="18"/>
        <v>0</v>
      </c>
      <c r="V46" s="129">
        <f t="shared" si="18"/>
        <v>0</v>
      </c>
      <c r="W46" s="129">
        <f t="shared" si="18"/>
        <v>0</v>
      </c>
      <c r="X46" s="129">
        <f t="shared" si="18"/>
        <v>0</v>
      </c>
      <c r="Y46" s="129">
        <f t="shared" si="18"/>
        <v>0</v>
      </c>
      <c r="Z46" s="129">
        <f t="shared" si="18"/>
        <v>0</v>
      </c>
      <c r="AA46" s="129">
        <f t="shared" si="18"/>
        <v>0</v>
      </c>
      <c r="AB46" s="129">
        <f t="shared" si="18"/>
        <v>0</v>
      </c>
      <c r="AC46" s="129">
        <f t="shared" si="18"/>
        <v>0</v>
      </c>
      <c r="AD46" s="129">
        <f t="shared" si="18"/>
        <v>0</v>
      </c>
      <c r="AE46" s="129">
        <f t="shared" si="18"/>
        <v>0</v>
      </c>
      <c r="AF46" s="129">
        <f t="shared" si="18"/>
        <v>0</v>
      </c>
      <c r="AG46" s="129">
        <f t="shared" si="18"/>
        <v>0</v>
      </c>
      <c r="AH46" s="129">
        <f t="shared" si="18"/>
        <v>0</v>
      </c>
      <c r="AI46" s="129">
        <f t="shared" si="18"/>
        <v>0</v>
      </c>
      <c r="AJ46" s="129">
        <f t="shared" si="18"/>
        <v>0</v>
      </c>
      <c r="AK46" s="129">
        <f t="shared" si="18"/>
        <v>0</v>
      </c>
      <c r="AL46" s="129">
        <f t="shared" si="18"/>
        <v>0</v>
      </c>
      <c r="AM46" s="129">
        <f t="shared" si="18"/>
        <v>0</v>
      </c>
      <c r="AN46" s="129">
        <f t="shared" si="18"/>
        <v>0</v>
      </c>
      <c r="AO46" s="129">
        <f t="shared" si="18"/>
        <v>0</v>
      </c>
      <c r="AP46" s="129">
        <f t="shared" si="18"/>
        <v>0</v>
      </c>
      <c r="AQ46" s="129">
        <f t="shared" si="2"/>
        <v>0</v>
      </c>
      <c r="AR46" s="129">
        <f t="shared" si="12"/>
        <v>0</v>
      </c>
      <c r="AS46" s="129"/>
      <c r="AT46" s="129">
        <f>SUM(AT47:AT51)</f>
        <v>0</v>
      </c>
      <c r="AU46" s="131">
        <f t="shared" si="3"/>
        <v>0</v>
      </c>
      <c r="AV46" s="131">
        <f t="shared" si="4"/>
        <v>0</v>
      </c>
      <c r="AW46" s="131">
        <f t="shared" si="5"/>
        <v>0</v>
      </c>
      <c r="AX46" s="131">
        <f t="shared" si="6"/>
        <v>0</v>
      </c>
      <c r="AY46" s="131">
        <f t="shared" si="13"/>
        <v>0</v>
      </c>
      <c r="AZ46" s="131">
        <f t="shared" si="13"/>
        <v>0</v>
      </c>
      <c r="BA46" s="129">
        <f t="shared" si="14"/>
        <v>0</v>
      </c>
      <c r="BB46" s="99"/>
      <c r="BC46"/>
    </row>
    <row r="47" spans="1:55" ht="15" customHeight="1" x14ac:dyDescent="0.25">
      <c r="A47" s="97" t="s">
        <v>46</v>
      </c>
      <c r="B47" s="123" t="s">
        <v>141</v>
      </c>
      <c r="C47" s="115">
        <v>28</v>
      </c>
      <c r="D47" s="121">
        <f>AT47*AU47*AW47</f>
        <v>0</v>
      </c>
      <c r="E47" s="17">
        <f>ROUND(AT47*AV47*AX47,4)</f>
        <v>0</v>
      </c>
      <c r="F47" s="81"/>
      <c r="G47" s="81"/>
      <c r="H47" s="82"/>
      <c r="I47" s="82"/>
      <c r="J47" s="14" t="s">
        <v>55</v>
      </c>
      <c r="K47" s="84"/>
      <c r="L47" s="84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>
        <f t="shared" si="2"/>
        <v>0</v>
      </c>
      <c r="AR47" s="16">
        <f t="shared" si="12"/>
        <v>0</v>
      </c>
      <c r="AS47" s="16"/>
      <c r="AT47" s="16"/>
      <c r="AU47" s="82">
        <f t="shared" si="3"/>
        <v>0</v>
      </c>
      <c r="AV47" s="82">
        <f t="shared" si="4"/>
        <v>0</v>
      </c>
      <c r="AW47" s="82">
        <f t="shared" si="5"/>
        <v>0</v>
      </c>
      <c r="AX47" s="82">
        <f t="shared" si="6"/>
        <v>0</v>
      </c>
      <c r="AY47" s="92">
        <f t="shared" si="13"/>
        <v>0</v>
      </c>
      <c r="AZ47" s="92">
        <f t="shared" si="13"/>
        <v>0</v>
      </c>
      <c r="BA47" s="95">
        <f t="shared" si="14"/>
        <v>0</v>
      </c>
      <c r="BB47" s="86"/>
      <c r="BC47"/>
    </row>
    <row r="48" spans="1:55" ht="15" customHeight="1" thickBot="1" x14ac:dyDescent="0.3">
      <c r="A48" s="71" t="s">
        <v>45</v>
      </c>
      <c r="B48" s="123" t="s">
        <v>142</v>
      </c>
      <c r="C48" s="112">
        <v>33</v>
      </c>
      <c r="D48" s="121">
        <f>AT48*AU48*AW48</f>
        <v>0</v>
      </c>
      <c r="E48" s="17">
        <f>ROUND(AT48*AV48*AX48,4)</f>
        <v>0</v>
      </c>
      <c r="F48" s="19"/>
      <c r="G48" s="19"/>
      <c r="H48" s="18"/>
      <c r="I48" s="18"/>
      <c r="J48" s="7" t="s">
        <v>55</v>
      </c>
      <c r="K48" s="20"/>
      <c r="L48" s="20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7">
        <f t="shared" si="2"/>
        <v>0</v>
      </c>
      <c r="AR48" s="16">
        <f t="shared" si="12"/>
        <v>0</v>
      </c>
      <c r="AS48" s="16"/>
      <c r="AT48" s="16"/>
      <c r="AU48" s="82">
        <f t="shared" si="3"/>
        <v>0</v>
      </c>
      <c r="AV48" s="82">
        <f t="shared" si="4"/>
        <v>0</v>
      </c>
      <c r="AW48" s="82">
        <f t="shared" si="5"/>
        <v>0</v>
      </c>
      <c r="AX48" s="82">
        <f t="shared" si="6"/>
        <v>0</v>
      </c>
      <c r="AY48" s="92">
        <f t="shared" si="13"/>
        <v>0</v>
      </c>
      <c r="AZ48" s="92">
        <f t="shared" si="13"/>
        <v>0</v>
      </c>
      <c r="BA48" s="95">
        <f t="shared" si="14"/>
        <v>0</v>
      </c>
      <c r="BB48" s="75"/>
      <c r="BC48"/>
    </row>
    <row r="49" spans="1:55" ht="15" hidden="1" customHeight="1" x14ac:dyDescent="0.3">
      <c r="A49" s="72" t="s">
        <v>48</v>
      </c>
      <c r="B49" s="111"/>
      <c r="C49" s="111">
        <v>35</v>
      </c>
      <c r="D49" s="120">
        <f t="shared" ref="D49:D51" si="19">AS49*AW49*AU49</f>
        <v>0</v>
      </c>
      <c r="E49" s="15">
        <f t="shared" si="15"/>
        <v>0</v>
      </c>
      <c r="F49" s="19"/>
      <c r="G49" s="19"/>
      <c r="H49" s="18"/>
      <c r="I49" s="18"/>
      <c r="J49" s="7" t="s">
        <v>55</v>
      </c>
      <c r="K49" s="20"/>
      <c r="L49" s="20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7">
        <f t="shared" si="2"/>
        <v>0</v>
      </c>
      <c r="AR49" s="16">
        <f t="shared" si="12"/>
        <v>0</v>
      </c>
      <c r="AS49" s="15"/>
      <c r="AT49" s="15"/>
      <c r="AU49" s="92">
        <f t="shared" si="3"/>
        <v>0</v>
      </c>
      <c r="AV49" s="92">
        <f t="shared" si="4"/>
        <v>0</v>
      </c>
      <c r="AW49" s="92">
        <f t="shared" si="5"/>
        <v>0</v>
      </c>
      <c r="AX49" s="92">
        <f t="shared" si="6"/>
        <v>0</v>
      </c>
      <c r="AY49" s="92">
        <f t="shared" si="13"/>
        <v>0</v>
      </c>
      <c r="AZ49" s="92">
        <f t="shared" si="13"/>
        <v>0</v>
      </c>
      <c r="BA49" s="95">
        <f t="shared" si="14"/>
        <v>0</v>
      </c>
      <c r="BB49" s="75"/>
      <c r="BC49"/>
    </row>
    <row r="50" spans="1:55" ht="15" hidden="1" customHeight="1" x14ac:dyDescent="0.3">
      <c r="A50" s="72" t="s">
        <v>47</v>
      </c>
      <c r="B50" s="111"/>
      <c r="C50" s="111">
        <v>36</v>
      </c>
      <c r="D50" s="120">
        <f t="shared" si="19"/>
        <v>0</v>
      </c>
      <c r="E50" s="15">
        <f t="shared" si="15"/>
        <v>0</v>
      </c>
      <c r="F50" s="19"/>
      <c r="G50" s="19"/>
      <c r="H50" s="18"/>
      <c r="I50" s="18"/>
      <c r="J50" s="7" t="s">
        <v>55</v>
      </c>
      <c r="K50" s="20"/>
      <c r="L50" s="20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7">
        <f t="shared" si="2"/>
        <v>0</v>
      </c>
      <c r="AR50" s="16">
        <f t="shared" si="12"/>
        <v>0</v>
      </c>
      <c r="AS50" s="15"/>
      <c r="AT50" s="15"/>
      <c r="AU50" s="92">
        <f t="shared" si="3"/>
        <v>0</v>
      </c>
      <c r="AV50" s="92">
        <f t="shared" si="4"/>
        <v>0</v>
      </c>
      <c r="AW50" s="92">
        <f t="shared" si="5"/>
        <v>0</v>
      </c>
      <c r="AX50" s="92">
        <f t="shared" si="6"/>
        <v>0</v>
      </c>
      <c r="AY50" s="92">
        <f t="shared" si="13"/>
        <v>0</v>
      </c>
      <c r="AZ50" s="92">
        <f t="shared" si="13"/>
        <v>0</v>
      </c>
      <c r="BA50" s="95">
        <f t="shared" si="14"/>
        <v>0</v>
      </c>
      <c r="BB50" s="75"/>
      <c r="BC50"/>
    </row>
    <row r="51" spans="1:55" ht="15" hidden="1" customHeight="1" thickBot="1" x14ac:dyDescent="0.3">
      <c r="A51" s="100" t="s">
        <v>64</v>
      </c>
      <c r="B51" s="116"/>
      <c r="C51" s="116">
        <v>37</v>
      </c>
      <c r="D51" s="121">
        <f t="shared" si="19"/>
        <v>0</v>
      </c>
      <c r="E51" s="16">
        <f t="shared" si="15"/>
        <v>0</v>
      </c>
      <c r="F51" s="91"/>
      <c r="G51" s="91"/>
      <c r="H51" s="92"/>
      <c r="I51" s="92"/>
      <c r="J51" s="13" t="s">
        <v>55</v>
      </c>
      <c r="K51" s="94"/>
      <c r="L51" s="94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7">
        <f t="shared" si="2"/>
        <v>0</v>
      </c>
      <c r="AR51" s="16">
        <f t="shared" si="12"/>
        <v>0</v>
      </c>
      <c r="AS51" s="16"/>
      <c r="AT51" s="16"/>
      <c r="AU51" s="92">
        <f t="shared" si="3"/>
        <v>0</v>
      </c>
      <c r="AV51" s="92">
        <f t="shared" si="4"/>
        <v>0</v>
      </c>
      <c r="AW51" s="92">
        <f t="shared" si="5"/>
        <v>0</v>
      </c>
      <c r="AX51" s="92">
        <f t="shared" si="6"/>
        <v>0</v>
      </c>
      <c r="AY51" s="92">
        <f t="shared" si="13"/>
        <v>0</v>
      </c>
      <c r="AZ51" s="92">
        <f t="shared" si="13"/>
        <v>0</v>
      </c>
      <c r="BA51" s="95">
        <f t="shared" si="14"/>
        <v>0</v>
      </c>
      <c r="BB51" s="96"/>
      <c r="BC51"/>
    </row>
    <row r="52" spans="1:55" ht="15" customHeight="1" thickBot="1" x14ac:dyDescent="0.3">
      <c r="A52" s="102" t="s">
        <v>49</v>
      </c>
      <c r="B52" s="124"/>
      <c r="C52" s="87"/>
      <c r="D52" s="132">
        <f>SUM(D53:D54)</f>
        <v>0</v>
      </c>
      <c r="E52" s="129">
        <f>SUM(E53:E54)</f>
        <v>0</v>
      </c>
      <c r="F52" s="129">
        <f>SUM(F53:F54)</f>
        <v>0</v>
      </c>
      <c r="G52" s="129"/>
      <c r="H52" s="131">
        <f>SUM(H53:H54)</f>
        <v>0</v>
      </c>
      <c r="I52" s="131">
        <f>SUM(I53:I54)</f>
        <v>0</v>
      </c>
      <c r="J52" s="88"/>
      <c r="K52" s="130"/>
      <c r="L52" s="130"/>
      <c r="M52" s="129">
        <f>SUM(M53:M54)</f>
        <v>0</v>
      </c>
      <c r="N52" s="129">
        <f t="shared" ref="N52:AP52" si="20">SUM(N53:N54)</f>
        <v>0</v>
      </c>
      <c r="O52" s="129">
        <f t="shared" si="20"/>
        <v>0</v>
      </c>
      <c r="P52" s="129">
        <f t="shared" si="20"/>
        <v>0</v>
      </c>
      <c r="Q52" s="129">
        <f t="shared" si="20"/>
        <v>0</v>
      </c>
      <c r="R52" s="129">
        <f t="shared" si="20"/>
        <v>0</v>
      </c>
      <c r="S52" s="129">
        <f t="shared" si="20"/>
        <v>0</v>
      </c>
      <c r="T52" s="129">
        <f t="shared" si="20"/>
        <v>0</v>
      </c>
      <c r="U52" s="129">
        <f t="shared" si="20"/>
        <v>0</v>
      </c>
      <c r="V52" s="129">
        <f t="shared" si="20"/>
        <v>0</v>
      </c>
      <c r="W52" s="129">
        <f t="shared" si="20"/>
        <v>0</v>
      </c>
      <c r="X52" s="129">
        <f t="shared" si="20"/>
        <v>0</v>
      </c>
      <c r="Y52" s="129">
        <f t="shared" si="20"/>
        <v>0</v>
      </c>
      <c r="Z52" s="129">
        <f t="shared" si="20"/>
        <v>0</v>
      </c>
      <c r="AA52" s="129">
        <f t="shared" si="20"/>
        <v>0</v>
      </c>
      <c r="AB52" s="129">
        <f t="shared" si="20"/>
        <v>0</v>
      </c>
      <c r="AC52" s="129">
        <f t="shared" si="20"/>
        <v>0</v>
      </c>
      <c r="AD52" s="129">
        <f t="shared" si="20"/>
        <v>0</v>
      </c>
      <c r="AE52" s="129">
        <f t="shared" si="20"/>
        <v>0</v>
      </c>
      <c r="AF52" s="129">
        <f t="shared" si="20"/>
        <v>0</v>
      </c>
      <c r="AG52" s="129">
        <f t="shared" si="20"/>
        <v>0</v>
      </c>
      <c r="AH52" s="129">
        <f t="shared" si="20"/>
        <v>0</v>
      </c>
      <c r="AI52" s="129">
        <f t="shared" si="20"/>
        <v>0</v>
      </c>
      <c r="AJ52" s="129">
        <f t="shared" si="20"/>
        <v>0</v>
      </c>
      <c r="AK52" s="129">
        <f t="shared" si="20"/>
        <v>0</v>
      </c>
      <c r="AL52" s="129">
        <f t="shared" si="20"/>
        <v>0</v>
      </c>
      <c r="AM52" s="129">
        <f t="shared" si="20"/>
        <v>0</v>
      </c>
      <c r="AN52" s="129">
        <f t="shared" si="20"/>
        <v>0</v>
      </c>
      <c r="AO52" s="129">
        <f t="shared" si="20"/>
        <v>0</v>
      </c>
      <c r="AP52" s="129">
        <f t="shared" si="20"/>
        <v>0</v>
      </c>
      <c r="AQ52" s="129">
        <f t="shared" si="2"/>
        <v>0</v>
      </c>
      <c r="AR52" s="129">
        <f t="shared" si="12"/>
        <v>0</v>
      </c>
      <c r="AS52" s="129"/>
      <c r="AT52" s="129">
        <f>SUM(AT53:AT54)</f>
        <v>0</v>
      </c>
      <c r="AU52" s="131">
        <f t="shared" si="3"/>
        <v>0</v>
      </c>
      <c r="AV52" s="131">
        <f t="shared" si="4"/>
        <v>0</v>
      </c>
      <c r="AW52" s="131">
        <f t="shared" si="5"/>
        <v>0</v>
      </c>
      <c r="AX52" s="131">
        <f t="shared" si="6"/>
        <v>0</v>
      </c>
      <c r="AY52" s="131">
        <f t="shared" si="13"/>
        <v>0</v>
      </c>
      <c r="AZ52" s="131">
        <f t="shared" si="13"/>
        <v>0</v>
      </c>
      <c r="BA52" s="129">
        <f t="shared" si="14"/>
        <v>0</v>
      </c>
      <c r="BB52" s="99"/>
      <c r="BC52"/>
    </row>
    <row r="53" spans="1:55" ht="15" customHeight="1" x14ac:dyDescent="0.25">
      <c r="A53" s="97" t="s">
        <v>51</v>
      </c>
      <c r="B53" s="123" t="s">
        <v>143</v>
      </c>
      <c r="C53" s="115">
        <v>4</v>
      </c>
      <c r="D53" s="121">
        <f>AT53*AU53*AW53</f>
        <v>0</v>
      </c>
      <c r="E53" s="17">
        <f>ROUND(AT53*AV53*AX53,4)</f>
        <v>0</v>
      </c>
      <c r="F53" s="81"/>
      <c r="G53" s="81"/>
      <c r="H53" s="82"/>
      <c r="I53" s="82"/>
      <c r="J53" s="14" t="s">
        <v>83</v>
      </c>
      <c r="K53" s="84"/>
      <c r="L53" s="84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>
        <f t="shared" si="2"/>
        <v>0</v>
      </c>
      <c r="AR53" s="16">
        <f t="shared" si="12"/>
        <v>0</v>
      </c>
      <c r="AS53" s="16"/>
      <c r="AT53" s="16"/>
      <c r="AU53" s="82">
        <f t="shared" si="3"/>
        <v>0</v>
      </c>
      <c r="AV53" s="82">
        <f t="shared" si="4"/>
        <v>0</v>
      </c>
      <c r="AW53" s="82">
        <f t="shared" si="5"/>
        <v>0</v>
      </c>
      <c r="AX53" s="82">
        <f t="shared" si="6"/>
        <v>0</v>
      </c>
      <c r="AY53" s="92">
        <f t="shared" si="13"/>
        <v>0</v>
      </c>
      <c r="AZ53" s="92">
        <f t="shared" si="13"/>
        <v>0</v>
      </c>
      <c r="BA53" s="95">
        <f t="shared" si="14"/>
        <v>0</v>
      </c>
      <c r="BB53" s="86"/>
      <c r="BC53"/>
    </row>
    <row r="54" spans="1:55" ht="15" customHeight="1" thickBot="1" x14ac:dyDescent="0.3">
      <c r="A54" s="104" t="s">
        <v>50</v>
      </c>
      <c r="B54" s="123" t="s">
        <v>153</v>
      </c>
      <c r="C54" s="117">
        <v>5</v>
      </c>
      <c r="D54" s="121">
        <f>AT54*AU54*AW54</f>
        <v>0</v>
      </c>
      <c r="E54" s="17">
        <f>ROUND(AT54*AV54*AX54,4)</f>
        <v>0</v>
      </c>
      <c r="F54" s="91"/>
      <c r="G54" s="91"/>
      <c r="H54" s="92"/>
      <c r="I54" s="92"/>
      <c r="J54" s="13" t="s">
        <v>83</v>
      </c>
      <c r="K54" s="94"/>
      <c r="L54" s="94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7">
        <f t="shared" si="2"/>
        <v>0</v>
      </c>
      <c r="AR54" s="16">
        <f t="shared" si="12"/>
        <v>0</v>
      </c>
      <c r="AS54" s="16"/>
      <c r="AT54" s="16"/>
      <c r="AU54" s="82">
        <f t="shared" si="3"/>
        <v>0</v>
      </c>
      <c r="AV54" s="82">
        <f t="shared" si="4"/>
        <v>0</v>
      </c>
      <c r="AW54" s="82">
        <f t="shared" si="5"/>
        <v>0</v>
      </c>
      <c r="AX54" s="82">
        <f t="shared" si="6"/>
        <v>0</v>
      </c>
      <c r="AY54" s="92">
        <f t="shared" si="13"/>
        <v>0</v>
      </c>
      <c r="AZ54" s="92">
        <f t="shared" si="13"/>
        <v>0</v>
      </c>
      <c r="BA54" s="95">
        <f t="shared" si="14"/>
        <v>0</v>
      </c>
      <c r="BB54" s="96"/>
      <c r="BC54"/>
    </row>
    <row r="55" spans="1:55" ht="15" customHeight="1" thickBot="1" x14ac:dyDescent="0.3">
      <c r="A55" s="87" t="s">
        <v>52</v>
      </c>
      <c r="B55" s="124"/>
      <c r="C55" s="87"/>
      <c r="D55" s="132">
        <f>SUM(D56:D61)</f>
        <v>0</v>
      </c>
      <c r="E55" s="129">
        <f>SUM(E56:E61)</f>
        <v>0</v>
      </c>
      <c r="F55" s="129">
        <f>SUM(F56:F61)</f>
        <v>0</v>
      </c>
      <c r="G55" s="129"/>
      <c r="H55" s="131"/>
      <c r="I55" s="131"/>
      <c r="J55" s="88"/>
      <c r="K55" s="130"/>
      <c r="L55" s="130"/>
      <c r="M55" s="129">
        <f>SUM(M56:M61)</f>
        <v>0</v>
      </c>
      <c r="N55" s="129">
        <f t="shared" ref="N55:AP55" si="21">SUM(N56:N61)</f>
        <v>0</v>
      </c>
      <c r="O55" s="129">
        <f t="shared" si="21"/>
        <v>0</v>
      </c>
      <c r="P55" s="129">
        <f t="shared" si="21"/>
        <v>0</v>
      </c>
      <c r="Q55" s="129">
        <f t="shared" si="21"/>
        <v>0</v>
      </c>
      <c r="R55" s="129">
        <f t="shared" si="21"/>
        <v>0</v>
      </c>
      <c r="S55" s="129">
        <f t="shared" si="21"/>
        <v>0</v>
      </c>
      <c r="T55" s="129">
        <f t="shared" si="21"/>
        <v>0</v>
      </c>
      <c r="U55" s="129">
        <f t="shared" si="21"/>
        <v>0</v>
      </c>
      <c r="V55" s="129">
        <f t="shared" si="21"/>
        <v>0</v>
      </c>
      <c r="W55" s="129">
        <f t="shared" si="21"/>
        <v>0</v>
      </c>
      <c r="X55" s="129">
        <f t="shared" si="21"/>
        <v>0</v>
      </c>
      <c r="Y55" s="129">
        <f t="shared" si="21"/>
        <v>0</v>
      </c>
      <c r="Z55" s="129">
        <f t="shared" si="21"/>
        <v>0</v>
      </c>
      <c r="AA55" s="129">
        <f t="shared" si="21"/>
        <v>0</v>
      </c>
      <c r="AB55" s="129">
        <f t="shared" si="21"/>
        <v>0</v>
      </c>
      <c r="AC55" s="129">
        <f t="shared" si="21"/>
        <v>0</v>
      </c>
      <c r="AD55" s="129">
        <f t="shared" si="21"/>
        <v>0</v>
      </c>
      <c r="AE55" s="129">
        <f t="shared" si="21"/>
        <v>0</v>
      </c>
      <c r="AF55" s="129">
        <f t="shared" si="21"/>
        <v>0</v>
      </c>
      <c r="AG55" s="129">
        <f t="shared" si="21"/>
        <v>0</v>
      </c>
      <c r="AH55" s="129">
        <f t="shared" si="21"/>
        <v>0</v>
      </c>
      <c r="AI55" s="129">
        <f t="shared" si="21"/>
        <v>0</v>
      </c>
      <c r="AJ55" s="129">
        <f t="shared" si="21"/>
        <v>0</v>
      </c>
      <c r="AK55" s="129">
        <f t="shared" si="21"/>
        <v>0</v>
      </c>
      <c r="AL55" s="129">
        <f t="shared" si="21"/>
        <v>0</v>
      </c>
      <c r="AM55" s="129">
        <f t="shared" si="21"/>
        <v>0</v>
      </c>
      <c r="AN55" s="129">
        <f t="shared" si="21"/>
        <v>0</v>
      </c>
      <c r="AO55" s="129">
        <f t="shared" si="21"/>
        <v>0</v>
      </c>
      <c r="AP55" s="129">
        <f t="shared" si="21"/>
        <v>0</v>
      </c>
      <c r="AQ55" s="129">
        <f t="shared" si="2"/>
        <v>0</v>
      </c>
      <c r="AR55" s="129">
        <f t="shared" si="12"/>
        <v>0</v>
      </c>
      <c r="AS55" s="129"/>
      <c r="AT55" s="129">
        <f>SUM(AT56:AT61)</f>
        <v>0</v>
      </c>
      <c r="AU55" s="131">
        <f t="shared" si="3"/>
        <v>0</v>
      </c>
      <c r="AV55" s="131">
        <f t="shared" si="4"/>
        <v>0</v>
      </c>
      <c r="AW55" s="131">
        <f t="shared" si="5"/>
        <v>0</v>
      </c>
      <c r="AX55" s="131">
        <f t="shared" si="6"/>
        <v>0</v>
      </c>
      <c r="AY55" s="131">
        <f t="shared" si="13"/>
        <v>0</v>
      </c>
      <c r="AZ55" s="131">
        <f t="shared" si="13"/>
        <v>0</v>
      </c>
      <c r="BA55" s="129">
        <f t="shared" si="14"/>
        <v>0</v>
      </c>
      <c r="BB55" s="99"/>
      <c r="BC55"/>
    </row>
    <row r="56" spans="1:55" ht="15" customHeight="1" x14ac:dyDescent="0.25">
      <c r="A56" s="145" t="s">
        <v>53</v>
      </c>
      <c r="B56" s="147" t="s">
        <v>144</v>
      </c>
      <c r="C56" s="146">
        <v>15</v>
      </c>
      <c r="D56" s="121">
        <f>AT56*AU56*AW56</f>
        <v>0</v>
      </c>
      <c r="E56" s="17">
        <f>ROUND(AT56*AV56*AX56,4)</f>
        <v>0</v>
      </c>
      <c r="F56" s="81"/>
      <c r="G56" s="81"/>
      <c r="H56" s="82"/>
      <c r="I56" s="82"/>
      <c r="J56" s="14" t="s">
        <v>55</v>
      </c>
      <c r="K56" s="84"/>
      <c r="L56" s="84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>
        <f t="shared" si="2"/>
        <v>0</v>
      </c>
      <c r="AR56" s="16">
        <f t="shared" si="12"/>
        <v>0</v>
      </c>
      <c r="AS56" s="16"/>
      <c r="AT56" s="16"/>
      <c r="AU56" s="82">
        <f t="shared" si="3"/>
        <v>0</v>
      </c>
      <c r="AV56" s="82">
        <f t="shared" si="4"/>
        <v>0</v>
      </c>
      <c r="AW56" s="82">
        <f t="shared" si="5"/>
        <v>0</v>
      </c>
      <c r="AX56" s="82">
        <f t="shared" si="6"/>
        <v>0</v>
      </c>
      <c r="AY56" s="92">
        <f t="shared" si="13"/>
        <v>0</v>
      </c>
      <c r="AZ56" s="92">
        <f t="shared" si="13"/>
        <v>0</v>
      </c>
      <c r="BA56" s="95">
        <f t="shared" si="14"/>
        <v>0</v>
      </c>
      <c r="BB56" s="86"/>
      <c r="BC56"/>
    </row>
    <row r="57" spans="1:55" ht="15" customHeight="1" x14ac:dyDescent="0.25">
      <c r="A57" s="71" t="s">
        <v>54</v>
      </c>
      <c r="B57" s="123" t="s">
        <v>145</v>
      </c>
      <c r="C57" s="112">
        <v>16</v>
      </c>
      <c r="D57" s="121">
        <f>AT57*AU57*AW57</f>
        <v>0</v>
      </c>
      <c r="E57" s="17">
        <f t="shared" ref="E57:E61" si="22">ROUND(AT57*AV57*AX57,4)</f>
        <v>0</v>
      </c>
      <c r="F57" s="19"/>
      <c r="G57" s="19"/>
      <c r="H57" s="18"/>
      <c r="I57" s="18"/>
      <c r="J57" s="7" t="s">
        <v>55</v>
      </c>
      <c r="K57" s="20"/>
      <c r="L57" s="20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7">
        <f t="shared" si="2"/>
        <v>0</v>
      </c>
      <c r="AR57" s="16">
        <f t="shared" si="12"/>
        <v>0</v>
      </c>
      <c r="AS57" s="16"/>
      <c r="AT57" s="16"/>
      <c r="AU57" s="82">
        <f t="shared" si="3"/>
        <v>0</v>
      </c>
      <c r="AV57" s="82">
        <f t="shared" si="4"/>
        <v>0</v>
      </c>
      <c r="AW57" s="82">
        <f t="shared" si="5"/>
        <v>0</v>
      </c>
      <c r="AX57" s="82">
        <f t="shared" si="6"/>
        <v>0</v>
      </c>
      <c r="AY57" s="92">
        <f t="shared" si="13"/>
        <v>0</v>
      </c>
      <c r="AZ57" s="92">
        <f t="shared" si="13"/>
        <v>0</v>
      </c>
      <c r="BA57" s="95">
        <f t="shared" si="14"/>
        <v>0</v>
      </c>
      <c r="BB57" s="75"/>
      <c r="BC57"/>
    </row>
    <row r="58" spans="1:55" ht="15" customHeight="1" x14ac:dyDescent="0.25">
      <c r="A58" s="73" t="s">
        <v>124</v>
      </c>
      <c r="B58" s="123" t="s">
        <v>146</v>
      </c>
      <c r="C58" s="113">
        <v>26</v>
      </c>
      <c r="D58" s="121">
        <f>AT58*AU58*AW58</f>
        <v>0</v>
      </c>
      <c r="E58" s="17">
        <f t="shared" si="22"/>
        <v>0</v>
      </c>
      <c r="F58" s="19"/>
      <c r="G58" s="19"/>
      <c r="H58" s="18"/>
      <c r="I58" s="18"/>
      <c r="J58" s="7" t="s">
        <v>55</v>
      </c>
      <c r="K58" s="20"/>
      <c r="L58" s="20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7">
        <f t="shared" si="2"/>
        <v>0</v>
      </c>
      <c r="AR58" s="16">
        <f t="shared" si="12"/>
        <v>0</v>
      </c>
      <c r="AS58" s="16"/>
      <c r="AT58" s="16"/>
      <c r="AU58" s="82">
        <f t="shared" si="3"/>
        <v>0</v>
      </c>
      <c r="AV58" s="82">
        <f t="shared" si="4"/>
        <v>0</v>
      </c>
      <c r="AW58" s="82">
        <f t="shared" si="5"/>
        <v>0</v>
      </c>
      <c r="AX58" s="82">
        <f t="shared" si="6"/>
        <v>0</v>
      </c>
      <c r="AY58" s="92">
        <f t="shared" si="13"/>
        <v>0</v>
      </c>
      <c r="AZ58" s="92">
        <f t="shared" si="13"/>
        <v>0</v>
      </c>
      <c r="BA58" s="95">
        <f t="shared" si="14"/>
        <v>0</v>
      </c>
      <c r="BB58" s="75"/>
      <c r="BC58"/>
    </row>
    <row r="59" spans="1:55" ht="15" customHeight="1" x14ac:dyDescent="0.25">
      <c r="A59" s="73" t="s">
        <v>125</v>
      </c>
      <c r="B59" s="123" t="s">
        <v>147</v>
      </c>
      <c r="C59" s="112">
        <v>30</v>
      </c>
      <c r="D59" s="121">
        <f t="shared" ref="D59:D61" si="23">AT59*AU59*AW59</f>
        <v>0</v>
      </c>
      <c r="E59" s="17">
        <f t="shared" si="22"/>
        <v>0</v>
      </c>
      <c r="F59" s="19"/>
      <c r="G59" s="19"/>
      <c r="H59" s="18"/>
      <c r="I59" s="18"/>
      <c r="J59" s="7" t="s">
        <v>55</v>
      </c>
      <c r="K59" s="20"/>
      <c r="L59" s="20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7">
        <f t="shared" si="2"/>
        <v>0</v>
      </c>
      <c r="AR59" s="16">
        <f t="shared" si="12"/>
        <v>0</v>
      </c>
      <c r="AS59" s="16"/>
      <c r="AT59" s="16"/>
      <c r="AU59" s="82">
        <f t="shared" si="3"/>
        <v>0</v>
      </c>
      <c r="AV59" s="82">
        <f t="shared" si="4"/>
        <v>0</v>
      </c>
      <c r="AW59" s="82">
        <f t="shared" si="5"/>
        <v>0</v>
      </c>
      <c r="AX59" s="82">
        <f t="shared" si="6"/>
        <v>0</v>
      </c>
      <c r="AY59" s="92">
        <f t="shared" si="13"/>
        <v>0</v>
      </c>
      <c r="AZ59" s="92">
        <f t="shared" si="13"/>
        <v>0</v>
      </c>
      <c r="BA59" s="95">
        <f t="shared" si="14"/>
        <v>0</v>
      </c>
      <c r="BB59" s="75"/>
      <c r="BC59"/>
    </row>
    <row r="60" spans="1:55" ht="15" customHeight="1" x14ac:dyDescent="0.25">
      <c r="A60" s="73" t="s">
        <v>151</v>
      </c>
      <c r="B60" s="148" t="s">
        <v>150</v>
      </c>
      <c r="C60" s="112">
        <v>32</v>
      </c>
      <c r="D60" s="121">
        <f t="shared" si="23"/>
        <v>0</v>
      </c>
      <c r="E60" s="17">
        <f t="shared" si="22"/>
        <v>0</v>
      </c>
      <c r="F60" s="19"/>
      <c r="G60" s="19"/>
      <c r="H60" s="18"/>
      <c r="I60" s="18"/>
      <c r="J60" s="7" t="s">
        <v>55</v>
      </c>
      <c r="K60" s="20"/>
      <c r="L60" s="20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7">
        <f t="shared" si="2"/>
        <v>0</v>
      </c>
      <c r="AR60" s="16">
        <f t="shared" si="12"/>
        <v>0</v>
      </c>
      <c r="AS60" s="16"/>
      <c r="AT60" s="16"/>
      <c r="AU60" s="82">
        <f t="shared" si="3"/>
        <v>0</v>
      </c>
      <c r="AV60" s="82">
        <f t="shared" si="4"/>
        <v>0</v>
      </c>
      <c r="AW60" s="82">
        <f t="shared" si="5"/>
        <v>0</v>
      </c>
      <c r="AX60" s="82">
        <f t="shared" si="6"/>
        <v>0</v>
      </c>
      <c r="AY60" s="92">
        <f t="shared" si="13"/>
        <v>0</v>
      </c>
      <c r="AZ60" s="92">
        <f t="shared" si="13"/>
        <v>0</v>
      </c>
      <c r="BA60" s="95">
        <f t="shared" si="14"/>
        <v>0</v>
      </c>
      <c r="BB60" s="75"/>
      <c r="BC60"/>
    </row>
    <row r="61" spans="1:55" ht="15.75" thickBot="1" x14ac:dyDescent="0.3">
      <c r="A61" s="143" t="s">
        <v>152</v>
      </c>
      <c r="B61" s="125" t="s">
        <v>154</v>
      </c>
      <c r="C61" s="144">
        <v>24</v>
      </c>
      <c r="D61" s="122">
        <f t="shared" si="23"/>
        <v>0</v>
      </c>
      <c r="E61" s="149">
        <f t="shared" si="22"/>
        <v>0</v>
      </c>
      <c r="F61" s="64"/>
      <c r="G61" s="64"/>
      <c r="H61" s="65"/>
      <c r="I61" s="65"/>
      <c r="J61" s="66" t="s">
        <v>55</v>
      </c>
      <c r="K61" s="67"/>
      <c r="L61" s="67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149">
        <f t="shared" si="2"/>
        <v>0</v>
      </c>
      <c r="AR61" s="63">
        <f t="shared" si="12"/>
        <v>0</v>
      </c>
      <c r="AS61" s="63"/>
      <c r="AT61" s="63"/>
      <c r="AU61" s="150">
        <f t="shared" si="3"/>
        <v>0</v>
      </c>
      <c r="AV61" s="150">
        <f t="shared" si="4"/>
        <v>0</v>
      </c>
      <c r="AW61" s="150">
        <f t="shared" si="5"/>
        <v>0</v>
      </c>
      <c r="AX61" s="150">
        <f t="shared" si="6"/>
        <v>0</v>
      </c>
      <c r="AY61" s="65">
        <f t="shared" si="13"/>
        <v>0</v>
      </c>
      <c r="AZ61" s="65">
        <f t="shared" si="13"/>
        <v>0</v>
      </c>
      <c r="BA61" s="151">
        <f t="shared" si="14"/>
        <v>0</v>
      </c>
      <c r="BB61" s="76"/>
    </row>
    <row r="62" spans="1:55" x14ac:dyDescent="0.25">
      <c r="C62" s="2"/>
      <c r="D62" s="3"/>
      <c r="F62" s="2"/>
      <c r="G62" s="2"/>
      <c r="H62" s="1"/>
      <c r="I62" s="1"/>
      <c r="M62" s="5"/>
      <c r="O62" s="4"/>
      <c r="P62" s="5"/>
      <c r="Q62" s="5"/>
      <c r="U62" s="2"/>
      <c r="V62" s="2"/>
      <c r="W62" s="2"/>
      <c r="X62" s="2"/>
      <c r="Y62" s="1"/>
      <c r="Z62" s="1"/>
      <c r="AA62" s="1"/>
      <c r="AB62" s="1"/>
    </row>
    <row r="63" spans="1:55" x14ac:dyDescent="0.25">
      <c r="A63" s="10"/>
      <c r="B63" s="10"/>
      <c r="C63" s="10"/>
      <c r="D63" s="3"/>
      <c r="F63" s="2"/>
      <c r="G63" s="2"/>
      <c r="H63" s="1"/>
      <c r="I63" s="1"/>
      <c r="M63" s="5"/>
      <c r="O63" s="4"/>
      <c r="P63" s="5"/>
      <c r="Q63" s="5"/>
      <c r="U63" s="2"/>
      <c r="V63" s="2"/>
      <c r="W63" s="2"/>
      <c r="X63" s="2"/>
      <c r="Y63" s="1"/>
      <c r="Z63" s="1"/>
      <c r="AA63" s="1"/>
      <c r="AB63" s="1"/>
    </row>
    <row r="64" spans="1:55" x14ac:dyDescent="0.2">
      <c r="A64" s="6" t="s">
        <v>126</v>
      </c>
      <c r="B64" s="6"/>
      <c r="C64" s="6"/>
      <c r="D64" s="6"/>
      <c r="F64" s="2"/>
      <c r="G64" s="2"/>
      <c r="H64" s="1"/>
      <c r="I64" s="1"/>
      <c r="M64" s="5"/>
      <c r="O64" s="4"/>
      <c r="P64" s="5"/>
      <c r="Q64" s="5"/>
      <c r="U64" s="2"/>
      <c r="V64" s="2"/>
      <c r="W64" s="2"/>
      <c r="X64" s="2"/>
      <c r="Y64" s="1"/>
      <c r="Z64" s="1"/>
      <c r="AA64" s="1"/>
      <c r="AB64" s="1"/>
    </row>
    <row r="65" spans="1:28" x14ac:dyDescent="0.2">
      <c r="A65" s="6"/>
      <c r="B65" s="6"/>
      <c r="C65" s="6"/>
      <c r="D65" s="6"/>
      <c r="F65" s="2"/>
      <c r="G65" s="2"/>
      <c r="H65" s="1"/>
      <c r="I65" s="1"/>
      <c r="M65" s="5"/>
      <c r="O65" s="4"/>
      <c r="P65" s="5"/>
      <c r="Q65" s="5"/>
      <c r="U65" s="2"/>
      <c r="V65" s="2"/>
      <c r="W65" s="2"/>
      <c r="X65" s="2"/>
      <c r="Y65" s="1"/>
      <c r="Z65" s="1"/>
      <c r="AA65" s="1"/>
      <c r="AB65" s="1"/>
    </row>
    <row r="66" spans="1:28" x14ac:dyDescent="0.2">
      <c r="A66" s="6" t="s">
        <v>128</v>
      </c>
      <c r="B66" s="6"/>
      <c r="C66" s="6"/>
      <c r="D66" s="6"/>
      <c r="F66" s="2"/>
      <c r="G66" s="2"/>
      <c r="H66" s="1"/>
      <c r="I66" s="1"/>
      <c r="M66" s="5"/>
      <c r="O66" s="4"/>
      <c r="P66" s="5"/>
      <c r="Q66" s="5"/>
      <c r="U66" s="2"/>
      <c r="V66" s="2"/>
      <c r="W66" s="2"/>
      <c r="X66" s="2"/>
      <c r="Y66" s="1"/>
      <c r="Z66" s="1"/>
      <c r="AA66" s="1"/>
      <c r="AB66" s="1"/>
    </row>
    <row r="67" spans="1:28" x14ac:dyDescent="0.2">
      <c r="A67" s="6"/>
      <c r="B67" s="6"/>
      <c r="C67" s="6"/>
      <c r="D67" s="6"/>
      <c r="F67" s="2"/>
      <c r="G67" s="2"/>
      <c r="H67" s="1"/>
      <c r="I67" s="1"/>
      <c r="M67" s="5"/>
      <c r="O67" s="4"/>
      <c r="P67" s="5"/>
      <c r="Q67" s="5"/>
      <c r="U67" s="2"/>
      <c r="V67" s="2"/>
      <c r="W67" s="2"/>
      <c r="X67" s="2"/>
      <c r="Y67" s="1"/>
      <c r="Z67" s="1"/>
      <c r="AA67" s="1"/>
      <c r="AB67" s="1"/>
    </row>
    <row r="68" spans="1:28" x14ac:dyDescent="0.2">
      <c r="A68" s="6" t="s">
        <v>127</v>
      </c>
      <c r="B68" s="6"/>
      <c r="C68" s="6"/>
      <c r="D68" s="6"/>
      <c r="F68" s="2"/>
      <c r="G68" s="2"/>
      <c r="H68" s="1"/>
      <c r="I68" s="1"/>
      <c r="M68" s="5"/>
      <c r="O68" s="4"/>
      <c r="P68" s="5"/>
      <c r="Q68" s="5"/>
      <c r="U68" s="2"/>
      <c r="V68" s="2"/>
      <c r="W68" s="2"/>
      <c r="X68" s="2"/>
      <c r="Y68" s="1"/>
      <c r="Z68" s="1"/>
      <c r="AA68" s="1"/>
      <c r="AB68" s="1"/>
    </row>
    <row r="71" spans="1:28" x14ac:dyDescent="0.25">
      <c r="A71" s="10"/>
      <c r="B71" s="10"/>
    </row>
    <row r="72" spans="1:28" x14ac:dyDescent="0.25">
      <c r="A72" s="10"/>
      <c r="B72" s="10"/>
    </row>
    <row r="73" spans="1:28" x14ac:dyDescent="0.25">
      <c r="A73" s="10"/>
      <c r="B73" s="10"/>
    </row>
    <row r="74" spans="1:28" x14ac:dyDescent="0.25">
      <c r="A74" s="10"/>
      <c r="B74" s="10"/>
    </row>
    <row r="75" spans="1:28" x14ac:dyDescent="0.25">
      <c r="A75" s="10"/>
      <c r="B75" s="10"/>
    </row>
    <row r="76" spans="1:28" x14ac:dyDescent="0.25">
      <c r="A76" s="10"/>
      <c r="B76" s="10"/>
    </row>
    <row r="77" spans="1:28" x14ac:dyDescent="0.25">
      <c r="A77" s="10"/>
      <c r="B77" s="10"/>
    </row>
    <row r="78" spans="1:28" x14ac:dyDescent="0.25">
      <c r="A78" s="10"/>
      <c r="B78" s="10"/>
    </row>
  </sheetData>
  <mergeCells count="32">
    <mergeCell ref="BB12:BB15"/>
    <mergeCell ref="AS12:AT14"/>
    <mergeCell ref="AU12:AV14"/>
    <mergeCell ref="A12:A15"/>
    <mergeCell ref="B12:B15"/>
    <mergeCell ref="F12:G14"/>
    <mergeCell ref="M14:N14"/>
    <mergeCell ref="O14:P14"/>
    <mergeCell ref="J12:J15"/>
    <mergeCell ref="K12:L14"/>
    <mergeCell ref="M12:AP12"/>
    <mergeCell ref="AP14:AP15"/>
    <mergeCell ref="AC14:AJ14"/>
    <mergeCell ref="AK14:AN14"/>
    <mergeCell ref="AY12:AZ14"/>
    <mergeCell ref="BA12:BA15"/>
    <mergeCell ref="AQ12:AR14"/>
    <mergeCell ref="A9:BB9"/>
    <mergeCell ref="A7:BB7"/>
    <mergeCell ref="Q14:R14"/>
    <mergeCell ref="S14:T14"/>
    <mergeCell ref="U14:V14"/>
    <mergeCell ref="W14:X14"/>
    <mergeCell ref="M13:AB13"/>
    <mergeCell ref="Y14:Z14"/>
    <mergeCell ref="AA14:AB14"/>
    <mergeCell ref="AW12:AX14"/>
    <mergeCell ref="C12:C15"/>
    <mergeCell ref="D12:E14"/>
    <mergeCell ref="H12:I14"/>
    <mergeCell ref="AC13:AP13"/>
    <mergeCell ref="AO14:AO15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8"/>
  <sheetViews>
    <sheetView showZeros="0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9" sqref="A9:BB9"/>
    </sheetView>
  </sheetViews>
  <sheetFormatPr defaultRowHeight="14.25" x14ac:dyDescent="0.25"/>
  <cols>
    <col min="1" max="1" width="30.7109375" style="2" customWidth="1"/>
    <col min="2" max="2" width="10.7109375" style="2" customWidth="1"/>
    <col min="3" max="3" width="9.7109375" style="3" customWidth="1"/>
    <col min="4" max="5" width="9.7109375" style="2" customWidth="1"/>
    <col min="6" max="7" width="9.7109375" style="1" customWidth="1"/>
    <col min="8" max="9" width="9.7109375" style="5" customWidth="1"/>
    <col min="10" max="10" width="8.7109375" style="5" customWidth="1"/>
    <col min="11" max="12" width="14.7109375" style="5" customWidth="1"/>
    <col min="13" max="13" width="9.7109375" style="4" customWidth="1"/>
    <col min="14" max="15" width="9.7109375" style="5" customWidth="1"/>
    <col min="16" max="20" width="9.7109375" style="2" customWidth="1"/>
    <col min="21" max="24" width="9.7109375" style="1" customWidth="1"/>
    <col min="25" max="54" width="9.7109375" style="2" customWidth="1"/>
    <col min="55" max="16384" width="9.140625" style="2"/>
  </cols>
  <sheetData>
    <row r="1" spans="1:55" ht="12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/>
      <c r="AJ1"/>
      <c r="AK1"/>
      <c r="AL1"/>
      <c r="AM1"/>
    </row>
    <row r="2" spans="1:55" ht="12.75" customHeight="1" x14ac:dyDescent="0.25">
      <c r="A2" s="11" t="s">
        <v>134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X2" s="11" t="s">
        <v>56</v>
      </c>
      <c r="AY2"/>
      <c r="AZ2"/>
      <c r="BA2"/>
      <c r="BB2"/>
      <c r="BC2"/>
    </row>
    <row r="3" spans="1:55" s="6" customFormat="1" ht="12.75" customHeight="1" x14ac:dyDescent="0.25">
      <c r="A3" s="11" t="s">
        <v>57</v>
      </c>
      <c r="AX3" s="11" t="s">
        <v>65</v>
      </c>
      <c r="AY3"/>
      <c r="AZ3"/>
      <c r="BA3"/>
      <c r="BB3"/>
      <c r="BC3"/>
    </row>
    <row r="4" spans="1:55" s="6" customFormat="1" ht="12.75" customHeight="1" x14ac:dyDescent="0.25">
      <c r="AX4" s="24" t="s">
        <v>123</v>
      </c>
      <c r="AY4"/>
      <c r="AZ4"/>
      <c r="BA4"/>
      <c r="BB4"/>
      <c r="BC4"/>
    </row>
    <row r="5" spans="1:55" s="6" customFormat="1" ht="12.75" customHeight="1" x14ac:dyDescent="0.25">
      <c r="AY5"/>
      <c r="AZ5"/>
      <c r="BA5"/>
      <c r="BB5"/>
      <c r="BC5"/>
    </row>
    <row r="6" spans="1:55" s="6" customFormat="1" ht="15" x14ac:dyDescent="0.25">
      <c r="AX6" s="25" t="s">
        <v>85</v>
      </c>
      <c r="AY6"/>
      <c r="AZ6"/>
      <c r="BA6"/>
      <c r="BB6"/>
      <c r="BC6"/>
    </row>
    <row r="7" spans="1:55" s="6" customFormat="1" ht="15.75" customHeight="1" x14ac:dyDescent="0.2">
      <c r="A7" s="184" t="s">
        <v>58</v>
      </c>
      <c r="B7" s="184"/>
      <c r="C7" s="184"/>
      <c r="D7" s="184"/>
      <c r="E7" s="184"/>
      <c r="F7" s="184"/>
      <c r="G7" s="184"/>
      <c r="H7" s="184"/>
      <c r="I7" s="184"/>
      <c r="J7" s="184"/>
      <c r="K7" s="184"/>
      <c r="L7" s="184"/>
      <c r="M7" s="184"/>
      <c r="N7" s="184"/>
      <c r="O7" s="184"/>
      <c r="P7" s="184"/>
      <c r="Q7" s="184"/>
      <c r="R7" s="184"/>
      <c r="S7" s="184"/>
      <c r="T7" s="184"/>
      <c r="U7" s="184"/>
      <c r="V7" s="184"/>
      <c r="W7" s="184"/>
      <c r="X7" s="184"/>
      <c r="Y7" s="184"/>
      <c r="Z7" s="184"/>
      <c r="AA7" s="184"/>
      <c r="AB7" s="184"/>
      <c r="AC7" s="184"/>
      <c r="AD7" s="184"/>
      <c r="AE7" s="184"/>
      <c r="AF7" s="184"/>
      <c r="AG7" s="184"/>
      <c r="AH7" s="184"/>
      <c r="AI7" s="184"/>
      <c r="AJ7" s="184"/>
      <c r="AK7" s="184"/>
      <c r="AL7" s="184"/>
      <c r="AM7" s="184"/>
      <c r="AN7" s="184"/>
      <c r="AO7" s="184"/>
      <c r="AP7" s="184"/>
      <c r="AQ7" s="184"/>
      <c r="AR7" s="184"/>
      <c r="AS7" s="184"/>
      <c r="AT7" s="184"/>
      <c r="AU7" s="184"/>
      <c r="AV7" s="184"/>
      <c r="AW7" s="184"/>
      <c r="AX7" s="184"/>
      <c r="AY7" s="184"/>
      <c r="AZ7" s="184"/>
      <c r="BA7" s="184"/>
      <c r="BB7" s="184"/>
      <c r="BC7" s="109"/>
    </row>
    <row r="8" spans="1:55" s="6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55" ht="15.75" x14ac:dyDescent="0.25">
      <c r="A9" s="185"/>
      <c r="B9" s="185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  <c r="Z9" s="185"/>
      <c r="AA9" s="185"/>
      <c r="AB9" s="185"/>
      <c r="AC9" s="185"/>
      <c r="AD9" s="185"/>
      <c r="AE9" s="185"/>
      <c r="AF9" s="185"/>
      <c r="AG9" s="185"/>
      <c r="AH9" s="185"/>
      <c r="AI9" s="185"/>
      <c r="AJ9" s="185"/>
      <c r="AK9" s="185"/>
      <c r="AL9" s="185"/>
      <c r="AM9" s="185"/>
      <c r="AN9" s="185"/>
      <c r="AO9" s="185"/>
      <c r="AP9" s="185"/>
      <c r="AQ9" s="185"/>
      <c r="AR9" s="185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08"/>
    </row>
    <row r="10" spans="1:55" s="6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55" ht="12.7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3"/>
      <c r="L11" s="2"/>
      <c r="M11" s="2"/>
      <c r="N11" s="2"/>
      <c r="O11" s="2"/>
      <c r="U11" s="2"/>
      <c r="V11" s="2"/>
      <c r="W11" s="2"/>
      <c r="X11" s="2"/>
    </row>
    <row r="12" spans="1:55" ht="14.25" customHeight="1" x14ac:dyDescent="0.25">
      <c r="A12" s="160" t="s">
        <v>2</v>
      </c>
      <c r="B12" s="163" t="s">
        <v>129</v>
      </c>
      <c r="C12" s="163" t="s">
        <v>3</v>
      </c>
      <c r="D12" s="166" t="s">
        <v>60</v>
      </c>
      <c r="E12" s="155"/>
      <c r="F12" s="154" t="s">
        <v>131</v>
      </c>
      <c r="G12" s="155"/>
      <c r="H12" s="154" t="s">
        <v>1</v>
      </c>
      <c r="I12" s="155"/>
      <c r="J12" s="186" t="s">
        <v>135</v>
      </c>
      <c r="K12" s="154" t="s">
        <v>4</v>
      </c>
      <c r="L12" s="155"/>
      <c r="M12" s="175" t="s">
        <v>62</v>
      </c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  <c r="AA12" s="176"/>
      <c r="AB12" s="176"/>
      <c r="AC12" s="176"/>
      <c r="AD12" s="176"/>
      <c r="AE12" s="176"/>
      <c r="AF12" s="176"/>
      <c r="AG12" s="176"/>
      <c r="AH12" s="176"/>
      <c r="AI12" s="176"/>
      <c r="AJ12" s="176"/>
      <c r="AK12" s="176"/>
      <c r="AL12" s="176"/>
      <c r="AM12" s="176"/>
      <c r="AN12" s="176"/>
      <c r="AO12" s="176"/>
      <c r="AP12" s="177"/>
      <c r="AQ12" s="154" t="s">
        <v>69</v>
      </c>
      <c r="AR12" s="155"/>
      <c r="AS12" s="154" t="s">
        <v>59</v>
      </c>
      <c r="AT12" s="155"/>
      <c r="AU12" s="154" t="s">
        <v>70</v>
      </c>
      <c r="AV12" s="155"/>
      <c r="AW12" s="154" t="s">
        <v>71</v>
      </c>
      <c r="AX12" s="155"/>
      <c r="AY12" s="154" t="s">
        <v>72</v>
      </c>
      <c r="AZ12" s="155"/>
      <c r="BA12" s="182" t="s">
        <v>73</v>
      </c>
      <c r="BB12" s="179" t="s">
        <v>133</v>
      </c>
      <c r="BC12"/>
    </row>
    <row r="13" spans="1:55" ht="14.25" customHeight="1" x14ac:dyDescent="0.25">
      <c r="A13" s="161"/>
      <c r="B13" s="164"/>
      <c r="C13" s="164"/>
      <c r="D13" s="167"/>
      <c r="E13" s="157"/>
      <c r="F13" s="156"/>
      <c r="G13" s="157"/>
      <c r="H13" s="156"/>
      <c r="I13" s="157"/>
      <c r="J13" s="187"/>
      <c r="K13" s="156"/>
      <c r="L13" s="157"/>
      <c r="M13" s="152" t="s">
        <v>5</v>
      </c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  <c r="AA13" s="178"/>
      <c r="AB13" s="153"/>
      <c r="AC13" s="152" t="s">
        <v>6</v>
      </c>
      <c r="AD13" s="178"/>
      <c r="AE13" s="178"/>
      <c r="AF13" s="178"/>
      <c r="AG13" s="178"/>
      <c r="AH13" s="178"/>
      <c r="AI13" s="178"/>
      <c r="AJ13" s="178"/>
      <c r="AK13" s="178"/>
      <c r="AL13" s="178"/>
      <c r="AM13" s="178"/>
      <c r="AN13" s="178"/>
      <c r="AO13" s="178"/>
      <c r="AP13" s="153"/>
      <c r="AQ13" s="156"/>
      <c r="AR13" s="157"/>
      <c r="AS13" s="156"/>
      <c r="AT13" s="157"/>
      <c r="AU13" s="156"/>
      <c r="AV13" s="157"/>
      <c r="AW13" s="156"/>
      <c r="AX13" s="157"/>
      <c r="AY13" s="156"/>
      <c r="AZ13" s="157"/>
      <c r="BA13" s="183"/>
      <c r="BB13" s="180"/>
      <c r="BC13"/>
    </row>
    <row r="14" spans="1:55" ht="63.75" customHeight="1" x14ac:dyDescent="0.25">
      <c r="A14" s="161"/>
      <c r="B14" s="164"/>
      <c r="C14" s="164"/>
      <c r="D14" s="168"/>
      <c r="E14" s="159"/>
      <c r="F14" s="158"/>
      <c r="G14" s="159"/>
      <c r="H14" s="158"/>
      <c r="I14" s="159"/>
      <c r="J14" s="187"/>
      <c r="K14" s="158"/>
      <c r="L14" s="159"/>
      <c r="M14" s="152" t="s">
        <v>10</v>
      </c>
      <c r="N14" s="153"/>
      <c r="O14" s="152" t="s">
        <v>74</v>
      </c>
      <c r="P14" s="153"/>
      <c r="Q14" s="152" t="s">
        <v>75</v>
      </c>
      <c r="R14" s="153"/>
      <c r="S14" s="152" t="s">
        <v>86</v>
      </c>
      <c r="T14" s="153"/>
      <c r="U14" s="152" t="s">
        <v>136</v>
      </c>
      <c r="V14" s="153"/>
      <c r="W14" s="169" t="s">
        <v>132</v>
      </c>
      <c r="X14" s="170"/>
      <c r="Y14" s="152" t="s">
        <v>84</v>
      </c>
      <c r="Z14" s="153"/>
      <c r="AA14" s="152" t="s">
        <v>76</v>
      </c>
      <c r="AB14" s="153"/>
      <c r="AC14" s="152" t="s">
        <v>7</v>
      </c>
      <c r="AD14" s="178"/>
      <c r="AE14" s="178"/>
      <c r="AF14" s="178"/>
      <c r="AG14" s="178"/>
      <c r="AH14" s="178"/>
      <c r="AI14" s="178"/>
      <c r="AJ14" s="153"/>
      <c r="AK14" s="152" t="s">
        <v>8</v>
      </c>
      <c r="AL14" s="178"/>
      <c r="AM14" s="178"/>
      <c r="AN14" s="153"/>
      <c r="AO14" s="171" t="s">
        <v>77</v>
      </c>
      <c r="AP14" s="173" t="s">
        <v>18</v>
      </c>
      <c r="AQ14" s="158"/>
      <c r="AR14" s="159"/>
      <c r="AS14" s="158"/>
      <c r="AT14" s="159"/>
      <c r="AU14" s="158"/>
      <c r="AV14" s="159"/>
      <c r="AW14" s="158"/>
      <c r="AX14" s="159"/>
      <c r="AY14" s="158"/>
      <c r="AZ14" s="159"/>
      <c r="BA14" s="183"/>
      <c r="BB14" s="180"/>
      <c r="BC14"/>
    </row>
    <row r="15" spans="1:55" ht="38.25" customHeight="1" thickBot="1" x14ac:dyDescent="0.3">
      <c r="A15" s="162"/>
      <c r="B15" s="165"/>
      <c r="C15" s="165"/>
      <c r="D15" s="118" t="s">
        <v>61</v>
      </c>
      <c r="E15" s="77" t="s">
        <v>9</v>
      </c>
      <c r="F15" s="77" t="s">
        <v>11</v>
      </c>
      <c r="G15" s="77" t="s">
        <v>130</v>
      </c>
      <c r="H15" s="77" t="s">
        <v>0</v>
      </c>
      <c r="I15" s="77" t="s">
        <v>78</v>
      </c>
      <c r="J15" s="188"/>
      <c r="K15" s="77" t="s">
        <v>61</v>
      </c>
      <c r="L15" s="77" t="s">
        <v>9</v>
      </c>
      <c r="M15" s="77" t="s">
        <v>61</v>
      </c>
      <c r="N15" s="77" t="s">
        <v>9</v>
      </c>
      <c r="O15" s="77" t="s">
        <v>61</v>
      </c>
      <c r="P15" s="77" t="s">
        <v>9</v>
      </c>
      <c r="Q15" s="77" t="s">
        <v>61</v>
      </c>
      <c r="R15" s="77" t="s">
        <v>9</v>
      </c>
      <c r="S15" s="77" t="s">
        <v>61</v>
      </c>
      <c r="T15" s="77" t="s">
        <v>9</v>
      </c>
      <c r="U15" s="77" t="s">
        <v>61</v>
      </c>
      <c r="V15" s="77" t="s">
        <v>9</v>
      </c>
      <c r="W15" s="77" t="s">
        <v>61</v>
      </c>
      <c r="X15" s="77" t="s">
        <v>9</v>
      </c>
      <c r="Y15" s="77" t="s">
        <v>61</v>
      </c>
      <c r="Z15" s="77" t="s">
        <v>9</v>
      </c>
      <c r="AA15" s="77" t="s">
        <v>61</v>
      </c>
      <c r="AB15" s="77" t="s">
        <v>9</v>
      </c>
      <c r="AC15" s="77" t="s">
        <v>11</v>
      </c>
      <c r="AD15" s="77" t="s">
        <v>12</v>
      </c>
      <c r="AE15" s="77" t="s">
        <v>13</v>
      </c>
      <c r="AF15" s="77" t="s">
        <v>14</v>
      </c>
      <c r="AG15" s="77" t="s">
        <v>15</v>
      </c>
      <c r="AH15" s="77" t="s">
        <v>16</v>
      </c>
      <c r="AI15" s="107" t="s">
        <v>18</v>
      </c>
      <c r="AJ15" s="107" t="s">
        <v>17</v>
      </c>
      <c r="AK15" s="77" t="s">
        <v>19</v>
      </c>
      <c r="AL15" s="77" t="s">
        <v>20</v>
      </c>
      <c r="AM15" s="77" t="s">
        <v>21</v>
      </c>
      <c r="AN15" s="77" t="s">
        <v>22</v>
      </c>
      <c r="AO15" s="172"/>
      <c r="AP15" s="174"/>
      <c r="AQ15" s="77" t="s">
        <v>61</v>
      </c>
      <c r="AR15" s="77" t="s">
        <v>9</v>
      </c>
      <c r="AS15" s="77" t="s">
        <v>61</v>
      </c>
      <c r="AT15" s="77" t="s">
        <v>9</v>
      </c>
      <c r="AU15" s="77" t="s">
        <v>61</v>
      </c>
      <c r="AV15" s="77" t="s">
        <v>9</v>
      </c>
      <c r="AW15" s="77" t="s">
        <v>61</v>
      </c>
      <c r="AX15" s="77" t="s">
        <v>9</v>
      </c>
      <c r="AY15" s="77" t="s">
        <v>61</v>
      </c>
      <c r="AZ15" s="77" t="s">
        <v>9</v>
      </c>
      <c r="BA15" s="172"/>
      <c r="BB15" s="181"/>
      <c r="BC15"/>
    </row>
    <row r="16" spans="1:55" ht="15" customHeight="1" thickBot="1" x14ac:dyDescent="0.3">
      <c r="A16" s="106">
        <v>1</v>
      </c>
      <c r="B16" s="106">
        <v>2</v>
      </c>
      <c r="C16" s="106">
        <v>3</v>
      </c>
      <c r="D16" s="105">
        <v>4</v>
      </c>
      <c r="E16" s="78">
        <v>5</v>
      </c>
      <c r="F16" s="78">
        <v>6</v>
      </c>
      <c r="G16" s="78">
        <v>7</v>
      </c>
      <c r="H16" s="78">
        <v>8</v>
      </c>
      <c r="I16" s="78">
        <v>9</v>
      </c>
      <c r="J16" s="78">
        <v>10</v>
      </c>
      <c r="K16" s="78">
        <v>11</v>
      </c>
      <c r="L16" s="78">
        <v>12</v>
      </c>
      <c r="M16" s="78">
        <v>13</v>
      </c>
      <c r="N16" s="78">
        <v>14</v>
      </c>
      <c r="O16" s="78">
        <v>15</v>
      </c>
      <c r="P16" s="78">
        <v>16</v>
      </c>
      <c r="Q16" s="78">
        <v>17</v>
      </c>
      <c r="R16" s="78">
        <v>18</v>
      </c>
      <c r="S16" s="78">
        <v>19</v>
      </c>
      <c r="T16" s="78">
        <v>20</v>
      </c>
      <c r="U16" s="78">
        <v>21</v>
      </c>
      <c r="V16" s="78">
        <v>22</v>
      </c>
      <c r="W16" s="78">
        <v>23</v>
      </c>
      <c r="X16" s="78">
        <v>24</v>
      </c>
      <c r="Y16" s="78">
        <v>25</v>
      </c>
      <c r="Z16" s="78">
        <v>26</v>
      </c>
      <c r="AA16" s="78">
        <v>27</v>
      </c>
      <c r="AB16" s="78">
        <v>28</v>
      </c>
      <c r="AC16" s="78">
        <v>29</v>
      </c>
      <c r="AD16" s="78">
        <v>30</v>
      </c>
      <c r="AE16" s="78">
        <v>31</v>
      </c>
      <c r="AF16" s="78">
        <v>32</v>
      </c>
      <c r="AG16" s="78">
        <v>33</v>
      </c>
      <c r="AH16" s="78">
        <v>34</v>
      </c>
      <c r="AI16" s="78">
        <v>35</v>
      </c>
      <c r="AJ16" s="78">
        <v>36</v>
      </c>
      <c r="AK16" s="78">
        <v>37</v>
      </c>
      <c r="AL16" s="78">
        <v>38</v>
      </c>
      <c r="AM16" s="78">
        <v>39</v>
      </c>
      <c r="AN16" s="78">
        <v>40</v>
      </c>
      <c r="AO16" s="78">
        <v>41</v>
      </c>
      <c r="AP16" s="78">
        <v>42</v>
      </c>
      <c r="AQ16" s="78">
        <v>43</v>
      </c>
      <c r="AR16" s="78">
        <v>44</v>
      </c>
      <c r="AS16" s="78">
        <v>45</v>
      </c>
      <c r="AT16" s="78">
        <v>46</v>
      </c>
      <c r="AU16" s="78">
        <v>47</v>
      </c>
      <c r="AV16" s="78">
        <v>48</v>
      </c>
      <c r="AW16" s="78">
        <v>49</v>
      </c>
      <c r="AX16" s="78">
        <v>50</v>
      </c>
      <c r="AY16" s="78">
        <v>51</v>
      </c>
      <c r="AZ16" s="78">
        <v>52</v>
      </c>
      <c r="BA16" s="78">
        <v>53</v>
      </c>
      <c r="BB16" s="79">
        <v>54</v>
      </c>
      <c r="BC16"/>
    </row>
    <row r="17" spans="1:55" ht="15" customHeight="1" thickBot="1" x14ac:dyDescent="0.3">
      <c r="A17" s="87" t="s">
        <v>79</v>
      </c>
      <c r="B17" s="87"/>
      <c r="C17" s="87"/>
      <c r="D17" s="132">
        <f>AT17*AW17*AU17</f>
        <v>0</v>
      </c>
      <c r="E17" s="129">
        <f>ROUND(AT17*AV17*AX17,4)</f>
        <v>0</v>
      </c>
      <c r="F17" s="129"/>
      <c r="G17" s="129"/>
      <c r="H17" s="131">
        <f>SUM(H18:H23)</f>
        <v>0</v>
      </c>
      <c r="I17" s="131">
        <f>SUM(I18:I23)</f>
        <v>0</v>
      </c>
      <c r="J17" s="88"/>
      <c r="K17" s="130">
        <f>SUM(K18:K23)</f>
        <v>0</v>
      </c>
      <c r="L17" s="130">
        <f>SUM(L18:L23)</f>
        <v>0</v>
      </c>
      <c r="M17" s="129">
        <f>SUM(M18:M23)</f>
        <v>0</v>
      </c>
      <c r="N17" s="129">
        <f t="shared" ref="N17:AO17" si="0">SUM(N18:N23)</f>
        <v>0</v>
      </c>
      <c r="O17" s="129">
        <f t="shared" si="0"/>
        <v>0</v>
      </c>
      <c r="P17" s="129">
        <f t="shared" si="0"/>
        <v>0</v>
      </c>
      <c r="Q17" s="129">
        <f t="shared" si="0"/>
        <v>0</v>
      </c>
      <c r="R17" s="129">
        <f t="shared" si="0"/>
        <v>0</v>
      </c>
      <c r="S17" s="129">
        <f t="shared" si="0"/>
        <v>0</v>
      </c>
      <c r="T17" s="129">
        <f t="shared" si="0"/>
        <v>0</v>
      </c>
      <c r="U17" s="129">
        <f t="shared" si="0"/>
        <v>0</v>
      </c>
      <c r="V17" s="129">
        <f t="shared" si="0"/>
        <v>0</v>
      </c>
      <c r="W17" s="129">
        <f t="shared" si="0"/>
        <v>0</v>
      </c>
      <c r="X17" s="129">
        <f t="shared" si="0"/>
        <v>0</v>
      </c>
      <c r="Y17" s="129">
        <f t="shared" si="0"/>
        <v>0</v>
      </c>
      <c r="Z17" s="129">
        <f t="shared" si="0"/>
        <v>0</v>
      </c>
      <c r="AA17" s="129">
        <f t="shared" si="0"/>
        <v>0</v>
      </c>
      <c r="AB17" s="129">
        <f>SUM(AB18:AB23)</f>
        <v>0</v>
      </c>
      <c r="AC17" s="129">
        <f t="shared" si="0"/>
        <v>0</v>
      </c>
      <c r="AD17" s="129">
        <f t="shared" si="0"/>
        <v>0</v>
      </c>
      <c r="AE17" s="129">
        <f t="shared" si="0"/>
        <v>0</v>
      </c>
      <c r="AF17" s="129">
        <f t="shared" si="0"/>
        <v>0</v>
      </c>
      <c r="AG17" s="129">
        <f t="shared" si="0"/>
        <v>0</v>
      </c>
      <c r="AH17" s="129">
        <f t="shared" si="0"/>
        <v>0</v>
      </c>
      <c r="AI17" s="129">
        <f t="shared" si="0"/>
        <v>0</v>
      </c>
      <c r="AJ17" s="129">
        <f t="shared" si="0"/>
        <v>0</v>
      </c>
      <c r="AK17" s="129">
        <f t="shared" si="0"/>
        <v>0</v>
      </c>
      <c r="AL17" s="129">
        <f t="shared" si="0"/>
        <v>0</v>
      </c>
      <c r="AM17" s="129">
        <f t="shared" si="0"/>
        <v>0</v>
      </c>
      <c r="AN17" s="129">
        <f t="shared" si="0"/>
        <v>0</v>
      </c>
      <c r="AO17" s="129">
        <f t="shared" si="0"/>
        <v>0</v>
      </c>
      <c r="AP17" s="129">
        <f>SUM(AP18:AP23)</f>
        <v>0</v>
      </c>
      <c r="AQ17" s="129">
        <f>M17+O17+S17+U17+W17+AA17+Q17+Y17</f>
        <v>0</v>
      </c>
      <c r="AR17" s="129">
        <f>N17+P17+R17+AC17+AD17+AE17+AF17+AG17+AH17+AI17+AJ17+AK17+AL17+AM17+AN17+AO17+AP17+T17+V17+AB17+X17+Z17</f>
        <v>0</v>
      </c>
      <c r="AS17" s="129">
        <f>SUM(AS18:AS23)</f>
        <v>0</v>
      </c>
      <c r="AT17" s="129">
        <f>SUM(AT18:AT23)</f>
        <v>0</v>
      </c>
      <c r="AU17" s="131">
        <f>IF(AT17-AQ17=0,0,(AT17-M17-O17-Q17)/AT17)</f>
        <v>0</v>
      </c>
      <c r="AV17" s="131">
        <f>IF(AT17=0,0,(AT17-N17-P17-R17-AC17-AD17-AE17-AF17-AG17-AH17-AI17-AJ17-AL17)/AT17)</f>
        <v>0</v>
      </c>
      <c r="AW17" s="131">
        <f>IF(OR(AT17=0,AU17=0),0,((AT17*AU17)-S17-U17-W17-Y17-AA17)/(AT17*AU17))</f>
        <v>0</v>
      </c>
      <c r="AX17" s="131">
        <f>IF(OR(AT17=0,AV17=0),0,((AT17*AV17)-AK17-AM17-AN17-AO17-AP17-T17-V17-X17-Z17-AB17)/(AT17*AV17))</f>
        <v>0</v>
      </c>
      <c r="AY17" s="131">
        <f>IF(K17=0,0,K17/(D17-Y17)/24)</f>
        <v>0</v>
      </c>
      <c r="AZ17" s="131">
        <f t="shared" ref="AY17:AZ22" si="1">IF(L17=0,0,L17/(E17-Z17)/24)</f>
        <v>0</v>
      </c>
      <c r="BA17" s="129">
        <f>ROUND(AT17-E17-AR17,4)</f>
        <v>0</v>
      </c>
      <c r="BB17" s="89"/>
      <c r="BC17"/>
    </row>
    <row r="18" spans="1:55" ht="15" hidden="1" customHeight="1" x14ac:dyDescent="0.25">
      <c r="A18" s="80" t="s">
        <v>23</v>
      </c>
      <c r="B18" s="110">
        <v>22</v>
      </c>
      <c r="C18" s="110">
        <v>22</v>
      </c>
      <c r="D18" s="119">
        <f>AS18*AW18*AU18</f>
        <v>0</v>
      </c>
      <c r="E18" s="17">
        <f>ROUND(AS18*AV18*AX18,4)</f>
        <v>0</v>
      </c>
      <c r="F18" s="81"/>
      <c r="G18" s="81"/>
      <c r="H18" s="82"/>
      <c r="I18" s="82"/>
      <c r="J18" s="83" t="s">
        <v>55</v>
      </c>
      <c r="K18" s="84"/>
      <c r="L18" s="84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>
        <f t="shared" ref="AQ18:AQ61" si="2">M18+O18+S18+U18+W18+AA18+Q18+Y18</f>
        <v>0</v>
      </c>
      <c r="AR18" s="17">
        <f>N18+P18+R18+AC18+AD18+AE18+AF18+AG18+AH18+AI18+AJ18+AK18+AL18+AM18+AN18+AO18+AP18+T18+V18+AB18+X18+Z18</f>
        <v>0</v>
      </c>
      <c r="AS18" s="17">
        <f>AT18</f>
        <v>0</v>
      </c>
      <c r="AT18" s="17"/>
      <c r="AU18" s="18">
        <f t="shared" ref="AU18:AU61" si="3">IF(AT18-AQ18=0,0,(AT18-M18-O18-Q18)/AT18)</f>
        <v>0</v>
      </c>
      <c r="AV18" s="18">
        <f t="shared" ref="AV18:AV61" si="4">IF(AT18=0,0,(AT18-N18-P18-R18-AC18-AD18-AE18-AF18-AG18-AH18-AI18-AJ18-AL18)/AT18)</f>
        <v>0</v>
      </c>
      <c r="AW18" s="18">
        <f t="shared" ref="AW18:AW61" si="5">IF(OR(AT18=0,AU18=0),0,((AT18*AU18)-S18-U18-W18-Y18-AA18)/(AT18*AU18))</f>
        <v>0</v>
      </c>
      <c r="AX18" s="18">
        <f t="shared" ref="AX18:AX61" si="6">IF(OR(AT18=0,AV18=0),0,((AT18*AV18)-AK18-AM18-AN18-AO18-AP18-T18-V18-X18-Z18-AB18)/(AT18*AV18))</f>
        <v>0</v>
      </c>
      <c r="AY18" s="82">
        <f>IF(K18=0,0,K18/(D18-Y18)/24)</f>
        <v>0</v>
      </c>
      <c r="AZ18" s="82">
        <f t="shared" si="1"/>
        <v>0</v>
      </c>
      <c r="BA18" s="85">
        <f>ROUND(AS18-E18-AR18,4)</f>
        <v>0</v>
      </c>
      <c r="BB18" s="86"/>
      <c r="BC18"/>
    </row>
    <row r="19" spans="1:55" ht="15" hidden="1" customHeight="1" x14ac:dyDescent="0.25">
      <c r="A19" s="68" t="s">
        <v>24</v>
      </c>
      <c r="B19" s="111">
        <v>23</v>
      </c>
      <c r="C19" s="111">
        <v>23</v>
      </c>
      <c r="D19" s="119">
        <f t="shared" ref="D19:D23" si="7">AS19*AW19*AU19</f>
        <v>0</v>
      </c>
      <c r="E19" s="17">
        <f t="shared" ref="E19:E22" si="8">ROUND(AS19*AV19*AX19,4)</f>
        <v>0</v>
      </c>
      <c r="F19" s="19"/>
      <c r="G19" s="19"/>
      <c r="H19" s="18"/>
      <c r="I19" s="18"/>
      <c r="J19" s="8" t="s">
        <v>55</v>
      </c>
      <c r="K19" s="20"/>
      <c r="L19" s="20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7">
        <f t="shared" si="2"/>
        <v>0</v>
      </c>
      <c r="AR19" s="15">
        <f>N19+P19+R19+AC19+AD19+AE19+AF19+AG19+AH19+AI19+AJ19+AK19+AL19+AM19+AN19+AO19+AP19+T19+V19+AB19</f>
        <v>0</v>
      </c>
      <c r="AS19" s="17">
        <f t="shared" ref="AS19:AS23" si="9">AT19</f>
        <v>0</v>
      </c>
      <c r="AT19" s="15"/>
      <c r="AU19" s="18">
        <f t="shared" si="3"/>
        <v>0</v>
      </c>
      <c r="AV19" s="18">
        <f t="shared" si="4"/>
        <v>0</v>
      </c>
      <c r="AW19" s="18">
        <f t="shared" si="5"/>
        <v>0</v>
      </c>
      <c r="AX19" s="18">
        <f t="shared" si="6"/>
        <v>0</v>
      </c>
      <c r="AY19" s="18">
        <f t="shared" si="1"/>
        <v>0</v>
      </c>
      <c r="AZ19" s="18">
        <f t="shared" si="1"/>
        <v>0</v>
      </c>
      <c r="BA19" s="74">
        <f>ROUND(AS19-E19-AR19,4)</f>
        <v>0</v>
      </c>
      <c r="BB19" s="75"/>
      <c r="BC19"/>
    </row>
    <row r="20" spans="1:55" ht="15" hidden="1" customHeight="1" x14ac:dyDescent="0.25">
      <c r="A20" s="69" t="s">
        <v>25</v>
      </c>
      <c r="B20" s="112"/>
      <c r="C20" s="112">
        <v>24</v>
      </c>
      <c r="D20" s="119">
        <f t="shared" si="7"/>
        <v>0</v>
      </c>
      <c r="E20" s="17">
        <f t="shared" si="8"/>
        <v>0</v>
      </c>
      <c r="F20" s="19"/>
      <c r="G20" s="19"/>
      <c r="H20" s="18"/>
      <c r="I20" s="18"/>
      <c r="J20" s="8" t="s">
        <v>55</v>
      </c>
      <c r="K20" s="20"/>
      <c r="L20" s="20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7">
        <f t="shared" si="2"/>
        <v>0</v>
      </c>
      <c r="AR20" s="15">
        <f>N20+P20+R20+AC20+AD20+AE20+AF20+AG20+AH20+AI20+AJ20+AK20+AL20+AM20+AN20+AO20+AP20+T20+V20+AB20</f>
        <v>0</v>
      </c>
      <c r="AS20" s="17">
        <f t="shared" si="9"/>
        <v>0</v>
      </c>
      <c r="AT20" s="15"/>
      <c r="AU20" s="18">
        <f t="shared" si="3"/>
        <v>0</v>
      </c>
      <c r="AV20" s="18">
        <f t="shared" si="4"/>
        <v>0</v>
      </c>
      <c r="AW20" s="18">
        <f t="shared" si="5"/>
        <v>0</v>
      </c>
      <c r="AX20" s="18">
        <f t="shared" si="6"/>
        <v>0</v>
      </c>
      <c r="AY20" s="18">
        <f t="shared" si="1"/>
        <v>0</v>
      </c>
      <c r="AZ20" s="18">
        <f t="shared" si="1"/>
        <v>0</v>
      </c>
      <c r="BA20" s="74">
        <f t="shared" ref="BA20:BA22" si="10">ROUND(AS20-E20-AR20,4)</f>
        <v>0</v>
      </c>
      <c r="BB20" s="75"/>
      <c r="BC20"/>
    </row>
    <row r="21" spans="1:55" ht="15" hidden="1" customHeight="1" x14ac:dyDescent="0.25">
      <c r="A21" s="68" t="s">
        <v>26</v>
      </c>
      <c r="B21" s="111"/>
      <c r="C21" s="111">
        <v>24</v>
      </c>
      <c r="D21" s="119">
        <f t="shared" si="7"/>
        <v>0</v>
      </c>
      <c r="E21" s="17">
        <f t="shared" si="8"/>
        <v>0</v>
      </c>
      <c r="F21" s="19"/>
      <c r="G21" s="19"/>
      <c r="H21" s="18"/>
      <c r="I21" s="18"/>
      <c r="J21" s="8" t="s">
        <v>55</v>
      </c>
      <c r="K21" s="20"/>
      <c r="L21" s="20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7">
        <f t="shared" si="2"/>
        <v>0</v>
      </c>
      <c r="AR21" s="15">
        <f>N21+P21+R21+AC21+AD21+AE21+AF21+AG21+AH21+AI21+AJ21+AK21+AL21+AM21+AN21+AO21+AP21+T21+V21+AB21</f>
        <v>0</v>
      </c>
      <c r="AS21" s="17">
        <f>AT21</f>
        <v>0</v>
      </c>
      <c r="AT21" s="15"/>
      <c r="AU21" s="18">
        <f t="shared" si="3"/>
        <v>0</v>
      </c>
      <c r="AV21" s="18">
        <f t="shared" si="4"/>
        <v>0</v>
      </c>
      <c r="AW21" s="18">
        <f t="shared" si="5"/>
        <v>0</v>
      </c>
      <c r="AX21" s="18">
        <f t="shared" si="6"/>
        <v>0</v>
      </c>
      <c r="AY21" s="18">
        <f t="shared" si="1"/>
        <v>0</v>
      </c>
      <c r="AZ21" s="18">
        <f t="shared" si="1"/>
        <v>0</v>
      </c>
      <c r="BA21" s="74">
        <f t="shared" si="10"/>
        <v>0</v>
      </c>
      <c r="BB21" s="75"/>
      <c r="BC21"/>
    </row>
    <row r="22" spans="1:55" ht="15" hidden="1" customHeight="1" x14ac:dyDescent="0.25">
      <c r="A22" s="70" t="s">
        <v>63</v>
      </c>
      <c r="B22" s="113"/>
      <c r="C22" s="113">
        <v>25</v>
      </c>
      <c r="D22" s="119">
        <f t="shared" si="7"/>
        <v>0</v>
      </c>
      <c r="E22" s="17">
        <f t="shared" si="8"/>
        <v>0</v>
      </c>
      <c r="F22" s="19"/>
      <c r="G22" s="19"/>
      <c r="H22" s="18"/>
      <c r="I22" s="18"/>
      <c r="J22" s="8" t="s">
        <v>55</v>
      </c>
      <c r="K22" s="20"/>
      <c r="L22" s="20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7">
        <f t="shared" si="2"/>
        <v>0</v>
      </c>
      <c r="AR22" s="15">
        <f>N22+P22+R22+AC22+AD22+AE22+AF22+AG22+AH22+AI22+AJ22+AK22+AL22+AM22+AN22+AO22+AP22+T22+V22+AB22</f>
        <v>0</v>
      </c>
      <c r="AS22" s="17">
        <f t="shared" si="9"/>
        <v>0</v>
      </c>
      <c r="AT22" s="15"/>
      <c r="AU22" s="18">
        <f t="shared" si="3"/>
        <v>0</v>
      </c>
      <c r="AV22" s="18">
        <f t="shared" si="4"/>
        <v>0</v>
      </c>
      <c r="AW22" s="18">
        <f t="shared" si="5"/>
        <v>0</v>
      </c>
      <c r="AX22" s="18">
        <f t="shared" si="6"/>
        <v>0</v>
      </c>
      <c r="AY22" s="18">
        <f t="shared" si="1"/>
        <v>0</v>
      </c>
      <c r="AZ22" s="18">
        <f t="shared" si="1"/>
        <v>0</v>
      </c>
      <c r="BA22" s="74">
        <f t="shared" si="10"/>
        <v>0</v>
      </c>
      <c r="BB22" s="75"/>
      <c r="BC22"/>
    </row>
    <row r="23" spans="1:55" ht="15" customHeight="1" thickBot="1" x14ac:dyDescent="0.3">
      <c r="A23" s="90" t="s">
        <v>27</v>
      </c>
      <c r="B23" s="123" t="s">
        <v>148</v>
      </c>
      <c r="C23" s="114">
        <v>17</v>
      </c>
      <c r="D23" s="119">
        <f t="shared" si="7"/>
        <v>0</v>
      </c>
      <c r="E23" s="17">
        <f>ROUND(AT23*AV23*AX23,4)</f>
        <v>0</v>
      </c>
      <c r="F23" s="91"/>
      <c r="G23" s="91"/>
      <c r="H23" s="92"/>
      <c r="I23" s="92"/>
      <c r="J23" s="93" t="s">
        <v>55</v>
      </c>
      <c r="K23" s="94"/>
      <c r="L23" s="94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7">
        <f t="shared" si="2"/>
        <v>0</v>
      </c>
      <c r="AR23" s="16">
        <f>N23+P23+R23+AC23+AD23+AE23+AF23+AG23+AH23+AI23+AJ23+AK23+AL23+AM23+AN23+AO23+AP23+T23+V23+X23+Z23+AB23</f>
        <v>0</v>
      </c>
      <c r="AS23" s="17">
        <f t="shared" si="9"/>
        <v>0</v>
      </c>
      <c r="AT23" s="16"/>
      <c r="AU23" s="82">
        <f t="shared" si="3"/>
        <v>0</v>
      </c>
      <c r="AV23" s="82">
        <f t="shared" si="4"/>
        <v>0</v>
      </c>
      <c r="AW23" s="82">
        <f t="shared" si="5"/>
        <v>0</v>
      </c>
      <c r="AX23" s="82">
        <f t="shared" si="6"/>
        <v>0</v>
      </c>
      <c r="AY23" s="92">
        <f>IF(D23=0,0,K23/D23/24)</f>
        <v>0</v>
      </c>
      <c r="AZ23" s="92">
        <f>IF(E23=0,0,L23/E23/24)</f>
        <v>0</v>
      </c>
      <c r="BA23" s="95">
        <f>ROUND(AT23-E23-AR23,4)</f>
        <v>0</v>
      </c>
      <c r="BB23" s="96"/>
      <c r="BC23"/>
    </row>
    <row r="24" spans="1:55" ht="15" customHeight="1" thickBot="1" x14ac:dyDescent="0.3">
      <c r="A24" s="87" t="s">
        <v>80</v>
      </c>
      <c r="B24" s="124"/>
      <c r="C24" s="87"/>
      <c r="D24" s="132">
        <f>AT24*AW24*AU24</f>
        <v>0</v>
      </c>
      <c r="E24" s="129">
        <f>SUM(E26:E27)</f>
        <v>0</v>
      </c>
      <c r="F24" s="129">
        <f>SUM(F25:F41)</f>
        <v>0</v>
      </c>
      <c r="G24" s="129"/>
      <c r="H24" s="131">
        <f>SUM(H25:H41)</f>
        <v>0</v>
      </c>
      <c r="I24" s="131">
        <f>SUM(I25:I41)</f>
        <v>0</v>
      </c>
      <c r="J24" s="88"/>
      <c r="K24" s="130">
        <f>SUM(K25:K41)</f>
        <v>0</v>
      </c>
      <c r="L24" s="130">
        <f>SUM(L25:L41)</f>
        <v>0</v>
      </c>
      <c r="M24" s="129">
        <f>SUM(M25:M41)</f>
        <v>0</v>
      </c>
      <c r="N24" s="129">
        <f t="shared" ref="N24:AO24" si="11">SUM(N25:N41)</f>
        <v>0</v>
      </c>
      <c r="O24" s="129">
        <f t="shared" si="11"/>
        <v>0</v>
      </c>
      <c r="P24" s="129">
        <f t="shared" si="11"/>
        <v>0</v>
      </c>
      <c r="Q24" s="129">
        <f t="shared" si="11"/>
        <v>0</v>
      </c>
      <c r="R24" s="129">
        <f t="shared" si="11"/>
        <v>0</v>
      </c>
      <c r="S24" s="129">
        <f t="shared" si="11"/>
        <v>0</v>
      </c>
      <c r="T24" s="129">
        <f t="shared" si="11"/>
        <v>0</v>
      </c>
      <c r="U24" s="129">
        <f t="shared" si="11"/>
        <v>0</v>
      </c>
      <c r="V24" s="129">
        <f t="shared" si="11"/>
        <v>0</v>
      </c>
      <c r="W24" s="129">
        <f t="shared" si="11"/>
        <v>0</v>
      </c>
      <c r="X24" s="129">
        <f t="shared" si="11"/>
        <v>0</v>
      </c>
      <c r="Y24" s="129">
        <f t="shared" si="11"/>
        <v>0</v>
      </c>
      <c r="Z24" s="129">
        <f t="shared" si="11"/>
        <v>0</v>
      </c>
      <c r="AA24" s="129">
        <f t="shared" si="11"/>
        <v>0</v>
      </c>
      <c r="AB24" s="129">
        <f t="shared" si="11"/>
        <v>0</v>
      </c>
      <c r="AC24" s="129">
        <f t="shared" si="11"/>
        <v>0</v>
      </c>
      <c r="AD24" s="129">
        <f t="shared" si="11"/>
        <v>0</v>
      </c>
      <c r="AE24" s="129">
        <f t="shared" si="11"/>
        <v>0</v>
      </c>
      <c r="AF24" s="129">
        <f t="shared" si="11"/>
        <v>0</v>
      </c>
      <c r="AG24" s="129">
        <f t="shared" si="11"/>
        <v>0</v>
      </c>
      <c r="AH24" s="129">
        <f t="shared" si="11"/>
        <v>0</v>
      </c>
      <c r="AI24" s="129">
        <f t="shared" si="11"/>
        <v>0</v>
      </c>
      <c r="AJ24" s="129">
        <f t="shared" si="11"/>
        <v>0</v>
      </c>
      <c r="AK24" s="129">
        <f t="shared" si="11"/>
        <v>0</v>
      </c>
      <c r="AL24" s="129">
        <f t="shared" si="11"/>
        <v>0</v>
      </c>
      <c r="AM24" s="129">
        <f t="shared" si="11"/>
        <v>0</v>
      </c>
      <c r="AN24" s="129">
        <f t="shared" si="11"/>
        <v>0</v>
      </c>
      <c r="AO24" s="129">
        <f t="shared" si="11"/>
        <v>0</v>
      </c>
      <c r="AP24" s="129">
        <f>SUM(AP25:AP41)</f>
        <v>0</v>
      </c>
      <c r="AQ24" s="129">
        <f t="shared" si="2"/>
        <v>0</v>
      </c>
      <c r="AR24" s="129">
        <f t="shared" ref="AR24:AR61" si="12">N24+P24+R24+AC24+AD24+AE24+AF24+AG24+AH24+AI24+AJ24+AK24+AL24+AM24+AN24+AO24+AP24+T24+V24+X24+Z24+AB24</f>
        <v>0</v>
      </c>
      <c r="AS24" s="129">
        <f>SUM(AS25:AS41)</f>
        <v>0</v>
      </c>
      <c r="AT24" s="129">
        <f>SUM(AT25:AT41)</f>
        <v>0</v>
      </c>
      <c r="AU24" s="131">
        <f t="shared" si="3"/>
        <v>0</v>
      </c>
      <c r="AV24" s="131">
        <f t="shared" si="4"/>
        <v>0</v>
      </c>
      <c r="AW24" s="131">
        <f t="shared" si="5"/>
        <v>0</v>
      </c>
      <c r="AX24" s="131">
        <f t="shared" si="6"/>
        <v>0</v>
      </c>
      <c r="AY24" s="131">
        <f t="shared" ref="AY24:AZ61" si="13">IF(D24=0,0,K24/D24/24)</f>
        <v>0</v>
      </c>
      <c r="AZ24" s="131">
        <f t="shared" si="13"/>
        <v>0</v>
      </c>
      <c r="BA24" s="129">
        <f t="shared" ref="BA24:BA61" si="14">ROUND(AT24-E24-AR24,4)</f>
        <v>0</v>
      </c>
      <c r="BB24" s="99"/>
      <c r="BC24"/>
    </row>
    <row r="25" spans="1:55" ht="15" hidden="1" customHeight="1" x14ac:dyDescent="0.25">
      <c r="A25" s="97" t="s">
        <v>28</v>
      </c>
      <c r="B25" s="115"/>
      <c r="C25" s="115">
        <v>30</v>
      </c>
      <c r="D25" s="121">
        <f>AT25*AU25*AW25</f>
        <v>0</v>
      </c>
      <c r="E25" s="15">
        <f t="shared" ref="E25:E51" si="15">ROUND(AS25*AV25*AX25,4)</f>
        <v>0</v>
      </c>
      <c r="F25" s="81"/>
      <c r="G25" s="81"/>
      <c r="H25" s="82"/>
      <c r="I25" s="82"/>
      <c r="J25" s="98" t="s">
        <v>68</v>
      </c>
      <c r="K25" s="84"/>
      <c r="L25" s="84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>
        <f t="shared" si="2"/>
        <v>0</v>
      </c>
      <c r="AR25" s="16">
        <f t="shared" si="12"/>
        <v>0</v>
      </c>
      <c r="AS25" s="17"/>
      <c r="AT25" s="17"/>
      <c r="AU25" s="92">
        <f t="shared" si="3"/>
        <v>0</v>
      </c>
      <c r="AV25" s="92">
        <f t="shared" si="4"/>
        <v>0</v>
      </c>
      <c r="AW25" s="92">
        <f t="shared" si="5"/>
        <v>0</v>
      </c>
      <c r="AX25" s="92">
        <f t="shared" si="6"/>
        <v>0</v>
      </c>
      <c r="AY25" s="92">
        <f t="shared" si="13"/>
        <v>0</v>
      </c>
      <c r="AZ25" s="92">
        <f t="shared" si="13"/>
        <v>0</v>
      </c>
      <c r="BA25" s="95">
        <f t="shared" si="14"/>
        <v>0</v>
      </c>
      <c r="BB25" s="86"/>
      <c r="BC25"/>
    </row>
    <row r="26" spans="1:55" ht="15" customHeight="1" x14ac:dyDescent="0.25">
      <c r="A26" s="71" t="s">
        <v>29</v>
      </c>
      <c r="B26" s="123" t="s">
        <v>137</v>
      </c>
      <c r="C26" s="112">
        <v>32</v>
      </c>
      <c r="D26" s="121">
        <f>AT26*AU26*AW26</f>
        <v>0</v>
      </c>
      <c r="E26" s="15">
        <f>ROUND(AT26*AV26*AX26,4)</f>
        <v>0</v>
      </c>
      <c r="F26" s="19"/>
      <c r="G26" s="19"/>
      <c r="H26" s="18"/>
      <c r="I26" s="18"/>
      <c r="J26" s="9" t="s">
        <v>68</v>
      </c>
      <c r="K26" s="20"/>
      <c r="L26" s="20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7">
        <f t="shared" si="2"/>
        <v>0</v>
      </c>
      <c r="AR26" s="16">
        <f t="shared" si="12"/>
        <v>0</v>
      </c>
      <c r="AS26" s="16"/>
      <c r="AT26" s="16"/>
      <c r="AU26" s="92">
        <f t="shared" si="3"/>
        <v>0</v>
      </c>
      <c r="AV26" s="92">
        <f t="shared" si="4"/>
        <v>0</v>
      </c>
      <c r="AW26" s="92">
        <f t="shared" si="5"/>
        <v>0</v>
      </c>
      <c r="AX26" s="92">
        <f t="shared" si="6"/>
        <v>0</v>
      </c>
      <c r="AY26" s="92">
        <f t="shared" si="13"/>
        <v>0</v>
      </c>
      <c r="AZ26" s="92">
        <f t="shared" si="13"/>
        <v>0</v>
      </c>
      <c r="BA26" s="95">
        <f t="shared" si="14"/>
        <v>0</v>
      </c>
      <c r="BB26" s="75"/>
      <c r="BC26"/>
    </row>
    <row r="27" spans="1:55" ht="15" customHeight="1" thickBot="1" x14ac:dyDescent="0.3">
      <c r="A27" s="71" t="s">
        <v>30</v>
      </c>
      <c r="B27" s="123" t="s">
        <v>138</v>
      </c>
      <c r="C27" s="112">
        <v>35</v>
      </c>
      <c r="D27" s="121">
        <f>AT27*AU27*AW27</f>
        <v>0</v>
      </c>
      <c r="E27" s="15">
        <f>ROUND(AT27*AV27*AX27,4)</f>
        <v>0</v>
      </c>
      <c r="F27" s="19"/>
      <c r="G27" s="19"/>
      <c r="H27" s="18"/>
      <c r="I27" s="18"/>
      <c r="J27" s="9" t="s">
        <v>68</v>
      </c>
      <c r="K27" s="20"/>
      <c r="L27" s="20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7">
        <f t="shared" si="2"/>
        <v>0</v>
      </c>
      <c r="AR27" s="16">
        <f t="shared" si="12"/>
        <v>0</v>
      </c>
      <c r="AS27" s="16"/>
      <c r="AT27" s="16"/>
      <c r="AU27" s="92">
        <f t="shared" si="3"/>
        <v>0</v>
      </c>
      <c r="AV27" s="92">
        <f t="shared" si="4"/>
        <v>0</v>
      </c>
      <c r="AW27" s="92">
        <f t="shared" si="5"/>
        <v>0</v>
      </c>
      <c r="AX27" s="92">
        <f t="shared" si="6"/>
        <v>0</v>
      </c>
      <c r="AY27" s="92">
        <f t="shared" si="13"/>
        <v>0</v>
      </c>
      <c r="AZ27" s="92">
        <f t="shared" si="13"/>
        <v>0</v>
      </c>
      <c r="BA27" s="95">
        <f t="shared" si="14"/>
        <v>0</v>
      </c>
      <c r="BB27" s="75"/>
      <c r="BC27"/>
    </row>
    <row r="28" spans="1:55" ht="15" hidden="1" customHeight="1" x14ac:dyDescent="0.3">
      <c r="A28" s="72" t="s">
        <v>31</v>
      </c>
      <c r="B28" s="111"/>
      <c r="C28" s="111">
        <v>39</v>
      </c>
      <c r="D28" s="121">
        <f t="shared" ref="D28:D41" si="16">AT28*AU28*AW28</f>
        <v>0</v>
      </c>
      <c r="E28" s="15">
        <f t="shared" si="15"/>
        <v>0</v>
      </c>
      <c r="F28" s="19"/>
      <c r="G28" s="19"/>
      <c r="H28" s="18"/>
      <c r="I28" s="18"/>
      <c r="J28" s="9" t="s">
        <v>68</v>
      </c>
      <c r="K28" s="20"/>
      <c r="L28" s="20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7">
        <f t="shared" si="2"/>
        <v>0</v>
      </c>
      <c r="AR28" s="16">
        <f t="shared" si="12"/>
        <v>0</v>
      </c>
      <c r="AS28" s="15"/>
      <c r="AT28" s="15"/>
      <c r="AU28" s="92">
        <f t="shared" si="3"/>
        <v>0</v>
      </c>
      <c r="AV28" s="92">
        <f t="shared" si="4"/>
        <v>0</v>
      </c>
      <c r="AW28" s="92">
        <f t="shared" si="5"/>
        <v>0</v>
      </c>
      <c r="AX28" s="92">
        <f t="shared" si="6"/>
        <v>0</v>
      </c>
      <c r="AY28" s="92">
        <f t="shared" si="13"/>
        <v>0</v>
      </c>
      <c r="AZ28" s="92">
        <f t="shared" si="13"/>
        <v>0</v>
      </c>
      <c r="BA28" s="95">
        <f t="shared" si="14"/>
        <v>0</v>
      </c>
      <c r="BB28" s="75"/>
      <c r="BC28"/>
    </row>
    <row r="29" spans="1:55" ht="15" hidden="1" customHeight="1" x14ac:dyDescent="0.3">
      <c r="A29" s="72" t="s">
        <v>32</v>
      </c>
      <c r="B29" s="111"/>
      <c r="C29" s="111">
        <v>40</v>
      </c>
      <c r="D29" s="121">
        <f t="shared" si="16"/>
        <v>0</v>
      </c>
      <c r="E29" s="15">
        <f t="shared" si="15"/>
        <v>0</v>
      </c>
      <c r="F29" s="19"/>
      <c r="G29" s="19"/>
      <c r="H29" s="18"/>
      <c r="I29" s="18"/>
      <c r="J29" s="9" t="s">
        <v>68</v>
      </c>
      <c r="K29" s="20"/>
      <c r="L29" s="20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7">
        <f t="shared" si="2"/>
        <v>0</v>
      </c>
      <c r="AR29" s="16">
        <f t="shared" si="12"/>
        <v>0</v>
      </c>
      <c r="AS29" s="15"/>
      <c r="AT29" s="15"/>
      <c r="AU29" s="92">
        <f t="shared" si="3"/>
        <v>0</v>
      </c>
      <c r="AV29" s="92">
        <f t="shared" si="4"/>
        <v>0</v>
      </c>
      <c r="AW29" s="92">
        <f t="shared" si="5"/>
        <v>0</v>
      </c>
      <c r="AX29" s="92">
        <f t="shared" si="6"/>
        <v>0</v>
      </c>
      <c r="AY29" s="92">
        <f t="shared" si="13"/>
        <v>0</v>
      </c>
      <c r="AZ29" s="92">
        <f t="shared" si="13"/>
        <v>0</v>
      </c>
      <c r="BA29" s="95">
        <f t="shared" si="14"/>
        <v>0</v>
      </c>
      <c r="BB29" s="75"/>
      <c r="BC29"/>
    </row>
    <row r="30" spans="1:55" ht="15" hidden="1" customHeight="1" x14ac:dyDescent="0.3">
      <c r="A30" s="72" t="s">
        <v>33</v>
      </c>
      <c r="B30" s="111"/>
      <c r="C30" s="111">
        <v>41</v>
      </c>
      <c r="D30" s="121">
        <f t="shared" si="16"/>
        <v>0</v>
      </c>
      <c r="E30" s="15">
        <f t="shared" si="15"/>
        <v>0</v>
      </c>
      <c r="F30" s="19"/>
      <c r="G30" s="19"/>
      <c r="H30" s="18"/>
      <c r="I30" s="18"/>
      <c r="J30" s="9" t="s">
        <v>68</v>
      </c>
      <c r="K30" s="20"/>
      <c r="L30" s="20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7">
        <f t="shared" si="2"/>
        <v>0</v>
      </c>
      <c r="AR30" s="16">
        <f t="shared" si="12"/>
        <v>0</v>
      </c>
      <c r="AS30" s="15"/>
      <c r="AT30" s="15"/>
      <c r="AU30" s="92">
        <f t="shared" si="3"/>
        <v>0</v>
      </c>
      <c r="AV30" s="92">
        <f t="shared" si="4"/>
        <v>0</v>
      </c>
      <c r="AW30" s="92">
        <f t="shared" si="5"/>
        <v>0</v>
      </c>
      <c r="AX30" s="92">
        <f t="shared" si="6"/>
        <v>0</v>
      </c>
      <c r="AY30" s="92">
        <f t="shared" si="13"/>
        <v>0</v>
      </c>
      <c r="AZ30" s="92">
        <f t="shared" si="13"/>
        <v>0</v>
      </c>
      <c r="BA30" s="95">
        <f t="shared" si="14"/>
        <v>0</v>
      </c>
      <c r="BB30" s="75"/>
      <c r="BC30"/>
    </row>
    <row r="31" spans="1:55" ht="15" hidden="1" customHeight="1" x14ac:dyDescent="0.3">
      <c r="A31" s="72" t="s">
        <v>34</v>
      </c>
      <c r="B31" s="111"/>
      <c r="C31" s="111">
        <v>42</v>
      </c>
      <c r="D31" s="121">
        <f t="shared" si="16"/>
        <v>0</v>
      </c>
      <c r="E31" s="15">
        <f t="shared" si="15"/>
        <v>0</v>
      </c>
      <c r="F31" s="19"/>
      <c r="G31" s="19"/>
      <c r="H31" s="18"/>
      <c r="I31" s="18"/>
      <c r="J31" s="9" t="s">
        <v>68</v>
      </c>
      <c r="K31" s="20"/>
      <c r="L31" s="20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7">
        <f t="shared" si="2"/>
        <v>0</v>
      </c>
      <c r="AR31" s="16">
        <f t="shared" si="12"/>
        <v>0</v>
      </c>
      <c r="AS31" s="15"/>
      <c r="AT31" s="15"/>
      <c r="AU31" s="92">
        <f t="shared" si="3"/>
        <v>0</v>
      </c>
      <c r="AV31" s="92">
        <f t="shared" si="4"/>
        <v>0</v>
      </c>
      <c r="AW31" s="92">
        <f t="shared" si="5"/>
        <v>0</v>
      </c>
      <c r="AX31" s="92">
        <f t="shared" si="6"/>
        <v>0</v>
      </c>
      <c r="AY31" s="92">
        <f t="shared" si="13"/>
        <v>0</v>
      </c>
      <c r="AZ31" s="92">
        <f t="shared" si="13"/>
        <v>0</v>
      </c>
      <c r="BA31" s="95">
        <f t="shared" si="14"/>
        <v>0</v>
      </c>
      <c r="BB31" s="75"/>
      <c r="BC31"/>
    </row>
    <row r="32" spans="1:55" ht="15" hidden="1" customHeight="1" x14ac:dyDescent="0.3">
      <c r="A32" s="72" t="s">
        <v>35</v>
      </c>
      <c r="B32" s="111"/>
      <c r="C32" s="111">
        <v>43</v>
      </c>
      <c r="D32" s="121">
        <f t="shared" si="16"/>
        <v>0</v>
      </c>
      <c r="E32" s="15">
        <f t="shared" si="15"/>
        <v>0</v>
      </c>
      <c r="F32" s="19"/>
      <c r="G32" s="19"/>
      <c r="H32" s="18"/>
      <c r="I32" s="18"/>
      <c r="J32" s="9" t="s">
        <v>68</v>
      </c>
      <c r="K32" s="20"/>
      <c r="L32" s="20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7">
        <f t="shared" si="2"/>
        <v>0</v>
      </c>
      <c r="AR32" s="16">
        <f t="shared" si="12"/>
        <v>0</v>
      </c>
      <c r="AS32" s="15"/>
      <c r="AT32" s="15"/>
      <c r="AU32" s="92">
        <f t="shared" si="3"/>
        <v>0</v>
      </c>
      <c r="AV32" s="92">
        <f t="shared" si="4"/>
        <v>0</v>
      </c>
      <c r="AW32" s="92">
        <f t="shared" si="5"/>
        <v>0</v>
      </c>
      <c r="AX32" s="92">
        <f t="shared" si="6"/>
        <v>0</v>
      </c>
      <c r="AY32" s="92">
        <f t="shared" si="13"/>
        <v>0</v>
      </c>
      <c r="AZ32" s="92">
        <f t="shared" si="13"/>
        <v>0</v>
      </c>
      <c r="BA32" s="95">
        <f t="shared" si="14"/>
        <v>0</v>
      </c>
      <c r="BB32" s="75"/>
      <c r="BC32"/>
    </row>
    <row r="33" spans="1:55" ht="15" hidden="1" customHeight="1" x14ac:dyDescent="0.3">
      <c r="A33" s="72" t="s">
        <v>36</v>
      </c>
      <c r="B33" s="111"/>
      <c r="C33" s="111">
        <v>44</v>
      </c>
      <c r="D33" s="121">
        <f t="shared" si="16"/>
        <v>0</v>
      </c>
      <c r="E33" s="15">
        <f t="shared" si="15"/>
        <v>0</v>
      </c>
      <c r="F33" s="19"/>
      <c r="G33" s="19"/>
      <c r="H33" s="18"/>
      <c r="I33" s="18"/>
      <c r="J33" s="9" t="s">
        <v>68</v>
      </c>
      <c r="K33" s="20"/>
      <c r="L33" s="20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7">
        <f t="shared" si="2"/>
        <v>0</v>
      </c>
      <c r="AR33" s="16">
        <f t="shared" si="12"/>
        <v>0</v>
      </c>
      <c r="AS33" s="15"/>
      <c r="AT33" s="15"/>
      <c r="AU33" s="92">
        <f t="shared" si="3"/>
        <v>0</v>
      </c>
      <c r="AV33" s="92">
        <f t="shared" si="4"/>
        <v>0</v>
      </c>
      <c r="AW33" s="92">
        <f t="shared" si="5"/>
        <v>0</v>
      </c>
      <c r="AX33" s="92">
        <f t="shared" si="6"/>
        <v>0</v>
      </c>
      <c r="AY33" s="92">
        <f t="shared" si="13"/>
        <v>0</v>
      </c>
      <c r="AZ33" s="92">
        <f t="shared" si="13"/>
        <v>0</v>
      </c>
      <c r="BA33" s="95">
        <f t="shared" si="14"/>
        <v>0</v>
      </c>
      <c r="BB33" s="75"/>
      <c r="BC33"/>
    </row>
    <row r="34" spans="1:55" ht="15" hidden="1" customHeight="1" x14ac:dyDescent="0.3">
      <c r="A34" s="72" t="s">
        <v>37</v>
      </c>
      <c r="B34" s="111"/>
      <c r="C34" s="111">
        <v>45</v>
      </c>
      <c r="D34" s="121">
        <f t="shared" si="16"/>
        <v>0</v>
      </c>
      <c r="E34" s="15">
        <f t="shared" si="15"/>
        <v>0</v>
      </c>
      <c r="F34" s="19"/>
      <c r="G34" s="19"/>
      <c r="H34" s="18"/>
      <c r="I34" s="18"/>
      <c r="J34" s="9" t="s">
        <v>68</v>
      </c>
      <c r="K34" s="20"/>
      <c r="L34" s="20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7">
        <f t="shared" si="2"/>
        <v>0</v>
      </c>
      <c r="AR34" s="16">
        <f t="shared" si="12"/>
        <v>0</v>
      </c>
      <c r="AS34" s="15"/>
      <c r="AT34" s="15"/>
      <c r="AU34" s="92">
        <f t="shared" si="3"/>
        <v>0</v>
      </c>
      <c r="AV34" s="92">
        <f t="shared" si="4"/>
        <v>0</v>
      </c>
      <c r="AW34" s="92">
        <f t="shared" si="5"/>
        <v>0</v>
      </c>
      <c r="AX34" s="92">
        <f t="shared" si="6"/>
        <v>0</v>
      </c>
      <c r="AY34" s="92">
        <f t="shared" si="13"/>
        <v>0</v>
      </c>
      <c r="AZ34" s="92">
        <f t="shared" si="13"/>
        <v>0</v>
      </c>
      <c r="BA34" s="95">
        <f t="shared" si="14"/>
        <v>0</v>
      </c>
      <c r="BB34" s="75"/>
      <c r="BC34"/>
    </row>
    <row r="35" spans="1:55" ht="15" hidden="1" customHeight="1" x14ac:dyDescent="0.3">
      <c r="A35" s="72" t="s">
        <v>38</v>
      </c>
      <c r="B35" s="111"/>
      <c r="C35" s="111">
        <v>46</v>
      </c>
      <c r="D35" s="121">
        <f t="shared" si="16"/>
        <v>0</v>
      </c>
      <c r="E35" s="15">
        <f t="shared" si="15"/>
        <v>0</v>
      </c>
      <c r="F35" s="19"/>
      <c r="G35" s="19"/>
      <c r="H35" s="18"/>
      <c r="I35" s="18"/>
      <c r="J35" s="9" t="s">
        <v>68</v>
      </c>
      <c r="K35" s="20"/>
      <c r="L35" s="20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7">
        <f t="shared" si="2"/>
        <v>0</v>
      </c>
      <c r="AR35" s="16">
        <f t="shared" si="12"/>
        <v>0</v>
      </c>
      <c r="AS35" s="15"/>
      <c r="AT35" s="15"/>
      <c r="AU35" s="92">
        <f t="shared" si="3"/>
        <v>0</v>
      </c>
      <c r="AV35" s="92">
        <f t="shared" si="4"/>
        <v>0</v>
      </c>
      <c r="AW35" s="92">
        <f t="shared" si="5"/>
        <v>0</v>
      </c>
      <c r="AX35" s="92">
        <f t="shared" si="6"/>
        <v>0</v>
      </c>
      <c r="AY35" s="92">
        <f t="shared" si="13"/>
        <v>0</v>
      </c>
      <c r="AZ35" s="92">
        <f t="shared" si="13"/>
        <v>0</v>
      </c>
      <c r="BA35" s="95">
        <f t="shared" si="14"/>
        <v>0</v>
      </c>
      <c r="BB35" s="75"/>
      <c r="BC35"/>
    </row>
    <row r="36" spans="1:55" ht="15" hidden="1" customHeight="1" x14ac:dyDescent="0.3">
      <c r="A36" s="72" t="s">
        <v>39</v>
      </c>
      <c r="B36" s="111"/>
      <c r="C36" s="111">
        <v>47</v>
      </c>
      <c r="D36" s="121">
        <f t="shared" si="16"/>
        <v>0</v>
      </c>
      <c r="E36" s="15">
        <f t="shared" si="15"/>
        <v>0</v>
      </c>
      <c r="F36" s="19"/>
      <c r="G36" s="19"/>
      <c r="H36" s="18"/>
      <c r="I36" s="18"/>
      <c r="J36" s="9" t="s">
        <v>68</v>
      </c>
      <c r="K36" s="20"/>
      <c r="L36" s="20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7">
        <f t="shared" si="2"/>
        <v>0</v>
      </c>
      <c r="AR36" s="16">
        <f t="shared" si="12"/>
        <v>0</v>
      </c>
      <c r="AS36" s="15"/>
      <c r="AT36" s="15"/>
      <c r="AU36" s="92">
        <f t="shared" si="3"/>
        <v>0</v>
      </c>
      <c r="AV36" s="92">
        <f t="shared" si="4"/>
        <v>0</v>
      </c>
      <c r="AW36" s="92">
        <f t="shared" si="5"/>
        <v>0</v>
      </c>
      <c r="AX36" s="92">
        <f t="shared" si="6"/>
        <v>0</v>
      </c>
      <c r="AY36" s="92">
        <f t="shared" si="13"/>
        <v>0</v>
      </c>
      <c r="AZ36" s="92">
        <f t="shared" si="13"/>
        <v>0</v>
      </c>
      <c r="BA36" s="95">
        <f t="shared" si="14"/>
        <v>0</v>
      </c>
      <c r="BB36" s="75"/>
      <c r="BC36"/>
    </row>
    <row r="37" spans="1:55" ht="15" hidden="1" customHeight="1" x14ac:dyDescent="0.3">
      <c r="A37" s="72" t="s">
        <v>40</v>
      </c>
      <c r="B37" s="111"/>
      <c r="C37" s="111">
        <v>48</v>
      </c>
      <c r="D37" s="121">
        <f t="shared" si="16"/>
        <v>0</v>
      </c>
      <c r="E37" s="15">
        <f t="shared" si="15"/>
        <v>0</v>
      </c>
      <c r="F37" s="19"/>
      <c r="G37" s="19"/>
      <c r="H37" s="18"/>
      <c r="I37" s="18"/>
      <c r="J37" s="9" t="s">
        <v>68</v>
      </c>
      <c r="K37" s="20"/>
      <c r="L37" s="20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7">
        <f t="shared" si="2"/>
        <v>0</v>
      </c>
      <c r="AR37" s="16">
        <f t="shared" si="12"/>
        <v>0</v>
      </c>
      <c r="AS37" s="15"/>
      <c r="AT37" s="15"/>
      <c r="AU37" s="92">
        <f t="shared" si="3"/>
        <v>0</v>
      </c>
      <c r="AV37" s="92">
        <f t="shared" si="4"/>
        <v>0</v>
      </c>
      <c r="AW37" s="92">
        <f t="shared" si="5"/>
        <v>0</v>
      </c>
      <c r="AX37" s="92">
        <f t="shared" si="6"/>
        <v>0</v>
      </c>
      <c r="AY37" s="92">
        <f t="shared" si="13"/>
        <v>0</v>
      </c>
      <c r="AZ37" s="92">
        <f t="shared" si="13"/>
        <v>0</v>
      </c>
      <c r="BA37" s="95">
        <f t="shared" si="14"/>
        <v>0</v>
      </c>
      <c r="BB37" s="75"/>
      <c r="BC37"/>
    </row>
    <row r="38" spans="1:55" ht="15" hidden="1" customHeight="1" x14ac:dyDescent="0.3">
      <c r="A38" s="72" t="s">
        <v>41</v>
      </c>
      <c r="B38" s="111"/>
      <c r="C38" s="111">
        <v>49</v>
      </c>
      <c r="D38" s="121">
        <f t="shared" si="16"/>
        <v>0</v>
      </c>
      <c r="E38" s="15">
        <f t="shared" si="15"/>
        <v>0</v>
      </c>
      <c r="F38" s="19"/>
      <c r="G38" s="19"/>
      <c r="H38" s="18"/>
      <c r="I38" s="18"/>
      <c r="J38" s="9" t="s">
        <v>68</v>
      </c>
      <c r="K38" s="20"/>
      <c r="L38" s="20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7">
        <f t="shared" si="2"/>
        <v>0</v>
      </c>
      <c r="AR38" s="16">
        <f t="shared" si="12"/>
        <v>0</v>
      </c>
      <c r="AS38" s="15"/>
      <c r="AT38" s="15"/>
      <c r="AU38" s="92">
        <f t="shared" si="3"/>
        <v>0</v>
      </c>
      <c r="AV38" s="92">
        <f t="shared" si="4"/>
        <v>0</v>
      </c>
      <c r="AW38" s="92">
        <f t="shared" si="5"/>
        <v>0</v>
      </c>
      <c r="AX38" s="92">
        <f t="shared" si="6"/>
        <v>0</v>
      </c>
      <c r="AY38" s="92">
        <f t="shared" si="13"/>
        <v>0</v>
      </c>
      <c r="AZ38" s="92">
        <f t="shared" si="13"/>
        <v>0</v>
      </c>
      <c r="BA38" s="95">
        <f t="shared" si="14"/>
        <v>0</v>
      </c>
      <c r="BB38" s="75"/>
      <c r="BC38"/>
    </row>
    <row r="39" spans="1:55" ht="15" hidden="1" customHeight="1" x14ac:dyDescent="0.3">
      <c r="A39" s="72" t="s">
        <v>42</v>
      </c>
      <c r="B39" s="111"/>
      <c r="C39" s="111">
        <v>50</v>
      </c>
      <c r="D39" s="121">
        <f t="shared" si="16"/>
        <v>0</v>
      </c>
      <c r="E39" s="15">
        <f t="shared" si="15"/>
        <v>0</v>
      </c>
      <c r="F39" s="19"/>
      <c r="G39" s="19"/>
      <c r="H39" s="18"/>
      <c r="I39" s="18"/>
      <c r="J39" s="9" t="s">
        <v>68</v>
      </c>
      <c r="K39" s="20"/>
      <c r="L39" s="20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7">
        <f t="shared" si="2"/>
        <v>0</v>
      </c>
      <c r="AR39" s="16">
        <f t="shared" si="12"/>
        <v>0</v>
      </c>
      <c r="AS39" s="15"/>
      <c r="AT39" s="15"/>
      <c r="AU39" s="92">
        <f t="shared" si="3"/>
        <v>0</v>
      </c>
      <c r="AV39" s="92">
        <f t="shared" si="4"/>
        <v>0</v>
      </c>
      <c r="AW39" s="92">
        <f t="shared" si="5"/>
        <v>0</v>
      </c>
      <c r="AX39" s="92">
        <f t="shared" si="6"/>
        <v>0</v>
      </c>
      <c r="AY39" s="92">
        <f t="shared" si="13"/>
        <v>0</v>
      </c>
      <c r="AZ39" s="92">
        <f t="shared" si="13"/>
        <v>0</v>
      </c>
      <c r="BA39" s="95">
        <f t="shared" si="14"/>
        <v>0</v>
      </c>
      <c r="BB39" s="75"/>
      <c r="BC39"/>
    </row>
    <row r="40" spans="1:55" ht="15" hidden="1" customHeight="1" x14ac:dyDescent="0.3">
      <c r="A40" s="72" t="s">
        <v>43</v>
      </c>
      <c r="B40" s="111"/>
      <c r="C40" s="111">
        <v>51</v>
      </c>
      <c r="D40" s="121">
        <f t="shared" si="16"/>
        <v>0</v>
      </c>
      <c r="E40" s="15">
        <f t="shared" si="15"/>
        <v>0</v>
      </c>
      <c r="F40" s="19"/>
      <c r="G40" s="19"/>
      <c r="H40" s="18"/>
      <c r="I40" s="18"/>
      <c r="J40" s="9" t="s">
        <v>68</v>
      </c>
      <c r="K40" s="20"/>
      <c r="L40" s="20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7">
        <f t="shared" si="2"/>
        <v>0</v>
      </c>
      <c r="AR40" s="16">
        <f t="shared" si="12"/>
        <v>0</v>
      </c>
      <c r="AS40" s="15"/>
      <c r="AT40" s="15"/>
      <c r="AU40" s="92">
        <f t="shared" si="3"/>
        <v>0</v>
      </c>
      <c r="AV40" s="92">
        <f t="shared" si="4"/>
        <v>0</v>
      </c>
      <c r="AW40" s="92">
        <f t="shared" si="5"/>
        <v>0</v>
      </c>
      <c r="AX40" s="92">
        <f t="shared" si="6"/>
        <v>0</v>
      </c>
      <c r="AY40" s="92">
        <f t="shared" si="13"/>
        <v>0</v>
      </c>
      <c r="AZ40" s="92">
        <f t="shared" si="13"/>
        <v>0</v>
      </c>
      <c r="BA40" s="95">
        <f t="shared" si="14"/>
        <v>0</v>
      </c>
      <c r="BB40" s="75"/>
      <c r="BC40"/>
    </row>
    <row r="41" spans="1:55" ht="15" hidden="1" customHeight="1" thickBot="1" x14ac:dyDescent="0.3">
      <c r="A41" s="100" t="s">
        <v>44</v>
      </c>
      <c r="B41" s="116"/>
      <c r="C41" s="116">
        <v>52</v>
      </c>
      <c r="D41" s="121">
        <f t="shared" si="16"/>
        <v>0</v>
      </c>
      <c r="E41" s="15">
        <f t="shared" si="15"/>
        <v>0</v>
      </c>
      <c r="F41" s="91"/>
      <c r="G41" s="91"/>
      <c r="H41" s="92"/>
      <c r="I41" s="92"/>
      <c r="J41" s="101" t="s">
        <v>68</v>
      </c>
      <c r="K41" s="94"/>
      <c r="L41" s="94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7">
        <f t="shared" si="2"/>
        <v>0</v>
      </c>
      <c r="AR41" s="16">
        <f t="shared" si="12"/>
        <v>0</v>
      </c>
      <c r="AS41" s="16"/>
      <c r="AT41" s="16"/>
      <c r="AU41" s="92">
        <f t="shared" si="3"/>
        <v>0</v>
      </c>
      <c r="AV41" s="92">
        <f t="shared" si="4"/>
        <v>0</v>
      </c>
      <c r="AW41" s="92">
        <f t="shared" si="5"/>
        <v>0</v>
      </c>
      <c r="AX41" s="92">
        <f t="shared" si="6"/>
        <v>0</v>
      </c>
      <c r="AY41" s="92">
        <f t="shared" si="13"/>
        <v>0</v>
      </c>
      <c r="AZ41" s="92">
        <f t="shared" si="13"/>
        <v>0</v>
      </c>
      <c r="BA41" s="95">
        <f t="shared" si="14"/>
        <v>0</v>
      </c>
      <c r="BB41" s="96"/>
      <c r="BC41"/>
    </row>
    <row r="42" spans="1:55" ht="15" customHeight="1" thickBot="1" x14ac:dyDescent="0.3">
      <c r="A42" s="102" t="s">
        <v>81</v>
      </c>
      <c r="B42" s="124"/>
      <c r="C42" s="87"/>
      <c r="D42" s="132">
        <f>SUM(D43:D45)</f>
        <v>0</v>
      </c>
      <c r="E42" s="129">
        <f>SUM(E43:E45)</f>
        <v>0</v>
      </c>
      <c r="F42" s="129">
        <f>SUM(F43:F45)</f>
        <v>0</v>
      </c>
      <c r="G42" s="129"/>
      <c r="H42" s="131">
        <f>SUM(H43:H45)</f>
        <v>0</v>
      </c>
      <c r="I42" s="131">
        <f>SUM(I43:I45)</f>
        <v>0</v>
      </c>
      <c r="J42" s="88"/>
      <c r="K42" s="130"/>
      <c r="L42" s="130"/>
      <c r="M42" s="129">
        <f>SUM(M43:M45)</f>
        <v>0</v>
      </c>
      <c r="N42" s="129">
        <f t="shared" ref="N42:AP42" si="17">SUM(N43:N45)</f>
        <v>0</v>
      </c>
      <c r="O42" s="129">
        <f t="shared" si="17"/>
        <v>0</v>
      </c>
      <c r="P42" s="129">
        <f t="shared" si="17"/>
        <v>0</v>
      </c>
      <c r="Q42" s="129">
        <f t="shared" si="17"/>
        <v>0</v>
      </c>
      <c r="R42" s="129">
        <f t="shared" si="17"/>
        <v>0</v>
      </c>
      <c r="S42" s="129">
        <f t="shared" si="17"/>
        <v>0</v>
      </c>
      <c r="T42" s="129">
        <f t="shared" si="17"/>
        <v>0</v>
      </c>
      <c r="U42" s="129">
        <f t="shared" si="17"/>
        <v>0</v>
      </c>
      <c r="V42" s="129">
        <f t="shared" si="17"/>
        <v>0</v>
      </c>
      <c r="W42" s="129">
        <f t="shared" si="17"/>
        <v>0</v>
      </c>
      <c r="X42" s="129">
        <f t="shared" si="17"/>
        <v>0</v>
      </c>
      <c r="Y42" s="129">
        <f t="shared" si="17"/>
        <v>0</v>
      </c>
      <c r="Z42" s="129">
        <f t="shared" si="17"/>
        <v>0</v>
      </c>
      <c r="AA42" s="129">
        <f t="shared" si="17"/>
        <v>0</v>
      </c>
      <c r="AB42" s="129">
        <f t="shared" si="17"/>
        <v>0</v>
      </c>
      <c r="AC42" s="129">
        <f t="shared" si="17"/>
        <v>0</v>
      </c>
      <c r="AD42" s="129">
        <f t="shared" si="17"/>
        <v>0</v>
      </c>
      <c r="AE42" s="129">
        <f t="shared" si="17"/>
        <v>0</v>
      </c>
      <c r="AF42" s="129">
        <f t="shared" si="17"/>
        <v>0</v>
      </c>
      <c r="AG42" s="129">
        <f t="shared" si="17"/>
        <v>0</v>
      </c>
      <c r="AH42" s="129">
        <f t="shared" si="17"/>
        <v>0</v>
      </c>
      <c r="AI42" s="129">
        <f t="shared" si="17"/>
        <v>0</v>
      </c>
      <c r="AJ42" s="129">
        <f t="shared" si="17"/>
        <v>0</v>
      </c>
      <c r="AK42" s="129">
        <f t="shared" si="17"/>
        <v>0</v>
      </c>
      <c r="AL42" s="129">
        <f t="shared" si="17"/>
        <v>0</v>
      </c>
      <c r="AM42" s="129">
        <f t="shared" si="17"/>
        <v>0</v>
      </c>
      <c r="AN42" s="129">
        <f t="shared" si="17"/>
        <v>0</v>
      </c>
      <c r="AO42" s="129">
        <f t="shared" si="17"/>
        <v>0</v>
      </c>
      <c r="AP42" s="129">
        <f t="shared" si="17"/>
        <v>0</v>
      </c>
      <c r="AQ42" s="129">
        <f t="shared" si="2"/>
        <v>0</v>
      </c>
      <c r="AR42" s="129">
        <f t="shared" si="12"/>
        <v>0</v>
      </c>
      <c r="AS42" s="129"/>
      <c r="AT42" s="129">
        <f>SUM(AT43:AT45)</f>
        <v>0</v>
      </c>
      <c r="AU42" s="131">
        <f t="shared" si="3"/>
        <v>0</v>
      </c>
      <c r="AV42" s="131">
        <f t="shared" si="4"/>
        <v>0</v>
      </c>
      <c r="AW42" s="131">
        <f t="shared" si="5"/>
        <v>0</v>
      </c>
      <c r="AX42" s="131">
        <f t="shared" si="6"/>
        <v>0</v>
      </c>
      <c r="AY42" s="131">
        <f t="shared" si="13"/>
        <v>0</v>
      </c>
      <c r="AZ42" s="131">
        <f t="shared" si="13"/>
        <v>0</v>
      </c>
      <c r="BA42" s="129">
        <f t="shared" si="14"/>
        <v>0</v>
      </c>
      <c r="BB42" s="99"/>
      <c r="BC42"/>
    </row>
    <row r="43" spans="1:55" ht="15" customHeight="1" x14ac:dyDescent="0.25">
      <c r="A43" s="97" t="s">
        <v>66</v>
      </c>
      <c r="B43" s="123" t="s">
        <v>139</v>
      </c>
      <c r="C43" s="115">
        <v>25</v>
      </c>
      <c r="D43" s="121">
        <f>AT43*AU43*AW43</f>
        <v>0</v>
      </c>
      <c r="E43" s="17">
        <f>ROUND(AT43*AV43*AX43,4)</f>
        <v>0</v>
      </c>
      <c r="F43" s="81"/>
      <c r="G43" s="81"/>
      <c r="H43" s="82"/>
      <c r="I43" s="82"/>
      <c r="J43" s="14" t="s">
        <v>55</v>
      </c>
      <c r="K43" s="84"/>
      <c r="L43" s="84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>
        <f t="shared" si="2"/>
        <v>0</v>
      </c>
      <c r="AR43" s="16">
        <f t="shared" si="12"/>
        <v>0</v>
      </c>
      <c r="AS43" s="16"/>
      <c r="AT43" s="16"/>
      <c r="AU43" s="82">
        <f t="shared" si="3"/>
        <v>0</v>
      </c>
      <c r="AV43" s="82">
        <f t="shared" si="4"/>
        <v>0</v>
      </c>
      <c r="AW43" s="82">
        <f t="shared" si="5"/>
        <v>0</v>
      </c>
      <c r="AX43" s="82">
        <f t="shared" si="6"/>
        <v>0</v>
      </c>
      <c r="AY43" s="92">
        <f t="shared" si="13"/>
        <v>0</v>
      </c>
      <c r="AZ43" s="92">
        <f t="shared" si="13"/>
        <v>0</v>
      </c>
      <c r="BA43" s="95">
        <f t="shared" si="14"/>
        <v>0</v>
      </c>
      <c r="BB43" s="86"/>
      <c r="BC43"/>
    </row>
    <row r="44" spans="1:55" ht="15" hidden="1" customHeight="1" x14ac:dyDescent="0.25">
      <c r="A44" s="72" t="s">
        <v>67</v>
      </c>
      <c r="B44" s="123"/>
      <c r="C44" s="111">
        <v>31</v>
      </c>
      <c r="D44" s="121">
        <f>AT44*AU44*AW44</f>
        <v>0</v>
      </c>
      <c r="E44" s="15">
        <f t="shared" si="15"/>
        <v>0</v>
      </c>
      <c r="F44" s="19"/>
      <c r="G44" s="19"/>
      <c r="H44" s="18"/>
      <c r="I44" s="18"/>
      <c r="J44" s="7" t="s">
        <v>55</v>
      </c>
      <c r="K44" s="20"/>
      <c r="L44" s="20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7">
        <f t="shared" si="2"/>
        <v>0</v>
      </c>
      <c r="AR44" s="16">
        <f t="shared" si="12"/>
        <v>0</v>
      </c>
      <c r="AS44" s="15"/>
      <c r="AT44" s="15"/>
      <c r="AU44" s="82">
        <f t="shared" si="3"/>
        <v>0</v>
      </c>
      <c r="AV44" s="82">
        <f t="shared" si="4"/>
        <v>0</v>
      </c>
      <c r="AW44" s="82">
        <f t="shared" si="5"/>
        <v>0</v>
      </c>
      <c r="AX44" s="82">
        <f t="shared" si="6"/>
        <v>0</v>
      </c>
      <c r="AY44" s="92">
        <f t="shared" si="13"/>
        <v>0</v>
      </c>
      <c r="AZ44" s="92">
        <f t="shared" si="13"/>
        <v>0</v>
      </c>
      <c r="BA44" s="95">
        <f t="shared" si="14"/>
        <v>0</v>
      </c>
      <c r="BB44" s="75"/>
      <c r="BC44"/>
    </row>
    <row r="45" spans="1:55" ht="15" customHeight="1" thickBot="1" x14ac:dyDescent="0.3">
      <c r="A45" s="103" t="s">
        <v>67</v>
      </c>
      <c r="B45" s="123" t="s">
        <v>140</v>
      </c>
      <c r="C45" s="114">
        <v>38</v>
      </c>
      <c r="D45" s="121">
        <f>AT45*AU45*AW45</f>
        <v>0</v>
      </c>
      <c r="E45" s="16">
        <f>ROUND(AT45*AV45*AX45,4)</f>
        <v>0</v>
      </c>
      <c r="F45" s="91"/>
      <c r="G45" s="91"/>
      <c r="H45" s="92"/>
      <c r="I45" s="92"/>
      <c r="J45" s="13" t="s">
        <v>55</v>
      </c>
      <c r="K45" s="94"/>
      <c r="L45" s="94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7">
        <f t="shared" si="2"/>
        <v>0</v>
      </c>
      <c r="AR45" s="16">
        <f t="shared" si="12"/>
        <v>0</v>
      </c>
      <c r="AS45" s="16"/>
      <c r="AT45" s="16"/>
      <c r="AU45" s="82">
        <f t="shared" si="3"/>
        <v>0</v>
      </c>
      <c r="AV45" s="82">
        <f t="shared" si="4"/>
        <v>0</v>
      </c>
      <c r="AW45" s="82">
        <f t="shared" si="5"/>
        <v>0</v>
      </c>
      <c r="AX45" s="82">
        <f t="shared" si="6"/>
        <v>0</v>
      </c>
      <c r="AY45" s="92">
        <f t="shared" si="13"/>
        <v>0</v>
      </c>
      <c r="AZ45" s="92">
        <f t="shared" si="13"/>
        <v>0</v>
      </c>
      <c r="BA45" s="95">
        <f t="shared" si="14"/>
        <v>0</v>
      </c>
      <c r="BB45" s="96"/>
      <c r="BC45"/>
    </row>
    <row r="46" spans="1:55" ht="15" customHeight="1" thickBot="1" x14ac:dyDescent="0.3">
      <c r="A46" s="102" t="s">
        <v>82</v>
      </c>
      <c r="B46" s="124"/>
      <c r="C46" s="87"/>
      <c r="D46" s="132">
        <f>SUM(D47:D51)</f>
        <v>0</v>
      </c>
      <c r="E46" s="129">
        <f>SUM(E47:E51)</f>
        <v>0</v>
      </c>
      <c r="F46" s="129">
        <f>SUM(F47:F51)</f>
        <v>0</v>
      </c>
      <c r="G46" s="129"/>
      <c r="H46" s="131">
        <f>SUM(H47:H51)</f>
        <v>0</v>
      </c>
      <c r="I46" s="131">
        <f>SUM(I47:I51)</f>
        <v>0</v>
      </c>
      <c r="J46" s="88"/>
      <c r="K46" s="130"/>
      <c r="L46" s="130"/>
      <c r="M46" s="129">
        <f>SUM(M47:M51)</f>
        <v>0</v>
      </c>
      <c r="N46" s="129">
        <f t="shared" ref="N46:AP46" si="18">SUM(N47:N51)</f>
        <v>0</v>
      </c>
      <c r="O46" s="129">
        <f t="shared" si="18"/>
        <v>0</v>
      </c>
      <c r="P46" s="129">
        <f t="shared" si="18"/>
        <v>0</v>
      </c>
      <c r="Q46" s="129">
        <f t="shared" si="18"/>
        <v>0</v>
      </c>
      <c r="R46" s="129">
        <f t="shared" si="18"/>
        <v>0</v>
      </c>
      <c r="S46" s="129">
        <f t="shared" si="18"/>
        <v>0</v>
      </c>
      <c r="T46" s="129">
        <f t="shared" si="18"/>
        <v>0</v>
      </c>
      <c r="U46" s="129">
        <f t="shared" si="18"/>
        <v>0</v>
      </c>
      <c r="V46" s="129">
        <f t="shared" si="18"/>
        <v>0</v>
      </c>
      <c r="W46" s="129">
        <f t="shared" si="18"/>
        <v>0</v>
      </c>
      <c r="X46" s="129">
        <f t="shared" si="18"/>
        <v>0</v>
      </c>
      <c r="Y46" s="129">
        <f t="shared" si="18"/>
        <v>0</v>
      </c>
      <c r="Z46" s="129">
        <f t="shared" si="18"/>
        <v>0</v>
      </c>
      <c r="AA46" s="129">
        <f t="shared" si="18"/>
        <v>0</v>
      </c>
      <c r="AB46" s="129">
        <f t="shared" si="18"/>
        <v>0</v>
      </c>
      <c r="AC46" s="129">
        <f t="shared" si="18"/>
        <v>0</v>
      </c>
      <c r="AD46" s="129">
        <f t="shared" si="18"/>
        <v>0</v>
      </c>
      <c r="AE46" s="129">
        <f t="shared" si="18"/>
        <v>0</v>
      </c>
      <c r="AF46" s="129">
        <f t="shared" si="18"/>
        <v>0</v>
      </c>
      <c r="AG46" s="129">
        <f t="shared" si="18"/>
        <v>0</v>
      </c>
      <c r="AH46" s="129">
        <f t="shared" si="18"/>
        <v>0</v>
      </c>
      <c r="AI46" s="129">
        <f t="shared" si="18"/>
        <v>0</v>
      </c>
      <c r="AJ46" s="129">
        <f t="shared" si="18"/>
        <v>0</v>
      </c>
      <c r="AK46" s="129">
        <f t="shared" si="18"/>
        <v>0</v>
      </c>
      <c r="AL46" s="129">
        <f t="shared" si="18"/>
        <v>0</v>
      </c>
      <c r="AM46" s="129">
        <f t="shared" si="18"/>
        <v>0</v>
      </c>
      <c r="AN46" s="129">
        <f t="shared" si="18"/>
        <v>0</v>
      </c>
      <c r="AO46" s="129">
        <f t="shared" si="18"/>
        <v>0</v>
      </c>
      <c r="AP46" s="129">
        <f t="shared" si="18"/>
        <v>0</v>
      </c>
      <c r="AQ46" s="129">
        <f t="shared" si="2"/>
        <v>0</v>
      </c>
      <c r="AR46" s="129">
        <f t="shared" si="12"/>
        <v>0</v>
      </c>
      <c r="AS46" s="129"/>
      <c r="AT46" s="129">
        <f>SUM(AT47:AT51)</f>
        <v>0</v>
      </c>
      <c r="AU46" s="131">
        <f t="shared" si="3"/>
        <v>0</v>
      </c>
      <c r="AV46" s="131">
        <f t="shared" si="4"/>
        <v>0</v>
      </c>
      <c r="AW46" s="131">
        <f t="shared" si="5"/>
        <v>0</v>
      </c>
      <c r="AX46" s="131">
        <f t="shared" si="6"/>
        <v>0</v>
      </c>
      <c r="AY46" s="131">
        <f t="shared" si="13"/>
        <v>0</v>
      </c>
      <c r="AZ46" s="131">
        <f t="shared" si="13"/>
        <v>0</v>
      </c>
      <c r="BA46" s="129">
        <f t="shared" si="14"/>
        <v>0</v>
      </c>
      <c r="BB46" s="99"/>
      <c r="BC46"/>
    </row>
    <row r="47" spans="1:55" ht="15" customHeight="1" x14ac:dyDescent="0.25">
      <c r="A47" s="97" t="s">
        <v>46</v>
      </c>
      <c r="B47" s="123" t="s">
        <v>141</v>
      </c>
      <c r="C47" s="115">
        <v>28</v>
      </c>
      <c r="D47" s="121">
        <f>AT47*AU47*AW47</f>
        <v>0</v>
      </c>
      <c r="E47" s="17">
        <f>ROUND(AT47*AV47*AX47,4)</f>
        <v>0</v>
      </c>
      <c r="F47" s="81"/>
      <c r="G47" s="81"/>
      <c r="H47" s="82"/>
      <c r="I47" s="82"/>
      <c r="J47" s="14" t="s">
        <v>55</v>
      </c>
      <c r="K47" s="84"/>
      <c r="L47" s="84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>
        <f t="shared" si="2"/>
        <v>0</v>
      </c>
      <c r="AR47" s="16">
        <f t="shared" si="12"/>
        <v>0</v>
      </c>
      <c r="AS47" s="16"/>
      <c r="AT47" s="16"/>
      <c r="AU47" s="82">
        <f t="shared" si="3"/>
        <v>0</v>
      </c>
      <c r="AV47" s="82">
        <f t="shared" si="4"/>
        <v>0</v>
      </c>
      <c r="AW47" s="82">
        <f t="shared" si="5"/>
        <v>0</v>
      </c>
      <c r="AX47" s="82">
        <f t="shared" si="6"/>
        <v>0</v>
      </c>
      <c r="AY47" s="92">
        <f t="shared" si="13"/>
        <v>0</v>
      </c>
      <c r="AZ47" s="92">
        <f t="shared" si="13"/>
        <v>0</v>
      </c>
      <c r="BA47" s="95">
        <f t="shared" si="14"/>
        <v>0</v>
      </c>
      <c r="BB47" s="86"/>
      <c r="BC47"/>
    </row>
    <row r="48" spans="1:55" ht="15" customHeight="1" thickBot="1" x14ac:dyDescent="0.3">
      <c r="A48" s="71" t="s">
        <v>45</v>
      </c>
      <c r="B48" s="123" t="s">
        <v>142</v>
      </c>
      <c r="C48" s="112">
        <v>33</v>
      </c>
      <c r="D48" s="121">
        <f>AT48*AU48*AW48</f>
        <v>0</v>
      </c>
      <c r="E48" s="17">
        <f>ROUND(AT48*AV48*AX48,4)</f>
        <v>0</v>
      </c>
      <c r="F48" s="19"/>
      <c r="G48" s="19"/>
      <c r="H48" s="18"/>
      <c r="I48" s="18"/>
      <c r="J48" s="7" t="s">
        <v>55</v>
      </c>
      <c r="K48" s="20"/>
      <c r="L48" s="20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7">
        <f t="shared" si="2"/>
        <v>0</v>
      </c>
      <c r="AR48" s="16">
        <f t="shared" si="12"/>
        <v>0</v>
      </c>
      <c r="AS48" s="16"/>
      <c r="AT48" s="16"/>
      <c r="AU48" s="82">
        <f t="shared" si="3"/>
        <v>0</v>
      </c>
      <c r="AV48" s="82">
        <f t="shared" si="4"/>
        <v>0</v>
      </c>
      <c r="AW48" s="82">
        <f t="shared" si="5"/>
        <v>0</v>
      </c>
      <c r="AX48" s="82">
        <f t="shared" si="6"/>
        <v>0</v>
      </c>
      <c r="AY48" s="92">
        <f t="shared" si="13"/>
        <v>0</v>
      </c>
      <c r="AZ48" s="92">
        <f t="shared" si="13"/>
        <v>0</v>
      </c>
      <c r="BA48" s="95">
        <f t="shared" si="14"/>
        <v>0</v>
      </c>
      <c r="BB48" s="75"/>
      <c r="BC48"/>
    </row>
    <row r="49" spans="1:55" ht="15" hidden="1" customHeight="1" x14ac:dyDescent="0.3">
      <c r="A49" s="72" t="s">
        <v>48</v>
      </c>
      <c r="B49" s="111"/>
      <c r="C49" s="111">
        <v>35</v>
      </c>
      <c r="D49" s="120">
        <f t="shared" ref="D49:D51" si="19">AS49*AW49*AU49</f>
        <v>0</v>
      </c>
      <c r="E49" s="15">
        <f t="shared" si="15"/>
        <v>0</v>
      </c>
      <c r="F49" s="19"/>
      <c r="G49" s="19"/>
      <c r="H49" s="18"/>
      <c r="I49" s="18"/>
      <c r="J49" s="7" t="s">
        <v>55</v>
      </c>
      <c r="K49" s="20"/>
      <c r="L49" s="20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7">
        <f t="shared" si="2"/>
        <v>0</v>
      </c>
      <c r="AR49" s="16">
        <f t="shared" si="12"/>
        <v>0</v>
      </c>
      <c r="AS49" s="15"/>
      <c r="AT49" s="15"/>
      <c r="AU49" s="92">
        <f t="shared" si="3"/>
        <v>0</v>
      </c>
      <c r="AV49" s="92">
        <f t="shared" si="4"/>
        <v>0</v>
      </c>
      <c r="AW49" s="92">
        <f t="shared" si="5"/>
        <v>0</v>
      </c>
      <c r="AX49" s="92">
        <f t="shared" si="6"/>
        <v>0</v>
      </c>
      <c r="AY49" s="92">
        <f t="shared" si="13"/>
        <v>0</v>
      </c>
      <c r="AZ49" s="92">
        <f t="shared" si="13"/>
        <v>0</v>
      </c>
      <c r="BA49" s="95">
        <f t="shared" si="14"/>
        <v>0</v>
      </c>
      <c r="BB49" s="75"/>
      <c r="BC49"/>
    </row>
    <row r="50" spans="1:55" ht="15" hidden="1" customHeight="1" x14ac:dyDescent="0.3">
      <c r="A50" s="72" t="s">
        <v>47</v>
      </c>
      <c r="B50" s="111"/>
      <c r="C50" s="111">
        <v>36</v>
      </c>
      <c r="D50" s="120">
        <f t="shared" si="19"/>
        <v>0</v>
      </c>
      <c r="E50" s="15">
        <f t="shared" si="15"/>
        <v>0</v>
      </c>
      <c r="F50" s="19"/>
      <c r="G50" s="19"/>
      <c r="H50" s="18"/>
      <c r="I50" s="18"/>
      <c r="J50" s="7" t="s">
        <v>55</v>
      </c>
      <c r="K50" s="20"/>
      <c r="L50" s="20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7">
        <f t="shared" si="2"/>
        <v>0</v>
      </c>
      <c r="AR50" s="16">
        <f t="shared" si="12"/>
        <v>0</v>
      </c>
      <c r="AS50" s="15"/>
      <c r="AT50" s="15"/>
      <c r="AU50" s="92">
        <f t="shared" si="3"/>
        <v>0</v>
      </c>
      <c r="AV50" s="92">
        <f t="shared" si="4"/>
        <v>0</v>
      </c>
      <c r="AW50" s="92">
        <f t="shared" si="5"/>
        <v>0</v>
      </c>
      <c r="AX50" s="92">
        <f t="shared" si="6"/>
        <v>0</v>
      </c>
      <c r="AY50" s="92">
        <f t="shared" si="13"/>
        <v>0</v>
      </c>
      <c r="AZ50" s="92">
        <f t="shared" si="13"/>
        <v>0</v>
      </c>
      <c r="BA50" s="95">
        <f t="shared" si="14"/>
        <v>0</v>
      </c>
      <c r="BB50" s="75"/>
      <c r="BC50"/>
    </row>
    <row r="51" spans="1:55" ht="15" hidden="1" customHeight="1" thickBot="1" x14ac:dyDescent="0.3">
      <c r="A51" s="100" t="s">
        <v>64</v>
      </c>
      <c r="B51" s="116"/>
      <c r="C51" s="116">
        <v>37</v>
      </c>
      <c r="D51" s="121">
        <f t="shared" si="19"/>
        <v>0</v>
      </c>
      <c r="E51" s="16">
        <f t="shared" si="15"/>
        <v>0</v>
      </c>
      <c r="F51" s="91"/>
      <c r="G51" s="91"/>
      <c r="H51" s="92"/>
      <c r="I51" s="92"/>
      <c r="J51" s="13" t="s">
        <v>55</v>
      </c>
      <c r="K51" s="94"/>
      <c r="L51" s="94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7">
        <f t="shared" si="2"/>
        <v>0</v>
      </c>
      <c r="AR51" s="16">
        <f t="shared" si="12"/>
        <v>0</v>
      </c>
      <c r="AS51" s="16"/>
      <c r="AT51" s="16"/>
      <c r="AU51" s="92">
        <f t="shared" si="3"/>
        <v>0</v>
      </c>
      <c r="AV51" s="92">
        <f t="shared" si="4"/>
        <v>0</v>
      </c>
      <c r="AW51" s="92">
        <f t="shared" si="5"/>
        <v>0</v>
      </c>
      <c r="AX51" s="92">
        <f t="shared" si="6"/>
        <v>0</v>
      </c>
      <c r="AY51" s="92">
        <f t="shared" si="13"/>
        <v>0</v>
      </c>
      <c r="AZ51" s="92">
        <f t="shared" si="13"/>
        <v>0</v>
      </c>
      <c r="BA51" s="95">
        <f t="shared" si="14"/>
        <v>0</v>
      </c>
      <c r="BB51" s="96"/>
      <c r="BC51"/>
    </row>
    <row r="52" spans="1:55" ht="15" customHeight="1" thickBot="1" x14ac:dyDescent="0.3">
      <c r="A52" s="102" t="s">
        <v>49</v>
      </c>
      <c r="B52" s="124"/>
      <c r="C52" s="87"/>
      <c r="D52" s="132">
        <f>SUM(D53:D54)</f>
        <v>0</v>
      </c>
      <c r="E52" s="129">
        <f>SUM(E53:E54)</f>
        <v>0</v>
      </c>
      <c r="F52" s="129">
        <f>SUM(F53:F54)</f>
        <v>0</v>
      </c>
      <c r="G52" s="129"/>
      <c r="H52" s="131">
        <f>SUM(H53:H54)</f>
        <v>0</v>
      </c>
      <c r="I52" s="131">
        <f>SUM(I53:I54)</f>
        <v>0</v>
      </c>
      <c r="J52" s="88"/>
      <c r="K52" s="130"/>
      <c r="L52" s="130"/>
      <c r="M52" s="129">
        <f>SUM(M53:M54)</f>
        <v>0</v>
      </c>
      <c r="N52" s="129">
        <f t="shared" ref="N52:AP52" si="20">SUM(N53:N54)</f>
        <v>0</v>
      </c>
      <c r="O52" s="129">
        <f t="shared" si="20"/>
        <v>0</v>
      </c>
      <c r="P52" s="129">
        <f t="shared" si="20"/>
        <v>0</v>
      </c>
      <c r="Q52" s="129">
        <f t="shared" si="20"/>
        <v>0</v>
      </c>
      <c r="R52" s="129">
        <f t="shared" si="20"/>
        <v>0</v>
      </c>
      <c r="S52" s="129">
        <f t="shared" si="20"/>
        <v>0</v>
      </c>
      <c r="T52" s="129">
        <f t="shared" si="20"/>
        <v>0</v>
      </c>
      <c r="U52" s="129">
        <f t="shared" si="20"/>
        <v>0</v>
      </c>
      <c r="V52" s="129">
        <f t="shared" si="20"/>
        <v>0</v>
      </c>
      <c r="W52" s="129">
        <f t="shared" si="20"/>
        <v>0</v>
      </c>
      <c r="X52" s="129">
        <f t="shared" si="20"/>
        <v>0</v>
      </c>
      <c r="Y52" s="129">
        <f t="shared" si="20"/>
        <v>0</v>
      </c>
      <c r="Z52" s="129">
        <f t="shared" si="20"/>
        <v>0</v>
      </c>
      <c r="AA52" s="129">
        <f t="shared" si="20"/>
        <v>0</v>
      </c>
      <c r="AB52" s="129">
        <f t="shared" si="20"/>
        <v>0</v>
      </c>
      <c r="AC52" s="129">
        <f t="shared" si="20"/>
        <v>0</v>
      </c>
      <c r="AD52" s="129">
        <f t="shared" si="20"/>
        <v>0</v>
      </c>
      <c r="AE52" s="129">
        <f t="shared" si="20"/>
        <v>0</v>
      </c>
      <c r="AF52" s="129">
        <f t="shared" si="20"/>
        <v>0</v>
      </c>
      <c r="AG52" s="129">
        <f t="shared" si="20"/>
        <v>0</v>
      </c>
      <c r="AH52" s="129">
        <f t="shared" si="20"/>
        <v>0</v>
      </c>
      <c r="AI52" s="129">
        <f t="shared" si="20"/>
        <v>0</v>
      </c>
      <c r="AJ52" s="129">
        <f t="shared" si="20"/>
        <v>0</v>
      </c>
      <c r="AK52" s="129">
        <f t="shared" si="20"/>
        <v>0</v>
      </c>
      <c r="AL52" s="129">
        <f t="shared" si="20"/>
        <v>0</v>
      </c>
      <c r="AM52" s="129">
        <f t="shared" si="20"/>
        <v>0</v>
      </c>
      <c r="AN52" s="129">
        <f t="shared" si="20"/>
        <v>0</v>
      </c>
      <c r="AO52" s="129">
        <f t="shared" si="20"/>
        <v>0</v>
      </c>
      <c r="AP52" s="129">
        <f t="shared" si="20"/>
        <v>0</v>
      </c>
      <c r="AQ52" s="129">
        <f t="shared" si="2"/>
        <v>0</v>
      </c>
      <c r="AR52" s="129">
        <f t="shared" si="12"/>
        <v>0</v>
      </c>
      <c r="AS52" s="129"/>
      <c r="AT52" s="129">
        <f>SUM(AT53:AT54)</f>
        <v>0</v>
      </c>
      <c r="AU52" s="131">
        <f t="shared" si="3"/>
        <v>0</v>
      </c>
      <c r="AV52" s="131">
        <f t="shared" si="4"/>
        <v>0</v>
      </c>
      <c r="AW52" s="131">
        <f t="shared" si="5"/>
        <v>0</v>
      </c>
      <c r="AX52" s="131">
        <f t="shared" si="6"/>
        <v>0</v>
      </c>
      <c r="AY52" s="131">
        <f t="shared" si="13"/>
        <v>0</v>
      </c>
      <c r="AZ52" s="131">
        <f t="shared" si="13"/>
        <v>0</v>
      </c>
      <c r="BA52" s="129">
        <f t="shared" si="14"/>
        <v>0</v>
      </c>
      <c r="BB52" s="99"/>
      <c r="BC52"/>
    </row>
    <row r="53" spans="1:55" ht="15" customHeight="1" x14ac:dyDescent="0.25">
      <c r="A53" s="97" t="s">
        <v>51</v>
      </c>
      <c r="B53" s="123" t="s">
        <v>143</v>
      </c>
      <c r="C53" s="115">
        <v>4</v>
      </c>
      <c r="D53" s="121">
        <f>AT53*AU53*AW53</f>
        <v>0</v>
      </c>
      <c r="E53" s="17">
        <f>ROUND(AT53*AV53*AX53,4)</f>
        <v>0</v>
      </c>
      <c r="F53" s="81"/>
      <c r="G53" s="81"/>
      <c r="H53" s="82"/>
      <c r="I53" s="82"/>
      <c r="J53" s="14" t="s">
        <v>83</v>
      </c>
      <c r="K53" s="84"/>
      <c r="L53" s="84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>
        <f t="shared" si="2"/>
        <v>0</v>
      </c>
      <c r="AR53" s="16">
        <f t="shared" si="12"/>
        <v>0</v>
      </c>
      <c r="AS53" s="16"/>
      <c r="AT53" s="16"/>
      <c r="AU53" s="82">
        <f t="shared" si="3"/>
        <v>0</v>
      </c>
      <c r="AV53" s="82">
        <f t="shared" si="4"/>
        <v>0</v>
      </c>
      <c r="AW53" s="82">
        <f t="shared" si="5"/>
        <v>0</v>
      </c>
      <c r="AX53" s="82">
        <f t="shared" si="6"/>
        <v>0</v>
      </c>
      <c r="AY53" s="92">
        <f t="shared" si="13"/>
        <v>0</v>
      </c>
      <c r="AZ53" s="92">
        <f t="shared" si="13"/>
        <v>0</v>
      </c>
      <c r="BA53" s="95">
        <f t="shared" si="14"/>
        <v>0</v>
      </c>
      <c r="BB53" s="86"/>
      <c r="BC53"/>
    </row>
    <row r="54" spans="1:55" ht="15" customHeight="1" thickBot="1" x14ac:dyDescent="0.3">
      <c r="A54" s="104" t="s">
        <v>50</v>
      </c>
      <c r="B54" s="123" t="s">
        <v>153</v>
      </c>
      <c r="C54" s="117">
        <v>5</v>
      </c>
      <c r="D54" s="121">
        <f>AT54*AU54*AW54</f>
        <v>0</v>
      </c>
      <c r="E54" s="17">
        <f>ROUND(AT54*AV54*AX54,4)</f>
        <v>0</v>
      </c>
      <c r="F54" s="91"/>
      <c r="G54" s="91"/>
      <c r="H54" s="92"/>
      <c r="I54" s="92"/>
      <c r="J54" s="13" t="s">
        <v>83</v>
      </c>
      <c r="K54" s="94"/>
      <c r="L54" s="94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7">
        <f t="shared" si="2"/>
        <v>0</v>
      </c>
      <c r="AR54" s="16">
        <f t="shared" si="12"/>
        <v>0</v>
      </c>
      <c r="AS54" s="16"/>
      <c r="AT54" s="16"/>
      <c r="AU54" s="82">
        <f t="shared" si="3"/>
        <v>0</v>
      </c>
      <c r="AV54" s="82">
        <f t="shared" si="4"/>
        <v>0</v>
      </c>
      <c r="AW54" s="82">
        <f t="shared" si="5"/>
        <v>0</v>
      </c>
      <c r="AX54" s="82">
        <f t="shared" si="6"/>
        <v>0</v>
      </c>
      <c r="AY54" s="92">
        <f t="shared" si="13"/>
        <v>0</v>
      </c>
      <c r="AZ54" s="92">
        <f t="shared" si="13"/>
        <v>0</v>
      </c>
      <c r="BA54" s="95">
        <f t="shared" si="14"/>
        <v>0</v>
      </c>
      <c r="BB54" s="96"/>
      <c r="BC54"/>
    </row>
    <row r="55" spans="1:55" ht="15" customHeight="1" thickBot="1" x14ac:dyDescent="0.3">
      <c r="A55" s="87" t="s">
        <v>52</v>
      </c>
      <c r="B55" s="124"/>
      <c r="C55" s="87"/>
      <c r="D55" s="132">
        <f>SUM(D56:D61)</f>
        <v>0</v>
      </c>
      <c r="E55" s="129">
        <f>SUM(E56:E61)</f>
        <v>0</v>
      </c>
      <c r="F55" s="129">
        <f>SUM(F56:F61)</f>
        <v>0</v>
      </c>
      <c r="G55" s="129"/>
      <c r="H55" s="131"/>
      <c r="I55" s="131"/>
      <c r="J55" s="88"/>
      <c r="K55" s="130"/>
      <c r="L55" s="130"/>
      <c r="M55" s="129">
        <f>SUM(M56:M61)</f>
        <v>0</v>
      </c>
      <c r="N55" s="129">
        <f t="shared" ref="N55:AP55" si="21">SUM(N56:N61)</f>
        <v>0</v>
      </c>
      <c r="O55" s="129">
        <f t="shared" si="21"/>
        <v>0</v>
      </c>
      <c r="P55" s="129">
        <f t="shared" si="21"/>
        <v>0</v>
      </c>
      <c r="Q55" s="129">
        <f t="shared" si="21"/>
        <v>0</v>
      </c>
      <c r="R55" s="129">
        <f t="shared" si="21"/>
        <v>0</v>
      </c>
      <c r="S55" s="129">
        <f t="shared" si="21"/>
        <v>0</v>
      </c>
      <c r="T55" s="129">
        <f t="shared" si="21"/>
        <v>0</v>
      </c>
      <c r="U55" s="129">
        <f t="shared" si="21"/>
        <v>0</v>
      </c>
      <c r="V55" s="129">
        <f t="shared" si="21"/>
        <v>0</v>
      </c>
      <c r="W55" s="129">
        <f t="shared" si="21"/>
        <v>0</v>
      </c>
      <c r="X55" s="129">
        <f t="shared" si="21"/>
        <v>0</v>
      </c>
      <c r="Y55" s="129">
        <f t="shared" si="21"/>
        <v>0</v>
      </c>
      <c r="Z55" s="129">
        <f t="shared" si="21"/>
        <v>0</v>
      </c>
      <c r="AA55" s="129">
        <f t="shared" si="21"/>
        <v>0</v>
      </c>
      <c r="AB55" s="129">
        <f t="shared" si="21"/>
        <v>0</v>
      </c>
      <c r="AC55" s="129">
        <f t="shared" si="21"/>
        <v>0</v>
      </c>
      <c r="AD55" s="129">
        <f t="shared" si="21"/>
        <v>0</v>
      </c>
      <c r="AE55" s="129">
        <f t="shared" si="21"/>
        <v>0</v>
      </c>
      <c r="AF55" s="129">
        <f t="shared" si="21"/>
        <v>0</v>
      </c>
      <c r="AG55" s="129">
        <f t="shared" si="21"/>
        <v>0</v>
      </c>
      <c r="AH55" s="129">
        <f t="shared" si="21"/>
        <v>0</v>
      </c>
      <c r="AI55" s="129">
        <f t="shared" si="21"/>
        <v>0</v>
      </c>
      <c r="AJ55" s="129">
        <f t="shared" si="21"/>
        <v>0</v>
      </c>
      <c r="AK55" s="129">
        <f t="shared" si="21"/>
        <v>0</v>
      </c>
      <c r="AL55" s="129">
        <f t="shared" si="21"/>
        <v>0</v>
      </c>
      <c r="AM55" s="129">
        <f t="shared" si="21"/>
        <v>0</v>
      </c>
      <c r="AN55" s="129">
        <f t="shared" si="21"/>
        <v>0</v>
      </c>
      <c r="AO55" s="129">
        <f t="shared" si="21"/>
        <v>0</v>
      </c>
      <c r="AP55" s="129">
        <f t="shared" si="21"/>
        <v>0</v>
      </c>
      <c r="AQ55" s="129">
        <f t="shared" si="2"/>
        <v>0</v>
      </c>
      <c r="AR55" s="129">
        <f t="shared" si="12"/>
        <v>0</v>
      </c>
      <c r="AS55" s="129"/>
      <c r="AT55" s="129">
        <f>SUM(AT56:AT61)</f>
        <v>0</v>
      </c>
      <c r="AU55" s="131">
        <f t="shared" si="3"/>
        <v>0</v>
      </c>
      <c r="AV55" s="131">
        <f t="shared" si="4"/>
        <v>0</v>
      </c>
      <c r="AW55" s="131">
        <f t="shared" si="5"/>
        <v>0</v>
      </c>
      <c r="AX55" s="131">
        <f t="shared" si="6"/>
        <v>0</v>
      </c>
      <c r="AY55" s="131">
        <f t="shared" si="13"/>
        <v>0</v>
      </c>
      <c r="AZ55" s="131">
        <f t="shared" si="13"/>
        <v>0</v>
      </c>
      <c r="BA55" s="129">
        <f t="shared" si="14"/>
        <v>0</v>
      </c>
      <c r="BB55" s="99"/>
      <c r="BC55"/>
    </row>
    <row r="56" spans="1:55" ht="15" customHeight="1" x14ac:dyDescent="0.25">
      <c r="A56" s="145" t="s">
        <v>53</v>
      </c>
      <c r="B56" s="147" t="s">
        <v>144</v>
      </c>
      <c r="C56" s="146">
        <v>15</v>
      </c>
      <c r="D56" s="121">
        <f>AT56*AU56*AW56</f>
        <v>0</v>
      </c>
      <c r="E56" s="17">
        <f>ROUND(AT56*AV56*AX56,4)</f>
        <v>0</v>
      </c>
      <c r="F56" s="81"/>
      <c r="G56" s="81"/>
      <c r="H56" s="82"/>
      <c r="I56" s="82"/>
      <c r="J56" s="14" t="s">
        <v>55</v>
      </c>
      <c r="K56" s="84"/>
      <c r="L56" s="84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>
        <f t="shared" si="2"/>
        <v>0</v>
      </c>
      <c r="AR56" s="16">
        <f t="shared" si="12"/>
        <v>0</v>
      </c>
      <c r="AS56" s="16"/>
      <c r="AT56" s="16"/>
      <c r="AU56" s="82">
        <f t="shared" si="3"/>
        <v>0</v>
      </c>
      <c r="AV56" s="82">
        <f t="shared" si="4"/>
        <v>0</v>
      </c>
      <c r="AW56" s="82">
        <f t="shared" si="5"/>
        <v>0</v>
      </c>
      <c r="AX56" s="82">
        <f t="shared" si="6"/>
        <v>0</v>
      </c>
      <c r="AY56" s="92">
        <f t="shared" si="13"/>
        <v>0</v>
      </c>
      <c r="AZ56" s="92">
        <f t="shared" si="13"/>
        <v>0</v>
      </c>
      <c r="BA56" s="95">
        <f t="shared" si="14"/>
        <v>0</v>
      </c>
      <c r="BB56" s="86"/>
      <c r="BC56"/>
    </row>
    <row r="57" spans="1:55" ht="15" customHeight="1" x14ac:dyDescent="0.25">
      <c r="A57" s="71" t="s">
        <v>54</v>
      </c>
      <c r="B57" s="123" t="s">
        <v>145</v>
      </c>
      <c r="C57" s="112">
        <v>16</v>
      </c>
      <c r="D57" s="121">
        <f>AT57*AU57*AW57</f>
        <v>0</v>
      </c>
      <c r="E57" s="17">
        <f t="shared" ref="E57:E61" si="22">ROUND(AT57*AV57*AX57,4)</f>
        <v>0</v>
      </c>
      <c r="F57" s="19"/>
      <c r="G57" s="19"/>
      <c r="H57" s="18"/>
      <c r="I57" s="18"/>
      <c r="J57" s="7" t="s">
        <v>55</v>
      </c>
      <c r="K57" s="20"/>
      <c r="L57" s="20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7">
        <f t="shared" si="2"/>
        <v>0</v>
      </c>
      <c r="AR57" s="16">
        <f t="shared" si="12"/>
        <v>0</v>
      </c>
      <c r="AS57" s="16"/>
      <c r="AT57" s="16"/>
      <c r="AU57" s="82">
        <f t="shared" si="3"/>
        <v>0</v>
      </c>
      <c r="AV57" s="82">
        <f t="shared" si="4"/>
        <v>0</v>
      </c>
      <c r="AW57" s="82">
        <f t="shared" si="5"/>
        <v>0</v>
      </c>
      <c r="AX57" s="82">
        <f t="shared" si="6"/>
        <v>0</v>
      </c>
      <c r="AY57" s="92">
        <f t="shared" si="13"/>
        <v>0</v>
      </c>
      <c r="AZ57" s="92">
        <f t="shared" si="13"/>
        <v>0</v>
      </c>
      <c r="BA57" s="95">
        <f t="shared" si="14"/>
        <v>0</v>
      </c>
      <c r="BB57" s="75"/>
      <c r="BC57"/>
    </row>
    <row r="58" spans="1:55" ht="15" customHeight="1" x14ac:dyDescent="0.25">
      <c r="A58" s="73" t="s">
        <v>124</v>
      </c>
      <c r="B58" s="123" t="s">
        <v>146</v>
      </c>
      <c r="C58" s="113">
        <v>26</v>
      </c>
      <c r="D58" s="121">
        <f>AT58*AU58*AW58</f>
        <v>0</v>
      </c>
      <c r="E58" s="17">
        <f t="shared" si="22"/>
        <v>0</v>
      </c>
      <c r="F58" s="19"/>
      <c r="G58" s="19"/>
      <c r="H58" s="18"/>
      <c r="I58" s="18"/>
      <c r="J58" s="7" t="s">
        <v>55</v>
      </c>
      <c r="K58" s="20"/>
      <c r="L58" s="20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7">
        <f t="shared" si="2"/>
        <v>0</v>
      </c>
      <c r="AR58" s="16">
        <f t="shared" si="12"/>
        <v>0</v>
      </c>
      <c r="AS58" s="16"/>
      <c r="AT58" s="16"/>
      <c r="AU58" s="82">
        <f t="shared" si="3"/>
        <v>0</v>
      </c>
      <c r="AV58" s="82">
        <f t="shared" si="4"/>
        <v>0</v>
      </c>
      <c r="AW58" s="82">
        <f t="shared" si="5"/>
        <v>0</v>
      </c>
      <c r="AX58" s="82">
        <f t="shared" si="6"/>
        <v>0</v>
      </c>
      <c r="AY58" s="92">
        <f t="shared" si="13"/>
        <v>0</v>
      </c>
      <c r="AZ58" s="92">
        <f t="shared" si="13"/>
        <v>0</v>
      </c>
      <c r="BA58" s="95">
        <f t="shared" si="14"/>
        <v>0</v>
      </c>
      <c r="BB58" s="75"/>
      <c r="BC58"/>
    </row>
    <row r="59" spans="1:55" ht="15" customHeight="1" x14ac:dyDescent="0.25">
      <c r="A59" s="73" t="s">
        <v>125</v>
      </c>
      <c r="B59" s="123" t="s">
        <v>147</v>
      </c>
      <c r="C59" s="112">
        <v>30</v>
      </c>
      <c r="D59" s="121">
        <f t="shared" ref="D59:D61" si="23">AT59*AU59*AW59</f>
        <v>0</v>
      </c>
      <c r="E59" s="17">
        <f t="shared" si="22"/>
        <v>0</v>
      </c>
      <c r="F59" s="19"/>
      <c r="G59" s="19"/>
      <c r="H59" s="18"/>
      <c r="I59" s="18"/>
      <c r="J59" s="7" t="s">
        <v>55</v>
      </c>
      <c r="K59" s="20"/>
      <c r="L59" s="20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7">
        <f t="shared" si="2"/>
        <v>0</v>
      </c>
      <c r="AR59" s="16">
        <f t="shared" si="12"/>
        <v>0</v>
      </c>
      <c r="AS59" s="16"/>
      <c r="AT59" s="16"/>
      <c r="AU59" s="82">
        <f t="shared" si="3"/>
        <v>0</v>
      </c>
      <c r="AV59" s="82">
        <f t="shared" si="4"/>
        <v>0</v>
      </c>
      <c r="AW59" s="82">
        <f t="shared" si="5"/>
        <v>0</v>
      </c>
      <c r="AX59" s="82">
        <f t="shared" si="6"/>
        <v>0</v>
      </c>
      <c r="AY59" s="92">
        <f t="shared" si="13"/>
        <v>0</v>
      </c>
      <c r="AZ59" s="92">
        <f t="shared" si="13"/>
        <v>0</v>
      </c>
      <c r="BA59" s="95">
        <f t="shared" si="14"/>
        <v>0</v>
      </c>
      <c r="BB59" s="75"/>
      <c r="BC59"/>
    </row>
    <row r="60" spans="1:55" ht="15" customHeight="1" x14ac:dyDescent="0.25">
      <c r="A60" s="73" t="s">
        <v>151</v>
      </c>
      <c r="B60" s="148" t="s">
        <v>150</v>
      </c>
      <c r="C60" s="112">
        <v>32</v>
      </c>
      <c r="D60" s="121">
        <f t="shared" si="23"/>
        <v>0</v>
      </c>
      <c r="E60" s="17">
        <f t="shared" si="22"/>
        <v>0</v>
      </c>
      <c r="F60" s="19"/>
      <c r="G60" s="19"/>
      <c r="H60" s="18"/>
      <c r="I60" s="18"/>
      <c r="J60" s="7" t="s">
        <v>55</v>
      </c>
      <c r="K60" s="20"/>
      <c r="L60" s="20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7">
        <f t="shared" si="2"/>
        <v>0</v>
      </c>
      <c r="AR60" s="16">
        <f t="shared" si="12"/>
        <v>0</v>
      </c>
      <c r="AS60" s="16"/>
      <c r="AT60" s="16"/>
      <c r="AU60" s="82">
        <f t="shared" si="3"/>
        <v>0</v>
      </c>
      <c r="AV60" s="82">
        <f t="shared" si="4"/>
        <v>0</v>
      </c>
      <c r="AW60" s="82">
        <f t="shared" si="5"/>
        <v>0</v>
      </c>
      <c r="AX60" s="82">
        <f t="shared" si="6"/>
        <v>0</v>
      </c>
      <c r="AY60" s="92">
        <f t="shared" si="13"/>
        <v>0</v>
      </c>
      <c r="AZ60" s="92">
        <f t="shared" si="13"/>
        <v>0</v>
      </c>
      <c r="BA60" s="95">
        <f t="shared" si="14"/>
        <v>0</v>
      </c>
      <c r="BB60" s="75"/>
      <c r="BC60"/>
    </row>
    <row r="61" spans="1:55" ht="15.75" thickBot="1" x14ac:dyDescent="0.3">
      <c r="A61" s="143" t="s">
        <v>152</v>
      </c>
      <c r="B61" s="125" t="s">
        <v>154</v>
      </c>
      <c r="C61" s="144">
        <v>24</v>
      </c>
      <c r="D61" s="122">
        <f t="shared" si="23"/>
        <v>0</v>
      </c>
      <c r="E61" s="149">
        <f t="shared" si="22"/>
        <v>0</v>
      </c>
      <c r="F61" s="64"/>
      <c r="G61" s="64"/>
      <c r="H61" s="65"/>
      <c r="I61" s="65"/>
      <c r="J61" s="66" t="s">
        <v>55</v>
      </c>
      <c r="K61" s="67"/>
      <c r="L61" s="67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149">
        <f t="shared" si="2"/>
        <v>0</v>
      </c>
      <c r="AR61" s="63">
        <f t="shared" si="12"/>
        <v>0</v>
      </c>
      <c r="AS61" s="63"/>
      <c r="AT61" s="63"/>
      <c r="AU61" s="150">
        <f t="shared" si="3"/>
        <v>0</v>
      </c>
      <c r="AV61" s="150">
        <f t="shared" si="4"/>
        <v>0</v>
      </c>
      <c r="AW61" s="150">
        <f t="shared" si="5"/>
        <v>0</v>
      </c>
      <c r="AX61" s="150">
        <f t="shared" si="6"/>
        <v>0</v>
      </c>
      <c r="AY61" s="65">
        <f t="shared" si="13"/>
        <v>0</v>
      </c>
      <c r="AZ61" s="65">
        <f t="shared" si="13"/>
        <v>0</v>
      </c>
      <c r="BA61" s="151">
        <f t="shared" si="14"/>
        <v>0</v>
      </c>
      <c r="BB61" s="76"/>
    </row>
    <row r="62" spans="1:55" x14ac:dyDescent="0.25">
      <c r="C62" s="2"/>
      <c r="D62" s="3"/>
      <c r="F62" s="2"/>
      <c r="G62" s="2"/>
      <c r="H62" s="1"/>
      <c r="I62" s="1"/>
      <c r="M62" s="5"/>
      <c r="O62" s="4"/>
      <c r="P62" s="5"/>
      <c r="Q62" s="5"/>
      <c r="U62" s="2"/>
      <c r="V62" s="2"/>
      <c r="W62" s="2"/>
      <c r="X62" s="2"/>
      <c r="Y62" s="1"/>
      <c r="Z62" s="1"/>
      <c r="AA62" s="1"/>
      <c r="AB62" s="1"/>
    </row>
    <row r="63" spans="1:55" x14ac:dyDescent="0.25">
      <c r="A63" s="10"/>
      <c r="B63" s="10"/>
      <c r="C63" s="10"/>
      <c r="D63" s="3"/>
      <c r="F63" s="2"/>
      <c r="G63" s="2"/>
      <c r="H63" s="1"/>
      <c r="I63" s="1"/>
      <c r="M63" s="5"/>
      <c r="O63" s="4"/>
      <c r="P63" s="5"/>
      <c r="Q63" s="5"/>
      <c r="U63" s="2"/>
      <c r="V63" s="2"/>
      <c r="W63" s="2"/>
      <c r="X63" s="2"/>
      <c r="Y63" s="1"/>
      <c r="Z63" s="1"/>
      <c r="AA63" s="1"/>
      <c r="AB63" s="1"/>
    </row>
    <row r="64" spans="1:55" x14ac:dyDescent="0.2">
      <c r="A64" s="6" t="s">
        <v>126</v>
      </c>
      <c r="B64" s="6"/>
      <c r="C64" s="6"/>
      <c r="D64" s="6"/>
      <c r="F64" s="2"/>
      <c r="G64" s="2"/>
      <c r="H64" s="1"/>
      <c r="I64" s="1"/>
      <c r="M64" s="5"/>
      <c r="O64" s="4"/>
      <c r="P64" s="5"/>
      <c r="Q64" s="5"/>
      <c r="U64" s="2"/>
      <c r="V64" s="2"/>
      <c r="W64" s="2"/>
      <c r="X64" s="2"/>
      <c r="Y64" s="1"/>
      <c r="Z64" s="1"/>
      <c r="AA64" s="1"/>
      <c r="AB64" s="1"/>
    </row>
    <row r="65" spans="1:28" x14ac:dyDescent="0.2">
      <c r="A65" s="6"/>
      <c r="B65" s="6"/>
      <c r="C65" s="6"/>
      <c r="D65" s="6"/>
      <c r="F65" s="2"/>
      <c r="G65" s="2"/>
      <c r="H65" s="1"/>
      <c r="I65" s="1"/>
      <c r="M65" s="5"/>
      <c r="O65" s="4"/>
      <c r="P65" s="5"/>
      <c r="Q65" s="5"/>
      <c r="U65" s="2"/>
      <c r="V65" s="2"/>
      <c r="W65" s="2"/>
      <c r="X65" s="2"/>
      <c r="Y65" s="1"/>
      <c r="Z65" s="1"/>
      <c r="AA65" s="1"/>
      <c r="AB65" s="1"/>
    </row>
    <row r="66" spans="1:28" x14ac:dyDescent="0.2">
      <c r="A66" s="6" t="s">
        <v>128</v>
      </c>
      <c r="B66" s="6"/>
      <c r="C66" s="6"/>
      <c r="D66" s="6"/>
      <c r="F66" s="2"/>
      <c r="G66" s="2"/>
      <c r="H66" s="1"/>
      <c r="I66" s="1"/>
      <c r="M66" s="5"/>
      <c r="O66" s="4"/>
      <c r="P66" s="5"/>
      <c r="Q66" s="5"/>
      <c r="U66" s="2"/>
      <c r="V66" s="2"/>
      <c r="W66" s="2"/>
      <c r="X66" s="2"/>
      <c r="Y66" s="1"/>
      <c r="Z66" s="1"/>
      <c r="AA66" s="1"/>
      <c r="AB66" s="1"/>
    </row>
    <row r="67" spans="1:28" x14ac:dyDescent="0.2">
      <c r="A67" s="6"/>
      <c r="B67" s="6"/>
      <c r="C67" s="6"/>
      <c r="D67" s="6"/>
      <c r="F67" s="2"/>
      <c r="G67" s="2"/>
      <c r="H67" s="1"/>
      <c r="I67" s="1"/>
      <c r="M67" s="5"/>
      <c r="O67" s="4"/>
      <c r="P67" s="5"/>
      <c r="Q67" s="5"/>
      <c r="U67" s="2"/>
      <c r="V67" s="2"/>
      <c r="W67" s="2"/>
      <c r="X67" s="2"/>
      <c r="Y67" s="1"/>
      <c r="Z67" s="1"/>
      <c r="AA67" s="1"/>
      <c r="AB67" s="1"/>
    </row>
    <row r="68" spans="1:28" x14ac:dyDescent="0.2">
      <c r="A68" s="6" t="s">
        <v>127</v>
      </c>
      <c r="B68" s="6"/>
      <c r="C68" s="6"/>
      <c r="D68" s="6"/>
      <c r="F68" s="2"/>
      <c r="G68" s="2"/>
      <c r="H68" s="1"/>
      <c r="I68" s="1"/>
      <c r="M68" s="5"/>
      <c r="O68" s="4"/>
      <c r="P68" s="5"/>
      <c r="Q68" s="5"/>
      <c r="U68" s="2"/>
      <c r="V68" s="2"/>
      <c r="W68" s="2"/>
      <c r="X68" s="2"/>
      <c r="Y68" s="1"/>
      <c r="Z68" s="1"/>
      <c r="AA68" s="1"/>
      <c r="AB68" s="1"/>
    </row>
    <row r="71" spans="1:28" x14ac:dyDescent="0.25">
      <c r="A71" s="10"/>
      <c r="B71" s="10"/>
    </row>
    <row r="72" spans="1:28" x14ac:dyDescent="0.25">
      <c r="A72" s="10"/>
      <c r="B72" s="10"/>
    </row>
    <row r="73" spans="1:28" x14ac:dyDescent="0.25">
      <c r="A73" s="10"/>
      <c r="B73" s="10"/>
    </row>
    <row r="74" spans="1:28" x14ac:dyDescent="0.25">
      <c r="A74" s="10"/>
      <c r="B74" s="10"/>
    </row>
    <row r="75" spans="1:28" x14ac:dyDescent="0.25">
      <c r="A75" s="10"/>
      <c r="B75" s="10"/>
    </row>
    <row r="76" spans="1:28" x14ac:dyDescent="0.25">
      <c r="A76" s="10"/>
      <c r="B76" s="10"/>
    </row>
    <row r="77" spans="1:28" x14ac:dyDescent="0.25">
      <c r="A77" s="10"/>
      <c r="B77" s="10"/>
    </row>
    <row r="78" spans="1:28" x14ac:dyDescent="0.25">
      <c r="A78" s="10"/>
      <c r="B78" s="10"/>
    </row>
  </sheetData>
  <mergeCells count="32">
    <mergeCell ref="A7:BB7"/>
    <mergeCell ref="A9:BB9"/>
    <mergeCell ref="C12:C15"/>
    <mergeCell ref="D12:E14"/>
    <mergeCell ref="H12:I14"/>
    <mergeCell ref="J12:J15"/>
    <mergeCell ref="K12:L14"/>
    <mergeCell ref="M12:AP12"/>
    <mergeCell ref="AQ12:AR14"/>
    <mergeCell ref="AS12:AT14"/>
    <mergeCell ref="AU12:AV14"/>
    <mergeCell ref="AW12:AX14"/>
    <mergeCell ref="AY12:AZ14"/>
    <mergeCell ref="BA12:BA15"/>
    <mergeCell ref="BB12:BB15"/>
    <mergeCell ref="M13:AB13"/>
    <mergeCell ref="AC13:AP13"/>
    <mergeCell ref="AP14:AP15"/>
    <mergeCell ref="A12:A15"/>
    <mergeCell ref="B12:B15"/>
    <mergeCell ref="F12:G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J14"/>
    <mergeCell ref="AK14:AN14"/>
    <mergeCell ref="AO14:AO15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8"/>
  <sheetViews>
    <sheetView showZeros="0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9" sqref="A9:BB9"/>
    </sheetView>
  </sheetViews>
  <sheetFormatPr defaultRowHeight="14.25" x14ac:dyDescent="0.25"/>
  <cols>
    <col min="1" max="1" width="30.7109375" style="2" customWidth="1"/>
    <col min="2" max="2" width="10.7109375" style="2" customWidth="1"/>
    <col min="3" max="3" width="9.7109375" style="3" customWidth="1"/>
    <col min="4" max="5" width="9.7109375" style="2" customWidth="1"/>
    <col min="6" max="7" width="9.7109375" style="1" customWidth="1"/>
    <col min="8" max="9" width="9.7109375" style="5" customWidth="1"/>
    <col min="10" max="10" width="8.7109375" style="5" customWidth="1"/>
    <col min="11" max="12" width="14.7109375" style="5" customWidth="1"/>
    <col min="13" max="13" width="9.7109375" style="4" customWidth="1"/>
    <col min="14" max="15" width="9.7109375" style="5" customWidth="1"/>
    <col min="16" max="20" width="9.7109375" style="2" customWidth="1"/>
    <col min="21" max="24" width="9.7109375" style="1" customWidth="1"/>
    <col min="25" max="54" width="9.7109375" style="2" customWidth="1"/>
    <col min="55" max="16384" width="9.140625" style="2"/>
  </cols>
  <sheetData>
    <row r="1" spans="1:55" ht="12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/>
      <c r="AJ1"/>
      <c r="AK1"/>
      <c r="AL1"/>
      <c r="AM1"/>
    </row>
    <row r="2" spans="1:55" ht="12.75" customHeight="1" x14ac:dyDescent="0.25">
      <c r="A2" s="11" t="s">
        <v>134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X2" s="11" t="s">
        <v>56</v>
      </c>
      <c r="AY2"/>
      <c r="AZ2"/>
      <c r="BA2"/>
      <c r="BB2"/>
      <c r="BC2"/>
    </row>
    <row r="3" spans="1:55" s="6" customFormat="1" ht="12.75" customHeight="1" x14ac:dyDescent="0.25">
      <c r="A3" s="11" t="s">
        <v>57</v>
      </c>
      <c r="AX3" s="11" t="s">
        <v>65</v>
      </c>
      <c r="AY3"/>
      <c r="AZ3"/>
      <c r="BA3"/>
      <c r="BB3"/>
      <c r="BC3"/>
    </row>
    <row r="4" spans="1:55" s="6" customFormat="1" ht="12.75" customHeight="1" x14ac:dyDescent="0.25">
      <c r="AX4" s="24" t="s">
        <v>123</v>
      </c>
      <c r="AY4"/>
      <c r="AZ4"/>
      <c r="BA4"/>
      <c r="BB4"/>
      <c r="BC4"/>
    </row>
    <row r="5" spans="1:55" s="6" customFormat="1" ht="12.75" customHeight="1" x14ac:dyDescent="0.25">
      <c r="AY5"/>
      <c r="AZ5"/>
      <c r="BA5"/>
      <c r="BB5"/>
      <c r="BC5"/>
    </row>
    <row r="6" spans="1:55" s="6" customFormat="1" ht="15" x14ac:dyDescent="0.25">
      <c r="AX6" s="25" t="s">
        <v>85</v>
      </c>
      <c r="AY6"/>
      <c r="AZ6"/>
      <c r="BA6"/>
      <c r="BB6"/>
      <c r="BC6"/>
    </row>
    <row r="7" spans="1:55" s="6" customFormat="1" ht="15.75" customHeight="1" x14ac:dyDescent="0.2">
      <c r="A7" s="184" t="s">
        <v>58</v>
      </c>
      <c r="B7" s="184"/>
      <c r="C7" s="184"/>
      <c r="D7" s="184"/>
      <c r="E7" s="184"/>
      <c r="F7" s="184"/>
      <c r="G7" s="184"/>
      <c r="H7" s="184"/>
      <c r="I7" s="184"/>
      <c r="J7" s="184"/>
      <c r="K7" s="184"/>
      <c r="L7" s="184"/>
      <c r="M7" s="184"/>
      <c r="N7" s="184"/>
      <c r="O7" s="184"/>
      <c r="P7" s="184"/>
      <c r="Q7" s="184"/>
      <c r="R7" s="184"/>
      <c r="S7" s="184"/>
      <c r="T7" s="184"/>
      <c r="U7" s="184"/>
      <c r="V7" s="184"/>
      <c r="W7" s="184"/>
      <c r="X7" s="184"/>
      <c r="Y7" s="184"/>
      <c r="Z7" s="184"/>
      <c r="AA7" s="184"/>
      <c r="AB7" s="184"/>
      <c r="AC7" s="184"/>
      <c r="AD7" s="184"/>
      <c r="AE7" s="184"/>
      <c r="AF7" s="184"/>
      <c r="AG7" s="184"/>
      <c r="AH7" s="184"/>
      <c r="AI7" s="184"/>
      <c r="AJ7" s="184"/>
      <c r="AK7" s="184"/>
      <c r="AL7" s="184"/>
      <c r="AM7" s="184"/>
      <c r="AN7" s="184"/>
      <c r="AO7" s="184"/>
      <c r="AP7" s="184"/>
      <c r="AQ7" s="184"/>
      <c r="AR7" s="184"/>
      <c r="AS7" s="184"/>
      <c r="AT7" s="184"/>
      <c r="AU7" s="184"/>
      <c r="AV7" s="184"/>
      <c r="AW7" s="184"/>
      <c r="AX7" s="184"/>
      <c r="AY7" s="184"/>
      <c r="AZ7" s="184"/>
      <c r="BA7" s="184"/>
      <c r="BB7" s="184"/>
      <c r="BC7" s="109"/>
    </row>
    <row r="8" spans="1:55" s="6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55" ht="15.75" x14ac:dyDescent="0.25">
      <c r="A9" s="185"/>
      <c r="B9" s="185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  <c r="Z9" s="185"/>
      <c r="AA9" s="185"/>
      <c r="AB9" s="185"/>
      <c r="AC9" s="185"/>
      <c r="AD9" s="185"/>
      <c r="AE9" s="185"/>
      <c r="AF9" s="185"/>
      <c r="AG9" s="185"/>
      <c r="AH9" s="185"/>
      <c r="AI9" s="185"/>
      <c r="AJ9" s="185"/>
      <c r="AK9" s="185"/>
      <c r="AL9" s="185"/>
      <c r="AM9" s="185"/>
      <c r="AN9" s="185"/>
      <c r="AO9" s="185"/>
      <c r="AP9" s="185"/>
      <c r="AQ9" s="185"/>
      <c r="AR9" s="185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08"/>
    </row>
    <row r="10" spans="1:55" s="6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55" ht="12.7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3"/>
      <c r="L11" s="2"/>
      <c r="M11" s="2"/>
      <c r="N11" s="2"/>
      <c r="O11" s="2"/>
      <c r="U11" s="2"/>
      <c r="V11" s="2"/>
      <c r="W11" s="2"/>
      <c r="X11" s="2"/>
    </row>
    <row r="12" spans="1:55" ht="14.25" customHeight="1" x14ac:dyDescent="0.25">
      <c r="A12" s="160" t="s">
        <v>2</v>
      </c>
      <c r="B12" s="163" t="s">
        <v>129</v>
      </c>
      <c r="C12" s="163" t="s">
        <v>3</v>
      </c>
      <c r="D12" s="166" t="s">
        <v>60</v>
      </c>
      <c r="E12" s="155"/>
      <c r="F12" s="154" t="s">
        <v>131</v>
      </c>
      <c r="G12" s="155"/>
      <c r="H12" s="154" t="s">
        <v>1</v>
      </c>
      <c r="I12" s="155"/>
      <c r="J12" s="186" t="s">
        <v>135</v>
      </c>
      <c r="K12" s="154" t="s">
        <v>4</v>
      </c>
      <c r="L12" s="155"/>
      <c r="M12" s="175" t="s">
        <v>62</v>
      </c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  <c r="AA12" s="176"/>
      <c r="AB12" s="176"/>
      <c r="AC12" s="176"/>
      <c r="AD12" s="176"/>
      <c r="AE12" s="176"/>
      <c r="AF12" s="176"/>
      <c r="AG12" s="176"/>
      <c r="AH12" s="176"/>
      <c r="AI12" s="176"/>
      <c r="AJ12" s="176"/>
      <c r="AK12" s="176"/>
      <c r="AL12" s="176"/>
      <c r="AM12" s="176"/>
      <c r="AN12" s="176"/>
      <c r="AO12" s="176"/>
      <c r="AP12" s="177"/>
      <c r="AQ12" s="154" t="s">
        <v>69</v>
      </c>
      <c r="AR12" s="155"/>
      <c r="AS12" s="154" t="s">
        <v>59</v>
      </c>
      <c r="AT12" s="155"/>
      <c r="AU12" s="154" t="s">
        <v>70</v>
      </c>
      <c r="AV12" s="155"/>
      <c r="AW12" s="154" t="s">
        <v>71</v>
      </c>
      <c r="AX12" s="155"/>
      <c r="AY12" s="154" t="s">
        <v>72</v>
      </c>
      <c r="AZ12" s="155"/>
      <c r="BA12" s="182" t="s">
        <v>73</v>
      </c>
      <c r="BB12" s="179" t="s">
        <v>133</v>
      </c>
      <c r="BC12"/>
    </row>
    <row r="13" spans="1:55" ht="14.25" customHeight="1" x14ac:dyDescent="0.25">
      <c r="A13" s="161"/>
      <c r="B13" s="164"/>
      <c r="C13" s="164"/>
      <c r="D13" s="167"/>
      <c r="E13" s="157"/>
      <c r="F13" s="156"/>
      <c r="G13" s="157"/>
      <c r="H13" s="156"/>
      <c r="I13" s="157"/>
      <c r="J13" s="187"/>
      <c r="K13" s="156"/>
      <c r="L13" s="157"/>
      <c r="M13" s="152" t="s">
        <v>5</v>
      </c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  <c r="AA13" s="178"/>
      <c r="AB13" s="153"/>
      <c r="AC13" s="152" t="s">
        <v>6</v>
      </c>
      <c r="AD13" s="178"/>
      <c r="AE13" s="178"/>
      <c r="AF13" s="178"/>
      <c r="AG13" s="178"/>
      <c r="AH13" s="178"/>
      <c r="AI13" s="178"/>
      <c r="AJ13" s="178"/>
      <c r="AK13" s="178"/>
      <c r="AL13" s="178"/>
      <c r="AM13" s="178"/>
      <c r="AN13" s="178"/>
      <c r="AO13" s="178"/>
      <c r="AP13" s="153"/>
      <c r="AQ13" s="156"/>
      <c r="AR13" s="157"/>
      <c r="AS13" s="156"/>
      <c r="AT13" s="157"/>
      <c r="AU13" s="156"/>
      <c r="AV13" s="157"/>
      <c r="AW13" s="156"/>
      <c r="AX13" s="157"/>
      <c r="AY13" s="156"/>
      <c r="AZ13" s="157"/>
      <c r="BA13" s="183"/>
      <c r="BB13" s="180"/>
      <c r="BC13"/>
    </row>
    <row r="14" spans="1:55" ht="63.75" customHeight="1" x14ac:dyDescent="0.25">
      <c r="A14" s="161"/>
      <c r="B14" s="164"/>
      <c r="C14" s="164"/>
      <c r="D14" s="168"/>
      <c r="E14" s="159"/>
      <c r="F14" s="158"/>
      <c r="G14" s="159"/>
      <c r="H14" s="158"/>
      <c r="I14" s="159"/>
      <c r="J14" s="187"/>
      <c r="K14" s="158"/>
      <c r="L14" s="159"/>
      <c r="M14" s="152" t="s">
        <v>10</v>
      </c>
      <c r="N14" s="153"/>
      <c r="O14" s="152" t="s">
        <v>74</v>
      </c>
      <c r="P14" s="153"/>
      <c r="Q14" s="152" t="s">
        <v>75</v>
      </c>
      <c r="R14" s="153"/>
      <c r="S14" s="152" t="s">
        <v>86</v>
      </c>
      <c r="T14" s="153"/>
      <c r="U14" s="152" t="s">
        <v>136</v>
      </c>
      <c r="V14" s="153"/>
      <c r="W14" s="169" t="s">
        <v>132</v>
      </c>
      <c r="X14" s="170"/>
      <c r="Y14" s="152" t="s">
        <v>84</v>
      </c>
      <c r="Z14" s="153"/>
      <c r="AA14" s="152" t="s">
        <v>76</v>
      </c>
      <c r="AB14" s="153"/>
      <c r="AC14" s="152" t="s">
        <v>7</v>
      </c>
      <c r="AD14" s="178"/>
      <c r="AE14" s="178"/>
      <c r="AF14" s="178"/>
      <c r="AG14" s="178"/>
      <c r="AH14" s="178"/>
      <c r="AI14" s="178"/>
      <c r="AJ14" s="153"/>
      <c r="AK14" s="152" t="s">
        <v>8</v>
      </c>
      <c r="AL14" s="178"/>
      <c r="AM14" s="178"/>
      <c r="AN14" s="153"/>
      <c r="AO14" s="171" t="s">
        <v>77</v>
      </c>
      <c r="AP14" s="173" t="s">
        <v>18</v>
      </c>
      <c r="AQ14" s="158"/>
      <c r="AR14" s="159"/>
      <c r="AS14" s="158"/>
      <c r="AT14" s="159"/>
      <c r="AU14" s="158"/>
      <c r="AV14" s="159"/>
      <c r="AW14" s="158"/>
      <c r="AX14" s="159"/>
      <c r="AY14" s="158"/>
      <c r="AZ14" s="159"/>
      <c r="BA14" s="183"/>
      <c r="BB14" s="180"/>
      <c r="BC14"/>
    </row>
    <row r="15" spans="1:55" ht="38.25" customHeight="1" thickBot="1" x14ac:dyDescent="0.3">
      <c r="A15" s="162"/>
      <c r="B15" s="165"/>
      <c r="C15" s="165"/>
      <c r="D15" s="118" t="s">
        <v>61</v>
      </c>
      <c r="E15" s="77" t="s">
        <v>9</v>
      </c>
      <c r="F15" s="77" t="s">
        <v>11</v>
      </c>
      <c r="G15" s="77" t="s">
        <v>130</v>
      </c>
      <c r="H15" s="77" t="s">
        <v>0</v>
      </c>
      <c r="I15" s="77" t="s">
        <v>78</v>
      </c>
      <c r="J15" s="188"/>
      <c r="K15" s="77" t="s">
        <v>61</v>
      </c>
      <c r="L15" s="77" t="s">
        <v>9</v>
      </c>
      <c r="M15" s="77" t="s">
        <v>61</v>
      </c>
      <c r="N15" s="77" t="s">
        <v>9</v>
      </c>
      <c r="O15" s="77" t="s">
        <v>61</v>
      </c>
      <c r="P15" s="77" t="s">
        <v>9</v>
      </c>
      <c r="Q15" s="77" t="s">
        <v>61</v>
      </c>
      <c r="R15" s="77" t="s">
        <v>9</v>
      </c>
      <c r="S15" s="77" t="s">
        <v>61</v>
      </c>
      <c r="T15" s="77" t="s">
        <v>9</v>
      </c>
      <c r="U15" s="77" t="s">
        <v>61</v>
      </c>
      <c r="V15" s="77" t="s">
        <v>9</v>
      </c>
      <c r="W15" s="77" t="s">
        <v>61</v>
      </c>
      <c r="X15" s="77" t="s">
        <v>9</v>
      </c>
      <c r="Y15" s="77" t="s">
        <v>61</v>
      </c>
      <c r="Z15" s="77" t="s">
        <v>9</v>
      </c>
      <c r="AA15" s="77" t="s">
        <v>61</v>
      </c>
      <c r="AB15" s="77" t="s">
        <v>9</v>
      </c>
      <c r="AC15" s="77" t="s">
        <v>11</v>
      </c>
      <c r="AD15" s="77" t="s">
        <v>12</v>
      </c>
      <c r="AE15" s="77" t="s">
        <v>13</v>
      </c>
      <c r="AF15" s="77" t="s">
        <v>14</v>
      </c>
      <c r="AG15" s="77" t="s">
        <v>15</v>
      </c>
      <c r="AH15" s="77" t="s">
        <v>16</v>
      </c>
      <c r="AI15" s="107" t="s">
        <v>18</v>
      </c>
      <c r="AJ15" s="107" t="s">
        <v>17</v>
      </c>
      <c r="AK15" s="77" t="s">
        <v>19</v>
      </c>
      <c r="AL15" s="77" t="s">
        <v>20</v>
      </c>
      <c r="AM15" s="77" t="s">
        <v>21</v>
      </c>
      <c r="AN15" s="77" t="s">
        <v>22</v>
      </c>
      <c r="AO15" s="172"/>
      <c r="AP15" s="174"/>
      <c r="AQ15" s="77" t="s">
        <v>61</v>
      </c>
      <c r="AR15" s="77" t="s">
        <v>9</v>
      </c>
      <c r="AS15" s="77" t="s">
        <v>61</v>
      </c>
      <c r="AT15" s="77" t="s">
        <v>9</v>
      </c>
      <c r="AU15" s="77" t="s">
        <v>61</v>
      </c>
      <c r="AV15" s="77" t="s">
        <v>9</v>
      </c>
      <c r="AW15" s="77" t="s">
        <v>61</v>
      </c>
      <c r="AX15" s="77" t="s">
        <v>9</v>
      </c>
      <c r="AY15" s="77" t="s">
        <v>61</v>
      </c>
      <c r="AZ15" s="77" t="s">
        <v>9</v>
      </c>
      <c r="BA15" s="172"/>
      <c r="BB15" s="181"/>
      <c r="BC15"/>
    </row>
    <row r="16" spans="1:55" ht="15" customHeight="1" thickBot="1" x14ac:dyDescent="0.3">
      <c r="A16" s="106">
        <v>1</v>
      </c>
      <c r="B16" s="106">
        <v>2</v>
      </c>
      <c r="C16" s="106">
        <v>3</v>
      </c>
      <c r="D16" s="105">
        <v>4</v>
      </c>
      <c r="E16" s="78">
        <v>5</v>
      </c>
      <c r="F16" s="78">
        <v>6</v>
      </c>
      <c r="G16" s="78">
        <v>7</v>
      </c>
      <c r="H16" s="78">
        <v>8</v>
      </c>
      <c r="I16" s="78">
        <v>9</v>
      </c>
      <c r="J16" s="78">
        <v>10</v>
      </c>
      <c r="K16" s="78">
        <v>11</v>
      </c>
      <c r="L16" s="78">
        <v>12</v>
      </c>
      <c r="M16" s="78">
        <v>13</v>
      </c>
      <c r="N16" s="78">
        <v>14</v>
      </c>
      <c r="O16" s="78">
        <v>15</v>
      </c>
      <c r="P16" s="78">
        <v>16</v>
      </c>
      <c r="Q16" s="78">
        <v>17</v>
      </c>
      <c r="R16" s="78">
        <v>18</v>
      </c>
      <c r="S16" s="78">
        <v>19</v>
      </c>
      <c r="T16" s="78">
        <v>20</v>
      </c>
      <c r="U16" s="78">
        <v>21</v>
      </c>
      <c r="V16" s="78">
        <v>22</v>
      </c>
      <c r="W16" s="78">
        <v>23</v>
      </c>
      <c r="X16" s="78">
        <v>24</v>
      </c>
      <c r="Y16" s="78">
        <v>25</v>
      </c>
      <c r="Z16" s="78">
        <v>26</v>
      </c>
      <c r="AA16" s="78">
        <v>27</v>
      </c>
      <c r="AB16" s="78">
        <v>28</v>
      </c>
      <c r="AC16" s="78">
        <v>29</v>
      </c>
      <c r="AD16" s="78">
        <v>30</v>
      </c>
      <c r="AE16" s="78">
        <v>31</v>
      </c>
      <c r="AF16" s="78">
        <v>32</v>
      </c>
      <c r="AG16" s="78">
        <v>33</v>
      </c>
      <c r="AH16" s="78">
        <v>34</v>
      </c>
      <c r="AI16" s="78">
        <v>35</v>
      </c>
      <c r="AJ16" s="78">
        <v>36</v>
      </c>
      <c r="AK16" s="78">
        <v>37</v>
      </c>
      <c r="AL16" s="78">
        <v>38</v>
      </c>
      <c r="AM16" s="78">
        <v>39</v>
      </c>
      <c r="AN16" s="78">
        <v>40</v>
      </c>
      <c r="AO16" s="78">
        <v>41</v>
      </c>
      <c r="AP16" s="78">
        <v>42</v>
      </c>
      <c r="AQ16" s="78">
        <v>43</v>
      </c>
      <c r="AR16" s="78">
        <v>44</v>
      </c>
      <c r="AS16" s="78">
        <v>45</v>
      </c>
      <c r="AT16" s="78">
        <v>46</v>
      </c>
      <c r="AU16" s="78">
        <v>47</v>
      </c>
      <c r="AV16" s="78">
        <v>48</v>
      </c>
      <c r="AW16" s="78">
        <v>49</v>
      </c>
      <c r="AX16" s="78">
        <v>50</v>
      </c>
      <c r="AY16" s="78">
        <v>51</v>
      </c>
      <c r="AZ16" s="78">
        <v>52</v>
      </c>
      <c r="BA16" s="78">
        <v>53</v>
      </c>
      <c r="BB16" s="79">
        <v>54</v>
      </c>
      <c r="BC16"/>
    </row>
    <row r="17" spans="1:55" ht="15" customHeight="1" thickBot="1" x14ac:dyDescent="0.3">
      <c r="A17" s="87" t="s">
        <v>79</v>
      </c>
      <c r="B17" s="87"/>
      <c r="C17" s="87"/>
      <c r="D17" s="132">
        <f>AT17*AW17*AU17</f>
        <v>0</v>
      </c>
      <c r="E17" s="129">
        <f>ROUND(AT17*AV17*AX17,4)</f>
        <v>0</v>
      </c>
      <c r="F17" s="129"/>
      <c r="G17" s="129"/>
      <c r="H17" s="131">
        <f>SUM(H18:H23)</f>
        <v>0</v>
      </c>
      <c r="I17" s="131">
        <f>SUM(I18:I23)</f>
        <v>0</v>
      </c>
      <c r="J17" s="88"/>
      <c r="K17" s="130">
        <f>SUM(K18:K23)</f>
        <v>0</v>
      </c>
      <c r="L17" s="130">
        <f>SUM(L18:L23)</f>
        <v>0</v>
      </c>
      <c r="M17" s="129">
        <f>SUM(M18:M23)</f>
        <v>0</v>
      </c>
      <c r="N17" s="129">
        <f t="shared" ref="N17:AO17" si="0">SUM(N18:N23)</f>
        <v>0</v>
      </c>
      <c r="O17" s="129">
        <f t="shared" si="0"/>
        <v>0</v>
      </c>
      <c r="P17" s="129">
        <f t="shared" si="0"/>
        <v>0</v>
      </c>
      <c r="Q17" s="129">
        <f t="shared" si="0"/>
        <v>0</v>
      </c>
      <c r="R17" s="129">
        <f t="shared" si="0"/>
        <v>0</v>
      </c>
      <c r="S17" s="129">
        <f t="shared" si="0"/>
        <v>0</v>
      </c>
      <c r="T17" s="129">
        <f t="shared" si="0"/>
        <v>0</v>
      </c>
      <c r="U17" s="129">
        <f t="shared" si="0"/>
        <v>0</v>
      </c>
      <c r="V17" s="129">
        <f t="shared" si="0"/>
        <v>0</v>
      </c>
      <c r="W17" s="129">
        <f t="shared" si="0"/>
        <v>0</v>
      </c>
      <c r="X17" s="129">
        <f t="shared" si="0"/>
        <v>0</v>
      </c>
      <c r="Y17" s="129">
        <f t="shared" si="0"/>
        <v>0</v>
      </c>
      <c r="Z17" s="129">
        <f t="shared" si="0"/>
        <v>0</v>
      </c>
      <c r="AA17" s="129">
        <f t="shared" si="0"/>
        <v>0</v>
      </c>
      <c r="AB17" s="129">
        <f>SUM(AB18:AB23)</f>
        <v>0</v>
      </c>
      <c r="AC17" s="129">
        <f t="shared" si="0"/>
        <v>0</v>
      </c>
      <c r="AD17" s="129">
        <f t="shared" si="0"/>
        <v>0</v>
      </c>
      <c r="AE17" s="129">
        <f t="shared" si="0"/>
        <v>0</v>
      </c>
      <c r="AF17" s="129">
        <f t="shared" si="0"/>
        <v>0</v>
      </c>
      <c r="AG17" s="129">
        <f t="shared" si="0"/>
        <v>0</v>
      </c>
      <c r="AH17" s="129">
        <f t="shared" si="0"/>
        <v>0</v>
      </c>
      <c r="AI17" s="129">
        <f t="shared" si="0"/>
        <v>0</v>
      </c>
      <c r="AJ17" s="129">
        <f t="shared" si="0"/>
        <v>0</v>
      </c>
      <c r="AK17" s="129">
        <f t="shared" si="0"/>
        <v>0</v>
      </c>
      <c r="AL17" s="129">
        <f t="shared" si="0"/>
        <v>0</v>
      </c>
      <c r="AM17" s="129">
        <f t="shared" si="0"/>
        <v>0</v>
      </c>
      <c r="AN17" s="129">
        <f t="shared" si="0"/>
        <v>0</v>
      </c>
      <c r="AO17" s="129">
        <f t="shared" si="0"/>
        <v>0</v>
      </c>
      <c r="AP17" s="129">
        <f>SUM(AP18:AP23)</f>
        <v>0</v>
      </c>
      <c r="AQ17" s="129">
        <f>M17+O17+S17+U17+W17+AA17+Q17+Y17</f>
        <v>0</v>
      </c>
      <c r="AR17" s="129">
        <f>N17+P17+R17+AC17+AD17+AE17+AF17+AG17+AH17+AI17+AJ17+AK17+AL17+AM17+AN17+AO17+AP17+T17+V17+AB17+X17+Z17</f>
        <v>0</v>
      </c>
      <c r="AS17" s="129">
        <f>SUM(AS18:AS23)</f>
        <v>0</v>
      </c>
      <c r="AT17" s="129">
        <f>SUM(AT18:AT23)</f>
        <v>0</v>
      </c>
      <c r="AU17" s="131">
        <f>IF(AT17-AQ17=0,0,(AT17-M17-O17-Q17)/AT17)</f>
        <v>0</v>
      </c>
      <c r="AV17" s="131">
        <f>IF(AT17=0,0,(AT17-N17-P17-R17-AC17-AD17-AE17-AF17-AG17-AH17-AI17-AJ17-AL17)/AT17)</f>
        <v>0</v>
      </c>
      <c r="AW17" s="131">
        <f>IF(OR(AT17=0,AU17=0),0,((AT17*AU17)-S17-U17-W17-Y17-AA17)/(AT17*AU17))</f>
        <v>0</v>
      </c>
      <c r="AX17" s="131">
        <f>IF(OR(AT17=0,AV17=0),0,((AT17*AV17)-AK17-AM17-AN17-AO17-AP17-T17-V17-X17-Z17-AB17)/(AT17*AV17))</f>
        <v>0</v>
      </c>
      <c r="AY17" s="131">
        <f>IF(K17=0,0,K17/(D17-Y17)/24)</f>
        <v>0</v>
      </c>
      <c r="AZ17" s="131">
        <f t="shared" ref="AY17:AZ22" si="1">IF(L17=0,0,L17/(E17-Z17)/24)</f>
        <v>0</v>
      </c>
      <c r="BA17" s="129">
        <f>ROUND(AT17-E17-AR17,4)</f>
        <v>0</v>
      </c>
      <c r="BB17" s="89"/>
      <c r="BC17"/>
    </row>
    <row r="18" spans="1:55" ht="15" hidden="1" customHeight="1" x14ac:dyDescent="0.25">
      <c r="A18" s="80" t="s">
        <v>23</v>
      </c>
      <c r="B18" s="110">
        <v>22</v>
      </c>
      <c r="C18" s="110">
        <v>22</v>
      </c>
      <c r="D18" s="119">
        <f>AS18*AW18*AU18</f>
        <v>0</v>
      </c>
      <c r="E18" s="17">
        <f>ROUND(AS18*AV18*AX18,4)</f>
        <v>0</v>
      </c>
      <c r="F18" s="81"/>
      <c r="G18" s="81"/>
      <c r="H18" s="82"/>
      <c r="I18" s="82"/>
      <c r="J18" s="83" t="s">
        <v>55</v>
      </c>
      <c r="K18" s="84"/>
      <c r="L18" s="84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>
        <f t="shared" ref="AQ18:AQ61" si="2">M18+O18+S18+U18+W18+AA18+Q18+Y18</f>
        <v>0</v>
      </c>
      <c r="AR18" s="17">
        <f>N18+P18+R18+AC18+AD18+AE18+AF18+AG18+AH18+AI18+AJ18+AK18+AL18+AM18+AN18+AO18+AP18+T18+V18+AB18+X18+Z18</f>
        <v>0</v>
      </c>
      <c r="AS18" s="17">
        <f>AT18</f>
        <v>0</v>
      </c>
      <c r="AT18" s="17"/>
      <c r="AU18" s="18">
        <f t="shared" ref="AU18:AU61" si="3">IF(AT18-AQ18=0,0,(AT18-M18-O18-Q18)/AT18)</f>
        <v>0</v>
      </c>
      <c r="AV18" s="18">
        <f t="shared" ref="AV18:AV61" si="4">IF(AT18=0,0,(AT18-N18-P18-R18-AC18-AD18-AE18-AF18-AG18-AH18-AI18-AJ18-AL18)/AT18)</f>
        <v>0</v>
      </c>
      <c r="AW18" s="18">
        <f t="shared" ref="AW18:AW61" si="5">IF(OR(AT18=0,AU18=0),0,((AT18*AU18)-S18-U18-W18-Y18-AA18)/(AT18*AU18))</f>
        <v>0</v>
      </c>
      <c r="AX18" s="18">
        <f t="shared" ref="AX18:AX61" si="6">IF(OR(AT18=0,AV18=0),0,((AT18*AV18)-AK18-AM18-AN18-AO18-AP18-T18-V18-X18-Z18-AB18)/(AT18*AV18))</f>
        <v>0</v>
      </c>
      <c r="AY18" s="82">
        <f>IF(K18=0,0,K18/(D18-Y18)/24)</f>
        <v>0</v>
      </c>
      <c r="AZ18" s="82">
        <f t="shared" si="1"/>
        <v>0</v>
      </c>
      <c r="BA18" s="85">
        <f>ROUND(AS18-E18-AR18,4)</f>
        <v>0</v>
      </c>
      <c r="BB18" s="86"/>
      <c r="BC18"/>
    </row>
    <row r="19" spans="1:55" ht="15" hidden="1" customHeight="1" x14ac:dyDescent="0.25">
      <c r="A19" s="68" t="s">
        <v>24</v>
      </c>
      <c r="B19" s="111">
        <v>23</v>
      </c>
      <c r="C19" s="111">
        <v>23</v>
      </c>
      <c r="D19" s="119">
        <f t="shared" ref="D19:D23" si="7">AS19*AW19*AU19</f>
        <v>0</v>
      </c>
      <c r="E19" s="17">
        <f t="shared" ref="E19:E22" si="8">ROUND(AS19*AV19*AX19,4)</f>
        <v>0</v>
      </c>
      <c r="F19" s="19"/>
      <c r="G19" s="19"/>
      <c r="H19" s="18"/>
      <c r="I19" s="18"/>
      <c r="J19" s="8" t="s">
        <v>55</v>
      </c>
      <c r="K19" s="20"/>
      <c r="L19" s="20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7">
        <f t="shared" si="2"/>
        <v>0</v>
      </c>
      <c r="AR19" s="15">
        <f>N19+P19+R19+AC19+AD19+AE19+AF19+AG19+AH19+AI19+AJ19+AK19+AL19+AM19+AN19+AO19+AP19+T19+V19+AB19</f>
        <v>0</v>
      </c>
      <c r="AS19" s="17">
        <f t="shared" ref="AS19:AS23" si="9">AT19</f>
        <v>0</v>
      </c>
      <c r="AT19" s="15"/>
      <c r="AU19" s="18">
        <f t="shared" si="3"/>
        <v>0</v>
      </c>
      <c r="AV19" s="18">
        <f t="shared" si="4"/>
        <v>0</v>
      </c>
      <c r="AW19" s="18">
        <f t="shared" si="5"/>
        <v>0</v>
      </c>
      <c r="AX19" s="18">
        <f t="shared" si="6"/>
        <v>0</v>
      </c>
      <c r="AY19" s="18">
        <f t="shared" si="1"/>
        <v>0</v>
      </c>
      <c r="AZ19" s="18">
        <f t="shared" si="1"/>
        <v>0</v>
      </c>
      <c r="BA19" s="74">
        <f>ROUND(AS19-E19-AR19,4)</f>
        <v>0</v>
      </c>
      <c r="BB19" s="75"/>
      <c r="BC19"/>
    </row>
    <row r="20" spans="1:55" ht="15" hidden="1" customHeight="1" x14ac:dyDescent="0.25">
      <c r="A20" s="69" t="s">
        <v>25</v>
      </c>
      <c r="B20" s="112"/>
      <c r="C20" s="112">
        <v>24</v>
      </c>
      <c r="D20" s="119">
        <f t="shared" si="7"/>
        <v>0</v>
      </c>
      <c r="E20" s="17">
        <f t="shared" si="8"/>
        <v>0</v>
      </c>
      <c r="F20" s="19"/>
      <c r="G20" s="19"/>
      <c r="H20" s="18"/>
      <c r="I20" s="18"/>
      <c r="J20" s="8" t="s">
        <v>55</v>
      </c>
      <c r="K20" s="20"/>
      <c r="L20" s="20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7">
        <f t="shared" si="2"/>
        <v>0</v>
      </c>
      <c r="AR20" s="15">
        <f>N20+P20+R20+AC20+AD20+AE20+AF20+AG20+AH20+AI20+AJ20+AK20+AL20+AM20+AN20+AO20+AP20+T20+V20+AB20</f>
        <v>0</v>
      </c>
      <c r="AS20" s="17">
        <f t="shared" si="9"/>
        <v>0</v>
      </c>
      <c r="AT20" s="15"/>
      <c r="AU20" s="18">
        <f t="shared" si="3"/>
        <v>0</v>
      </c>
      <c r="AV20" s="18">
        <f t="shared" si="4"/>
        <v>0</v>
      </c>
      <c r="AW20" s="18">
        <f t="shared" si="5"/>
        <v>0</v>
      </c>
      <c r="AX20" s="18">
        <f t="shared" si="6"/>
        <v>0</v>
      </c>
      <c r="AY20" s="18">
        <f t="shared" si="1"/>
        <v>0</v>
      </c>
      <c r="AZ20" s="18">
        <f t="shared" si="1"/>
        <v>0</v>
      </c>
      <c r="BA20" s="74">
        <f t="shared" ref="BA20:BA22" si="10">ROUND(AS20-E20-AR20,4)</f>
        <v>0</v>
      </c>
      <c r="BB20" s="75"/>
      <c r="BC20"/>
    </row>
    <row r="21" spans="1:55" ht="15" hidden="1" customHeight="1" x14ac:dyDescent="0.25">
      <c r="A21" s="68" t="s">
        <v>26</v>
      </c>
      <c r="B21" s="111"/>
      <c r="C21" s="111">
        <v>24</v>
      </c>
      <c r="D21" s="119">
        <f t="shared" si="7"/>
        <v>0</v>
      </c>
      <c r="E21" s="17">
        <f t="shared" si="8"/>
        <v>0</v>
      </c>
      <c r="F21" s="19"/>
      <c r="G21" s="19"/>
      <c r="H21" s="18"/>
      <c r="I21" s="18"/>
      <c r="J21" s="8" t="s">
        <v>55</v>
      </c>
      <c r="K21" s="20"/>
      <c r="L21" s="20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7">
        <f t="shared" si="2"/>
        <v>0</v>
      </c>
      <c r="AR21" s="15">
        <f>N21+P21+R21+AC21+AD21+AE21+AF21+AG21+AH21+AI21+AJ21+AK21+AL21+AM21+AN21+AO21+AP21+T21+V21+AB21</f>
        <v>0</v>
      </c>
      <c r="AS21" s="17">
        <f>AT21</f>
        <v>0</v>
      </c>
      <c r="AT21" s="15"/>
      <c r="AU21" s="18">
        <f t="shared" si="3"/>
        <v>0</v>
      </c>
      <c r="AV21" s="18">
        <f t="shared" si="4"/>
        <v>0</v>
      </c>
      <c r="AW21" s="18">
        <f t="shared" si="5"/>
        <v>0</v>
      </c>
      <c r="AX21" s="18">
        <f t="shared" si="6"/>
        <v>0</v>
      </c>
      <c r="AY21" s="18">
        <f t="shared" si="1"/>
        <v>0</v>
      </c>
      <c r="AZ21" s="18">
        <f t="shared" si="1"/>
        <v>0</v>
      </c>
      <c r="BA21" s="74">
        <f t="shared" si="10"/>
        <v>0</v>
      </c>
      <c r="BB21" s="75"/>
      <c r="BC21"/>
    </row>
    <row r="22" spans="1:55" ht="15" hidden="1" customHeight="1" x14ac:dyDescent="0.25">
      <c r="A22" s="70" t="s">
        <v>63</v>
      </c>
      <c r="B22" s="113"/>
      <c r="C22" s="113">
        <v>25</v>
      </c>
      <c r="D22" s="119">
        <f t="shared" si="7"/>
        <v>0</v>
      </c>
      <c r="E22" s="17">
        <f t="shared" si="8"/>
        <v>0</v>
      </c>
      <c r="F22" s="19"/>
      <c r="G22" s="19"/>
      <c r="H22" s="18"/>
      <c r="I22" s="18"/>
      <c r="J22" s="8" t="s">
        <v>55</v>
      </c>
      <c r="K22" s="20"/>
      <c r="L22" s="20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7">
        <f t="shared" si="2"/>
        <v>0</v>
      </c>
      <c r="AR22" s="15">
        <f>N22+P22+R22+AC22+AD22+AE22+AF22+AG22+AH22+AI22+AJ22+AK22+AL22+AM22+AN22+AO22+AP22+T22+V22+AB22</f>
        <v>0</v>
      </c>
      <c r="AS22" s="17">
        <f t="shared" si="9"/>
        <v>0</v>
      </c>
      <c r="AT22" s="15"/>
      <c r="AU22" s="18">
        <f t="shared" si="3"/>
        <v>0</v>
      </c>
      <c r="AV22" s="18">
        <f t="shared" si="4"/>
        <v>0</v>
      </c>
      <c r="AW22" s="18">
        <f t="shared" si="5"/>
        <v>0</v>
      </c>
      <c r="AX22" s="18">
        <f t="shared" si="6"/>
        <v>0</v>
      </c>
      <c r="AY22" s="18">
        <f t="shared" si="1"/>
        <v>0</v>
      </c>
      <c r="AZ22" s="18">
        <f t="shared" si="1"/>
        <v>0</v>
      </c>
      <c r="BA22" s="74">
        <f t="shared" si="10"/>
        <v>0</v>
      </c>
      <c r="BB22" s="75"/>
      <c r="BC22"/>
    </row>
    <row r="23" spans="1:55" ht="15" customHeight="1" thickBot="1" x14ac:dyDescent="0.3">
      <c r="A23" s="90" t="s">
        <v>27</v>
      </c>
      <c r="B23" s="123" t="s">
        <v>148</v>
      </c>
      <c r="C23" s="114">
        <v>17</v>
      </c>
      <c r="D23" s="119">
        <f t="shared" si="7"/>
        <v>0</v>
      </c>
      <c r="E23" s="17">
        <f>ROUND(AT23*AV23*AX23,4)</f>
        <v>0</v>
      </c>
      <c r="F23" s="91"/>
      <c r="G23" s="91"/>
      <c r="H23" s="92"/>
      <c r="I23" s="92"/>
      <c r="J23" s="93" t="s">
        <v>55</v>
      </c>
      <c r="K23" s="94"/>
      <c r="L23" s="94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7">
        <f t="shared" si="2"/>
        <v>0</v>
      </c>
      <c r="AR23" s="16">
        <f>N23+P23+R23+AC23+AD23+AE23+AF23+AG23+AH23+AI23+AJ23+AK23+AL23+AM23+AN23+AO23+AP23+T23+V23+X23+Z23+AB23</f>
        <v>0</v>
      </c>
      <c r="AS23" s="17">
        <f t="shared" si="9"/>
        <v>0</v>
      </c>
      <c r="AT23" s="16"/>
      <c r="AU23" s="82">
        <f t="shared" si="3"/>
        <v>0</v>
      </c>
      <c r="AV23" s="82">
        <f t="shared" si="4"/>
        <v>0</v>
      </c>
      <c r="AW23" s="82">
        <f t="shared" si="5"/>
        <v>0</v>
      </c>
      <c r="AX23" s="82">
        <f t="shared" si="6"/>
        <v>0</v>
      </c>
      <c r="AY23" s="92">
        <f>IF(D23=0,0,K23/D23/24)</f>
        <v>0</v>
      </c>
      <c r="AZ23" s="92">
        <f>IF(E23=0,0,L23/E23/24)</f>
        <v>0</v>
      </c>
      <c r="BA23" s="95">
        <f>ROUND(AT23-E23-AR23,4)</f>
        <v>0</v>
      </c>
      <c r="BB23" s="96"/>
      <c r="BC23"/>
    </row>
    <row r="24" spans="1:55" ht="15" customHeight="1" thickBot="1" x14ac:dyDescent="0.3">
      <c r="A24" s="87" t="s">
        <v>80</v>
      </c>
      <c r="B24" s="124"/>
      <c r="C24" s="87"/>
      <c r="D24" s="132">
        <f>AT24*AW24*AU24</f>
        <v>0</v>
      </c>
      <c r="E24" s="129">
        <f>SUM(E26:E27)</f>
        <v>0</v>
      </c>
      <c r="F24" s="129">
        <f>SUM(F25:F41)</f>
        <v>0</v>
      </c>
      <c r="G24" s="129"/>
      <c r="H24" s="131">
        <f>SUM(H25:H41)</f>
        <v>0</v>
      </c>
      <c r="I24" s="131">
        <f>SUM(I25:I41)</f>
        <v>0</v>
      </c>
      <c r="J24" s="88"/>
      <c r="K24" s="130">
        <f>SUM(K25:K41)</f>
        <v>0</v>
      </c>
      <c r="L24" s="130">
        <f>SUM(L25:L41)</f>
        <v>0</v>
      </c>
      <c r="M24" s="129">
        <f>SUM(M25:M41)</f>
        <v>0</v>
      </c>
      <c r="N24" s="129">
        <f t="shared" ref="N24:AO24" si="11">SUM(N25:N41)</f>
        <v>0</v>
      </c>
      <c r="O24" s="129">
        <f t="shared" si="11"/>
        <v>0</v>
      </c>
      <c r="P24" s="129">
        <f t="shared" si="11"/>
        <v>0</v>
      </c>
      <c r="Q24" s="129">
        <f t="shared" si="11"/>
        <v>0</v>
      </c>
      <c r="R24" s="129">
        <f t="shared" si="11"/>
        <v>0</v>
      </c>
      <c r="S24" s="129">
        <f t="shared" si="11"/>
        <v>0</v>
      </c>
      <c r="T24" s="129">
        <f t="shared" si="11"/>
        <v>0</v>
      </c>
      <c r="U24" s="129">
        <f t="shared" si="11"/>
        <v>0</v>
      </c>
      <c r="V24" s="129">
        <f t="shared" si="11"/>
        <v>0</v>
      </c>
      <c r="W24" s="129">
        <f t="shared" si="11"/>
        <v>0</v>
      </c>
      <c r="X24" s="129">
        <f t="shared" si="11"/>
        <v>0</v>
      </c>
      <c r="Y24" s="129">
        <f t="shared" si="11"/>
        <v>0</v>
      </c>
      <c r="Z24" s="129">
        <f t="shared" si="11"/>
        <v>0</v>
      </c>
      <c r="AA24" s="129">
        <f t="shared" si="11"/>
        <v>0</v>
      </c>
      <c r="AB24" s="129">
        <f t="shared" si="11"/>
        <v>0</v>
      </c>
      <c r="AC24" s="129">
        <f t="shared" si="11"/>
        <v>0</v>
      </c>
      <c r="AD24" s="129">
        <f t="shared" si="11"/>
        <v>0</v>
      </c>
      <c r="AE24" s="129">
        <f t="shared" si="11"/>
        <v>0</v>
      </c>
      <c r="AF24" s="129">
        <f t="shared" si="11"/>
        <v>0</v>
      </c>
      <c r="AG24" s="129">
        <f t="shared" si="11"/>
        <v>0</v>
      </c>
      <c r="AH24" s="129">
        <f t="shared" si="11"/>
        <v>0</v>
      </c>
      <c r="AI24" s="129">
        <f t="shared" si="11"/>
        <v>0</v>
      </c>
      <c r="AJ24" s="129">
        <f t="shared" si="11"/>
        <v>0</v>
      </c>
      <c r="AK24" s="129">
        <f t="shared" si="11"/>
        <v>0</v>
      </c>
      <c r="AL24" s="129">
        <f t="shared" si="11"/>
        <v>0</v>
      </c>
      <c r="AM24" s="129">
        <f t="shared" si="11"/>
        <v>0</v>
      </c>
      <c r="AN24" s="129">
        <f t="shared" si="11"/>
        <v>0</v>
      </c>
      <c r="AO24" s="129">
        <f t="shared" si="11"/>
        <v>0</v>
      </c>
      <c r="AP24" s="129">
        <f>SUM(AP25:AP41)</f>
        <v>0</v>
      </c>
      <c r="AQ24" s="129">
        <f t="shared" si="2"/>
        <v>0</v>
      </c>
      <c r="AR24" s="129">
        <f t="shared" ref="AR24:AR61" si="12">N24+P24+R24+AC24+AD24+AE24+AF24+AG24+AH24+AI24+AJ24+AK24+AL24+AM24+AN24+AO24+AP24+T24+V24+X24+Z24+AB24</f>
        <v>0</v>
      </c>
      <c r="AS24" s="129">
        <f>SUM(AS25:AS41)</f>
        <v>0</v>
      </c>
      <c r="AT24" s="129">
        <f>SUM(AT25:AT41)</f>
        <v>0</v>
      </c>
      <c r="AU24" s="131">
        <f t="shared" si="3"/>
        <v>0</v>
      </c>
      <c r="AV24" s="131">
        <f t="shared" si="4"/>
        <v>0</v>
      </c>
      <c r="AW24" s="131">
        <f t="shared" si="5"/>
        <v>0</v>
      </c>
      <c r="AX24" s="131">
        <f t="shared" si="6"/>
        <v>0</v>
      </c>
      <c r="AY24" s="131">
        <f t="shared" ref="AY24:AZ61" si="13">IF(D24=0,0,K24/D24/24)</f>
        <v>0</v>
      </c>
      <c r="AZ24" s="131">
        <f t="shared" si="13"/>
        <v>0</v>
      </c>
      <c r="BA24" s="129">
        <f t="shared" ref="BA24:BA61" si="14">ROUND(AT24-E24-AR24,4)</f>
        <v>0</v>
      </c>
      <c r="BB24" s="99"/>
      <c r="BC24"/>
    </row>
    <row r="25" spans="1:55" ht="15" hidden="1" customHeight="1" x14ac:dyDescent="0.25">
      <c r="A25" s="97" t="s">
        <v>28</v>
      </c>
      <c r="B25" s="115"/>
      <c r="C25" s="115">
        <v>30</v>
      </c>
      <c r="D25" s="121">
        <f>AT25*AU25*AW25</f>
        <v>0</v>
      </c>
      <c r="E25" s="15">
        <f t="shared" ref="E25:E51" si="15">ROUND(AS25*AV25*AX25,4)</f>
        <v>0</v>
      </c>
      <c r="F25" s="81"/>
      <c r="G25" s="81"/>
      <c r="H25" s="82"/>
      <c r="I25" s="82"/>
      <c r="J25" s="98" t="s">
        <v>68</v>
      </c>
      <c r="K25" s="84"/>
      <c r="L25" s="84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>
        <f t="shared" si="2"/>
        <v>0</v>
      </c>
      <c r="AR25" s="16">
        <f t="shared" si="12"/>
        <v>0</v>
      </c>
      <c r="AS25" s="17"/>
      <c r="AT25" s="17"/>
      <c r="AU25" s="92">
        <f t="shared" si="3"/>
        <v>0</v>
      </c>
      <c r="AV25" s="92">
        <f t="shared" si="4"/>
        <v>0</v>
      </c>
      <c r="AW25" s="92">
        <f t="shared" si="5"/>
        <v>0</v>
      </c>
      <c r="AX25" s="92">
        <f t="shared" si="6"/>
        <v>0</v>
      </c>
      <c r="AY25" s="92">
        <f t="shared" si="13"/>
        <v>0</v>
      </c>
      <c r="AZ25" s="92">
        <f t="shared" si="13"/>
        <v>0</v>
      </c>
      <c r="BA25" s="95">
        <f t="shared" si="14"/>
        <v>0</v>
      </c>
      <c r="BB25" s="86"/>
      <c r="BC25"/>
    </row>
    <row r="26" spans="1:55" ht="15" customHeight="1" x14ac:dyDescent="0.25">
      <c r="A26" s="71" t="s">
        <v>29</v>
      </c>
      <c r="B26" s="123" t="s">
        <v>137</v>
      </c>
      <c r="C26" s="112">
        <v>32</v>
      </c>
      <c r="D26" s="121">
        <f>AT26*AU26*AW26</f>
        <v>0</v>
      </c>
      <c r="E26" s="15">
        <f>ROUND(AT26*AV26*AX26,4)</f>
        <v>0</v>
      </c>
      <c r="F26" s="19"/>
      <c r="G26" s="19"/>
      <c r="H26" s="18"/>
      <c r="I26" s="18"/>
      <c r="J26" s="9" t="s">
        <v>68</v>
      </c>
      <c r="K26" s="20"/>
      <c r="L26" s="20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7">
        <f t="shared" si="2"/>
        <v>0</v>
      </c>
      <c r="AR26" s="16">
        <f t="shared" si="12"/>
        <v>0</v>
      </c>
      <c r="AS26" s="16"/>
      <c r="AT26" s="16"/>
      <c r="AU26" s="92">
        <f t="shared" si="3"/>
        <v>0</v>
      </c>
      <c r="AV26" s="92">
        <f t="shared" si="4"/>
        <v>0</v>
      </c>
      <c r="AW26" s="92">
        <f t="shared" si="5"/>
        <v>0</v>
      </c>
      <c r="AX26" s="92">
        <f t="shared" si="6"/>
        <v>0</v>
      </c>
      <c r="AY26" s="92">
        <f t="shared" si="13"/>
        <v>0</v>
      </c>
      <c r="AZ26" s="92">
        <f t="shared" si="13"/>
        <v>0</v>
      </c>
      <c r="BA26" s="95">
        <f t="shared" si="14"/>
        <v>0</v>
      </c>
      <c r="BB26" s="75"/>
      <c r="BC26"/>
    </row>
    <row r="27" spans="1:55" ht="15" customHeight="1" thickBot="1" x14ac:dyDescent="0.3">
      <c r="A27" s="71" t="s">
        <v>30</v>
      </c>
      <c r="B27" s="123" t="s">
        <v>138</v>
      </c>
      <c r="C27" s="112">
        <v>35</v>
      </c>
      <c r="D27" s="121">
        <f>AT27*AU27*AW27</f>
        <v>0</v>
      </c>
      <c r="E27" s="15">
        <f>ROUND(AT27*AV27*AX27,4)</f>
        <v>0</v>
      </c>
      <c r="F27" s="19"/>
      <c r="G27" s="19"/>
      <c r="H27" s="18"/>
      <c r="I27" s="18"/>
      <c r="J27" s="9" t="s">
        <v>68</v>
      </c>
      <c r="K27" s="20"/>
      <c r="L27" s="20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7">
        <f t="shared" si="2"/>
        <v>0</v>
      </c>
      <c r="AR27" s="16">
        <f t="shared" si="12"/>
        <v>0</v>
      </c>
      <c r="AS27" s="16"/>
      <c r="AT27" s="16"/>
      <c r="AU27" s="92">
        <f t="shared" si="3"/>
        <v>0</v>
      </c>
      <c r="AV27" s="92">
        <f t="shared" si="4"/>
        <v>0</v>
      </c>
      <c r="AW27" s="92">
        <f t="shared" si="5"/>
        <v>0</v>
      </c>
      <c r="AX27" s="92">
        <f t="shared" si="6"/>
        <v>0</v>
      </c>
      <c r="AY27" s="92">
        <f t="shared" si="13"/>
        <v>0</v>
      </c>
      <c r="AZ27" s="92">
        <f t="shared" si="13"/>
        <v>0</v>
      </c>
      <c r="BA27" s="95">
        <f t="shared" si="14"/>
        <v>0</v>
      </c>
      <c r="BB27" s="75"/>
      <c r="BC27"/>
    </row>
    <row r="28" spans="1:55" ht="15" hidden="1" customHeight="1" x14ac:dyDescent="0.3">
      <c r="A28" s="72" t="s">
        <v>31</v>
      </c>
      <c r="B28" s="111"/>
      <c r="C28" s="111">
        <v>39</v>
      </c>
      <c r="D28" s="121">
        <f t="shared" ref="D28:D41" si="16">AT28*AU28*AW28</f>
        <v>0</v>
      </c>
      <c r="E28" s="15">
        <f t="shared" si="15"/>
        <v>0</v>
      </c>
      <c r="F28" s="19"/>
      <c r="G28" s="19"/>
      <c r="H28" s="18"/>
      <c r="I28" s="18"/>
      <c r="J28" s="9" t="s">
        <v>68</v>
      </c>
      <c r="K28" s="20"/>
      <c r="L28" s="20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7">
        <f t="shared" si="2"/>
        <v>0</v>
      </c>
      <c r="AR28" s="16">
        <f t="shared" si="12"/>
        <v>0</v>
      </c>
      <c r="AS28" s="15"/>
      <c r="AT28" s="15"/>
      <c r="AU28" s="92">
        <f t="shared" si="3"/>
        <v>0</v>
      </c>
      <c r="AV28" s="92">
        <f t="shared" si="4"/>
        <v>0</v>
      </c>
      <c r="AW28" s="92">
        <f t="shared" si="5"/>
        <v>0</v>
      </c>
      <c r="AX28" s="92">
        <f t="shared" si="6"/>
        <v>0</v>
      </c>
      <c r="AY28" s="92">
        <f t="shared" si="13"/>
        <v>0</v>
      </c>
      <c r="AZ28" s="92">
        <f t="shared" si="13"/>
        <v>0</v>
      </c>
      <c r="BA28" s="95">
        <f t="shared" si="14"/>
        <v>0</v>
      </c>
      <c r="BB28" s="75"/>
      <c r="BC28"/>
    </row>
    <row r="29" spans="1:55" ht="15" hidden="1" customHeight="1" x14ac:dyDescent="0.3">
      <c r="A29" s="72" t="s">
        <v>32</v>
      </c>
      <c r="B29" s="111"/>
      <c r="C29" s="111">
        <v>40</v>
      </c>
      <c r="D29" s="121">
        <f t="shared" si="16"/>
        <v>0</v>
      </c>
      <c r="E29" s="15">
        <f t="shared" si="15"/>
        <v>0</v>
      </c>
      <c r="F29" s="19"/>
      <c r="G29" s="19"/>
      <c r="H29" s="18"/>
      <c r="I29" s="18"/>
      <c r="J29" s="9" t="s">
        <v>68</v>
      </c>
      <c r="K29" s="20"/>
      <c r="L29" s="20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7">
        <f t="shared" si="2"/>
        <v>0</v>
      </c>
      <c r="AR29" s="16">
        <f t="shared" si="12"/>
        <v>0</v>
      </c>
      <c r="AS29" s="15"/>
      <c r="AT29" s="15"/>
      <c r="AU29" s="92">
        <f t="shared" si="3"/>
        <v>0</v>
      </c>
      <c r="AV29" s="92">
        <f t="shared" si="4"/>
        <v>0</v>
      </c>
      <c r="AW29" s="92">
        <f t="shared" si="5"/>
        <v>0</v>
      </c>
      <c r="AX29" s="92">
        <f t="shared" si="6"/>
        <v>0</v>
      </c>
      <c r="AY29" s="92">
        <f t="shared" si="13"/>
        <v>0</v>
      </c>
      <c r="AZ29" s="92">
        <f t="shared" si="13"/>
        <v>0</v>
      </c>
      <c r="BA29" s="95">
        <f t="shared" si="14"/>
        <v>0</v>
      </c>
      <c r="BB29" s="75"/>
      <c r="BC29"/>
    </row>
    <row r="30" spans="1:55" ht="15" hidden="1" customHeight="1" x14ac:dyDescent="0.3">
      <c r="A30" s="72" t="s">
        <v>33</v>
      </c>
      <c r="B30" s="111"/>
      <c r="C30" s="111">
        <v>41</v>
      </c>
      <c r="D30" s="121">
        <f t="shared" si="16"/>
        <v>0</v>
      </c>
      <c r="E30" s="15">
        <f t="shared" si="15"/>
        <v>0</v>
      </c>
      <c r="F30" s="19"/>
      <c r="G30" s="19"/>
      <c r="H30" s="18"/>
      <c r="I30" s="18"/>
      <c r="J30" s="9" t="s">
        <v>68</v>
      </c>
      <c r="K30" s="20"/>
      <c r="L30" s="20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7">
        <f t="shared" si="2"/>
        <v>0</v>
      </c>
      <c r="AR30" s="16">
        <f t="shared" si="12"/>
        <v>0</v>
      </c>
      <c r="AS30" s="15"/>
      <c r="AT30" s="15"/>
      <c r="AU30" s="92">
        <f t="shared" si="3"/>
        <v>0</v>
      </c>
      <c r="AV30" s="92">
        <f t="shared" si="4"/>
        <v>0</v>
      </c>
      <c r="AW30" s="92">
        <f t="shared" si="5"/>
        <v>0</v>
      </c>
      <c r="AX30" s="92">
        <f t="shared" si="6"/>
        <v>0</v>
      </c>
      <c r="AY30" s="92">
        <f t="shared" si="13"/>
        <v>0</v>
      </c>
      <c r="AZ30" s="92">
        <f t="shared" si="13"/>
        <v>0</v>
      </c>
      <c r="BA30" s="95">
        <f t="shared" si="14"/>
        <v>0</v>
      </c>
      <c r="BB30" s="75"/>
      <c r="BC30"/>
    </row>
    <row r="31" spans="1:55" ht="15" hidden="1" customHeight="1" x14ac:dyDescent="0.3">
      <c r="A31" s="72" t="s">
        <v>34</v>
      </c>
      <c r="B31" s="111"/>
      <c r="C31" s="111">
        <v>42</v>
      </c>
      <c r="D31" s="121">
        <f t="shared" si="16"/>
        <v>0</v>
      </c>
      <c r="E31" s="15">
        <f t="shared" si="15"/>
        <v>0</v>
      </c>
      <c r="F31" s="19"/>
      <c r="G31" s="19"/>
      <c r="H31" s="18"/>
      <c r="I31" s="18"/>
      <c r="J31" s="9" t="s">
        <v>68</v>
      </c>
      <c r="K31" s="20"/>
      <c r="L31" s="20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7">
        <f t="shared" si="2"/>
        <v>0</v>
      </c>
      <c r="AR31" s="16">
        <f t="shared" si="12"/>
        <v>0</v>
      </c>
      <c r="AS31" s="15"/>
      <c r="AT31" s="15"/>
      <c r="AU31" s="92">
        <f t="shared" si="3"/>
        <v>0</v>
      </c>
      <c r="AV31" s="92">
        <f t="shared" si="4"/>
        <v>0</v>
      </c>
      <c r="AW31" s="92">
        <f t="shared" si="5"/>
        <v>0</v>
      </c>
      <c r="AX31" s="92">
        <f t="shared" si="6"/>
        <v>0</v>
      </c>
      <c r="AY31" s="92">
        <f t="shared" si="13"/>
        <v>0</v>
      </c>
      <c r="AZ31" s="92">
        <f t="shared" si="13"/>
        <v>0</v>
      </c>
      <c r="BA31" s="95">
        <f t="shared" si="14"/>
        <v>0</v>
      </c>
      <c r="BB31" s="75"/>
      <c r="BC31"/>
    </row>
    <row r="32" spans="1:55" ht="15" hidden="1" customHeight="1" x14ac:dyDescent="0.3">
      <c r="A32" s="72" t="s">
        <v>35</v>
      </c>
      <c r="B32" s="111"/>
      <c r="C32" s="111">
        <v>43</v>
      </c>
      <c r="D32" s="121">
        <f t="shared" si="16"/>
        <v>0</v>
      </c>
      <c r="E32" s="15">
        <f t="shared" si="15"/>
        <v>0</v>
      </c>
      <c r="F32" s="19"/>
      <c r="G32" s="19"/>
      <c r="H32" s="18"/>
      <c r="I32" s="18"/>
      <c r="J32" s="9" t="s">
        <v>68</v>
      </c>
      <c r="K32" s="20"/>
      <c r="L32" s="20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7">
        <f t="shared" si="2"/>
        <v>0</v>
      </c>
      <c r="AR32" s="16">
        <f t="shared" si="12"/>
        <v>0</v>
      </c>
      <c r="AS32" s="15"/>
      <c r="AT32" s="15"/>
      <c r="AU32" s="92">
        <f t="shared" si="3"/>
        <v>0</v>
      </c>
      <c r="AV32" s="92">
        <f t="shared" si="4"/>
        <v>0</v>
      </c>
      <c r="AW32" s="92">
        <f t="shared" si="5"/>
        <v>0</v>
      </c>
      <c r="AX32" s="92">
        <f t="shared" si="6"/>
        <v>0</v>
      </c>
      <c r="AY32" s="92">
        <f t="shared" si="13"/>
        <v>0</v>
      </c>
      <c r="AZ32" s="92">
        <f t="shared" si="13"/>
        <v>0</v>
      </c>
      <c r="BA32" s="95">
        <f t="shared" si="14"/>
        <v>0</v>
      </c>
      <c r="BB32" s="75"/>
      <c r="BC32"/>
    </row>
    <row r="33" spans="1:55" ht="15" hidden="1" customHeight="1" x14ac:dyDescent="0.3">
      <c r="A33" s="72" t="s">
        <v>36</v>
      </c>
      <c r="B33" s="111"/>
      <c r="C33" s="111">
        <v>44</v>
      </c>
      <c r="D33" s="121">
        <f t="shared" si="16"/>
        <v>0</v>
      </c>
      <c r="E33" s="15">
        <f t="shared" si="15"/>
        <v>0</v>
      </c>
      <c r="F33" s="19"/>
      <c r="G33" s="19"/>
      <c r="H33" s="18"/>
      <c r="I33" s="18"/>
      <c r="J33" s="9" t="s">
        <v>68</v>
      </c>
      <c r="K33" s="20"/>
      <c r="L33" s="20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7">
        <f t="shared" si="2"/>
        <v>0</v>
      </c>
      <c r="AR33" s="16">
        <f t="shared" si="12"/>
        <v>0</v>
      </c>
      <c r="AS33" s="15"/>
      <c r="AT33" s="15"/>
      <c r="AU33" s="92">
        <f t="shared" si="3"/>
        <v>0</v>
      </c>
      <c r="AV33" s="92">
        <f t="shared" si="4"/>
        <v>0</v>
      </c>
      <c r="AW33" s="92">
        <f t="shared" si="5"/>
        <v>0</v>
      </c>
      <c r="AX33" s="92">
        <f t="shared" si="6"/>
        <v>0</v>
      </c>
      <c r="AY33" s="92">
        <f t="shared" si="13"/>
        <v>0</v>
      </c>
      <c r="AZ33" s="92">
        <f t="shared" si="13"/>
        <v>0</v>
      </c>
      <c r="BA33" s="95">
        <f t="shared" si="14"/>
        <v>0</v>
      </c>
      <c r="BB33" s="75"/>
      <c r="BC33"/>
    </row>
    <row r="34" spans="1:55" ht="15" hidden="1" customHeight="1" x14ac:dyDescent="0.3">
      <c r="A34" s="72" t="s">
        <v>37</v>
      </c>
      <c r="B34" s="111"/>
      <c r="C34" s="111">
        <v>45</v>
      </c>
      <c r="D34" s="121">
        <f t="shared" si="16"/>
        <v>0</v>
      </c>
      <c r="E34" s="15">
        <f t="shared" si="15"/>
        <v>0</v>
      </c>
      <c r="F34" s="19"/>
      <c r="G34" s="19"/>
      <c r="H34" s="18"/>
      <c r="I34" s="18"/>
      <c r="J34" s="9" t="s">
        <v>68</v>
      </c>
      <c r="K34" s="20"/>
      <c r="L34" s="20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7">
        <f t="shared" si="2"/>
        <v>0</v>
      </c>
      <c r="AR34" s="16">
        <f t="shared" si="12"/>
        <v>0</v>
      </c>
      <c r="AS34" s="15"/>
      <c r="AT34" s="15"/>
      <c r="AU34" s="92">
        <f t="shared" si="3"/>
        <v>0</v>
      </c>
      <c r="AV34" s="92">
        <f t="shared" si="4"/>
        <v>0</v>
      </c>
      <c r="AW34" s="92">
        <f t="shared" si="5"/>
        <v>0</v>
      </c>
      <c r="AX34" s="92">
        <f t="shared" si="6"/>
        <v>0</v>
      </c>
      <c r="AY34" s="92">
        <f t="shared" si="13"/>
        <v>0</v>
      </c>
      <c r="AZ34" s="92">
        <f t="shared" si="13"/>
        <v>0</v>
      </c>
      <c r="BA34" s="95">
        <f t="shared" si="14"/>
        <v>0</v>
      </c>
      <c r="BB34" s="75"/>
      <c r="BC34"/>
    </row>
    <row r="35" spans="1:55" ht="15" hidden="1" customHeight="1" x14ac:dyDescent="0.3">
      <c r="A35" s="72" t="s">
        <v>38</v>
      </c>
      <c r="B35" s="111"/>
      <c r="C35" s="111">
        <v>46</v>
      </c>
      <c r="D35" s="121">
        <f t="shared" si="16"/>
        <v>0</v>
      </c>
      <c r="E35" s="15">
        <f t="shared" si="15"/>
        <v>0</v>
      </c>
      <c r="F35" s="19"/>
      <c r="G35" s="19"/>
      <c r="H35" s="18"/>
      <c r="I35" s="18"/>
      <c r="J35" s="9" t="s">
        <v>68</v>
      </c>
      <c r="K35" s="20"/>
      <c r="L35" s="20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7">
        <f t="shared" si="2"/>
        <v>0</v>
      </c>
      <c r="AR35" s="16">
        <f t="shared" si="12"/>
        <v>0</v>
      </c>
      <c r="AS35" s="15"/>
      <c r="AT35" s="15"/>
      <c r="AU35" s="92">
        <f t="shared" si="3"/>
        <v>0</v>
      </c>
      <c r="AV35" s="92">
        <f t="shared" si="4"/>
        <v>0</v>
      </c>
      <c r="AW35" s="92">
        <f t="shared" si="5"/>
        <v>0</v>
      </c>
      <c r="AX35" s="92">
        <f t="shared" si="6"/>
        <v>0</v>
      </c>
      <c r="AY35" s="92">
        <f t="shared" si="13"/>
        <v>0</v>
      </c>
      <c r="AZ35" s="92">
        <f t="shared" si="13"/>
        <v>0</v>
      </c>
      <c r="BA35" s="95">
        <f t="shared" si="14"/>
        <v>0</v>
      </c>
      <c r="BB35" s="75"/>
      <c r="BC35"/>
    </row>
    <row r="36" spans="1:55" ht="15" hidden="1" customHeight="1" x14ac:dyDescent="0.3">
      <c r="A36" s="72" t="s">
        <v>39</v>
      </c>
      <c r="B36" s="111"/>
      <c r="C36" s="111">
        <v>47</v>
      </c>
      <c r="D36" s="121">
        <f t="shared" si="16"/>
        <v>0</v>
      </c>
      <c r="E36" s="15">
        <f t="shared" si="15"/>
        <v>0</v>
      </c>
      <c r="F36" s="19"/>
      <c r="G36" s="19"/>
      <c r="H36" s="18"/>
      <c r="I36" s="18"/>
      <c r="J36" s="9" t="s">
        <v>68</v>
      </c>
      <c r="K36" s="20"/>
      <c r="L36" s="20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7">
        <f t="shared" si="2"/>
        <v>0</v>
      </c>
      <c r="AR36" s="16">
        <f t="shared" si="12"/>
        <v>0</v>
      </c>
      <c r="AS36" s="15"/>
      <c r="AT36" s="15"/>
      <c r="AU36" s="92">
        <f t="shared" si="3"/>
        <v>0</v>
      </c>
      <c r="AV36" s="92">
        <f t="shared" si="4"/>
        <v>0</v>
      </c>
      <c r="AW36" s="92">
        <f t="shared" si="5"/>
        <v>0</v>
      </c>
      <c r="AX36" s="92">
        <f t="shared" si="6"/>
        <v>0</v>
      </c>
      <c r="AY36" s="92">
        <f t="shared" si="13"/>
        <v>0</v>
      </c>
      <c r="AZ36" s="92">
        <f t="shared" si="13"/>
        <v>0</v>
      </c>
      <c r="BA36" s="95">
        <f t="shared" si="14"/>
        <v>0</v>
      </c>
      <c r="BB36" s="75"/>
      <c r="BC36"/>
    </row>
    <row r="37" spans="1:55" ht="15" hidden="1" customHeight="1" x14ac:dyDescent="0.3">
      <c r="A37" s="72" t="s">
        <v>40</v>
      </c>
      <c r="B37" s="111"/>
      <c r="C37" s="111">
        <v>48</v>
      </c>
      <c r="D37" s="121">
        <f t="shared" si="16"/>
        <v>0</v>
      </c>
      <c r="E37" s="15">
        <f t="shared" si="15"/>
        <v>0</v>
      </c>
      <c r="F37" s="19"/>
      <c r="G37" s="19"/>
      <c r="H37" s="18"/>
      <c r="I37" s="18"/>
      <c r="J37" s="9" t="s">
        <v>68</v>
      </c>
      <c r="K37" s="20"/>
      <c r="L37" s="20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7">
        <f t="shared" si="2"/>
        <v>0</v>
      </c>
      <c r="AR37" s="16">
        <f t="shared" si="12"/>
        <v>0</v>
      </c>
      <c r="AS37" s="15"/>
      <c r="AT37" s="15"/>
      <c r="AU37" s="92">
        <f t="shared" si="3"/>
        <v>0</v>
      </c>
      <c r="AV37" s="92">
        <f t="shared" si="4"/>
        <v>0</v>
      </c>
      <c r="AW37" s="92">
        <f t="shared" si="5"/>
        <v>0</v>
      </c>
      <c r="AX37" s="92">
        <f t="shared" si="6"/>
        <v>0</v>
      </c>
      <c r="AY37" s="92">
        <f t="shared" si="13"/>
        <v>0</v>
      </c>
      <c r="AZ37" s="92">
        <f t="shared" si="13"/>
        <v>0</v>
      </c>
      <c r="BA37" s="95">
        <f t="shared" si="14"/>
        <v>0</v>
      </c>
      <c r="BB37" s="75"/>
      <c r="BC37"/>
    </row>
    <row r="38" spans="1:55" ht="15" hidden="1" customHeight="1" x14ac:dyDescent="0.3">
      <c r="A38" s="72" t="s">
        <v>41</v>
      </c>
      <c r="B38" s="111"/>
      <c r="C38" s="111">
        <v>49</v>
      </c>
      <c r="D38" s="121">
        <f t="shared" si="16"/>
        <v>0</v>
      </c>
      <c r="E38" s="15">
        <f t="shared" si="15"/>
        <v>0</v>
      </c>
      <c r="F38" s="19"/>
      <c r="G38" s="19"/>
      <c r="H38" s="18"/>
      <c r="I38" s="18"/>
      <c r="J38" s="9" t="s">
        <v>68</v>
      </c>
      <c r="K38" s="20"/>
      <c r="L38" s="20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7">
        <f t="shared" si="2"/>
        <v>0</v>
      </c>
      <c r="AR38" s="16">
        <f t="shared" si="12"/>
        <v>0</v>
      </c>
      <c r="AS38" s="15"/>
      <c r="AT38" s="15"/>
      <c r="AU38" s="92">
        <f t="shared" si="3"/>
        <v>0</v>
      </c>
      <c r="AV38" s="92">
        <f t="shared" si="4"/>
        <v>0</v>
      </c>
      <c r="AW38" s="92">
        <f t="shared" si="5"/>
        <v>0</v>
      </c>
      <c r="AX38" s="92">
        <f t="shared" si="6"/>
        <v>0</v>
      </c>
      <c r="AY38" s="92">
        <f t="shared" si="13"/>
        <v>0</v>
      </c>
      <c r="AZ38" s="92">
        <f t="shared" si="13"/>
        <v>0</v>
      </c>
      <c r="BA38" s="95">
        <f t="shared" si="14"/>
        <v>0</v>
      </c>
      <c r="BB38" s="75"/>
      <c r="BC38"/>
    </row>
    <row r="39" spans="1:55" ht="15" hidden="1" customHeight="1" x14ac:dyDescent="0.3">
      <c r="A39" s="72" t="s">
        <v>42</v>
      </c>
      <c r="B39" s="111"/>
      <c r="C39" s="111">
        <v>50</v>
      </c>
      <c r="D39" s="121">
        <f t="shared" si="16"/>
        <v>0</v>
      </c>
      <c r="E39" s="15">
        <f t="shared" si="15"/>
        <v>0</v>
      </c>
      <c r="F39" s="19"/>
      <c r="G39" s="19"/>
      <c r="H39" s="18"/>
      <c r="I39" s="18"/>
      <c r="J39" s="9" t="s">
        <v>68</v>
      </c>
      <c r="K39" s="20"/>
      <c r="L39" s="20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7">
        <f t="shared" si="2"/>
        <v>0</v>
      </c>
      <c r="AR39" s="16">
        <f t="shared" si="12"/>
        <v>0</v>
      </c>
      <c r="AS39" s="15"/>
      <c r="AT39" s="15"/>
      <c r="AU39" s="92">
        <f t="shared" si="3"/>
        <v>0</v>
      </c>
      <c r="AV39" s="92">
        <f t="shared" si="4"/>
        <v>0</v>
      </c>
      <c r="AW39" s="92">
        <f t="shared" si="5"/>
        <v>0</v>
      </c>
      <c r="AX39" s="92">
        <f t="shared" si="6"/>
        <v>0</v>
      </c>
      <c r="AY39" s="92">
        <f t="shared" si="13"/>
        <v>0</v>
      </c>
      <c r="AZ39" s="92">
        <f t="shared" si="13"/>
        <v>0</v>
      </c>
      <c r="BA39" s="95">
        <f t="shared" si="14"/>
        <v>0</v>
      </c>
      <c r="BB39" s="75"/>
      <c r="BC39"/>
    </row>
    <row r="40" spans="1:55" ht="15" hidden="1" customHeight="1" x14ac:dyDescent="0.3">
      <c r="A40" s="72" t="s">
        <v>43</v>
      </c>
      <c r="B40" s="111"/>
      <c r="C40" s="111">
        <v>51</v>
      </c>
      <c r="D40" s="121">
        <f t="shared" si="16"/>
        <v>0</v>
      </c>
      <c r="E40" s="15">
        <f t="shared" si="15"/>
        <v>0</v>
      </c>
      <c r="F40" s="19"/>
      <c r="G40" s="19"/>
      <c r="H40" s="18"/>
      <c r="I40" s="18"/>
      <c r="J40" s="9" t="s">
        <v>68</v>
      </c>
      <c r="K40" s="20"/>
      <c r="L40" s="20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7">
        <f t="shared" si="2"/>
        <v>0</v>
      </c>
      <c r="AR40" s="16">
        <f t="shared" si="12"/>
        <v>0</v>
      </c>
      <c r="AS40" s="15"/>
      <c r="AT40" s="15"/>
      <c r="AU40" s="92">
        <f t="shared" si="3"/>
        <v>0</v>
      </c>
      <c r="AV40" s="92">
        <f t="shared" si="4"/>
        <v>0</v>
      </c>
      <c r="AW40" s="92">
        <f t="shared" si="5"/>
        <v>0</v>
      </c>
      <c r="AX40" s="92">
        <f t="shared" si="6"/>
        <v>0</v>
      </c>
      <c r="AY40" s="92">
        <f t="shared" si="13"/>
        <v>0</v>
      </c>
      <c r="AZ40" s="92">
        <f t="shared" si="13"/>
        <v>0</v>
      </c>
      <c r="BA40" s="95">
        <f t="shared" si="14"/>
        <v>0</v>
      </c>
      <c r="BB40" s="75"/>
      <c r="BC40"/>
    </row>
    <row r="41" spans="1:55" ht="15" hidden="1" customHeight="1" thickBot="1" x14ac:dyDescent="0.3">
      <c r="A41" s="100" t="s">
        <v>44</v>
      </c>
      <c r="B41" s="116"/>
      <c r="C41" s="116">
        <v>52</v>
      </c>
      <c r="D41" s="121">
        <f t="shared" si="16"/>
        <v>0</v>
      </c>
      <c r="E41" s="15">
        <f t="shared" si="15"/>
        <v>0</v>
      </c>
      <c r="F41" s="91"/>
      <c r="G41" s="91"/>
      <c r="H41" s="92"/>
      <c r="I41" s="92"/>
      <c r="J41" s="101" t="s">
        <v>68</v>
      </c>
      <c r="K41" s="94"/>
      <c r="L41" s="94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7">
        <f t="shared" si="2"/>
        <v>0</v>
      </c>
      <c r="AR41" s="16">
        <f t="shared" si="12"/>
        <v>0</v>
      </c>
      <c r="AS41" s="16"/>
      <c r="AT41" s="16"/>
      <c r="AU41" s="92">
        <f t="shared" si="3"/>
        <v>0</v>
      </c>
      <c r="AV41" s="92">
        <f t="shared" si="4"/>
        <v>0</v>
      </c>
      <c r="AW41" s="92">
        <f t="shared" si="5"/>
        <v>0</v>
      </c>
      <c r="AX41" s="92">
        <f t="shared" si="6"/>
        <v>0</v>
      </c>
      <c r="AY41" s="92">
        <f t="shared" si="13"/>
        <v>0</v>
      </c>
      <c r="AZ41" s="92">
        <f t="shared" si="13"/>
        <v>0</v>
      </c>
      <c r="BA41" s="95">
        <f t="shared" si="14"/>
        <v>0</v>
      </c>
      <c r="BB41" s="96"/>
      <c r="BC41"/>
    </row>
    <row r="42" spans="1:55" ht="15" customHeight="1" thickBot="1" x14ac:dyDescent="0.3">
      <c r="A42" s="102" t="s">
        <v>81</v>
      </c>
      <c r="B42" s="124"/>
      <c r="C42" s="87"/>
      <c r="D42" s="132">
        <f>SUM(D43:D45)</f>
        <v>0</v>
      </c>
      <c r="E42" s="129">
        <f>SUM(E43:E45)</f>
        <v>0</v>
      </c>
      <c r="F42" s="129">
        <f>SUM(F43:F45)</f>
        <v>0</v>
      </c>
      <c r="G42" s="129"/>
      <c r="H42" s="131">
        <f>SUM(H43:H45)</f>
        <v>0</v>
      </c>
      <c r="I42" s="131">
        <f>SUM(I43:I45)</f>
        <v>0</v>
      </c>
      <c r="J42" s="88"/>
      <c r="K42" s="130"/>
      <c r="L42" s="130"/>
      <c r="M42" s="129">
        <f>SUM(M43:M45)</f>
        <v>0</v>
      </c>
      <c r="N42" s="129">
        <f t="shared" ref="N42:AP42" si="17">SUM(N43:N45)</f>
        <v>0</v>
      </c>
      <c r="O42" s="129">
        <f t="shared" si="17"/>
        <v>0</v>
      </c>
      <c r="P42" s="129">
        <f t="shared" si="17"/>
        <v>0</v>
      </c>
      <c r="Q42" s="129">
        <f t="shared" si="17"/>
        <v>0</v>
      </c>
      <c r="R42" s="129">
        <f t="shared" si="17"/>
        <v>0</v>
      </c>
      <c r="S42" s="129">
        <f t="shared" si="17"/>
        <v>0</v>
      </c>
      <c r="T42" s="129">
        <f t="shared" si="17"/>
        <v>0</v>
      </c>
      <c r="U42" s="129">
        <f t="shared" si="17"/>
        <v>0</v>
      </c>
      <c r="V42" s="129">
        <f t="shared" si="17"/>
        <v>0</v>
      </c>
      <c r="W42" s="129">
        <f t="shared" si="17"/>
        <v>0</v>
      </c>
      <c r="X42" s="129">
        <f t="shared" si="17"/>
        <v>0</v>
      </c>
      <c r="Y42" s="129">
        <f t="shared" si="17"/>
        <v>0</v>
      </c>
      <c r="Z42" s="129">
        <f t="shared" si="17"/>
        <v>0</v>
      </c>
      <c r="AA42" s="129">
        <f t="shared" si="17"/>
        <v>0</v>
      </c>
      <c r="AB42" s="129">
        <f t="shared" si="17"/>
        <v>0</v>
      </c>
      <c r="AC42" s="129">
        <f t="shared" si="17"/>
        <v>0</v>
      </c>
      <c r="AD42" s="129">
        <f t="shared" si="17"/>
        <v>0</v>
      </c>
      <c r="AE42" s="129">
        <f t="shared" si="17"/>
        <v>0</v>
      </c>
      <c r="AF42" s="129">
        <f t="shared" si="17"/>
        <v>0</v>
      </c>
      <c r="AG42" s="129">
        <f t="shared" si="17"/>
        <v>0</v>
      </c>
      <c r="AH42" s="129">
        <f t="shared" si="17"/>
        <v>0</v>
      </c>
      <c r="AI42" s="129">
        <f t="shared" si="17"/>
        <v>0</v>
      </c>
      <c r="AJ42" s="129">
        <f t="shared" si="17"/>
        <v>0</v>
      </c>
      <c r="AK42" s="129">
        <f t="shared" si="17"/>
        <v>0</v>
      </c>
      <c r="AL42" s="129">
        <f t="shared" si="17"/>
        <v>0</v>
      </c>
      <c r="AM42" s="129">
        <f t="shared" si="17"/>
        <v>0</v>
      </c>
      <c r="AN42" s="129">
        <f t="shared" si="17"/>
        <v>0</v>
      </c>
      <c r="AO42" s="129">
        <f t="shared" si="17"/>
        <v>0</v>
      </c>
      <c r="AP42" s="129">
        <f t="shared" si="17"/>
        <v>0</v>
      </c>
      <c r="AQ42" s="129">
        <f t="shared" si="2"/>
        <v>0</v>
      </c>
      <c r="AR42" s="129">
        <f t="shared" si="12"/>
        <v>0</v>
      </c>
      <c r="AS42" s="129"/>
      <c r="AT42" s="129">
        <f>SUM(AT43:AT45)</f>
        <v>0</v>
      </c>
      <c r="AU42" s="131">
        <f t="shared" si="3"/>
        <v>0</v>
      </c>
      <c r="AV42" s="131">
        <f t="shared" si="4"/>
        <v>0</v>
      </c>
      <c r="AW42" s="131">
        <f t="shared" si="5"/>
        <v>0</v>
      </c>
      <c r="AX42" s="131">
        <f t="shared" si="6"/>
        <v>0</v>
      </c>
      <c r="AY42" s="131">
        <f t="shared" si="13"/>
        <v>0</v>
      </c>
      <c r="AZ42" s="131">
        <f t="shared" si="13"/>
        <v>0</v>
      </c>
      <c r="BA42" s="129">
        <f t="shared" si="14"/>
        <v>0</v>
      </c>
      <c r="BB42" s="99"/>
      <c r="BC42"/>
    </row>
    <row r="43" spans="1:55" ht="15" customHeight="1" x14ac:dyDescent="0.25">
      <c r="A43" s="97" t="s">
        <v>66</v>
      </c>
      <c r="B43" s="123" t="s">
        <v>139</v>
      </c>
      <c r="C43" s="115">
        <v>25</v>
      </c>
      <c r="D43" s="121">
        <f>AT43*AU43*AW43</f>
        <v>0</v>
      </c>
      <c r="E43" s="17">
        <f>ROUND(AT43*AV43*AX43,4)</f>
        <v>0</v>
      </c>
      <c r="F43" s="81"/>
      <c r="G43" s="81"/>
      <c r="H43" s="82"/>
      <c r="I43" s="82"/>
      <c r="J43" s="14" t="s">
        <v>55</v>
      </c>
      <c r="K43" s="84"/>
      <c r="L43" s="84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>
        <f t="shared" si="2"/>
        <v>0</v>
      </c>
      <c r="AR43" s="16">
        <f t="shared" si="12"/>
        <v>0</v>
      </c>
      <c r="AS43" s="16"/>
      <c r="AT43" s="16"/>
      <c r="AU43" s="82">
        <f t="shared" si="3"/>
        <v>0</v>
      </c>
      <c r="AV43" s="82">
        <f t="shared" si="4"/>
        <v>0</v>
      </c>
      <c r="AW43" s="82">
        <f t="shared" si="5"/>
        <v>0</v>
      </c>
      <c r="AX43" s="82">
        <f t="shared" si="6"/>
        <v>0</v>
      </c>
      <c r="AY43" s="92">
        <f t="shared" si="13"/>
        <v>0</v>
      </c>
      <c r="AZ43" s="92">
        <f t="shared" si="13"/>
        <v>0</v>
      </c>
      <c r="BA43" s="95">
        <f t="shared" si="14"/>
        <v>0</v>
      </c>
      <c r="BB43" s="86"/>
      <c r="BC43"/>
    </row>
    <row r="44" spans="1:55" ht="15" hidden="1" customHeight="1" x14ac:dyDescent="0.25">
      <c r="A44" s="72" t="s">
        <v>67</v>
      </c>
      <c r="B44" s="123"/>
      <c r="C44" s="111">
        <v>31</v>
      </c>
      <c r="D44" s="121">
        <f>AT44*AU44*AW44</f>
        <v>0</v>
      </c>
      <c r="E44" s="15">
        <f t="shared" si="15"/>
        <v>0</v>
      </c>
      <c r="F44" s="19"/>
      <c r="G44" s="19"/>
      <c r="H44" s="18"/>
      <c r="I44" s="18"/>
      <c r="J44" s="7" t="s">
        <v>55</v>
      </c>
      <c r="K44" s="20"/>
      <c r="L44" s="20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7">
        <f t="shared" si="2"/>
        <v>0</v>
      </c>
      <c r="AR44" s="16">
        <f t="shared" si="12"/>
        <v>0</v>
      </c>
      <c r="AS44" s="15"/>
      <c r="AT44" s="15"/>
      <c r="AU44" s="82">
        <f t="shared" si="3"/>
        <v>0</v>
      </c>
      <c r="AV44" s="82">
        <f t="shared" si="4"/>
        <v>0</v>
      </c>
      <c r="AW44" s="82">
        <f t="shared" si="5"/>
        <v>0</v>
      </c>
      <c r="AX44" s="82">
        <f t="shared" si="6"/>
        <v>0</v>
      </c>
      <c r="AY44" s="92">
        <f t="shared" si="13"/>
        <v>0</v>
      </c>
      <c r="AZ44" s="92">
        <f t="shared" si="13"/>
        <v>0</v>
      </c>
      <c r="BA44" s="95">
        <f t="shared" si="14"/>
        <v>0</v>
      </c>
      <c r="BB44" s="75"/>
      <c r="BC44"/>
    </row>
    <row r="45" spans="1:55" ht="15" customHeight="1" thickBot="1" x14ac:dyDescent="0.3">
      <c r="A45" s="103" t="s">
        <v>67</v>
      </c>
      <c r="B45" s="123" t="s">
        <v>140</v>
      </c>
      <c r="C45" s="114">
        <v>38</v>
      </c>
      <c r="D45" s="121">
        <f>AT45*AU45*AW45</f>
        <v>0</v>
      </c>
      <c r="E45" s="16">
        <f>ROUND(AT45*AV45*AX45,4)</f>
        <v>0</v>
      </c>
      <c r="F45" s="91"/>
      <c r="G45" s="91"/>
      <c r="H45" s="92"/>
      <c r="I45" s="92"/>
      <c r="J45" s="13" t="s">
        <v>55</v>
      </c>
      <c r="K45" s="94"/>
      <c r="L45" s="94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7">
        <f t="shared" si="2"/>
        <v>0</v>
      </c>
      <c r="AR45" s="16">
        <f t="shared" si="12"/>
        <v>0</v>
      </c>
      <c r="AS45" s="16"/>
      <c r="AT45" s="16"/>
      <c r="AU45" s="82">
        <f t="shared" si="3"/>
        <v>0</v>
      </c>
      <c r="AV45" s="82">
        <f t="shared" si="4"/>
        <v>0</v>
      </c>
      <c r="AW45" s="82">
        <f t="shared" si="5"/>
        <v>0</v>
      </c>
      <c r="AX45" s="82">
        <f t="shared" si="6"/>
        <v>0</v>
      </c>
      <c r="AY45" s="92">
        <f t="shared" si="13"/>
        <v>0</v>
      </c>
      <c r="AZ45" s="92">
        <f t="shared" si="13"/>
        <v>0</v>
      </c>
      <c r="BA45" s="95">
        <f t="shared" si="14"/>
        <v>0</v>
      </c>
      <c r="BB45" s="96"/>
      <c r="BC45"/>
    </row>
    <row r="46" spans="1:55" ht="15" customHeight="1" thickBot="1" x14ac:dyDescent="0.3">
      <c r="A46" s="102" t="s">
        <v>82</v>
      </c>
      <c r="B46" s="124"/>
      <c r="C46" s="87"/>
      <c r="D46" s="132">
        <f>SUM(D47:D51)</f>
        <v>0</v>
      </c>
      <c r="E46" s="129">
        <f>SUM(E47:E51)</f>
        <v>0</v>
      </c>
      <c r="F46" s="129">
        <f>SUM(F47:F51)</f>
        <v>0</v>
      </c>
      <c r="G46" s="129"/>
      <c r="H46" s="131">
        <f>SUM(H47:H51)</f>
        <v>0</v>
      </c>
      <c r="I46" s="131">
        <f>SUM(I47:I51)</f>
        <v>0</v>
      </c>
      <c r="J46" s="88"/>
      <c r="K46" s="130"/>
      <c r="L46" s="130"/>
      <c r="M46" s="129">
        <f>SUM(M47:M51)</f>
        <v>0</v>
      </c>
      <c r="N46" s="129">
        <f t="shared" ref="N46:AP46" si="18">SUM(N47:N51)</f>
        <v>0</v>
      </c>
      <c r="O46" s="129">
        <f t="shared" si="18"/>
        <v>0</v>
      </c>
      <c r="P46" s="129">
        <f t="shared" si="18"/>
        <v>0</v>
      </c>
      <c r="Q46" s="129">
        <f t="shared" si="18"/>
        <v>0</v>
      </c>
      <c r="R46" s="129">
        <f t="shared" si="18"/>
        <v>0</v>
      </c>
      <c r="S46" s="129">
        <f t="shared" si="18"/>
        <v>0</v>
      </c>
      <c r="T46" s="129">
        <f t="shared" si="18"/>
        <v>0</v>
      </c>
      <c r="U46" s="129">
        <f t="shared" si="18"/>
        <v>0</v>
      </c>
      <c r="V46" s="129">
        <f t="shared" si="18"/>
        <v>0</v>
      </c>
      <c r="W46" s="129">
        <f t="shared" si="18"/>
        <v>0</v>
      </c>
      <c r="X46" s="129">
        <f t="shared" si="18"/>
        <v>0</v>
      </c>
      <c r="Y46" s="129">
        <f t="shared" si="18"/>
        <v>0</v>
      </c>
      <c r="Z46" s="129">
        <f t="shared" si="18"/>
        <v>0</v>
      </c>
      <c r="AA46" s="129">
        <f t="shared" si="18"/>
        <v>0</v>
      </c>
      <c r="AB46" s="129">
        <f t="shared" si="18"/>
        <v>0</v>
      </c>
      <c r="AC46" s="129">
        <f t="shared" si="18"/>
        <v>0</v>
      </c>
      <c r="AD46" s="129">
        <f t="shared" si="18"/>
        <v>0</v>
      </c>
      <c r="AE46" s="129">
        <f t="shared" si="18"/>
        <v>0</v>
      </c>
      <c r="AF46" s="129">
        <f t="shared" si="18"/>
        <v>0</v>
      </c>
      <c r="AG46" s="129">
        <f t="shared" si="18"/>
        <v>0</v>
      </c>
      <c r="AH46" s="129">
        <f t="shared" si="18"/>
        <v>0</v>
      </c>
      <c r="AI46" s="129">
        <f t="shared" si="18"/>
        <v>0</v>
      </c>
      <c r="AJ46" s="129">
        <f t="shared" si="18"/>
        <v>0</v>
      </c>
      <c r="AK46" s="129">
        <f t="shared" si="18"/>
        <v>0</v>
      </c>
      <c r="AL46" s="129">
        <f t="shared" si="18"/>
        <v>0</v>
      </c>
      <c r="AM46" s="129">
        <f t="shared" si="18"/>
        <v>0</v>
      </c>
      <c r="AN46" s="129">
        <f t="shared" si="18"/>
        <v>0</v>
      </c>
      <c r="AO46" s="129">
        <f t="shared" si="18"/>
        <v>0</v>
      </c>
      <c r="AP46" s="129">
        <f t="shared" si="18"/>
        <v>0</v>
      </c>
      <c r="AQ46" s="129">
        <f t="shared" si="2"/>
        <v>0</v>
      </c>
      <c r="AR46" s="129">
        <f t="shared" si="12"/>
        <v>0</v>
      </c>
      <c r="AS46" s="129"/>
      <c r="AT46" s="129">
        <f>SUM(AT47:AT51)</f>
        <v>0</v>
      </c>
      <c r="AU46" s="131">
        <f t="shared" si="3"/>
        <v>0</v>
      </c>
      <c r="AV46" s="131">
        <f t="shared" si="4"/>
        <v>0</v>
      </c>
      <c r="AW46" s="131">
        <f t="shared" si="5"/>
        <v>0</v>
      </c>
      <c r="AX46" s="131">
        <f t="shared" si="6"/>
        <v>0</v>
      </c>
      <c r="AY46" s="131">
        <f t="shared" si="13"/>
        <v>0</v>
      </c>
      <c r="AZ46" s="131">
        <f t="shared" si="13"/>
        <v>0</v>
      </c>
      <c r="BA46" s="129">
        <f t="shared" si="14"/>
        <v>0</v>
      </c>
      <c r="BB46" s="99"/>
      <c r="BC46"/>
    </row>
    <row r="47" spans="1:55" ht="15" customHeight="1" x14ac:dyDescent="0.25">
      <c r="A47" s="97" t="s">
        <v>46</v>
      </c>
      <c r="B47" s="123" t="s">
        <v>141</v>
      </c>
      <c r="C47" s="115">
        <v>28</v>
      </c>
      <c r="D47" s="121">
        <f>AT47*AU47*AW47</f>
        <v>0</v>
      </c>
      <c r="E47" s="17">
        <f>ROUND(AT47*AV47*AX47,4)</f>
        <v>0</v>
      </c>
      <c r="F47" s="81"/>
      <c r="G47" s="81"/>
      <c r="H47" s="82"/>
      <c r="I47" s="82"/>
      <c r="J47" s="14" t="s">
        <v>55</v>
      </c>
      <c r="K47" s="84"/>
      <c r="L47" s="84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>
        <f t="shared" si="2"/>
        <v>0</v>
      </c>
      <c r="AR47" s="16">
        <f t="shared" si="12"/>
        <v>0</v>
      </c>
      <c r="AS47" s="16"/>
      <c r="AT47" s="16"/>
      <c r="AU47" s="82">
        <f t="shared" si="3"/>
        <v>0</v>
      </c>
      <c r="AV47" s="82">
        <f t="shared" si="4"/>
        <v>0</v>
      </c>
      <c r="AW47" s="82">
        <f t="shared" si="5"/>
        <v>0</v>
      </c>
      <c r="AX47" s="82">
        <f t="shared" si="6"/>
        <v>0</v>
      </c>
      <c r="AY47" s="92">
        <f t="shared" si="13"/>
        <v>0</v>
      </c>
      <c r="AZ47" s="92">
        <f t="shared" si="13"/>
        <v>0</v>
      </c>
      <c r="BA47" s="95">
        <f t="shared" si="14"/>
        <v>0</v>
      </c>
      <c r="BB47" s="86"/>
      <c r="BC47"/>
    </row>
    <row r="48" spans="1:55" ht="15" customHeight="1" thickBot="1" x14ac:dyDescent="0.3">
      <c r="A48" s="71" t="s">
        <v>45</v>
      </c>
      <c r="B48" s="123" t="s">
        <v>142</v>
      </c>
      <c r="C48" s="112">
        <v>33</v>
      </c>
      <c r="D48" s="121">
        <f>AT48*AU48*AW48</f>
        <v>0</v>
      </c>
      <c r="E48" s="17">
        <f>ROUND(AT48*AV48*AX48,4)</f>
        <v>0</v>
      </c>
      <c r="F48" s="19"/>
      <c r="G48" s="19"/>
      <c r="H48" s="18"/>
      <c r="I48" s="18"/>
      <c r="J48" s="7" t="s">
        <v>55</v>
      </c>
      <c r="K48" s="20"/>
      <c r="L48" s="20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7">
        <f t="shared" si="2"/>
        <v>0</v>
      </c>
      <c r="AR48" s="16">
        <f t="shared" si="12"/>
        <v>0</v>
      </c>
      <c r="AS48" s="16"/>
      <c r="AT48" s="16"/>
      <c r="AU48" s="82">
        <f t="shared" si="3"/>
        <v>0</v>
      </c>
      <c r="AV48" s="82">
        <f t="shared" si="4"/>
        <v>0</v>
      </c>
      <c r="AW48" s="82">
        <f t="shared" si="5"/>
        <v>0</v>
      </c>
      <c r="AX48" s="82">
        <f t="shared" si="6"/>
        <v>0</v>
      </c>
      <c r="AY48" s="92">
        <f t="shared" si="13"/>
        <v>0</v>
      </c>
      <c r="AZ48" s="92">
        <f t="shared" si="13"/>
        <v>0</v>
      </c>
      <c r="BA48" s="95">
        <f t="shared" si="14"/>
        <v>0</v>
      </c>
      <c r="BB48" s="75"/>
      <c r="BC48"/>
    </row>
    <row r="49" spans="1:55" ht="15" hidden="1" customHeight="1" x14ac:dyDescent="0.3">
      <c r="A49" s="72" t="s">
        <v>48</v>
      </c>
      <c r="B49" s="111"/>
      <c r="C49" s="111">
        <v>35</v>
      </c>
      <c r="D49" s="120">
        <f t="shared" ref="D49:D51" si="19">AS49*AW49*AU49</f>
        <v>0</v>
      </c>
      <c r="E49" s="15">
        <f t="shared" si="15"/>
        <v>0</v>
      </c>
      <c r="F49" s="19"/>
      <c r="G49" s="19"/>
      <c r="H49" s="18"/>
      <c r="I49" s="18"/>
      <c r="J49" s="7" t="s">
        <v>55</v>
      </c>
      <c r="K49" s="20"/>
      <c r="L49" s="20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7">
        <f t="shared" si="2"/>
        <v>0</v>
      </c>
      <c r="AR49" s="16">
        <f t="shared" si="12"/>
        <v>0</v>
      </c>
      <c r="AS49" s="15"/>
      <c r="AT49" s="15"/>
      <c r="AU49" s="92">
        <f t="shared" si="3"/>
        <v>0</v>
      </c>
      <c r="AV49" s="92">
        <f t="shared" si="4"/>
        <v>0</v>
      </c>
      <c r="AW49" s="92">
        <f t="shared" si="5"/>
        <v>0</v>
      </c>
      <c r="AX49" s="92">
        <f t="shared" si="6"/>
        <v>0</v>
      </c>
      <c r="AY49" s="92">
        <f t="shared" si="13"/>
        <v>0</v>
      </c>
      <c r="AZ49" s="92">
        <f t="shared" si="13"/>
        <v>0</v>
      </c>
      <c r="BA49" s="95">
        <f t="shared" si="14"/>
        <v>0</v>
      </c>
      <c r="BB49" s="75"/>
      <c r="BC49"/>
    </row>
    <row r="50" spans="1:55" ht="15" hidden="1" customHeight="1" x14ac:dyDescent="0.3">
      <c r="A50" s="72" t="s">
        <v>47</v>
      </c>
      <c r="B50" s="111"/>
      <c r="C50" s="111">
        <v>36</v>
      </c>
      <c r="D50" s="120">
        <f t="shared" si="19"/>
        <v>0</v>
      </c>
      <c r="E50" s="15">
        <f t="shared" si="15"/>
        <v>0</v>
      </c>
      <c r="F50" s="19"/>
      <c r="G50" s="19"/>
      <c r="H50" s="18"/>
      <c r="I50" s="18"/>
      <c r="J50" s="7" t="s">
        <v>55</v>
      </c>
      <c r="K50" s="20"/>
      <c r="L50" s="20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7">
        <f t="shared" si="2"/>
        <v>0</v>
      </c>
      <c r="AR50" s="16">
        <f t="shared" si="12"/>
        <v>0</v>
      </c>
      <c r="AS50" s="15"/>
      <c r="AT50" s="15"/>
      <c r="AU50" s="92">
        <f t="shared" si="3"/>
        <v>0</v>
      </c>
      <c r="AV50" s="92">
        <f t="shared" si="4"/>
        <v>0</v>
      </c>
      <c r="AW50" s="92">
        <f t="shared" si="5"/>
        <v>0</v>
      </c>
      <c r="AX50" s="92">
        <f t="shared" si="6"/>
        <v>0</v>
      </c>
      <c r="AY50" s="92">
        <f t="shared" si="13"/>
        <v>0</v>
      </c>
      <c r="AZ50" s="92">
        <f t="shared" si="13"/>
        <v>0</v>
      </c>
      <c r="BA50" s="95">
        <f t="shared" si="14"/>
        <v>0</v>
      </c>
      <c r="BB50" s="75"/>
      <c r="BC50"/>
    </row>
    <row r="51" spans="1:55" ht="15" hidden="1" customHeight="1" thickBot="1" x14ac:dyDescent="0.3">
      <c r="A51" s="100" t="s">
        <v>64</v>
      </c>
      <c r="B51" s="116"/>
      <c r="C51" s="116">
        <v>37</v>
      </c>
      <c r="D51" s="121">
        <f t="shared" si="19"/>
        <v>0</v>
      </c>
      <c r="E51" s="16">
        <f t="shared" si="15"/>
        <v>0</v>
      </c>
      <c r="F51" s="91"/>
      <c r="G51" s="91"/>
      <c r="H51" s="92"/>
      <c r="I51" s="92"/>
      <c r="J51" s="13" t="s">
        <v>55</v>
      </c>
      <c r="K51" s="94"/>
      <c r="L51" s="94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7">
        <f t="shared" si="2"/>
        <v>0</v>
      </c>
      <c r="AR51" s="16">
        <f t="shared" si="12"/>
        <v>0</v>
      </c>
      <c r="AS51" s="16"/>
      <c r="AT51" s="16"/>
      <c r="AU51" s="92">
        <f t="shared" si="3"/>
        <v>0</v>
      </c>
      <c r="AV51" s="92">
        <f t="shared" si="4"/>
        <v>0</v>
      </c>
      <c r="AW51" s="92">
        <f t="shared" si="5"/>
        <v>0</v>
      </c>
      <c r="AX51" s="92">
        <f t="shared" si="6"/>
        <v>0</v>
      </c>
      <c r="AY51" s="92">
        <f t="shared" si="13"/>
        <v>0</v>
      </c>
      <c r="AZ51" s="92">
        <f t="shared" si="13"/>
        <v>0</v>
      </c>
      <c r="BA51" s="95">
        <f t="shared" si="14"/>
        <v>0</v>
      </c>
      <c r="BB51" s="96"/>
      <c r="BC51"/>
    </row>
    <row r="52" spans="1:55" ht="15" customHeight="1" thickBot="1" x14ac:dyDescent="0.3">
      <c r="A52" s="102" t="s">
        <v>49</v>
      </c>
      <c r="B52" s="124"/>
      <c r="C52" s="87"/>
      <c r="D52" s="132">
        <f>SUM(D53:D54)</f>
        <v>0</v>
      </c>
      <c r="E52" s="129">
        <f>SUM(E53:E54)</f>
        <v>0</v>
      </c>
      <c r="F52" s="129">
        <f>SUM(F53:F54)</f>
        <v>0</v>
      </c>
      <c r="G52" s="129"/>
      <c r="H52" s="131">
        <f>SUM(H53:H54)</f>
        <v>0</v>
      </c>
      <c r="I52" s="131">
        <f>SUM(I53:I54)</f>
        <v>0</v>
      </c>
      <c r="J52" s="88"/>
      <c r="K52" s="130"/>
      <c r="L52" s="130"/>
      <c r="M52" s="129">
        <f>SUM(M53:M54)</f>
        <v>0</v>
      </c>
      <c r="N52" s="129">
        <f t="shared" ref="N52:AP52" si="20">SUM(N53:N54)</f>
        <v>0</v>
      </c>
      <c r="O52" s="129">
        <f t="shared" si="20"/>
        <v>0</v>
      </c>
      <c r="P52" s="129">
        <f t="shared" si="20"/>
        <v>0</v>
      </c>
      <c r="Q52" s="129">
        <f t="shared" si="20"/>
        <v>0</v>
      </c>
      <c r="R52" s="129">
        <f t="shared" si="20"/>
        <v>0</v>
      </c>
      <c r="S52" s="129">
        <f t="shared" si="20"/>
        <v>0</v>
      </c>
      <c r="T52" s="129">
        <f t="shared" si="20"/>
        <v>0</v>
      </c>
      <c r="U52" s="129">
        <f t="shared" si="20"/>
        <v>0</v>
      </c>
      <c r="V52" s="129">
        <f t="shared" si="20"/>
        <v>0</v>
      </c>
      <c r="W52" s="129">
        <f t="shared" si="20"/>
        <v>0</v>
      </c>
      <c r="X52" s="129">
        <f t="shared" si="20"/>
        <v>0</v>
      </c>
      <c r="Y52" s="129">
        <f t="shared" si="20"/>
        <v>0</v>
      </c>
      <c r="Z52" s="129">
        <f t="shared" si="20"/>
        <v>0</v>
      </c>
      <c r="AA52" s="129">
        <f t="shared" si="20"/>
        <v>0</v>
      </c>
      <c r="AB52" s="129">
        <f t="shared" si="20"/>
        <v>0</v>
      </c>
      <c r="AC52" s="129">
        <f t="shared" si="20"/>
        <v>0</v>
      </c>
      <c r="AD52" s="129">
        <f t="shared" si="20"/>
        <v>0</v>
      </c>
      <c r="AE52" s="129">
        <f t="shared" si="20"/>
        <v>0</v>
      </c>
      <c r="AF52" s="129">
        <f t="shared" si="20"/>
        <v>0</v>
      </c>
      <c r="AG52" s="129">
        <f t="shared" si="20"/>
        <v>0</v>
      </c>
      <c r="AH52" s="129">
        <f t="shared" si="20"/>
        <v>0</v>
      </c>
      <c r="AI52" s="129">
        <f t="shared" si="20"/>
        <v>0</v>
      </c>
      <c r="AJ52" s="129">
        <f t="shared" si="20"/>
        <v>0</v>
      </c>
      <c r="AK52" s="129">
        <f t="shared" si="20"/>
        <v>0</v>
      </c>
      <c r="AL52" s="129">
        <f t="shared" si="20"/>
        <v>0</v>
      </c>
      <c r="AM52" s="129">
        <f t="shared" si="20"/>
        <v>0</v>
      </c>
      <c r="AN52" s="129">
        <f t="shared" si="20"/>
        <v>0</v>
      </c>
      <c r="AO52" s="129">
        <f t="shared" si="20"/>
        <v>0</v>
      </c>
      <c r="AP52" s="129">
        <f t="shared" si="20"/>
        <v>0</v>
      </c>
      <c r="AQ52" s="129">
        <f t="shared" si="2"/>
        <v>0</v>
      </c>
      <c r="AR52" s="129">
        <f t="shared" si="12"/>
        <v>0</v>
      </c>
      <c r="AS52" s="129"/>
      <c r="AT52" s="129">
        <f>SUM(AT53:AT54)</f>
        <v>0</v>
      </c>
      <c r="AU52" s="131">
        <f t="shared" si="3"/>
        <v>0</v>
      </c>
      <c r="AV52" s="131">
        <f t="shared" si="4"/>
        <v>0</v>
      </c>
      <c r="AW52" s="131">
        <f t="shared" si="5"/>
        <v>0</v>
      </c>
      <c r="AX52" s="131">
        <f t="shared" si="6"/>
        <v>0</v>
      </c>
      <c r="AY52" s="131">
        <f t="shared" si="13"/>
        <v>0</v>
      </c>
      <c r="AZ52" s="131">
        <f t="shared" si="13"/>
        <v>0</v>
      </c>
      <c r="BA52" s="129">
        <f t="shared" si="14"/>
        <v>0</v>
      </c>
      <c r="BB52" s="99"/>
      <c r="BC52"/>
    </row>
    <row r="53" spans="1:55" ht="15" customHeight="1" x14ac:dyDescent="0.25">
      <c r="A53" s="97" t="s">
        <v>51</v>
      </c>
      <c r="B53" s="123" t="s">
        <v>143</v>
      </c>
      <c r="C53" s="115">
        <v>4</v>
      </c>
      <c r="D53" s="121">
        <f>AT53*AU53*AW53</f>
        <v>0</v>
      </c>
      <c r="E53" s="17">
        <f>ROUND(AT53*AV53*AX53,4)</f>
        <v>0</v>
      </c>
      <c r="F53" s="81"/>
      <c r="G53" s="81"/>
      <c r="H53" s="82"/>
      <c r="I53" s="82"/>
      <c r="J53" s="14" t="s">
        <v>83</v>
      </c>
      <c r="K53" s="84"/>
      <c r="L53" s="84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>
        <f t="shared" si="2"/>
        <v>0</v>
      </c>
      <c r="AR53" s="16">
        <f t="shared" si="12"/>
        <v>0</v>
      </c>
      <c r="AS53" s="16"/>
      <c r="AT53" s="16"/>
      <c r="AU53" s="82">
        <f t="shared" si="3"/>
        <v>0</v>
      </c>
      <c r="AV53" s="82">
        <f t="shared" si="4"/>
        <v>0</v>
      </c>
      <c r="AW53" s="82">
        <f t="shared" si="5"/>
        <v>0</v>
      </c>
      <c r="AX53" s="82">
        <f t="shared" si="6"/>
        <v>0</v>
      </c>
      <c r="AY53" s="92">
        <f t="shared" si="13"/>
        <v>0</v>
      </c>
      <c r="AZ53" s="92">
        <f t="shared" si="13"/>
        <v>0</v>
      </c>
      <c r="BA53" s="95">
        <f t="shared" si="14"/>
        <v>0</v>
      </c>
      <c r="BB53" s="86"/>
      <c r="BC53"/>
    </row>
    <row r="54" spans="1:55" ht="15" customHeight="1" thickBot="1" x14ac:dyDescent="0.3">
      <c r="A54" s="104" t="s">
        <v>50</v>
      </c>
      <c r="B54" s="123" t="s">
        <v>153</v>
      </c>
      <c r="C54" s="117">
        <v>5</v>
      </c>
      <c r="D54" s="121">
        <f>AT54*AU54*AW54</f>
        <v>0</v>
      </c>
      <c r="E54" s="17">
        <f>ROUND(AT54*AV54*AX54,4)</f>
        <v>0</v>
      </c>
      <c r="F54" s="91"/>
      <c r="G54" s="91"/>
      <c r="H54" s="92"/>
      <c r="I54" s="92"/>
      <c r="J54" s="13" t="s">
        <v>83</v>
      </c>
      <c r="K54" s="94"/>
      <c r="L54" s="94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7">
        <f t="shared" si="2"/>
        <v>0</v>
      </c>
      <c r="AR54" s="16">
        <f t="shared" si="12"/>
        <v>0</v>
      </c>
      <c r="AS54" s="16"/>
      <c r="AT54" s="16"/>
      <c r="AU54" s="82">
        <f t="shared" si="3"/>
        <v>0</v>
      </c>
      <c r="AV54" s="82">
        <f t="shared" si="4"/>
        <v>0</v>
      </c>
      <c r="AW54" s="82">
        <f t="shared" si="5"/>
        <v>0</v>
      </c>
      <c r="AX54" s="82">
        <f t="shared" si="6"/>
        <v>0</v>
      </c>
      <c r="AY54" s="92">
        <f t="shared" si="13"/>
        <v>0</v>
      </c>
      <c r="AZ54" s="92">
        <f t="shared" si="13"/>
        <v>0</v>
      </c>
      <c r="BA54" s="95">
        <f t="shared" si="14"/>
        <v>0</v>
      </c>
      <c r="BB54" s="96"/>
      <c r="BC54"/>
    </row>
    <row r="55" spans="1:55" ht="15" customHeight="1" thickBot="1" x14ac:dyDescent="0.3">
      <c r="A55" s="87" t="s">
        <v>52</v>
      </c>
      <c r="B55" s="124"/>
      <c r="C55" s="87"/>
      <c r="D55" s="132">
        <f>SUM(D56:D61)</f>
        <v>0</v>
      </c>
      <c r="E55" s="129">
        <f>SUM(E56:E61)</f>
        <v>0</v>
      </c>
      <c r="F55" s="129">
        <f>SUM(F56:F61)</f>
        <v>0</v>
      </c>
      <c r="G55" s="129"/>
      <c r="H55" s="131"/>
      <c r="I55" s="131"/>
      <c r="J55" s="88"/>
      <c r="K55" s="130"/>
      <c r="L55" s="130"/>
      <c r="M55" s="129">
        <f>SUM(M56:M61)</f>
        <v>0</v>
      </c>
      <c r="N55" s="129">
        <f t="shared" ref="N55:AP55" si="21">SUM(N56:N61)</f>
        <v>0</v>
      </c>
      <c r="O55" s="129">
        <f t="shared" si="21"/>
        <v>0</v>
      </c>
      <c r="P55" s="129">
        <f t="shared" si="21"/>
        <v>0</v>
      </c>
      <c r="Q55" s="129">
        <f t="shared" si="21"/>
        <v>0</v>
      </c>
      <c r="R55" s="129">
        <f t="shared" si="21"/>
        <v>0</v>
      </c>
      <c r="S55" s="129">
        <f t="shared" si="21"/>
        <v>0</v>
      </c>
      <c r="T55" s="129">
        <f t="shared" si="21"/>
        <v>0</v>
      </c>
      <c r="U55" s="129">
        <f t="shared" si="21"/>
        <v>0</v>
      </c>
      <c r="V55" s="129">
        <f t="shared" si="21"/>
        <v>0</v>
      </c>
      <c r="W55" s="129">
        <f t="shared" si="21"/>
        <v>0</v>
      </c>
      <c r="X55" s="129">
        <f t="shared" si="21"/>
        <v>0</v>
      </c>
      <c r="Y55" s="129">
        <f t="shared" si="21"/>
        <v>0</v>
      </c>
      <c r="Z55" s="129">
        <f t="shared" si="21"/>
        <v>0</v>
      </c>
      <c r="AA55" s="129">
        <f t="shared" si="21"/>
        <v>0</v>
      </c>
      <c r="AB55" s="129">
        <f t="shared" si="21"/>
        <v>0</v>
      </c>
      <c r="AC55" s="129">
        <f t="shared" si="21"/>
        <v>0</v>
      </c>
      <c r="AD55" s="129">
        <f t="shared" si="21"/>
        <v>0</v>
      </c>
      <c r="AE55" s="129">
        <f t="shared" si="21"/>
        <v>0</v>
      </c>
      <c r="AF55" s="129">
        <f t="shared" si="21"/>
        <v>0</v>
      </c>
      <c r="AG55" s="129">
        <f t="shared" si="21"/>
        <v>0</v>
      </c>
      <c r="AH55" s="129">
        <f t="shared" si="21"/>
        <v>0</v>
      </c>
      <c r="AI55" s="129">
        <f t="shared" si="21"/>
        <v>0</v>
      </c>
      <c r="AJ55" s="129">
        <f t="shared" si="21"/>
        <v>0</v>
      </c>
      <c r="AK55" s="129">
        <f t="shared" si="21"/>
        <v>0</v>
      </c>
      <c r="AL55" s="129">
        <f t="shared" si="21"/>
        <v>0</v>
      </c>
      <c r="AM55" s="129">
        <f t="shared" si="21"/>
        <v>0</v>
      </c>
      <c r="AN55" s="129">
        <f t="shared" si="21"/>
        <v>0</v>
      </c>
      <c r="AO55" s="129">
        <f t="shared" si="21"/>
        <v>0</v>
      </c>
      <c r="AP55" s="129">
        <f t="shared" si="21"/>
        <v>0</v>
      </c>
      <c r="AQ55" s="129">
        <f t="shared" si="2"/>
        <v>0</v>
      </c>
      <c r="AR55" s="129">
        <f t="shared" si="12"/>
        <v>0</v>
      </c>
      <c r="AS55" s="129"/>
      <c r="AT55" s="129">
        <f>SUM(AT56:AT61)</f>
        <v>0</v>
      </c>
      <c r="AU55" s="131">
        <f t="shared" si="3"/>
        <v>0</v>
      </c>
      <c r="AV55" s="131">
        <f t="shared" si="4"/>
        <v>0</v>
      </c>
      <c r="AW55" s="131">
        <f t="shared" si="5"/>
        <v>0</v>
      </c>
      <c r="AX55" s="131">
        <f t="shared" si="6"/>
        <v>0</v>
      </c>
      <c r="AY55" s="131">
        <f t="shared" si="13"/>
        <v>0</v>
      </c>
      <c r="AZ55" s="131">
        <f t="shared" si="13"/>
        <v>0</v>
      </c>
      <c r="BA55" s="129">
        <f t="shared" si="14"/>
        <v>0</v>
      </c>
      <c r="BB55" s="99"/>
      <c r="BC55"/>
    </row>
    <row r="56" spans="1:55" ht="15" customHeight="1" x14ac:dyDescent="0.25">
      <c r="A56" s="145" t="s">
        <v>53</v>
      </c>
      <c r="B56" s="147" t="s">
        <v>144</v>
      </c>
      <c r="C56" s="146">
        <v>15</v>
      </c>
      <c r="D56" s="121">
        <f>AT56*AU56*AW56</f>
        <v>0</v>
      </c>
      <c r="E56" s="17">
        <f>ROUND(AT56*AV56*AX56,4)</f>
        <v>0</v>
      </c>
      <c r="F56" s="81"/>
      <c r="G56" s="81"/>
      <c r="H56" s="82"/>
      <c r="I56" s="82"/>
      <c r="J56" s="14" t="s">
        <v>55</v>
      </c>
      <c r="K56" s="84"/>
      <c r="L56" s="84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>
        <f t="shared" si="2"/>
        <v>0</v>
      </c>
      <c r="AR56" s="16">
        <f t="shared" si="12"/>
        <v>0</v>
      </c>
      <c r="AS56" s="16"/>
      <c r="AT56" s="16"/>
      <c r="AU56" s="82">
        <f t="shared" si="3"/>
        <v>0</v>
      </c>
      <c r="AV56" s="82">
        <f t="shared" si="4"/>
        <v>0</v>
      </c>
      <c r="AW56" s="82">
        <f t="shared" si="5"/>
        <v>0</v>
      </c>
      <c r="AX56" s="82">
        <f t="shared" si="6"/>
        <v>0</v>
      </c>
      <c r="AY56" s="92">
        <f t="shared" si="13"/>
        <v>0</v>
      </c>
      <c r="AZ56" s="92">
        <f t="shared" si="13"/>
        <v>0</v>
      </c>
      <c r="BA56" s="95">
        <f t="shared" si="14"/>
        <v>0</v>
      </c>
      <c r="BB56" s="86"/>
      <c r="BC56"/>
    </row>
    <row r="57" spans="1:55" ht="15" customHeight="1" x14ac:dyDescent="0.25">
      <c r="A57" s="71" t="s">
        <v>54</v>
      </c>
      <c r="B57" s="123" t="s">
        <v>145</v>
      </c>
      <c r="C57" s="112">
        <v>16</v>
      </c>
      <c r="D57" s="121">
        <f>AT57*AU57*AW57</f>
        <v>0</v>
      </c>
      <c r="E57" s="17">
        <f t="shared" ref="E57:E61" si="22">ROUND(AT57*AV57*AX57,4)</f>
        <v>0</v>
      </c>
      <c r="F57" s="19"/>
      <c r="G57" s="19"/>
      <c r="H57" s="18"/>
      <c r="I57" s="18"/>
      <c r="J57" s="7" t="s">
        <v>55</v>
      </c>
      <c r="K57" s="20"/>
      <c r="L57" s="20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7">
        <f t="shared" si="2"/>
        <v>0</v>
      </c>
      <c r="AR57" s="16">
        <f t="shared" si="12"/>
        <v>0</v>
      </c>
      <c r="AS57" s="16"/>
      <c r="AT57" s="16"/>
      <c r="AU57" s="82">
        <f t="shared" si="3"/>
        <v>0</v>
      </c>
      <c r="AV57" s="82">
        <f t="shared" si="4"/>
        <v>0</v>
      </c>
      <c r="AW57" s="82">
        <f t="shared" si="5"/>
        <v>0</v>
      </c>
      <c r="AX57" s="82">
        <f t="shared" si="6"/>
        <v>0</v>
      </c>
      <c r="AY57" s="92">
        <f t="shared" si="13"/>
        <v>0</v>
      </c>
      <c r="AZ57" s="92">
        <f t="shared" si="13"/>
        <v>0</v>
      </c>
      <c r="BA57" s="95">
        <f t="shared" si="14"/>
        <v>0</v>
      </c>
      <c r="BB57" s="75"/>
      <c r="BC57"/>
    </row>
    <row r="58" spans="1:55" ht="15" customHeight="1" x14ac:dyDescent="0.25">
      <c r="A58" s="73" t="s">
        <v>124</v>
      </c>
      <c r="B58" s="123" t="s">
        <v>146</v>
      </c>
      <c r="C58" s="113">
        <v>26</v>
      </c>
      <c r="D58" s="121">
        <f>AT58*AU58*AW58</f>
        <v>0</v>
      </c>
      <c r="E58" s="17">
        <f t="shared" si="22"/>
        <v>0</v>
      </c>
      <c r="F58" s="19"/>
      <c r="G58" s="19"/>
      <c r="H58" s="18"/>
      <c r="I58" s="18"/>
      <c r="J58" s="7" t="s">
        <v>55</v>
      </c>
      <c r="K58" s="20"/>
      <c r="L58" s="20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7">
        <f t="shared" si="2"/>
        <v>0</v>
      </c>
      <c r="AR58" s="16">
        <f t="shared" si="12"/>
        <v>0</v>
      </c>
      <c r="AS58" s="16"/>
      <c r="AT58" s="16"/>
      <c r="AU58" s="82">
        <f t="shared" si="3"/>
        <v>0</v>
      </c>
      <c r="AV58" s="82">
        <f t="shared" si="4"/>
        <v>0</v>
      </c>
      <c r="AW58" s="82">
        <f t="shared" si="5"/>
        <v>0</v>
      </c>
      <c r="AX58" s="82">
        <f t="shared" si="6"/>
        <v>0</v>
      </c>
      <c r="AY58" s="92">
        <f t="shared" si="13"/>
        <v>0</v>
      </c>
      <c r="AZ58" s="92">
        <f t="shared" si="13"/>
        <v>0</v>
      </c>
      <c r="BA58" s="95">
        <f t="shared" si="14"/>
        <v>0</v>
      </c>
      <c r="BB58" s="75"/>
      <c r="BC58"/>
    </row>
    <row r="59" spans="1:55" ht="15" customHeight="1" x14ac:dyDescent="0.25">
      <c r="A59" s="73" t="s">
        <v>125</v>
      </c>
      <c r="B59" s="123" t="s">
        <v>147</v>
      </c>
      <c r="C59" s="112">
        <v>30</v>
      </c>
      <c r="D59" s="121">
        <f t="shared" ref="D59:D61" si="23">AT59*AU59*AW59</f>
        <v>0</v>
      </c>
      <c r="E59" s="17">
        <f t="shared" si="22"/>
        <v>0</v>
      </c>
      <c r="F59" s="19"/>
      <c r="G59" s="19"/>
      <c r="H59" s="18"/>
      <c r="I59" s="18"/>
      <c r="J59" s="7" t="s">
        <v>55</v>
      </c>
      <c r="K59" s="20"/>
      <c r="L59" s="20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7">
        <f t="shared" si="2"/>
        <v>0</v>
      </c>
      <c r="AR59" s="16">
        <f t="shared" si="12"/>
        <v>0</v>
      </c>
      <c r="AS59" s="16"/>
      <c r="AT59" s="16"/>
      <c r="AU59" s="82">
        <f t="shared" si="3"/>
        <v>0</v>
      </c>
      <c r="AV59" s="82">
        <f t="shared" si="4"/>
        <v>0</v>
      </c>
      <c r="AW59" s="82">
        <f t="shared" si="5"/>
        <v>0</v>
      </c>
      <c r="AX59" s="82">
        <f t="shared" si="6"/>
        <v>0</v>
      </c>
      <c r="AY59" s="92">
        <f t="shared" si="13"/>
        <v>0</v>
      </c>
      <c r="AZ59" s="92">
        <f t="shared" si="13"/>
        <v>0</v>
      </c>
      <c r="BA59" s="95">
        <f t="shared" si="14"/>
        <v>0</v>
      </c>
      <c r="BB59" s="75"/>
      <c r="BC59"/>
    </row>
    <row r="60" spans="1:55" ht="15" customHeight="1" x14ac:dyDescent="0.25">
      <c r="A60" s="73" t="s">
        <v>151</v>
      </c>
      <c r="B60" s="148" t="s">
        <v>150</v>
      </c>
      <c r="C60" s="112">
        <v>32</v>
      </c>
      <c r="D60" s="121">
        <f t="shared" si="23"/>
        <v>0</v>
      </c>
      <c r="E60" s="17">
        <f t="shared" si="22"/>
        <v>0</v>
      </c>
      <c r="F60" s="19"/>
      <c r="G60" s="19"/>
      <c r="H60" s="18"/>
      <c r="I60" s="18"/>
      <c r="J60" s="7" t="s">
        <v>55</v>
      </c>
      <c r="K60" s="20"/>
      <c r="L60" s="20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7">
        <f t="shared" si="2"/>
        <v>0</v>
      </c>
      <c r="AR60" s="16">
        <f t="shared" si="12"/>
        <v>0</v>
      </c>
      <c r="AS60" s="16"/>
      <c r="AT60" s="16"/>
      <c r="AU60" s="82">
        <f t="shared" si="3"/>
        <v>0</v>
      </c>
      <c r="AV60" s="82">
        <f t="shared" si="4"/>
        <v>0</v>
      </c>
      <c r="AW60" s="82">
        <f t="shared" si="5"/>
        <v>0</v>
      </c>
      <c r="AX60" s="82">
        <f t="shared" si="6"/>
        <v>0</v>
      </c>
      <c r="AY60" s="92">
        <f t="shared" si="13"/>
        <v>0</v>
      </c>
      <c r="AZ60" s="92">
        <f t="shared" si="13"/>
        <v>0</v>
      </c>
      <c r="BA60" s="95">
        <f t="shared" si="14"/>
        <v>0</v>
      </c>
      <c r="BB60" s="75"/>
      <c r="BC60"/>
    </row>
    <row r="61" spans="1:55" ht="15.75" thickBot="1" x14ac:dyDescent="0.3">
      <c r="A61" s="143" t="s">
        <v>152</v>
      </c>
      <c r="B61" s="125" t="s">
        <v>154</v>
      </c>
      <c r="C61" s="144">
        <v>24</v>
      </c>
      <c r="D61" s="122">
        <f t="shared" si="23"/>
        <v>0</v>
      </c>
      <c r="E61" s="149">
        <f t="shared" si="22"/>
        <v>0</v>
      </c>
      <c r="F61" s="64"/>
      <c r="G61" s="64"/>
      <c r="H61" s="65"/>
      <c r="I61" s="65"/>
      <c r="J61" s="66" t="s">
        <v>55</v>
      </c>
      <c r="K61" s="67"/>
      <c r="L61" s="67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149">
        <f t="shared" si="2"/>
        <v>0</v>
      </c>
      <c r="AR61" s="63">
        <f t="shared" si="12"/>
        <v>0</v>
      </c>
      <c r="AS61" s="63"/>
      <c r="AT61" s="63"/>
      <c r="AU61" s="150">
        <f t="shared" si="3"/>
        <v>0</v>
      </c>
      <c r="AV61" s="150">
        <f t="shared" si="4"/>
        <v>0</v>
      </c>
      <c r="AW61" s="150">
        <f t="shared" si="5"/>
        <v>0</v>
      </c>
      <c r="AX61" s="150">
        <f t="shared" si="6"/>
        <v>0</v>
      </c>
      <c r="AY61" s="65">
        <f t="shared" si="13"/>
        <v>0</v>
      </c>
      <c r="AZ61" s="65">
        <f t="shared" si="13"/>
        <v>0</v>
      </c>
      <c r="BA61" s="151">
        <f t="shared" si="14"/>
        <v>0</v>
      </c>
      <c r="BB61" s="76"/>
    </row>
    <row r="62" spans="1:55" x14ac:dyDescent="0.25">
      <c r="C62" s="2"/>
      <c r="D62" s="3"/>
      <c r="F62" s="2"/>
      <c r="G62" s="2"/>
      <c r="H62" s="1"/>
      <c r="I62" s="1"/>
      <c r="M62" s="5"/>
      <c r="O62" s="4"/>
      <c r="P62" s="5"/>
      <c r="Q62" s="5"/>
      <c r="U62" s="2"/>
      <c r="V62" s="2"/>
      <c r="W62" s="2"/>
      <c r="X62" s="2"/>
      <c r="Y62" s="1"/>
      <c r="Z62" s="1"/>
      <c r="AA62" s="1"/>
      <c r="AB62" s="1"/>
    </row>
    <row r="63" spans="1:55" x14ac:dyDescent="0.25">
      <c r="A63" s="10"/>
      <c r="B63" s="10"/>
      <c r="C63" s="10"/>
      <c r="D63" s="3"/>
      <c r="F63" s="2"/>
      <c r="G63" s="2"/>
      <c r="H63" s="1"/>
      <c r="I63" s="1"/>
      <c r="M63" s="5"/>
      <c r="O63" s="4"/>
      <c r="P63" s="5"/>
      <c r="Q63" s="5"/>
      <c r="U63" s="2"/>
      <c r="V63" s="2"/>
      <c r="W63" s="2"/>
      <c r="X63" s="2"/>
      <c r="Y63" s="1"/>
      <c r="Z63" s="1"/>
      <c r="AA63" s="1"/>
      <c r="AB63" s="1"/>
    </row>
    <row r="64" spans="1:55" x14ac:dyDescent="0.2">
      <c r="A64" s="6" t="s">
        <v>126</v>
      </c>
      <c r="B64" s="6"/>
      <c r="C64" s="6"/>
      <c r="D64" s="6"/>
      <c r="F64" s="2"/>
      <c r="G64" s="2"/>
      <c r="H64" s="1"/>
      <c r="I64" s="1"/>
      <c r="M64" s="5"/>
      <c r="O64" s="4"/>
      <c r="P64" s="5"/>
      <c r="Q64" s="5"/>
      <c r="U64" s="2"/>
      <c r="V64" s="2"/>
      <c r="W64" s="2"/>
      <c r="X64" s="2"/>
      <c r="Y64" s="1"/>
      <c r="Z64" s="1"/>
      <c r="AA64" s="1"/>
      <c r="AB64" s="1"/>
    </row>
    <row r="65" spans="1:28" x14ac:dyDescent="0.2">
      <c r="A65" s="6"/>
      <c r="B65" s="6"/>
      <c r="C65" s="6"/>
      <c r="D65" s="6"/>
      <c r="F65" s="2"/>
      <c r="G65" s="2"/>
      <c r="H65" s="1"/>
      <c r="I65" s="1"/>
      <c r="M65" s="5"/>
      <c r="O65" s="4"/>
      <c r="P65" s="5"/>
      <c r="Q65" s="5"/>
      <c r="U65" s="2"/>
      <c r="V65" s="2"/>
      <c r="W65" s="2"/>
      <c r="X65" s="2"/>
      <c r="Y65" s="1"/>
      <c r="Z65" s="1"/>
      <c r="AA65" s="1"/>
      <c r="AB65" s="1"/>
    </row>
    <row r="66" spans="1:28" x14ac:dyDescent="0.2">
      <c r="A66" s="6" t="s">
        <v>128</v>
      </c>
      <c r="B66" s="6"/>
      <c r="C66" s="6"/>
      <c r="D66" s="6"/>
      <c r="F66" s="2"/>
      <c r="G66" s="2"/>
      <c r="H66" s="1"/>
      <c r="I66" s="1"/>
      <c r="M66" s="5"/>
      <c r="O66" s="4"/>
      <c r="P66" s="5"/>
      <c r="Q66" s="5"/>
      <c r="U66" s="2"/>
      <c r="V66" s="2"/>
      <c r="W66" s="2"/>
      <c r="X66" s="2"/>
      <c r="Y66" s="1"/>
      <c r="Z66" s="1"/>
      <c r="AA66" s="1"/>
      <c r="AB66" s="1"/>
    </row>
    <row r="67" spans="1:28" x14ac:dyDescent="0.2">
      <c r="A67" s="6"/>
      <c r="B67" s="6"/>
      <c r="C67" s="6"/>
      <c r="D67" s="6"/>
      <c r="F67" s="2"/>
      <c r="G67" s="2"/>
      <c r="H67" s="1"/>
      <c r="I67" s="1"/>
      <c r="M67" s="5"/>
      <c r="O67" s="4"/>
      <c r="P67" s="5"/>
      <c r="Q67" s="5"/>
      <c r="U67" s="2"/>
      <c r="V67" s="2"/>
      <c r="W67" s="2"/>
      <c r="X67" s="2"/>
      <c r="Y67" s="1"/>
      <c r="Z67" s="1"/>
      <c r="AA67" s="1"/>
      <c r="AB67" s="1"/>
    </row>
    <row r="68" spans="1:28" x14ac:dyDescent="0.2">
      <c r="A68" s="6" t="s">
        <v>127</v>
      </c>
      <c r="B68" s="6"/>
      <c r="C68" s="6"/>
      <c r="D68" s="6"/>
      <c r="F68" s="2"/>
      <c r="G68" s="2"/>
      <c r="H68" s="1"/>
      <c r="I68" s="1"/>
      <c r="M68" s="5"/>
      <c r="O68" s="4"/>
      <c r="P68" s="5"/>
      <c r="Q68" s="5"/>
      <c r="U68" s="2"/>
      <c r="V68" s="2"/>
      <c r="W68" s="2"/>
      <c r="X68" s="2"/>
      <c r="Y68" s="1"/>
      <c r="Z68" s="1"/>
      <c r="AA68" s="1"/>
      <c r="AB68" s="1"/>
    </row>
    <row r="71" spans="1:28" x14ac:dyDescent="0.25">
      <c r="A71" s="10"/>
      <c r="B71" s="10"/>
    </row>
    <row r="72" spans="1:28" x14ac:dyDescent="0.25">
      <c r="A72" s="10"/>
      <c r="B72" s="10"/>
    </row>
    <row r="73" spans="1:28" x14ac:dyDescent="0.25">
      <c r="A73" s="10"/>
      <c r="B73" s="10"/>
    </row>
    <row r="74" spans="1:28" x14ac:dyDescent="0.25">
      <c r="A74" s="10"/>
      <c r="B74" s="10"/>
    </row>
    <row r="75" spans="1:28" x14ac:dyDescent="0.25">
      <c r="A75" s="10"/>
      <c r="B75" s="10"/>
    </row>
    <row r="76" spans="1:28" x14ac:dyDescent="0.25">
      <c r="A76" s="10"/>
      <c r="B76" s="10"/>
    </row>
    <row r="77" spans="1:28" x14ac:dyDescent="0.25">
      <c r="A77" s="10"/>
      <c r="B77" s="10"/>
    </row>
    <row r="78" spans="1:28" x14ac:dyDescent="0.25">
      <c r="A78" s="10"/>
      <c r="B78" s="10"/>
    </row>
  </sheetData>
  <mergeCells count="32">
    <mergeCell ref="A7:BB7"/>
    <mergeCell ref="A9:BB9"/>
    <mergeCell ref="C12:C15"/>
    <mergeCell ref="D12:E14"/>
    <mergeCell ref="H12:I14"/>
    <mergeCell ref="J12:J15"/>
    <mergeCell ref="K12:L14"/>
    <mergeCell ref="M12:AP12"/>
    <mergeCell ref="AQ12:AR14"/>
    <mergeCell ref="AS12:AT14"/>
    <mergeCell ref="AU12:AV14"/>
    <mergeCell ref="AW12:AX14"/>
    <mergeCell ref="AY12:AZ14"/>
    <mergeCell ref="BA12:BA15"/>
    <mergeCell ref="BB12:BB15"/>
    <mergeCell ref="M13:AB13"/>
    <mergeCell ref="AC13:AP13"/>
    <mergeCell ref="AP14:AP15"/>
    <mergeCell ref="A12:A15"/>
    <mergeCell ref="B12:B15"/>
    <mergeCell ref="F12:G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J14"/>
    <mergeCell ref="AK14:AN14"/>
    <mergeCell ref="AO14:AO15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8"/>
  <sheetViews>
    <sheetView showZeros="0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9" sqref="A9:BB9"/>
    </sheetView>
  </sheetViews>
  <sheetFormatPr defaultRowHeight="14.25" x14ac:dyDescent="0.25"/>
  <cols>
    <col min="1" max="1" width="30.7109375" style="2" customWidth="1"/>
    <col min="2" max="2" width="10.7109375" style="2" customWidth="1"/>
    <col min="3" max="3" width="9.7109375" style="3" customWidth="1"/>
    <col min="4" max="5" width="9.7109375" style="2" customWidth="1"/>
    <col min="6" max="7" width="9.7109375" style="1" customWidth="1"/>
    <col min="8" max="9" width="9.7109375" style="5" customWidth="1"/>
    <col min="10" max="10" width="8.7109375" style="5" customWidth="1"/>
    <col min="11" max="12" width="14.7109375" style="5" customWidth="1"/>
    <col min="13" max="13" width="9.7109375" style="4" customWidth="1"/>
    <col min="14" max="15" width="9.7109375" style="5" customWidth="1"/>
    <col min="16" max="20" width="9.7109375" style="2" customWidth="1"/>
    <col min="21" max="24" width="9.7109375" style="1" customWidth="1"/>
    <col min="25" max="54" width="9.7109375" style="2" customWidth="1"/>
    <col min="55" max="16384" width="9.140625" style="2"/>
  </cols>
  <sheetData>
    <row r="1" spans="1:55" ht="12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/>
      <c r="AJ1"/>
      <c r="AK1"/>
      <c r="AL1"/>
      <c r="AM1"/>
    </row>
    <row r="2" spans="1:55" ht="12.75" customHeight="1" x14ac:dyDescent="0.25">
      <c r="A2" s="11" t="s">
        <v>134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X2" s="11" t="s">
        <v>56</v>
      </c>
      <c r="AY2"/>
      <c r="AZ2"/>
      <c r="BA2"/>
      <c r="BB2"/>
      <c r="BC2"/>
    </row>
    <row r="3" spans="1:55" s="6" customFormat="1" ht="12.75" customHeight="1" x14ac:dyDescent="0.25">
      <c r="A3" s="11" t="s">
        <v>57</v>
      </c>
      <c r="AX3" s="11" t="s">
        <v>65</v>
      </c>
      <c r="AY3"/>
      <c r="AZ3"/>
      <c r="BA3"/>
      <c r="BB3"/>
      <c r="BC3"/>
    </row>
    <row r="4" spans="1:55" s="6" customFormat="1" ht="12.75" customHeight="1" x14ac:dyDescent="0.25">
      <c r="AX4" s="24" t="s">
        <v>123</v>
      </c>
      <c r="AY4"/>
      <c r="AZ4"/>
      <c r="BA4"/>
      <c r="BB4"/>
      <c r="BC4"/>
    </row>
    <row r="5" spans="1:55" s="6" customFormat="1" ht="12.75" customHeight="1" x14ac:dyDescent="0.25">
      <c r="AY5"/>
      <c r="AZ5"/>
      <c r="BA5"/>
      <c r="BB5"/>
      <c r="BC5"/>
    </row>
    <row r="6" spans="1:55" s="6" customFormat="1" ht="15" x14ac:dyDescent="0.25">
      <c r="AX6" s="25" t="s">
        <v>85</v>
      </c>
      <c r="AY6"/>
      <c r="AZ6"/>
      <c r="BA6"/>
      <c r="BB6"/>
      <c r="BC6"/>
    </row>
    <row r="7" spans="1:55" s="6" customFormat="1" ht="15.75" customHeight="1" x14ac:dyDescent="0.2">
      <c r="A7" s="184" t="s">
        <v>58</v>
      </c>
      <c r="B7" s="184"/>
      <c r="C7" s="184"/>
      <c r="D7" s="184"/>
      <c r="E7" s="184"/>
      <c r="F7" s="184"/>
      <c r="G7" s="184"/>
      <c r="H7" s="184"/>
      <c r="I7" s="184"/>
      <c r="J7" s="184"/>
      <c r="K7" s="184"/>
      <c r="L7" s="184"/>
      <c r="M7" s="184"/>
      <c r="N7" s="184"/>
      <c r="O7" s="184"/>
      <c r="P7" s="184"/>
      <c r="Q7" s="184"/>
      <c r="R7" s="184"/>
      <c r="S7" s="184"/>
      <c r="T7" s="184"/>
      <c r="U7" s="184"/>
      <c r="V7" s="184"/>
      <c r="W7" s="184"/>
      <c r="X7" s="184"/>
      <c r="Y7" s="184"/>
      <c r="Z7" s="184"/>
      <c r="AA7" s="184"/>
      <c r="AB7" s="184"/>
      <c r="AC7" s="184"/>
      <c r="AD7" s="184"/>
      <c r="AE7" s="184"/>
      <c r="AF7" s="184"/>
      <c r="AG7" s="184"/>
      <c r="AH7" s="184"/>
      <c r="AI7" s="184"/>
      <c r="AJ7" s="184"/>
      <c r="AK7" s="184"/>
      <c r="AL7" s="184"/>
      <c r="AM7" s="184"/>
      <c r="AN7" s="184"/>
      <c r="AO7" s="184"/>
      <c r="AP7" s="184"/>
      <c r="AQ7" s="184"/>
      <c r="AR7" s="184"/>
      <c r="AS7" s="184"/>
      <c r="AT7" s="184"/>
      <c r="AU7" s="184"/>
      <c r="AV7" s="184"/>
      <c r="AW7" s="184"/>
      <c r="AX7" s="184"/>
      <c r="AY7" s="184"/>
      <c r="AZ7" s="184"/>
      <c r="BA7" s="184"/>
      <c r="BB7" s="184"/>
      <c r="BC7" s="109"/>
    </row>
    <row r="8" spans="1:55" s="6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55" ht="15.75" x14ac:dyDescent="0.25">
      <c r="A9" s="185"/>
      <c r="B9" s="185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  <c r="Z9" s="185"/>
      <c r="AA9" s="185"/>
      <c r="AB9" s="185"/>
      <c r="AC9" s="185"/>
      <c r="AD9" s="185"/>
      <c r="AE9" s="185"/>
      <c r="AF9" s="185"/>
      <c r="AG9" s="185"/>
      <c r="AH9" s="185"/>
      <c r="AI9" s="185"/>
      <c r="AJ9" s="185"/>
      <c r="AK9" s="185"/>
      <c r="AL9" s="185"/>
      <c r="AM9" s="185"/>
      <c r="AN9" s="185"/>
      <c r="AO9" s="185"/>
      <c r="AP9" s="185"/>
      <c r="AQ9" s="185"/>
      <c r="AR9" s="185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08"/>
    </row>
    <row r="10" spans="1:55" s="6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55" ht="12.7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3"/>
      <c r="L11" s="2"/>
      <c r="M11" s="2"/>
      <c r="N11" s="2"/>
      <c r="O11" s="2"/>
      <c r="U11" s="2"/>
      <c r="V11" s="2"/>
      <c r="W11" s="2"/>
      <c r="X11" s="2"/>
    </row>
    <row r="12" spans="1:55" ht="14.25" customHeight="1" x14ac:dyDescent="0.25">
      <c r="A12" s="160" t="s">
        <v>2</v>
      </c>
      <c r="B12" s="163" t="s">
        <v>129</v>
      </c>
      <c r="C12" s="163" t="s">
        <v>3</v>
      </c>
      <c r="D12" s="166" t="s">
        <v>60</v>
      </c>
      <c r="E12" s="155"/>
      <c r="F12" s="154" t="s">
        <v>131</v>
      </c>
      <c r="G12" s="155"/>
      <c r="H12" s="154" t="s">
        <v>1</v>
      </c>
      <c r="I12" s="155"/>
      <c r="J12" s="186" t="s">
        <v>135</v>
      </c>
      <c r="K12" s="154" t="s">
        <v>4</v>
      </c>
      <c r="L12" s="155"/>
      <c r="M12" s="175" t="s">
        <v>62</v>
      </c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  <c r="AA12" s="176"/>
      <c r="AB12" s="176"/>
      <c r="AC12" s="176"/>
      <c r="AD12" s="176"/>
      <c r="AE12" s="176"/>
      <c r="AF12" s="176"/>
      <c r="AG12" s="176"/>
      <c r="AH12" s="176"/>
      <c r="AI12" s="176"/>
      <c r="AJ12" s="176"/>
      <c r="AK12" s="176"/>
      <c r="AL12" s="176"/>
      <c r="AM12" s="176"/>
      <c r="AN12" s="176"/>
      <c r="AO12" s="176"/>
      <c r="AP12" s="177"/>
      <c r="AQ12" s="154" t="s">
        <v>69</v>
      </c>
      <c r="AR12" s="155"/>
      <c r="AS12" s="154" t="s">
        <v>59</v>
      </c>
      <c r="AT12" s="155"/>
      <c r="AU12" s="154" t="s">
        <v>70</v>
      </c>
      <c r="AV12" s="155"/>
      <c r="AW12" s="154" t="s">
        <v>71</v>
      </c>
      <c r="AX12" s="155"/>
      <c r="AY12" s="154" t="s">
        <v>72</v>
      </c>
      <c r="AZ12" s="155"/>
      <c r="BA12" s="182" t="s">
        <v>73</v>
      </c>
      <c r="BB12" s="179" t="s">
        <v>133</v>
      </c>
      <c r="BC12"/>
    </row>
    <row r="13" spans="1:55" ht="14.25" customHeight="1" x14ac:dyDescent="0.25">
      <c r="A13" s="161"/>
      <c r="B13" s="164"/>
      <c r="C13" s="164"/>
      <c r="D13" s="167"/>
      <c r="E13" s="157"/>
      <c r="F13" s="156"/>
      <c r="G13" s="157"/>
      <c r="H13" s="156"/>
      <c r="I13" s="157"/>
      <c r="J13" s="187"/>
      <c r="K13" s="156"/>
      <c r="L13" s="157"/>
      <c r="M13" s="152" t="s">
        <v>5</v>
      </c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  <c r="AA13" s="178"/>
      <c r="AB13" s="153"/>
      <c r="AC13" s="152" t="s">
        <v>6</v>
      </c>
      <c r="AD13" s="178"/>
      <c r="AE13" s="178"/>
      <c r="AF13" s="178"/>
      <c r="AG13" s="178"/>
      <c r="AH13" s="178"/>
      <c r="AI13" s="178"/>
      <c r="AJ13" s="178"/>
      <c r="AK13" s="178"/>
      <c r="AL13" s="178"/>
      <c r="AM13" s="178"/>
      <c r="AN13" s="178"/>
      <c r="AO13" s="178"/>
      <c r="AP13" s="153"/>
      <c r="AQ13" s="156"/>
      <c r="AR13" s="157"/>
      <c r="AS13" s="156"/>
      <c r="AT13" s="157"/>
      <c r="AU13" s="156"/>
      <c r="AV13" s="157"/>
      <c r="AW13" s="156"/>
      <c r="AX13" s="157"/>
      <c r="AY13" s="156"/>
      <c r="AZ13" s="157"/>
      <c r="BA13" s="183"/>
      <c r="BB13" s="180"/>
      <c r="BC13"/>
    </row>
    <row r="14" spans="1:55" ht="63.75" customHeight="1" x14ac:dyDescent="0.25">
      <c r="A14" s="161"/>
      <c r="B14" s="164"/>
      <c r="C14" s="164"/>
      <c r="D14" s="168"/>
      <c r="E14" s="159"/>
      <c r="F14" s="158"/>
      <c r="G14" s="159"/>
      <c r="H14" s="158"/>
      <c r="I14" s="159"/>
      <c r="J14" s="187"/>
      <c r="K14" s="158"/>
      <c r="L14" s="159"/>
      <c r="M14" s="152" t="s">
        <v>10</v>
      </c>
      <c r="N14" s="153"/>
      <c r="O14" s="152" t="s">
        <v>74</v>
      </c>
      <c r="P14" s="153"/>
      <c r="Q14" s="152" t="s">
        <v>75</v>
      </c>
      <c r="R14" s="153"/>
      <c r="S14" s="152" t="s">
        <v>86</v>
      </c>
      <c r="T14" s="153"/>
      <c r="U14" s="152" t="s">
        <v>136</v>
      </c>
      <c r="V14" s="153"/>
      <c r="W14" s="169" t="s">
        <v>132</v>
      </c>
      <c r="X14" s="170"/>
      <c r="Y14" s="152" t="s">
        <v>84</v>
      </c>
      <c r="Z14" s="153"/>
      <c r="AA14" s="152" t="s">
        <v>76</v>
      </c>
      <c r="AB14" s="153"/>
      <c r="AC14" s="152" t="s">
        <v>7</v>
      </c>
      <c r="AD14" s="178"/>
      <c r="AE14" s="178"/>
      <c r="AF14" s="178"/>
      <c r="AG14" s="178"/>
      <c r="AH14" s="178"/>
      <c r="AI14" s="178"/>
      <c r="AJ14" s="153"/>
      <c r="AK14" s="152" t="s">
        <v>8</v>
      </c>
      <c r="AL14" s="178"/>
      <c r="AM14" s="178"/>
      <c r="AN14" s="153"/>
      <c r="AO14" s="171" t="s">
        <v>77</v>
      </c>
      <c r="AP14" s="173" t="s">
        <v>18</v>
      </c>
      <c r="AQ14" s="158"/>
      <c r="AR14" s="159"/>
      <c r="AS14" s="158"/>
      <c r="AT14" s="159"/>
      <c r="AU14" s="158"/>
      <c r="AV14" s="159"/>
      <c r="AW14" s="158"/>
      <c r="AX14" s="159"/>
      <c r="AY14" s="158"/>
      <c r="AZ14" s="159"/>
      <c r="BA14" s="183"/>
      <c r="BB14" s="180"/>
      <c r="BC14"/>
    </row>
    <row r="15" spans="1:55" ht="38.25" customHeight="1" thickBot="1" x14ac:dyDescent="0.3">
      <c r="A15" s="162"/>
      <c r="B15" s="165"/>
      <c r="C15" s="165"/>
      <c r="D15" s="118" t="s">
        <v>61</v>
      </c>
      <c r="E15" s="77" t="s">
        <v>9</v>
      </c>
      <c r="F15" s="77" t="s">
        <v>11</v>
      </c>
      <c r="G15" s="77" t="s">
        <v>130</v>
      </c>
      <c r="H15" s="77" t="s">
        <v>0</v>
      </c>
      <c r="I15" s="77" t="s">
        <v>78</v>
      </c>
      <c r="J15" s="188"/>
      <c r="K15" s="77" t="s">
        <v>61</v>
      </c>
      <c r="L15" s="77" t="s">
        <v>9</v>
      </c>
      <c r="M15" s="77" t="s">
        <v>61</v>
      </c>
      <c r="N15" s="77" t="s">
        <v>9</v>
      </c>
      <c r="O15" s="77" t="s">
        <v>61</v>
      </c>
      <c r="P15" s="77" t="s">
        <v>9</v>
      </c>
      <c r="Q15" s="77" t="s">
        <v>61</v>
      </c>
      <c r="R15" s="77" t="s">
        <v>9</v>
      </c>
      <c r="S15" s="77" t="s">
        <v>61</v>
      </c>
      <c r="T15" s="77" t="s">
        <v>9</v>
      </c>
      <c r="U15" s="77" t="s">
        <v>61</v>
      </c>
      <c r="V15" s="77" t="s">
        <v>9</v>
      </c>
      <c r="W15" s="77" t="s">
        <v>61</v>
      </c>
      <c r="X15" s="77" t="s">
        <v>9</v>
      </c>
      <c r="Y15" s="77" t="s">
        <v>61</v>
      </c>
      <c r="Z15" s="77" t="s">
        <v>9</v>
      </c>
      <c r="AA15" s="77" t="s">
        <v>61</v>
      </c>
      <c r="AB15" s="77" t="s">
        <v>9</v>
      </c>
      <c r="AC15" s="77" t="s">
        <v>11</v>
      </c>
      <c r="AD15" s="77" t="s">
        <v>12</v>
      </c>
      <c r="AE15" s="77" t="s">
        <v>13</v>
      </c>
      <c r="AF15" s="77" t="s">
        <v>14</v>
      </c>
      <c r="AG15" s="77" t="s">
        <v>15</v>
      </c>
      <c r="AH15" s="77" t="s">
        <v>16</v>
      </c>
      <c r="AI15" s="107" t="s">
        <v>18</v>
      </c>
      <c r="AJ15" s="107" t="s">
        <v>17</v>
      </c>
      <c r="AK15" s="77" t="s">
        <v>19</v>
      </c>
      <c r="AL15" s="77" t="s">
        <v>20</v>
      </c>
      <c r="AM15" s="77" t="s">
        <v>21</v>
      </c>
      <c r="AN15" s="77" t="s">
        <v>22</v>
      </c>
      <c r="AO15" s="172"/>
      <c r="AP15" s="174"/>
      <c r="AQ15" s="77" t="s">
        <v>61</v>
      </c>
      <c r="AR15" s="77" t="s">
        <v>9</v>
      </c>
      <c r="AS15" s="77" t="s">
        <v>61</v>
      </c>
      <c r="AT15" s="77" t="s">
        <v>9</v>
      </c>
      <c r="AU15" s="77" t="s">
        <v>61</v>
      </c>
      <c r="AV15" s="77" t="s">
        <v>9</v>
      </c>
      <c r="AW15" s="77" t="s">
        <v>61</v>
      </c>
      <c r="AX15" s="77" t="s">
        <v>9</v>
      </c>
      <c r="AY15" s="77" t="s">
        <v>61</v>
      </c>
      <c r="AZ15" s="77" t="s">
        <v>9</v>
      </c>
      <c r="BA15" s="172"/>
      <c r="BB15" s="181"/>
      <c r="BC15"/>
    </row>
    <row r="16" spans="1:55" ht="15" customHeight="1" thickBot="1" x14ac:dyDescent="0.3">
      <c r="A16" s="106">
        <v>1</v>
      </c>
      <c r="B16" s="106">
        <v>2</v>
      </c>
      <c r="C16" s="106">
        <v>3</v>
      </c>
      <c r="D16" s="105">
        <v>4</v>
      </c>
      <c r="E16" s="78">
        <v>5</v>
      </c>
      <c r="F16" s="78">
        <v>6</v>
      </c>
      <c r="G16" s="78">
        <v>7</v>
      </c>
      <c r="H16" s="78">
        <v>8</v>
      </c>
      <c r="I16" s="78">
        <v>9</v>
      </c>
      <c r="J16" s="78">
        <v>10</v>
      </c>
      <c r="K16" s="78">
        <v>11</v>
      </c>
      <c r="L16" s="78">
        <v>12</v>
      </c>
      <c r="M16" s="78">
        <v>13</v>
      </c>
      <c r="N16" s="78">
        <v>14</v>
      </c>
      <c r="O16" s="78">
        <v>15</v>
      </c>
      <c r="P16" s="78">
        <v>16</v>
      </c>
      <c r="Q16" s="78">
        <v>17</v>
      </c>
      <c r="R16" s="78">
        <v>18</v>
      </c>
      <c r="S16" s="78">
        <v>19</v>
      </c>
      <c r="T16" s="78">
        <v>20</v>
      </c>
      <c r="U16" s="78">
        <v>21</v>
      </c>
      <c r="V16" s="78">
        <v>22</v>
      </c>
      <c r="W16" s="78">
        <v>23</v>
      </c>
      <c r="X16" s="78">
        <v>24</v>
      </c>
      <c r="Y16" s="78">
        <v>25</v>
      </c>
      <c r="Z16" s="78">
        <v>26</v>
      </c>
      <c r="AA16" s="78">
        <v>27</v>
      </c>
      <c r="AB16" s="78">
        <v>28</v>
      </c>
      <c r="AC16" s="78">
        <v>29</v>
      </c>
      <c r="AD16" s="78">
        <v>30</v>
      </c>
      <c r="AE16" s="78">
        <v>31</v>
      </c>
      <c r="AF16" s="78">
        <v>32</v>
      </c>
      <c r="AG16" s="78">
        <v>33</v>
      </c>
      <c r="AH16" s="78">
        <v>34</v>
      </c>
      <c r="AI16" s="78">
        <v>35</v>
      </c>
      <c r="AJ16" s="78">
        <v>36</v>
      </c>
      <c r="AK16" s="78">
        <v>37</v>
      </c>
      <c r="AL16" s="78">
        <v>38</v>
      </c>
      <c r="AM16" s="78">
        <v>39</v>
      </c>
      <c r="AN16" s="78">
        <v>40</v>
      </c>
      <c r="AO16" s="78">
        <v>41</v>
      </c>
      <c r="AP16" s="78">
        <v>42</v>
      </c>
      <c r="AQ16" s="78">
        <v>43</v>
      </c>
      <c r="AR16" s="78">
        <v>44</v>
      </c>
      <c r="AS16" s="78">
        <v>45</v>
      </c>
      <c r="AT16" s="78">
        <v>46</v>
      </c>
      <c r="AU16" s="78">
        <v>47</v>
      </c>
      <c r="AV16" s="78">
        <v>48</v>
      </c>
      <c r="AW16" s="78">
        <v>49</v>
      </c>
      <c r="AX16" s="78">
        <v>50</v>
      </c>
      <c r="AY16" s="78">
        <v>51</v>
      </c>
      <c r="AZ16" s="78">
        <v>52</v>
      </c>
      <c r="BA16" s="78">
        <v>53</v>
      </c>
      <c r="BB16" s="79">
        <v>54</v>
      </c>
      <c r="BC16"/>
    </row>
    <row r="17" spans="1:55" ht="15" customHeight="1" thickBot="1" x14ac:dyDescent="0.3">
      <c r="A17" s="87" t="s">
        <v>79</v>
      </c>
      <c r="B17" s="87"/>
      <c r="C17" s="87"/>
      <c r="D17" s="132">
        <f>AT17*AW17*AU17</f>
        <v>0</v>
      </c>
      <c r="E17" s="129">
        <f>ROUND(AT17*AV17*AX17,4)</f>
        <v>0</v>
      </c>
      <c r="F17" s="129"/>
      <c r="G17" s="129"/>
      <c r="H17" s="131">
        <f>SUM(H18:H23)</f>
        <v>0</v>
      </c>
      <c r="I17" s="131">
        <f>SUM(I18:I23)</f>
        <v>0</v>
      </c>
      <c r="J17" s="88"/>
      <c r="K17" s="130">
        <f>SUM(K18:K23)</f>
        <v>0</v>
      </c>
      <c r="L17" s="130">
        <f>SUM(L18:L23)</f>
        <v>0</v>
      </c>
      <c r="M17" s="129">
        <f>SUM(M18:M23)</f>
        <v>0</v>
      </c>
      <c r="N17" s="129">
        <f t="shared" ref="N17:AO17" si="0">SUM(N18:N23)</f>
        <v>0</v>
      </c>
      <c r="O17" s="129">
        <f t="shared" si="0"/>
        <v>0</v>
      </c>
      <c r="P17" s="129">
        <f t="shared" si="0"/>
        <v>0</v>
      </c>
      <c r="Q17" s="129">
        <f t="shared" si="0"/>
        <v>0</v>
      </c>
      <c r="R17" s="129">
        <f t="shared" si="0"/>
        <v>0</v>
      </c>
      <c r="S17" s="129">
        <f t="shared" si="0"/>
        <v>0</v>
      </c>
      <c r="T17" s="129">
        <f t="shared" si="0"/>
        <v>0</v>
      </c>
      <c r="U17" s="129">
        <f t="shared" si="0"/>
        <v>0</v>
      </c>
      <c r="V17" s="129">
        <f t="shared" si="0"/>
        <v>0</v>
      </c>
      <c r="W17" s="129">
        <f t="shared" si="0"/>
        <v>0</v>
      </c>
      <c r="X17" s="129">
        <f t="shared" si="0"/>
        <v>0</v>
      </c>
      <c r="Y17" s="129">
        <f t="shared" si="0"/>
        <v>0</v>
      </c>
      <c r="Z17" s="129">
        <f t="shared" si="0"/>
        <v>0</v>
      </c>
      <c r="AA17" s="129">
        <f t="shared" si="0"/>
        <v>0</v>
      </c>
      <c r="AB17" s="129">
        <f>SUM(AB18:AB23)</f>
        <v>0</v>
      </c>
      <c r="AC17" s="129">
        <f t="shared" si="0"/>
        <v>0</v>
      </c>
      <c r="AD17" s="129">
        <f t="shared" si="0"/>
        <v>0</v>
      </c>
      <c r="AE17" s="129">
        <f t="shared" si="0"/>
        <v>0</v>
      </c>
      <c r="AF17" s="129">
        <f t="shared" si="0"/>
        <v>0</v>
      </c>
      <c r="AG17" s="129">
        <f t="shared" si="0"/>
        <v>0</v>
      </c>
      <c r="AH17" s="129">
        <f t="shared" si="0"/>
        <v>0</v>
      </c>
      <c r="AI17" s="129">
        <f t="shared" si="0"/>
        <v>0</v>
      </c>
      <c r="AJ17" s="129">
        <f t="shared" si="0"/>
        <v>0</v>
      </c>
      <c r="AK17" s="129">
        <f t="shared" si="0"/>
        <v>0</v>
      </c>
      <c r="AL17" s="129">
        <f t="shared" si="0"/>
        <v>0</v>
      </c>
      <c r="AM17" s="129">
        <f t="shared" si="0"/>
        <v>0</v>
      </c>
      <c r="AN17" s="129">
        <f t="shared" si="0"/>
        <v>0</v>
      </c>
      <c r="AO17" s="129">
        <f t="shared" si="0"/>
        <v>0</v>
      </c>
      <c r="AP17" s="129">
        <f>SUM(AP18:AP23)</f>
        <v>0</v>
      </c>
      <c r="AQ17" s="129">
        <f>M17+O17+S17+U17+W17+AA17+Q17+Y17</f>
        <v>0</v>
      </c>
      <c r="AR17" s="129">
        <f>N17+P17+R17+AC17+AD17+AE17+AF17+AG17+AH17+AI17+AJ17+AK17+AL17+AM17+AN17+AO17+AP17+T17+V17+AB17+X17+Z17</f>
        <v>0</v>
      </c>
      <c r="AS17" s="129">
        <f>SUM(AS18:AS23)</f>
        <v>0</v>
      </c>
      <c r="AT17" s="129">
        <f>SUM(AT18:AT23)</f>
        <v>0</v>
      </c>
      <c r="AU17" s="131">
        <f>IF(AT17-AQ17=0,0,(AT17-M17-O17-Q17)/AT17)</f>
        <v>0</v>
      </c>
      <c r="AV17" s="131">
        <f>IF(AT17=0,0,(AT17-N17-P17-R17-AC17-AD17-AE17-AF17-AG17-AH17-AI17-AJ17-AL17)/AT17)</f>
        <v>0</v>
      </c>
      <c r="AW17" s="131">
        <f>IF(OR(AT17=0,AU17=0),0,((AT17*AU17)-S17-U17-W17-Y17-AA17)/(AT17*AU17))</f>
        <v>0</v>
      </c>
      <c r="AX17" s="131">
        <f>IF(OR(AT17=0,AV17=0),0,((AT17*AV17)-AK17-AM17-AN17-AO17-AP17-T17-V17-X17-Z17-AB17)/(AT17*AV17))</f>
        <v>0</v>
      </c>
      <c r="AY17" s="131">
        <f>IF(K17=0,0,K17/(D17-Y17)/24)</f>
        <v>0</v>
      </c>
      <c r="AZ17" s="131">
        <f t="shared" ref="AY17:AZ22" si="1">IF(L17=0,0,L17/(E17-Z17)/24)</f>
        <v>0</v>
      </c>
      <c r="BA17" s="129">
        <f>ROUND(AT17-E17-AR17,4)</f>
        <v>0</v>
      </c>
      <c r="BB17" s="89"/>
      <c r="BC17"/>
    </row>
    <row r="18" spans="1:55" ht="15" hidden="1" customHeight="1" x14ac:dyDescent="0.25">
      <c r="A18" s="80" t="s">
        <v>23</v>
      </c>
      <c r="B18" s="110">
        <v>22</v>
      </c>
      <c r="C18" s="110">
        <v>22</v>
      </c>
      <c r="D18" s="119">
        <f>AS18*AW18*AU18</f>
        <v>0</v>
      </c>
      <c r="E18" s="17">
        <f>ROUND(AS18*AV18*AX18,4)</f>
        <v>0</v>
      </c>
      <c r="F18" s="81"/>
      <c r="G18" s="81"/>
      <c r="H18" s="82"/>
      <c r="I18" s="82"/>
      <c r="J18" s="83" t="s">
        <v>55</v>
      </c>
      <c r="K18" s="84"/>
      <c r="L18" s="84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>
        <f t="shared" ref="AQ18:AQ61" si="2">M18+O18+S18+U18+W18+AA18+Q18+Y18</f>
        <v>0</v>
      </c>
      <c r="AR18" s="17">
        <f>N18+P18+R18+AC18+AD18+AE18+AF18+AG18+AH18+AI18+AJ18+AK18+AL18+AM18+AN18+AO18+AP18+T18+V18+AB18+X18+Z18</f>
        <v>0</v>
      </c>
      <c r="AS18" s="17">
        <f>AT18</f>
        <v>0</v>
      </c>
      <c r="AT18" s="17"/>
      <c r="AU18" s="18">
        <f t="shared" ref="AU18:AU61" si="3">IF(AT18-AQ18=0,0,(AT18-M18-O18-Q18)/AT18)</f>
        <v>0</v>
      </c>
      <c r="AV18" s="18">
        <f t="shared" ref="AV18:AV61" si="4">IF(AT18=0,0,(AT18-N18-P18-R18-AC18-AD18-AE18-AF18-AG18-AH18-AI18-AJ18-AL18)/AT18)</f>
        <v>0</v>
      </c>
      <c r="AW18" s="18">
        <f t="shared" ref="AW18:AW61" si="5">IF(OR(AT18=0,AU18=0),0,((AT18*AU18)-S18-U18-W18-Y18-AA18)/(AT18*AU18))</f>
        <v>0</v>
      </c>
      <c r="AX18" s="18">
        <f t="shared" ref="AX18:AX61" si="6">IF(OR(AT18=0,AV18=0),0,((AT18*AV18)-AK18-AM18-AN18-AO18-AP18-T18-V18-X18-Z18-AB18)/(AT18*AV18))</f>
        <v>0</v>
      </c>
      <c r="AY18" s="82">
        <f>IF(K18=0,0,K18/(D18-Y18)/24)</f>
        <v>0</v>
      </c>
      <c r="AZ18" s="82">
        <f t="shared" si="1"/>
        <v>0</v>
      </c>
      <c r="BA18" s="85">
        <f>ROUND(AS18-E18-AR18,4)</f>
        <v>0</v>
      </c>
      <c r="BB18" s="86"/>
      <c r="BC18"/>
    </row>
    <row r="19" spans="1:55" ht="15" hidden="1" customHeight="1" x14ac:dyDescent="0.25">
      <c r="A19" s="68" t="s">
        <v>24</v>
      </c>
      <c r="B19" s="111">
        <v>23</v>
      </c>
      <c r="C19" s="111">
        <v>23</v>
      </c>
      <c r="D19" s="119">
        <f t="shared" ref="D19:D23" si="7">AS19*AW19*AU19</f>
        <v>0</v>
      </c>
      <c r="E19" s="17">
        <f t="shared" ref="E19:E22" si="8">ROUND(AS19*AV19*AX19,4)</f>
        <v>0</v>
      </c>
      <c r="F19" s="19"/>
      <c r="G19" s="19"/>
      <c r="H19" s="18"/>
      <c r="I19" s="18"/>
      <c r="J19" s="8" t="s">
        <v>55</v>
      </c>
      <c r="K19" s="20"/>
      <c r="L19" s="20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7">
        <f t="shared" si="2"/>
        <v>0</v>
      </c>
      <c r="AR19" s="15">
        <f>N19+P19+R19+AC19+AD19+AE19+AF19+AG19+AH19+AI19+AJ19+AK19+AL19+AM19+AN19+AO19+AP19+T19+V19+AB19</f>
        <v>0</v>
      </c>
      <c r="AS19" s="17">
        <f t="shared" ref="AS19:AS23" si="9">AT19</f>
        <v>0</v>
      </c>
      <c r="AT19" s="15"/>
      <c r="AU19" s="18">
        <f t="shared" si="3"/>
        <v>0</v>
      </c>
      <c r="AV19" s="18">
        <f t="shared" si="4"/>
        <v>0</v>
      </c>
      <c r="AW19" s="18">
        <f t="shared" si="5"/>
        <v>0</v>
      </c>
      <c r="AX19" s="18">
        <f t="shared" si="6"/>
        <v>0</v>
      </c>
      <c r="AY19" s="18">
        <f t="shared" si="1"/>
        <v>0</v>
      </c>
      <c r="AZ19" s="18">
        <f t="shared" si="1"/>
        <v>0</v>
      </c>
      <c r="BA19" s="74">
        <f>ROUND(AS19-E19-AR19,4)</f>
        <v>0</v>
      </c>
      <c r="BB19" s="75"/>
      <c r="BC19"/>
    </row>
    <row r="20" spans="1:55" ht="15" hidden="1" customHeight="1" x14ac:dyDescent="0.25">
      <c r="A20" s="69" t="s">
        <v>25</v>
      </c>
      <c r="B20" s="112"/>
      <c r="C20" s="112">
        <v>24</v>
      </c>
      <c r="D20" s="119">
        <f t="shared" si="7"/>
        <v>0</v>
      </c>
      <c r="E20" s="17">
        <f t="shared" si="8"/>
        <v>0</v>
      </c>
      <c r="F20" s="19"/>
      <c r="G20" s="19"/>
      <c r="H20" s="18"/>
      <c r="I20" s="18"/>
      <c r="J20" s="8" t="s">
        <v>55</v>
      </c>
      <c r="K20" s="20"/>
      <c r="L20" s="20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7">
        <f t="shared" si="2"/>
        <v>0</v>
      </c>
      <c r="AR20" s="15">
        <f>N20+P20+R20+AC20+AD20+AE20+AF20+AG20+AH20+AI20+AJ20+AK20+AL20+AM20+AN20+AO20+AP20+T20+V20+AB20</f>
        <v>0</v>
      </c>
      <c r="AS20" s="17">
        <f t="shared" si="9"/>
        <v>0</v>
      </c>
      <c r="AT20" s="15"/>
      <c r="AU20" s="18">
        <f t="shared" si="3"/>
        <v>0</v>
      </c>
      <c r="AV20" s="18">
        <f t="shared" si="4"/>
        <v>0</v>
      </c>
      <c r="AW20" s="18">
        <f t="shared" si="5"/>
        <v>0</v>
      </c>
      <c r="AX20" s="18">
        <f t="shared" si="6"/>
        <v>0</v>
      </c>
      <c r="AY20" s="18">
        <f t="shared" si="1"/>
        <v>0</v>
      </c>
      <c r="AZ20" s="18">
        <f t="shared" si="1"/>
        <v>0</v>
      </c>
      <c r="BA20" s="74">
        <f t="shared" ref="BA20:BA22" si="10">ROUND(AS20-E20-AR20,4)</f>
        <v>0</v>
      </c>
      <c r="BB20" s="75"/>
      <c r="BC20"/>
    </row>
    <row r="21" spans="1:55" ht="15" hidden="1" customHeight="1" x14ac:dyDescent="0.25">
      <c r="A21" s="68" t="s">
        <v>26</v>
      </c>
      <c r="B21" s="111"/>
      <c r="C21" s="111">
        <v>24</v>
      </c>
      <c r="D21" s="119">
        <f t="shared" si="7"/>
        <v>0</v>
      </c>
      <c r="E21" s="17">
        <f t="shared" si="8"/>
        <v>0</v>
      </c>
      <c r="F21" s="19"/>
      <c r="G21" s="19"/>
      <c r="H21" s="18"/>
      <c r="I21" s="18"/>
      <c r="J21" s="8" t="s">
        <v>55</v>
      </c>
      <c r="K21" s="20"/>
      <c r="L21" s="20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7">
        <f t="shared" si="2"/>
        <v>0</v>
      </c>
      <c r="AR21" s="15">
        <f>N21+P21+R21+AC21+AD21+AE21+AF21+AG21+AH21+AI21+AJ21+AK21+AL21+AM21+AN21+AO21+AP21+T21+V21+AB21</f>
        <v>0</v>
      </c>
      <c r="AS21" s="17">
        <f>AT21</f>
        <v>0</v>
      </c>
      <c r="AT21" s="15"/>
      <c r="AU21" s="18">
        <f t="shared" si="3"/>
        <v>0</v>
      </c>
      <c r="AV21" s="18">
        <f t="shared" si="4"/>
        <v>0</v>
      </c>
      <c r="AW21" s="18">
        <f t="shared" si="5"/>
        <v>0</v>
      </c>
      <c r="AX21" s="18">
        <f t="shared" si="6"/>
        <v>0</v>
      </c>
      <c r="AY21" s="18">
        <f t="shared" si="1"/>
        <v>0</v>
      </c>
      <c r="AZ21" s="18">
        <f t="shared" si="1"/>
        <v>0</v>
      </c>
      <c r="BA21" s="74">
        <f t="shared" si="10"/>
        <v>0</v>
      </c>
      <c r="BB21" s="75"/>
      <c r="BC21"/>
    </row>
    <row r="22" spans="1:55" ht="15" hidden="1" customHeight="1" x14ac:dyDescent="0.25">
      <c r="A22" s="70" t="s">
        <v>63</v>
      </c>
      <c r="B22" s="113"/>
      <c r="C22" s="113">
        <v>25</v>
      </c>
      <c r="D22" s="119">
        <f t="shared" si="7"/>
        <v>0</v>
      </c>
      <c r="E22" s="17">
        <f t="shared" si="8"/>
        <v>0</v>
      </c>
      <c r="F22" s="19"/>
      <c r="G22" s="19"/>
      <c r="H22" s="18"/>
      <c r="I22" s="18"/>
      <c r="J22" s="8" t="s">
        <v>55</v>
      </c>
      <c r="K22" s="20"/>
      <c r="L22" s="20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7">
        <f t="shared" si="2"/>
        <v>0</v>
      </c>
      <c r="AR22" s="15">
        <f>N22+P22+R22+AC22+AD22+AE22+AF22+AG22+AH22+AI22+AJ22+AK22+AL22+AM22+AN22+AO22+AP22+T22+V22+AB22</f>
        <v>0</v>
      </c>
      <c r="AS22" s="17">
        <f t="shared" si="9"/>
        <v>0</v>
      </c>
      <c r="AT22" s="15"/>
      <c r="AU22" s="18">
        <f t="shared" si="3"/>
        <v>0</v>
      </c>
      <c r="AV22" s="18">
        <f t="shared" si="4"/>
        <v>0</v>
      </c>
      <c r="AW22" s="18">
        <f t="shared" si="5"/>
        <v>0</v>
      </c>
      <c r="AX22" s="18">
        <f t="shared" si="6"/>
        <v>0</v>
      </c>
      <c r="AY22" s="18">
        <f t="shared" si="1"/>
        <v>0</v>
      </c>
      <c r="AZ22" s="18">
        <f t="shared" si="1"/>
        <v>0</v>
      </c>
      <c r="BA22" s="74">
        <f t="shared" si="10"/>
        <v>0</v>
      </c>
      <c r="BB22" s="75"/>
      <c r="BC22"/>
    </row>
    <row r="23" spans="1:55" ht="15" customHeight="1" thickBot="1" x14ac:dyDescent="0.3">
      <c r="A23" s="90" t="s">
        <v>27</v>
      </c>
      <c r="B23" s="123" t="s">
        <v>148</v>
      </c>
      <c r="C23" s="114">
        <v>17</v>
      </c>
      <c r="D23" s="119">
        <f t="shared" si="7"/>
        <v>0</v>
      </c>
      <c r="E23" s="17">
        <f>ROUND(AT23*AV23*AX23,4)</f>
        <v>0</v>
      </c>
      <c r="F23" s="91"/>
      <c r="G23" s="91"/>
      <c r="H23" s="92"/>
      <c r="I23" s="92"/>
      <c r="J23" s="93" t="s">
        <v>55</v>
      </c>
      <c r="K23" s="94"/>
      <c r="L23" s="94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7">
        <f t="shared" si="2"/>
        <v>0</v>
      </c>
      <c r="AR23" s="16">
        <f>N23+P23+R23+AC23+AD23+AE23+AF23+AG23+AH23+AI23+AJ23+AK23+AL23+AM23+AN23+AO23+AP23+T23+V23+X23+Z23+AB23</f>
        <v>0</v>
      </c>
      <c r="AS23" s="17">
        <f t="shared" si="9"/>
        <v>0</v>
      </c>
      <c r="AT23" s="16"/>
      <c r="AU23" s="82">
        <f t="shared" si="3"/>
        <v>0</v>
      </c>
      <c r="AV23" s="82">
        <f t="shared" si="4"/>
        <v>0</v>
      </c>
      <c r="AW23" s="82">
        <f t="shared" si="5"/>
        <v>0</v>
      </c>
      <c r="AX23" s="82">
        <f t="shared" si="6"/>
        <v>0</v>
      </c>
      <c r="AY23" s="92">
        <f>IF(D23=0,0,K23/D23/24)</f>
        <v>0</v>
      </c>
      <c r="AZ23" s="92">
        <f>IF(E23=0,0,L23/E23/24)</f>
        <v>0</v>
      </c>
      <c r="BA23" s="95">
        <f>ROUND(AT23-E23-AR23,4)</f>
        <v>0</v>
      </c>
      <c r="BB23" s="96"/>
      <c r="BC23"/>
    </row>
    <row r="24" spans="1:55" ht="15" customHeight="1" thickBot="1" x14ac:dyDescent="0.3">
      <c r="A24" s="87" t="s">
        <v>80</v>
      </c>
      <c r="B24" s="124"/>
      <c r="C24" s="87"/>
      <c r="D24" s="132">
        <f>AT24*AW24*AU24</f>
        <v>0</v>
      </c>
      <c r="E24" s="129">
        <f>SUM(E26:E27)</f>
        <v>0</v>
      </c>
      <c r="F24" s="129">
        <f>SUM(F25:F41)</f>
        <v>0</v>
      </c>
      <c r="G24" s="129"/>
      <c r="H24" s="131">
        <f>SUM(H25:H41)</f>
        <v>0</v>
      </c>
      <c r="I24" s="131">
        <f>SUM(I25:I41)</f>
        <v>0</v>
      </c>
      <c r="J24" s="88"/>
      <c r="K24" s="130">
        <f>SUM(K25:K41)</f>
        <v>0</v>
      </c>
      <c r="L24" s="130">
        <f>SUM(L25:L41)</f>
        <v>0</v>
      </c>
      <c r="M24" s="129">
        <f>SUM(M25:M41)</f>
        <v>0</v>
      </c>
      <c r="N24" s="129">
        <f t="shared" ref="N24:AO24" si="11">SUM(N25:N41)</f>
        <v>0</v>
      </c>
      <c r="O24" s="129">
        <f t="shared" si="11"/>
        <v>0</v>
      </c>
      <c r="P24" s="129">
        <f t="shared" si="11"/>
        <v>0</v>
      </c>
      <c r="Q24" s="129">
        <f t="shared" si="11"/>
        <v>0</v>
      </c>
      <c r="R24" s="129">
        <f t="shared" si="11"/>
        <v>0</v>
      </c>
      <c r="S24" s="129">
        <f t="shared" si="11"/>
        <v>0</v>
      </c>
      <c r="T24" s="129">
        <f t="shared" si="11"/>
        <v>0</v>
      </c>
      <c r="U24" s="129">
        <f t="shared" si="11"/>
        <v>0</v>
      </c>
      <c r="V24" s="129">
        <f t="shared" si="11"/>
        <v>0</v>
      </c>
      <c r="W24" s="129">
        <f t="shared" si="11"/>
        <v>0</v>
      </c>
      <c r="X24" s="129">
        <f t="shared" si="11"/>
        <v>0</v>
      </c>
      <c r="Y24" s="129">
        <f t="shared" si="11"/>
        <v>0</v>
      </c>
      <c r="Z24" s="129">
        <f t="shared" si="11"/>
        <v>0</v>
      </c>
      <c r="AA24" s="129">
        <f t="shared" si="11"/>
        <v>0</v>
      </c>
      <c r="AB24" s="129">
        <f t="shared" si="11"/>
        <v>0</v>
      </c>
      <c r="AC24" s="129">
        <f t="shared" si="11"/>
        <v>0</v>
      </c>
      <c r="AD24" s="129">
        <f t="shared" si="11"/>
        <v>0</v>
      </c>
      <c r="AE24" s="129">
        <f t="shared" si="11"/>
        <v>0</v>
      </c>
      <c r="AF24" s="129">
        <f t="shared" si="11"/>
        <v>0</v>
      </c>
      <c r="AG24" s="129">
        <f t="shared" si="11"/>
        <v>0</v>
      </c>
      <c r="AH24" s="129">
        <f t="shared" si="11"/>
        <v>0</v>
      </c>
      <c r="AI24" s="129">
        <f t="shared" si="11"/>
        <v>0</v>
      </c>
      <c r="AJ24" s="129">
        <f t="shared" si="11"/>
        <v>0</v>
      </c>
      <c r="AK24" s="129">
        <f t="shared" si="11"/>
        <v>0</v>
      </c>
      <c r="AL24" s="129">
        <f t="shared" si="11"/>
        <v>0</v>
      </c>
      <c r="AM24" s="129">
        <f t="shared" si="11"/>
        <v>0</v>
      </c>
      <c r="AN24" s="129">
        <f t="shared" si="11"/>
        <v>0</v>
      </c>
      <c r="AO24" s="129">
        <f t="shared" si="11"/>
        <v>0</v>
      </c>
      <c r="AP24" s="129">
        <f>SUM(AP25:AP41)</f>
        <v>0</v>
      </c>
      <c r="AQ24" s="129">
        <f t="shared" si="2"/>
        <v>0</v>
      </c>
      <c r="AR24" s="129">
        <f t="shared" ref="AR24:AR61" si="12">N24+P24+R24+AC24+AD24+AE24+AF24+AG24+AH24+AI24+AJ24+AK24+AL24+AM24+AN24+AO24+AP24+T24+V24+X24+Z24+AB24</f>
        <v>0</v>
      </c>
      <c r="AS24" s="129">
        <f>SUM(AS25:AS41)</f>
        <v>0</v>
      </c>
      <c r="AT24" s="129">
        <f>SUM(AT25:AT41)</f>
        <v>0</v>
      </c>
      <c r="AU24" s="131">
        <f t="shared" si="3"/>
        <v>0</v>
      </c>
      <c r="AV24" s="131">
        <f t="shared" si="4"/>
        <v>0</v>
      </c>
      <c r="AW24" s="131">
        <f t="shared" si="5"/>
        <v>0</v>
      </c>
      <c r="AX24" s="131">
        <f t="shared" si="6"/>
        <v>0</v>
      </c>
      <c r="AY24" s="131">
        <f t="shared" ref="AY24:AZ61" si="13">IF(D24=0,0,K24/D24/24)</f>
        <v>0</v>
      </c>
      <c r="AZ24" s="131">
        <f t="shared" si="13"/>
        <v>0</v>
      </c>
      <c r="BA24" s="129">
        <f t="shared" ref="BA24:BA61" si="14">ROUND(AT24-E24-AR24,4)</f>
        <v>0</v>
      </c>
      <c r="BB24" s="99"/>
      <c r="BC24"/>
    </row>
    <row r="25" spans="1:55" ht="15" hidden="1" customHeight="1" x14ac:dyDescent="0.25">
      <c r="A25" s="97" t="s">
        <v>28</v>
      </c>
      <c r="B25" s="115"/>
      <c r="C25" s="115">
        <v>30</v>
      </c>
      <c r="D25" s="121">
        <f>AT25*AU25*AW25</f>
        <v>0</v>
      </c>
      <c r="E25" s="15">
        <f t="shared" ref="E25:E51" si="15">ROUND(AS25*AV25*AX25,4)</f>
        <v>0</v>
      </c>
      <c r="F25" s="81"/>
      <c r="G25" s="81"/>
      <c r="H25" s="82"/>
      <c r="I25" s="82"/>
      <c r="J25" s="98" t="s">
        <v>68</v>
      </c>
      <c r="K25" s="84"/>
      <c r="L25" s="84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>
        <f t="shared" si="2"/>
        <v>0</v>
      </c>
      <c r="AR25" s="16">
        <f t="shared" si="12"/>
        <v>0</v>
      </c>
      <c r="AS25" s="17"/>
      <c r="AT25" s="17"/>
      <c r="AU25" s="92">
        <f t="shared" si="3"/>
        <v>0</v>
      </c>
      <c r="AV25" s="92">
        <f t="shared" si="4"/>
        <v>0</v>
      </c>
      <c r="AW25" s="92">
        <f t="shared" si="5"/>
        <v>0</v>
      </c>
      <c r="AX25" s="92">
        <f t="shared" si="6"/>
        <v>0</v>
      </c>
      <c r="AY25" s="92">
        <f t="shared" si="13"/>
        <v>0</v>
      </c>
      <c r="AZ25" s="92">
        <f t="shared" si="13"/>
        <v>0</v>
      </c>
      <c r="BA25" s="95">
        <f t="shared" si="14"/>
        <v>0</v>
      </c>
      <c r="BB25" s="86"/>
      <c r="BC25"/>
    </row>
    <row r="26" spans="1:55" ht="15" customHeight="1" x14ac:dyDescent="0.25">
      <c r="A26" s="71" t="s">
        <v>29</v>
      </c>
      <c r="B26" s="123" t="s">
        <v>137</v>
      </c>
      <c r="C26" s="112">
        <v>32</v>
      </c>
      <c r="D26" s="121">
        <f>AT26*AU26*AW26</f>
        <v>0</v>
      </c>
      <c r="E26" s="15">
        <f>ROUND(AT26*AV26*AX26,4)</f>
        <v>0</v>
      </c>
      <c r="F26" s="19"/>
      <c r="G26" s="19"/>
      <c r="H26" s="18"/>
      <c r="I26" s="18"/>
      <c r="J26" s="9" t="s">
        <v>68</v>
      </c>
      <c r="K26" s="20"/>
      <c r="L26" s="20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7">
        <f t="shared" si="2"/>
        <v>0</v>
      </c>
      <c r="AR26" s="16">
        <f t="shared" si="12"/>
        <v>0</v>
      </c>
      <c r="AS26" s="16"/>
      <c r="AT26" s="16"/>
      <c r="AU26" s="92">
        <f t="shared" si="3"/>
        <v>0</v>
      </c>
      <c r="AV26" s="92">
        <f t="shared" si="4"/>
        <v>0</v>
      </c>
      <c r="AW26" s="92">
        <f t="shared" si="5"/>
        <v>0</v>
      </c>
      <c r="AX26" s="92">
        <f t="shared" si="6"/>
        <v>0</v>
      </c>
      <c r="AY26" s="92">
        <f t="shared" si="13"/>
        <v>0</v>
      </c>
      <c r="AZ26" s="92">
        <f t="shared" si="13"/>
        <v>0</v>
      </c>
      <c r="BA26" s="95">
        <f t="shared" si="14"/>
        <v>0</v>
      </c>
      <c r="BB26" s="75"/>
      <c r="BC26"/>
    </row>
    <row r="27" spans="1:55" ht="15" customHeight="1" thickBot="1" x14ac:dyDescent="0.3">
      <c r="A27" s="71" t="s">
        <v>30</v>
      </c>
      <c r="B27" s="123" t="s">
        <v>138</v>
      </c>
      <c r="C27" s="112">
        <v>35</v>
      </c>
      <c r="D27" s="121">
        <f>AT27*AU27*AW27</f>
        <v>0</v>
      </c>
      <c r="E27" s="15">
        <f>ROUND(AT27*AV27*AX27,4)</f>
        <v>0</v>
      </c>
      <c r="F27" s="19"/>
      <c r="G27" s="19"/>
      <c r="H27" s="18"/>
      <c r="I27" s="18"/>
      <c r="J27" s="9" t="s">
        <v>68</v>
      </c>
      <c r="K27" s="20"/>
      <c r="L27" s="20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7">
        <f t="shared" si="2"/>
        <v>0</v>
      </c>
      <c r="AR27" s="16">
        <f t="shared" si="12"/>
        <v>0</v>
      </c>
      <c r="AS27" s="16"/>
      <c r="AT27" s="16"/>
      <c r="AU27" s="92">
        <f t="shared" si="3"/>
        <v>0</v>
      </c>
      <c r="AV27" s="92">
        <f t="shared" si="4"/>
        <v>0</v>
      </c>
      <c r="AW27" s="92">
        <f t="shared" si="5"/>
        <v>0</v>
      </c>
      <c r="AX27" s="92">
        <f t="shared" si="6"/>
        <v>0</v>
      </c>
      <c r="AY27" s="92">
        <f t="shared" si="13"/>
        <v>0</v>
      </c>
      <c r="AZ27" s="92">
        <f t="shared" si="13"/>
        <v>0</v>
      </c>
      <c r="BA27" s="95">
        <f t="shared" si="14"/>
        <v>0</v>
      </c>
      <c r="BB27" s="75"/>
      <c r="BC27"/>
    </row>
    <row r="28" spans="1:55" ht="15" hidden="1" customHeight="1" x14ac:dyDescent="0.3">
      <c r="A28" s="72" t="s">
        <v>31</v>
      </c>
      <c r="B28" s="111"/>
      <c r="C28" s="111">
        <v>39</v>
      </c>
      <c r="D28" s="121">
        <f t="shared" ref="D28:D41" si="16">AT28*AU28*AW28</f>
        <v>0</v>
      </c>
      <c r="E28" s="15">
        <f t="shared" si="15"/>
        <v>0</v>
      </c>
      <c r="F28" s="19"/>
      <c r="G28" s="19"/>
      <c r="H28" s="18"/>
      <c r="I28" s="18"/>
      <c r="J28" s="9" t="s">
        <v>68</v>
      </c>
      <c r="K28" s="20"/>
      <c r="L28" s="20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7">
        <f t="shared" si="2"/>
        <v>0</v>
      </c>
      <c r="AR28" s="16">
        <f t="shared" si="12"/>
        <v>0</v>
      </c>
      <c r="AS28" s="15"/>
      <c r="AT28" s="15"/>
      <c r="AU28" s="92">
        <f t="shared" si="3"/>
        <v>0</v>
      </c>
      <c r="AV28" s="92">
        <f t="shared" si="4"/>
        <v>0</v>
      </c>
      <c r="AW28" s="92">
        <f t="shared" si="5"/>
        <v>0</v>
      </c>
      <c r="AX28" s="92">
        <f t="shared" si="6"/>
        <v>0</v>
      </c>
      <c r="AY28" s="92">
        <f t="shared" si="13"/>
        <v>0</v>
      </c>
      <c r="AZ28" s="92">
        <f t="shared" si="13"/>
        <v>0</v>
      </c>
      <c r="BA28" s="95">
        <f t="shared" si="14"/>
        <v>0</v>
      </c>
      <c r="BB28" s="75"/>
      <c r="BC28"/>
    </row>
    <row r="29" spans="1:55" ht="15" hidden="1" customHeight="1" x14ac:dyDescent="0.3">
      <c r="A29" s="72" t="s">
        <v>32</v>
      </c>
      <c r="B29" s="111"/>
      <c r="C29" s="111">
        <v>40</v>
      </c>
      <c r="D29" s="121">
        <f t="shared" si="16"/>
        <v>0</v>
      </c>
      <c r="E29" s="15">
        <f t="shared" si="15"/>
        <v>0</v>
      </c>
      <c r="F29" s="19"/>
      <c r="G29" s="19"/>
      <c r="H29" s="18"/>
      <c r="I29" s="18"/>
      <c r="J29" s="9" t="s">
        <v>68</v>
      </c>
      <c r="K29" s="20"/>
      <c r="L29" s="20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7">
        <f t="shared" si="2"/>
        <v>0</v>
      </c>
      <c r="AR29" s="16">
        <f t="shared" si="12"/>
        <v>0</v>
      </c>
      <c r="AS29" s="15"/>
      <c r="AT29" s="15"/>
      <c r="AU29" s="92">
        <f t="shared" si="3"/>
        <v>0</v>
      </c>
      <c r="AV29" s="92">
        <f t="shared" si="4"/>
        <v>0</v>
      </c>
      <c r="AW29" s="92">
        <f t="shared" si="5"/>
        <v>0</v>
      </c>
      <c r="AX29" s="92">
        <f t="shared" si="6"/>
        <v>0</v>
      </c>
      <c r="AY29" s="92">
        <f t="shared" si="13"/>
        <v>0</v>
      </c>
      <c r="AZ29" s="92">
        <f t="shared" si="13"/>
        <v>0</v>
      </c>
      <c r="BA29" s="95">
        <f t="shared" si="14"/>
        <v>0</v>
      </c>
      <c r="BB29" s="75"/>
      <c r="BC29"/>
    </row>
    <row r="30" spans="1:55" ht="15" hidden="1" customHeight="1" x14ac:dyDescent="0.3">
      <c r="A30" s="72" t="s">
        <v>33</v>
      </c>
      <c r="B30" s="111"/>
      <c r="C30" s="111">
        <v>41</v>
      </c>
      <c r="D30" s="121">
        <f t="shared" si="16"/>
        <v>0</v>
      </c>
      <c r="E30" s="15">
        <f t="shared" si="15"/>
        <v>0</v>
      </c>
      <c r="F30" s="19"/>
      <c r="G30" s="19"/>
      <c r="H30" s="18"/>
      <c r="I30" s="18"/>
      <c r="J30" s="9" t="s">
        <v>68</v>
      </c>
      <c r="K30" s="20"/>
      <c r="L30" s="20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7">
        <f t="shared" si="2"/>
        <v>0</v>
      </c>
      <c r="AR30" s="16">
        <f t="shared" si="12"/>
        <v>0</v>
      </c>
      <c r="AS30" s="15"/>
      <c r="AT30" s="15"/>
      <c r="AU30" s="92">
        <f t="shared" si="3"/>
        <v>0</v>
      </c>
      <c r="AV30" s="92">
        <f t="shared" si="4"/>
        <v>0</v>
      </c>
      <c r="AW30" s="92">
        <f t="shared" si="5"/>
        <v>0</v>
      </c>
      <c r="AX30" s="92">
        <f t="shared" si="6"/>
        <v>0</v>
      </c>
      <c r="AY30" s="92">
        <f t="shared" si="13"/>
        <v>0</v>
      </c>
      <c r="AZ30" s="92">
        <f t="shared" si="13"/>
        <v>0</v>
      </c>
      <c r="BA30" s="95">
        <f t="shared" si="14"/>
        <v>0</v>
      </c>
      <c r="BB30" s="75"/>
      <c r="BC30"/>
    </row>
    <row r="31" spans="1:55" ht="15" hidden="1" customHeight="1" x14ac:dyDescent="0.3">
      <c r="A31" s="72" t="s">
        <v>34</v>
      </c>
      <c r="B31" s="111"/>
      <c r="C31" s="111">
        <v>42</v>
      </c>
      <c r="D31" s="121">
        <f t="shared" si="16"/>
        <v>0</v>
      </c>
      <c r="E31" s="15">
        <f t="shared" si="15"/>
        <v>0</v>
      </c>
      <c r="F31" s="19"/>
      <c r="G31" s="19"/>
      <c r="H31" s="18"/>
      <c r="I31" s="18"/>
      <c r="J31" s="9" t="s">
        <v>68</v>
      </c>
      <c r="K31" s="20"/>
      <c r="L31" s="20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7">
        <f t="shared" si="2"/>
        <v>0</v>
      </c>
      <c r="AR31" s="16">
        <f t="shared" si="12"/>
        <v>0</v>
      </c>
      <c r="AS31" s="15"/>
      <c r="AT31" s="15"/>
      <c r="AU31" s="92">
        <f t="shared" si="3"/>
        <v>0</v>
      </c>
      <c r="AV31" s="92">
        <f t="shared" si="4"/>
        <v>0</v>
      </c>
      <c r="AW31" s="92">
        <f t="shared" si="5"/>
        <v>0</v>
      </c>
      <c r="AX31" s="92">
        <f t="shared" si="6"/>
        <v>0</v>
      </c>
      <c r="AY31" s="92">
        <f t="shared" si="13"/>
        <v>0</v>
      </c>
      <c r="AZ31" s="92">
        <f t="shared" si="13"/>
        <v>0</v>
      </c>
      <c r="BA31" s="95">
        <f t="shared" si="14"/>
        <v>0</v>
      </c>
      <c r="BB31" s="75"/>
      <c r="BC31"/>
    </row>
    <row r="32" spans="1:55" ht="15" hidden="1" customHeight="1" x14ac:dyDescent="0.3">
      <c r="A32" s="72" t="s">
        <v>35</v>
      </c>
      <c r="B32" s="111"/>
      <c r="C32" s="111">
        <v>43</v>
      </c>
      <c r="D32" s="121">
        <f t="shared" si="16"/>
        <v>0</v>
      </c>
      <c r="E32" s="15">
        <f t="shared" si="15"/>
        <v>0</v>
      </c>
      <c r="F32" s="19"/>
      <c r="G32" s="19"/>
      <c r="H32" s="18"/>
      <c r="I32" s="18"/>
      <c r="J32" s="9" t="s">
        <v>68</v>
      </c>
      <c r="K32" s="20"/>
      <c r="L32" s="20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7">
        <f t="shared" si="2"/>
        <v>0</v>
      </c>
      <c r="AR32" s="16">
        <f t="shared" si="12"/>
        <v>0</v>
      </c>
      <c r="AS32" s="15"/>
      <c r="AT32" s="15"/>
      <c r="AU32" s="92">
        <f t="shared" si="3"/>
        <v>0</v>
      </c>
      <c r="AV32" s="92">
        <f t="shared" si="4"/>
        <v>0</v>
      </c>
      <c r="AW32" s="92">
        <f t="shared" si="5"/>
        <v>0</v>
      </c>
      <c r="AX32" s="92">
        <f t="shared" si="6"/>
        <v>0</v>
      </c>
      <c r="AY32" s="92">
        <f t="shared" si="13"/>
        <v>0</v>
      </c>
      <c r="AZ32" s="92">
        <f t="shared" si="13"/>
        <v>0</v>
      </c>
      <c r="BA32" s="95">
        <f t="shared" si="14"/>
        <v>0</v>
      </c>
      <c r="BB32" s="75"/>
      <c r="BC32"/>
    </row>
    <row r="33" spans="1:55" ht="15" hidden="1" customHeight="1" x14ac:dyDescent="0.3">
      <c r="A33" s="72" t="s">
        <v>36</v>
      </c>
      <c r="B33" s="111"/>
      <c r="C33" s="111">
        <v>44</v>
      </c>
      <c r="D33" s="121">
        <f t="shared" si="16"/>
        <v>0</v>
      </c>
      <c r="E33" s="15">
        <f t="shared" si="15"/>
        <v>0</v>
      </c>
      <c r="F33" s="19"/>
      <c r="G33" s="19"/>
      <c r="H33" s="18"/>
      <c r="I33" s="18"/>
      <c r="J33" s="9" t="s">
        <v>68</v>
      </c>
      <c r="K33" s="20"/>
      <c r="L33" s="20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7">
        <f t="shared" si="2"/>
        <v>0</v>
      </c>
      <c r="AR33" s="16">
        <f t="shared" si="12"/>
        <v>0</v>
      </c>
      <c r="AS33" s="15"/>
      <c r="AT33" s="15"/>
      <c r="AU33" s="92">
        <f t="shared" si="3"/>
        <v>0</v>
      </c>
      <c r="AV33" s="92">
        <f t="shared" si="4"/>
        <v>0</v>
      </c>
      <c r="AW33" s="92">
        <f t="shared" si="5"/>
        <v>0</v>
      </c>
      <c r="AX33" s="92">
        <f t="shared" si="6"/>
        <v>0</v>
      </c>
      <c r="AY33" s="92">
        <f t="shared" si="13"/>
        <v>0</v>
      </c>
      <c r="AZ33" s="92">
        <f t="shared" si="13"/>
        <v>0</v>
      </c>
      <c r="BA33" s="95">
        <f t="shared" si="14"/>
        <v>0</v>
      </c>
      <c r="BB33" s="75"/>
      <c r="BC33"/>
    </row>
    <row r="34" spans="1:55" ht="15" hidden="1" customHeight="1" x14ac:dyDescent="0.3">
      <c r="A34" s="72" t="s">
        <v>37</v>
      </c>
      <c r="B34" s="111"/>
      <c r="C34" s="111">
        <v>45</v>
      </c>
      <c r="D34" s="121">
        <f t="shared" si="16"/>
        <v>0</v>
      </c>
      <c r="E34" s="15">
        <f t="shared" si="15"/>
        <v>0</v>
      </c>
      <c r="F34" s="19"/>
      <c r="G34" s="19"/>
      <c r="H34" s="18"/>
      <c r="I34" s="18"/>
      <c r="J34" s="9" t="s">
        <v>68</v>
      </c>
      <c r="K34" s="20"/>
      <c r="L34" s="20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7">
        <f t="shared" si="2"/>
        <v>0</v>
      </c>
      <c r="AR34" s="16">
        <f t="shared" si="12"/>
        <v>0</v>
      </c>
      <c r="AS34" s="15"/>
      <c r="AT34" s="15"/>
      <c r="AU34" s="92">
        <f t="shared" si="3"/>
        <v>0</v>
      </c>
      <c r="AV34" s="92">
        <f t="shared" si="4"/>
        <v>0</v>
      </c>
      <c r="AW34" s="92">
        <f t="shared" si="5"/>
        <v>0</v>
      </c>
      <c r="AX34" s="92">
        <f t="shared" si="6"/>
        <v>0</v>
      </c>
      <c r="AY34" s="92">
        <f t="shared" si="13"/>
        <v>0</v>
      </c>
      <c r="AZ34" s="92">
        <f t="shared" si="13"/>
        <v>0</v>
      </c>
      <c r="BA34" s="95">
        <f t="shared" si="14"/>
        <v>0</v>
      </c>
      <c r="BB34" s="75"/>
      <c r="BC34"/>
    </row>
    <row r="35" spans="1:55" ht="15" hidden="1" customHeight="1" x14ac:dyDescent="0.3">
      <c r="A35" s="72" t="s">
        <v>38</v>
      </c>
      <c r="B35" s="111"/>
      <c r="C35" s="111">
        <v>46</v>
      </c>
      <c r="D35" s="121">
        <f t="shared" si="16"/>
        <v>0</v>
      </c>
      <c r="E35" s="15">
        <f t="shared" si="15"/>
        <v>0</v>
      </c>
      <c r="F35" s="19"/>
      <c r="G35" s="19"/>
      <c r="H35" s="18"/>
      <c r="I35" s="18"/>
      <c r="J35" s="9" t="s">
        <v>68</v>
      </c>
      <c r="K35" s="20"/>
      <c r="L35" s="20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7">
        <f t="shared" si="2"/>
        <v>0</v>
      </c>
      <c r="AR35" s="16">
        <f t="shared" si="12"/>
        <v>0</v>
      </c>
      <c r="AS35" s="15"/>
      <c r="AT35" s="15"/>
      <c r="AU35" s="92">
        <f t="shared" si="3"/>
        <v>0</v>
      </c>
      <c r="AV35" s="92">
        <f t="shared" si="4"/>
        <v>0</v>
      </c>
      <c r="AW35" s="92">
        <f t="shared" si="5"/>
        <v>0</v>
      </c>
      <c r="AX35" s="92">
        <f t="shared" si="6"/>
        <v>0</v>
      </c>
      <c r="AY35" s="92">
        <f t="shared" si="13"/>
        <v>0</v>
      </c>
      <c r="AZ35" s="92">
        <f t="shared" si="13"/>
        <v>0</v>
      </c>
      <c r="BA35" s="95">
        <f t="shared" si="14"/>
        <v>0</v>
      </c>
      <c r="BB35" s="75"/>
      <c r="BC35"/>
    </row>
    <row r="36" spans="1:55" ht="15" hidden="1" customHeight="1" x14ac:dyDescent="0.3">
      <c r="A36" s="72" t="s">
        <v>39</v>
      </c>
      <c r="B36" s="111"/>
      <c r="C36" s="111">
        <v>47</v>
      </c>
      <c r="D36" s="121">
        <f t="shared" si="16"/>
        <v>0</v>
      </c>
      <c r="E36" s="15">
        <f t="shared" si="15"/>
        <v>0</v>
      </c>
      <c r="F36" s="19"/>
      <c r="G36" s="19"/>
      <c r="H36" s="18"/>
      <c r="I36" s="18"/>
      <c r="J36" s="9" t="s">
        <v>68</v>
      </c>
      <c r="K36" s="20"/>
      <c r="L36" s="20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7">
        <f t="shared" si="2"/>
        <v>0</v>
      </c>
      <c r="AR36" s="16">
        <f t="shared" si="12"/>
        <v>0</v>
      </c>
      <c r="AS36" s="15"/>
      <c r="AT36" s="15"/>
      <c r="AU36" s="92">
        <f t="shared" si="3"/>
        <v>0</v>
      </c>
      <c r="AV36" s="92">
        <f t="shared" si="4"/>
        <v>0</v>
      </c>
      <c r="AW36" s="92">
        <f t="shared" si="5"/>
        <v>0</v>
      </c>
      <c r="AX36" s="92">
        <f t="shared" si="6"/>
        <v>0</v>
      </c>
      <c r="AY36" s="92">
        <f t="shared" si="13"/>
        <v>0</v>
      </c>
      <c r="AZ36" s="92">
        <f t="shared" si="13"/>
        <v>0</v>
      </c>
      <c r="BA36" s="95">
        <f t="shared" si="14"/>
        <v>0</v>
      </c>
      <c r="BB36" s="75"/>
      <c r="BC36"/>
    </row>
    <row r="37" spans="1:55" ht="15" hidden="1" customHeight="1" x14ac:dyDescent="0.3">
      <c r="A37" s="72" t="s">
        <v>40</v>
      </c>
      <c r="B37" s="111"/>
      <c r="C37" s="111">
        <v>48</v>
      </c>
      <c r="D37" s="121">
        <f t="shared" si="16"/>
        <v>0</v>
      </c>
      <c r="E37" s="15">
        <f t="shared" si="15"/>
        <v>0</v>
      </c>
      <c r="F37" s="19"/>
      <c r="G37" s="19"/>
      <c r="H37" s="18"/>
      <c r="I37" s="18"/>
      <c r="J37" s="9" t="s">
        <v>68</v>
      </c>
      <c r="K37" s="20"/>
      <c r="L37" s="20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7">
        <f t="shared" si="2"/>
        <v>0</v>
      </c>
      <c r="AR37" s="16">
        <f t="shared" si="12"/>
        <v>0</v>
      </c>
      <c r="AS37" s="15"/>
      <c r="AT37" s="15"/>
      <c r="AU37" s="92">
        <f t="shared" si="3"/>
        <v>0</v>
      </c>
      <c r="AV37" s="92">
        <f t="shared" si="4"/>
        <v>0</v>
      </c>
      <c r="AW37" s="92">
        <f t="shared" si="5"/>
        <v>0</v>
      </c>
      <c r="AX37" s="92">
        <f t="shared" si="6"/>
        <v>0</v>
      </c>
      <c r="AY37" s="92">
        <f t="shared" si="13"/>
        <v>0</v>
      </c>
      <c r="AZ37" s="92">
        <f t="shared" si="13"/>
        <v>0</v>
      </c>
      <c r="BA37" s="95">
        <f t="shared" si="14"/>
        <v>0</v>
      </c>
      <c r="BB37" s="75"/>
      <c r="BC37"/>
    </row>
    <row r="38" spans="1:55" ht="15" hidden="1" customHeight="1" x14ac:dyDescent="0.3">
      <c r="A38" s="72" t="s">
        <v>41</v>
      </c>
      <c r="B38" s="111"/>
      <c r="C38" s="111">
        <v>49</v>
      </c>
      <c r="D38" s="121">
        <f t="shared" si="16"/>
        <v>0</v>
      </c>
      <c r="E38" s="15">
        <f t="shared" si="15"/>
        <v>0</v>
      </c>
      <c r="F38" s="19"/>
      <c r="G38" s="19"/>
      <c r="H38" s="18"/>
      <c r="I38" s="18"/>
      <c r="J38" s="9" t="s">
        <v>68</v>
      </c>
      <c r="K38" s="20"/>
      <c r="L38" s="20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7">
        <f t="shared" si="2"/>
        <v>0</v>
      </c>
      <c r="AR38" s="16">
        <f t="shared" si="12"/>
        <v>0</v>
      </c>
      <c r="AS38" s="15"/>
      <c r="AT38" s="15"/>
      <c r="AU38" s="92">
        <f t="shared" si="3"/>
        <v>0</v>
      </c>
      <c r="AV38" s="92">
        <f t="shared" si="4"/>
        <v>0</v>
      </c>
      <c r="AW38" s="92">
        <f t="shared" si="5"/>
        <v>0</v>
      </c>
      <c r="AX38" s="92">
        <f t="shared" si="6"/>
        <v>0</v>
      </c>
      <c r="AY38" s="92">
        <f t="shared" si="13"/>
        <v>0</v>
      </c>
      <c r="AZ38" s="92">
        <f t="shared" si="13"/>
        <v>0</v>
      </c>
      <c r="BA38" s="95">
        <f t="shared" si="14"/>
        <v>0</v>
      </c>
      <c r="BB38" s="75"/>
      <c r="BC38"/>
    </row>
    <row r="39" spans="1:55" ht="15" hidden="1" customHeight="1" x14ac:dyDescent="0.3">
      <c r="A39" s="72" t="s">
        <v>42</v>
      </c>
      <c r="B39" s="111"/>
      <c r="C39" s="111">
        <v>50</v>
      </c>
      <c r="D39" s="121">
        <f t="shared" si="16"/>
        <v>0</v>
      </c>
      <c r="E39" s="15">
        <f t="shared" si="15"/>
        <v>0</v>
      </c>
      <c r="F39" s="19"/>
      <c r="G39" s="19"/>
      <c r="H39" s="18"/>
      <c r="I39" s="18"/>
      <c r="J39" s="9" t="s">
        <v>68</v>
      </c>
      <c r="K39" s="20"/>
      <c r="L39" s="20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7">
        <f t="shared" si="2"/>
        <v>0</v>
      </c>
      <c r="AR39" s="16">
        <f t="shared" si="12"/>
        <v>0</v>
      </c>
      <c r="AS39" s="15"/>
      <c r="AT39" s="15"/>
      <c r="AU39" s="92">
        <f t="shared" si="3"/>
        <v>0</v>
      </c>
      <c r="AV39" s="92">
        <f t="shared" si="4"/>
        <v>0</v>
      </c>
      <c r="AW39" s="92">
        <f t="shared" si="5"/>
        <v>0</v>
      </c>
      <c r="AX39" s="92">
        <f t="shared" si="6"/>
        <v>0</v>
      </c>
      <c r="AY39" s="92">
        <f t="shared" si="13"/>
        <v>0</v>
      </c>
      <c r="AZ39" s="92">
        <f t="shared" si="13"/>
        <v>0</v>
      </c>
      <c r="BA39" s="95">
        <f t="shared" si="14"/>
        <v>0</v>
      </c>
      <c r="BB39" s="75"/>
      <c r="BC39"/>
    </row>
    <row r="40" spans="1:55" ht="15" hidden="1" customHeight="1" x14ac:dyDescent="0.3">
      <c r="A40" s="72" t="s">
        <v>43</v>
      </c>
      <c r="B40" s="111"/>
      <c r="C40" s="111">
        <v>51</v>
      </c>
      <c r="D40" s="121">
        <f t="shared" si="16"/>
        <v>0</v>
      </c>
      <c r="E40" s="15">
        <f t="shared" si="15"/>
        <v>0</v>
      </c>
      <c r="F40" s="19"/>
      <c r="G40" s="19"/>
      <c r="H40" s="18"/>
      <c r="I40" s="18"/>
      <c r="J40" s="9" t="s">
        <v>68</v>
      </c>
      <c r="K40" s="20"/>
      <c r="L40" s="20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7">
        <f t="shared" si="2"/>
        <v>0</v>
      </c>
      <c r="AR40" s="16">
        <f t="shared" si="12"/>
        <v>0</v>
      </c>
      <c r="AS40" s="15"/>
      <c r="AT40" s="15"/>
      <c r="AU40" s="92">
        <f t="shared" si="3"/>
        <v>0</v>
      </c>
      <c r="AV40" s="92">
        <f t="shared" si="4"/>
        <v>0</v>
      </c>
      <c r="AW40" s="92">
        <f t="shared" si="5"/>
        <v>0</v>
      </c>
      <c r="AX40" s="92">
        <f t="shared" si="6"/>
        <v>0</v>
      </c>
      <c r="AY40" s="92">
        <f t="shared" si="13"/>
        <v>0</v>
      </c>
      <c r="AZ40" s="92">
        <f t="shared" si="13"/>
        <v>0</v>
      </c>
      <c r="BA40" s="95">
        <f t="shared" si="14"/>
        <v>0</v>
      </c>
      <c r="BB40" s="75"/>
      <c r="BC40"/>
    </row>
    <row r="41" spans="1:55" ht="15" hidden="1" customHeight="1" thickBot="1" x14ac:dyDescent="0.3">
      <c r="A41" s="100" t="s">
        <v>44</v>
      </c>
      <c r="B41" s="116"/>
      <c r="C41" s="116">
        <v>52</v>
      </c>
      <c r="D41" s="121">
        <f t="shared" si="16"/>
        <v>0</v>
      </c>
      <c r="E41" s="15">
        <f t="shared" si="15"/>
        <v>0</v>
      </c>
      <c r="F41" s="91"/>
      <c r="G41" s="91"/>
      <c r="H41" s="92"/>
      <c r="I41" s="92"/>
      <c r="J41" s="101" t="s">
        <v>68</v>
      </c>
      <c r="K41" s="94"/>
      <c r="L41" s="94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7">
        <f t="shared" si="2"/>
        <v>0</v>
      </c>
      <c r="AR41" s="16">
        <f t="shared" si="12"/>
        <v>0</v>
      </c>
      <c r="AS41" s="16"/>
      <c r="AT41" s="16"/>
      <c r="AU41" s="92">
        <f t="shared" si="3"/>
        <v>0</v>
      </c>
      <c r="AV41" s="92">
        <f t="shared" si="4"/>
        <v>0</v>
      </c>
      <c r="AW41" s="92">
        <f t="shared" si="5"/>
        <v>0</v>
      </c>
      <c r="AX41" s="92">
        <f t="shared" si="6"/>
        <v>0</v>
      </c>
      <c r="AY41" s="92">
        <f t="shared" si="13"/>
        <v>0</v>
      </c>
      <c r="AZ41" s="92">
        <f t="shared" si="13"/>
        <v>0</v>
      </c>
      <c r="BA41" s="95">
        <f t="shared" si="14"/>
        <v>0</v>
      </c>
      <c r="BB41" s="96"/>
      <c r="BC41"/>
    </row>
    <row r="42" spans="1:55" ht="15" customHeight="1" thickBot="1" x14ac:dyDescent="0.3">
      <c r="A42" s="102" t="s">
        <v>81</v>
      </c>
      <c r="B42" s="124"/>
      <c r="C42" s="87"/>
      <c r="D42" s="132">
        <f>SUM(D43:D45)</f>
        <v>0</v>
      </c>
      <c r="E42" s="129">
        <f>SUM(E43:E45)</f>
        <v>0</v>
      </c>
      <c r="F42" s="129">
        <f>SUM(F43:F45)</f>
        <v>0</v>
      </c>
      <c r="G42" s="129"/>
      <c r="H42" s="131">
        <f>SUM(H43:H45)</f>
        <v>0</v>
      </c>
      <c r="I42" s="131">
        <f>SUM(I43:I45)</f>
        <v>0</v>
      </c>
      <c r="J42" s="88"/>
      <c r="K42" s="130"/>
      <c r="L42" s="130"/>
      <c r="M42" s="129">
        <f>SUM(M43:M45)</f>
        <v>0</v>
      </c>
      <c r="N42" s="129">
        <f t="shared" ref="N42:AP42" si="17">SUM(N43:N45)</f>
        <v>0</v>
      </c>
      <c r="O42" s="129">
        <f t="shared" si="17"/>
        <v>0</v>
      </c>
      <c r="P42" s="129">
        <f t="shared" si="17"/>
        <v>0</v>
      </c>
      <c r="Q42" s="129">
        <f t="shared" si="17"/>
        <v>0</v>
      </c>
      <c r="R42" s="129">
        <f t="shared" si="17"/>
        <v>0</v>
      </c>
      <c r="S42" s="129">
        <f t="shared" si="17"/>
        <v>0</v>
      </c>
      <c r="T42" s="129">
        <f t="shared" si="17"/>
        <v>0</v>
      </c>
      <c r="U42" s="129">
        <f t="shared" si="17"/>
        <v>0</v>
      </c>
      <c r="V42" s="129">
        <f t="shared" si="17"/>
        <v>0</v>
      </c>
      <c r="W42" s="129">
        <f t="shared" si="17"/>
        <v>0</v>
      </c>
      <c r="X42" s="129">
        <f t="shared" si="17"/>
        <v>0</v>
      </c>
      <c r="Y42" s="129">
        <f t="shared" si="17"/>
        <v>0</v>
      </c>
      <c r="Z42" s="129">
        <f t="shared" si="17"/>
        <v>0</v>
      </c>
      <c r="AA42" s="129">
        <f t="shared" si="17"/>
        <v>0</v>
      </c>
      <c r="AB42" s="129">
        <f t="shared" si="17"/>
        <v>0</v>
      </c>
      <c r="AC42" s="129">
        <f t="shared" si="17"/>
        <v>0</v>
      </c>
      <c r="AD42" s="129">
        <f t="shared" si="17"/>
        <v>0</v>
      </c>
      <c r="AE42" s="129">
        <f t="shared" si="17"/>
        <v>0</v>
      </c>
      <c r="AF42" s="129">
        <f t="shared" si="17"/>
        <v>0</v>
      </c>
      <c r="AG42" s="129">
        <f t="shared" si="17"/>
        <v>0</v>
      </c>
      <c r="AH42" s="129">
        <f t="shared" si="17"/>
        <v>0</v>
      </c>
      <c r="AI42" s="129">
        <f t="shared" si="17"/>
        <v>0</v>
      </c>
      <c r="AJ42" s="129">
        <f t="shared" si="17"/>
        <v>0</v>
      </c>
      <c r="AK42" s="129">
        <f t="shared" si="17"/>
        <v>0</v>
      </c>
      <c r="AL42" s="129">
        <f t="shared" si="17"/>
        <v>0</v>
      </c>
      <c r="AM42" s="129">
        <f t="shared" si="17"/>
        <v>0</v>
      </c>
      <c r="AN42" s="129">
        <f t="shared" si="17"/>
        <v>0</v>
      </c>
      <c r="AO42" s="129">
        <f t="shared" si="17"/>
        <v>0</v>
      </c>
      <c r="AP42" s="129">
        <f t="shared" si="17"/>
        <v>0</v>
      </c>
      <c r="AQ42" s="129">
        <f t="shared" si="2"/>
        <v>0</v>
      </c>
      <c r="AR42" s="129">
        <f t="shared" si="12"/>
        <v>0</v>
      </c>
      <c r="AS42" s="129"/>
      <c r="AT42" s="129">
        <f>SUM(AT43:AT45)</f>
        <v>0</v>
      </c>
      <c r="AU42" s="131">
        <f t="shared" si="3"/>
        <v>0</v>
      </c>
      <c r="AV42" s="131">
        <f t="shared" si="4"/>
        <v>0</v>
      </c>
      <c r="AW42" s="131">
        <f t="shared" si="5"/>
        <v>0</v>
      </c>
      <c r="AX42" s="131">
        <f t="shared" si="6"/>
        <v>0</v>
      </c>
      <c r="AY42" s="131">
        <f t="shared" si="13"/>
        <v>0</v>
      </c>
      <c r="AZ42" s="131">
        <f t="shared" si="13"/>
        <v>0</v>
      </c>
      <c r="BA42" s="129">
        <f t="shared" si="14"/>
        <v>0</v>
      </c>
      <c r="BB42" s="99"/>
      <c r="BC42"/>
    </row>
    <row r="43" spans="1:55" ht="15" customHeight="1" x14ac:dyDescent="0.25">
      <c r="A43" s="97" t="s">
        <v>66</v>
      </c>
      <c r="B43" s="123" t="s">
        <v>139</v>
      </c>
      <c r="C43" s="115">
        <v>25</v>
      </c>
      <c r="D43" s="121">
        <f>AT43*AU43*AW43</f>
        <v>0</v>
      </c>
      <c r="E43" s="17">
        <f>ROUND(AT43*AV43*AX43,4)</f>
        <v>0</v>
      </c>
      <c r="F43" s="81"/>
      <c r="G43" s="81"/>
      <c r="H43" s="82"/>
      <c r="I43" s="82"/>
      <c r="J43" s="14" t="s">
        <v>55</v>
      </c>
      <c r="K43" s="84"/>
      <c r="L43" s="84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>
        <f t="shared" si="2"/>
        <v>0</v>
      </c>
      <c r="AR43" s="16">
        <f t="shared" si="12"/>
        <v>0</v>
      </c>
      <c r="AS43" s="16"/>
      <c r="AT43" s="16"/>
      <c r="AU43" s="82">
        <f t="shared" si="3"/>
        <v>0</v>
      </c>
      <c r="AV43" s="82">
        <f t="shared" si="4"/>
        <v>0</v>
      </c>
      <c r="AW43" s="82">
        <f t="shared" si="5"/>
        <v>0</v>
      </c>
      <c r="AX43" s="82">
        <f t="shared" si="6"/>
        <v>0</v>
      </c>
      <c r="AY43" s="92">
        <f t="shared" si="13"/>
        <v>0</v>
      </c>
      <c r="AZ43" s="92">
        <f t="shared" si="13"/>
        <v>0</v>
      </c>
      <c r="BA43" s="95">
        <f t="shared" si="14"/>
        <v>0</v>
      </c>
      <c r="BB43" s="86"/>
      <c r="BC43"/>
    </row>
    <row r="44" spans="1:55" ht="15" hidden="1" customHeight="1" x14ac:dyDescent="0.25">
      <c r="A44" s="72" t="s">
        <v>67</v>
      </c>
      <c r="B44" s="123"/>
      <c r="C44" s="111">
        <v>31</v>
      </c>
      <c r="D44" s="121">
        <f>AT44*AU44*AW44</f>
        <v>0</v>
      </c>
      <c r="E44" s="15">
        <f t="shared" si="15"/>
        <v>0</v>
      </c>
      <c r="F44" s="19"/>
      <c r="G44" s="19"/>
      <c r="H44" s="18"/>
      <c r="I44" s="18"/>
      <c r="J44" s="7" t="s">
        <v>55</v>
      </c>
      <c r="K44" s="20"/>
      <c r="L44" s="20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7">
        <f t="shared" si="2"/>
        <v>0</v>
      </c>
      <c r="AR44" s="16">
        <f t="shared" si="12"/>
        <v>0</v>
      </c>
      <c r="AS44" s="15"/>
      <c r="AT44" s="15"/>
      <c r="AU44" s="82">
        <f t="shared" si="3"/>
        <v>0</v>
      </c>
      <c r="AV44" s="82">
        <f t="shared" si="4"/>
        <v>0</v>
      </c>
      <c r="AW44" s="82">
        <f t="shared" si="5"/>
        <v>0</v>
      </c>
      <c r="AX44" s="82">
        <f t="shared" si="6"/>
        <v>0</v>
      </c>
      <c r="AY44" s="92">
        <f t="shared" si="13"/>
        <v>0</v>
      </c>
      <c r="AZ44" s="92">
        <f t="shared" si="13"/>
        <v>0</v>
      </c>
      <c r="BA44" s="95">
        <f t="shared" si="14"/>
        <v>0</v>
      </c>
      <c r="BB44" s="75"/>
      <c r="BC44"/>
    </row>
    <row r="45" spans="1:55" ht="15" customHeight="1" thickBot="1" x14ac:dyDescent="0.3">
      <c r="A45" s="103" t="s">
        <v>67</v>
      </c>
      <c r="B45" s="123" t="s">
        <v>140</v>
      </c>
      <c r="C45" s="114">
        <v>38</v>
      </c>
      <c r="D45" s="121">
        <f>AT45*AU45*AW45</f>
        <v>0</v>
      </c>
      <c r="E45" s="16">
        <f>ROUND(AT45*AV45*AX45,4)</f>
        <v>0</v>
      </c>
      <c r="F45" s="91"/>
      <c r="G45" s="91"/>
      <c r="H45" s="92"/>
      <c r="I45" s="92"/>
      <c r="J45" s="13" t="s">
        <v>55</v>
      </c>
      <c r="K45" s="94"/>
      <c r="L45" s="94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7">
        <f t="shared" si="2"/>
        <v>0</v>
      </c>
      <c r="AR45" s="16">
        <f t="shared" si="12"/>
        <v>0</v>
      </c>
      <c r="AS45" s="16"/>
      <c r="AT45" s="16"/>
      <c r="AU45" s="82">
        <f t="shared" si="3"/>
        <v>0</v>
      </c>
      <c r="AV45" s="82">
        <f t="shared" si="4"/>
        <v>0</v>
      </c>
      <c r="AW45" s="82">
        <f t="shared" si="5"/>
        <v>0</v>
      </c>
      <c r="AX45" s="82">
        <f t="shared" si="6"/>
        <v>0</v>
      </c>
      <c r="AY45" s="92">
        <f t="shared" si="13"/>
        <v>0</v>
      </c>
      <c r="AZ45" s="92">
        <f t="shared" si="13"/>
        <v>0</v>
      </c>
      <c r="BA45" s="95">
        <f t="shared" si="14"/>
        <v>0</v>
      </c>
      <c r="BB45" s="96"/>
      <c r="BC45"/>
    </row>
    <row r="46" spans="1:55" ht="15" customHeight="1" thickBot="1" x14ac:dyDescent="0.3">
      <c r="A46" s="102" t="s">
        <v>82</v>
      </c>
      <c r="B46" s="124"/>
      <c r="C46" s="87"/>
      <c r="D46" s="132">
        <f>SUM(D47:D51)</f>
        <v>0</v>
      </c>
      <c r="E46" s="129">
        <f>SUM(E47:E51)</f>
        <v>0</v>
      </c>
      <c r="F46" s="129">
        <f>SUM(F47:F51)</f>
        <v>0</v>
      </c>
      <c r="G46" s="129"/>
      <c r="H46" s="131">
        <f>SUM(H47:H51)</f>
        <v>0</v>
      </c>
      <c r="I46" s="131">
        <f>SUM(I47:I51)</f>
        <v>0</v>
      </c>
      <c r="J46" s="88"/>
      <c r="K46" s="130"/>
      <c r="L46" s="130"/>
      <c r="M46" s="129">
        <f>SUM(M47:M51)</f>
        <v>0</v>
      </c>
      <c r="N46" s="129">
        <f t="shared" ref="N46:AP46" si="18">SUM(N47:N51)</f>
        <v>0</v>
      </c>
      <c r="O46" s="129">
        <f t="shared" si="18"/>
        <v>0</v>
      </c>
      <c r="P46" s="129">
        <f t="shared" si="18"/>
        <v>0</v>
      </c>
      <c r="Q46" s="129">
        <f t="shared" si="18"/>
        <v>0</v>
      </c>
      <c r="R46" s="129">
        <f t="shared" si="18"/>
        <v>0</v>
      </c>
      <c r="S46" s="129">
        <f t="shared" si="18"/>
        <v>0</v>
      </c>
      <c r="T46" s="129">
        <f t="shared" si="18"/>
        <v>0</v>
      </c>
      <c r="U46" s="129">
        <f t="shared" si="18"/>
        <v>0</v>
      </c>
      <c r="V46" s="129">
        <f t="shared" si="18"/>
        <v>0</v>
      </c>
      <c r="W46" s="129">
        <f t="shared" si="18"/>
        <v>0</v>
      </c>
      <c r="X46" s="129">
        <f t="shared" si="18"/>
        <v>0</v>
      </c>
      <c r="Y46" s="129">
        <f t="shared" si="18"/>
        <v>0</v>
      </c>
      <c r="Z46" s="129">
        <f t="shared" si="18"/>
        <v>0</v>
      </c>
      <c r="AA46" s="129">
        <f t="shared" si="18"/>
        <v>0</v>
      </c>
      <c r="AB46" s="129">
        <f t="shared" si="18"/>
        <v>0</v>
      </c>
      <c r="AC46" s="129">
        <f t="shared" si="18"/>
        <v>0</v>
      </c>
      <c r="AD46" s="129">
        <f t="shared" si="18"/>
        <v>0</v>
      </c>
      <c r="AE46" s="129">
        <f t="shared" si="18"/>
        <v>0</v>
      </c>
      <c r="AF46" s="129">
        <f t="shared" si="18"/>
        <v>0</v>
      </c>
      <c r="AG46" s="129">
        <f t="shared" si="18"/>
        <v>0</v>
      </c>
      <c r="AH46" s="129">
        <f t="shared" si="18"/>
        <v>0</v>
      </c>
      <c r="AI46" s="129">
        <f t="shared" si="18"/>
        <v>0</v>
      </c>
      <c r="AJ46" s="129">
        <f t="shared" si="18"/>
        <v>0</v>
      </c>
      <c r="AK46" s="129">
        <f t="shared" si="18"/>
        <v>0</v>
      </c>
      <c r="AL46" s="129">
        <f t="shared" si="18"/>
        <v>0</v>
      </c>
      <c r="AM46" s="129">
        <f t="shared" si="18"/>
        <v>0</v>
      </c>
      <c r="AN46" s="129">
        <f t="shared" si="18"/>
        <v>0</v>
      </c>
      <c r="AO46" s="129">
        <f t="shared" si="18"/>
        <v>0</v>
      </c>
      <c r="AP46" s="129">
        <f t="shared" si="18"/>
        <v>0</v>
      </c>
      <c r="AQ46" s="129">
        <f t="shared" si="2"/>
        <v>0</v>
      </c>
      <c r="AR46" s="129">
        <f t="shared" si="12"/>
        <v>0</v>
      </c>
      <c r="AS46" s="129"/>
      <c r="AT46" s="129">
        <f>SUM(AT47:AT51)</f>
        <v>0</v>
      </c>
      <c r="AU46" s="131">
        <f t="shared" si="3"/>
        <v>0</v>
      </c>
      <c r="AV46" s="131">
        <f t="shared" si="4"/>
        <v>0</v>
      </c>
      <c r="AW46" s="131">
        <f t="shared" si="5"/>
        <v>0</v>
      </c>
      <c r="AX46" s="131">
        <f t="shared" si="6"/>
        <v>0</v>
      </c>
      <c r="AY46" s="131">
        <f t="shared" si="13"/>
        <v>0</v>
      </c>
      <c r="AZ46" s="131">
        <f t="shared" si="13"/>
        <v>0</v>
      </c>
      <c r="BA46" s="129">
        <f t="shared" si="14"/>
        <v>0</v>
      </c>
      <c r="BB46" s="99"/>
      <c r="BC46"/>
    </row>
    <row r="47" spans="1:55" ht="15" customHeight="1" x14ac:dyDescent="0.25">
      <c r="A47" s="97" t="s">
        <v>46</v>
      </c>
      <c r="B47" s="123" t="s">
        <v>141</v>
      </c>
      <c r="C47" s="115">
        <v>28</v>
      </c>
      <c r="D47" s="121">
        <f>AT47*AU47*AW47</f>
        <v>0</v>
      </c>
      <c r="E47" s="17">
        <f>ROUND(AT47*AV47*AX47,4)</f>
        <v>0</v>
      </c>
      <c r="F47" s="81"/>
      <c r="G47" s="81"/>
      <c r="H47" s="82"/>
      <c r="I47" s="82"/>
      <c r="J47" s="14" t="s">
        <v>55</v>
      </c>
      <c r="K47" s="84"/>
      <c r="L47" s="84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>
        <f t="shared" si="2"/>
        <v>0</v>
      </c>
      <c r="AR47" s="16">
        <f t="shared" si="12"/>
        <v>0</v>
      </c>
      <c r="AS47" s="16"/>
      <c r="AT47" s="16"/>
      <c r="AU47" s="82">
        <f t="shared" si="3"/>
        <v>0</v>
      </c>
      <c r="AV47" s="82">
        <f t="shared" si="4"/>
        <v>0</v>
      </c>
      <c r="AW47" s="82">
        <f t="shared" si="5"/>
        <v>0</v>
      </c>
      <c r="AX47" s="82">
        <f t="shared" si="6"/>
        <v>0</v>
      </c>
      <c r="AY47" s="92">
        <f t="shared" si="13"/>
        <v>0</v>
      </c>
      <c r="AZ47" s="92">
        <f t="shared" si="13"/>
        <v>0</v>
      </c>
      <c r="BA47" s="95">
        <f t="shared" si="14"/>
        <v>0</v>
      </c>
      <c r="BB47" s="86"/>
      <c r="BC47"/>
    </row>
    <row r="48" spans="1:55" ht="15" customHeight="1" thickBot="1" x14ac:dyDescent="0.3">
      <c r="A48" s="71" t="s">
        <v>45</v>
      </c>
      <c r="B48" s="123" t="s">
        <v>142</v>
      </c>
      <c r="C48" s="112">
        <v>33</v>
      </c>
      <c r="D48" s="121">
        <f>AT48*AU48*AW48</f>
        <v>0</v>
      </c>
      <c r="E48" s="17">
        <f>ROUND(AT48*AV48*AX48,4)</f>
        <v>0</v>
      </c>
      <c r="F48" s="19"/>
      <c r="G48" s="19"/>
      <c r="H48" s="18"/>
      <c r="I48" s="18"/>
      <c r="J48" s="7" t="s">
        <v>55</v>
      </c>
      <c r="K48" s="20"/>
      <c r="L48" s="20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7">
        <f t="shared" si="2"/>
        <v>0</v>
      </c>
      <c r="AR48" s="16">
        <f t="shared" si="12"/>
        <v>0</v>
      </c>
      <c r="AS48" s="16"/>
      <c r="AT48" s="16"/>
      <c r="AU48" s="82">
        <f t="shared" si="3"/>
        <v>0</v>
      </c>
      <c r="AV48" s="82">
        <f t="shared" si="4"/>
        <v>0</v>
      </c>
      <c r="AW48" s="82">
        <f t="shared" si="5"/>
        <v>0</v>
      </c>
      <c r="AX48" s="82">
        <f t="shared" si="6"/>
        <v>0</v>
      </c>
      <c r="AY48" s="92">
        <f t="shared" si="13"/>
        <v>0</v>
      </c>
      <c r="AZ48" s="92">
        <f t="shared" si="13"/>
        <v>0</v>
      </c>
      <c r="BA48" s="95">
        <f t="shared" si="14"/>
        <v>0</v>
      </c>
      <c r="BB48" s="75"/>
      <c r="BC48"/>
    </row>
    <row r="49" spans="1:55" ht="15" hidden="1" customHeight="1" x14ac:dyDescent="0.3">
      <c r="A49" s="72" t="s">
        <v>48</v>
      </c>
      <c r="B49" s="111"/>
      <c r="C49" s="111">
        <v>35</v>
      </c>
      <c r="D49" s="120">
        <f t="shared" ref="D49:D51" si="19">AS49*AW49*AU49</f>
        <v>0</v>
      </c>
      <c r="E49" s="15">
        <f t="shared" si="15"/>
        <v>0</v>
      </c>
      <c r="F49" s="19"/>
      <c r="G49" s="19"/>
      <c r="H49" s="18"/>
      <c r="I49" s="18"/>
      <c r="J49" s="7" t="s">
        <v>55</v>
      </c>
      <c r="K49" s="20"/>
      <c r="L49" s="20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7">
        <f t="shared" si="2"/>
        <v>0</v>
      </c>
      <c r="AR49" s="16">
        <f t="shared" si="12"/>
        <v>0</v>
      </c>
      <c r="AS49" s="15"/>
      <c r="AT49" s="15"/>
      <c r="AU49" s="92">
        <f t="shared" si="3"/>
        <v>0</v>
      </c>
      <c r="AV49" s="92">
        <f t="shared" si="4"/>
        <v>0</v>
      </c>
      <c r="AW49" s="92">
        <f t="shared" si="5"/>
        <v>0</v>
      </c>
      <c r="AX49" s="92">
        <f t="shared" si="6"/>
        <v>0</v>
      </c>
      <c r="AY49" s="92">
        <f t="shared" si="13"/>
        <v>0</v>
      </c>
      <c r="AZ49" s="92">
        <f t="shared" si="13"/>
        <v>0</v>
      </c>
      <c r="BA49" s="95">
        <f t="shared" si="14"/>
        <v>0</v>
      </c>
      <c r="BB49" s="75"/>
      <c r="BC49"/>
    </row>
    <row r="50" spans="1:55" ht="15" hidden="1" customHeight="1" x14ac:dyDescent="0.3">
      <c r="A50" s="72" t="s">
        <v>47</v>
      </c>
      <c r="B50" s="111"/>
      <c r="C50" s="111">
        <v>36</v>
      </c>
      <c r="D50" s="120">
        <f t="shared" si="19"/>
        <v>0</v>
      </c>
      <c r="E50" s="15">
        <f t="shared" si="15"/>
        <v>0</v>
      </c>
      <c r="F50" s="19"/>
      <c r="G50" s="19"/>
      <c r="H50" s="18"/>
      <c r="I50" s="18"/>
      <c r="J50" s="7" t="s">
        <v>55</v>
      </c>
      <c r="K50" s="20"/>
      <c r="L50" s="20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7">
        <f t="shared" si="2"/>
        <v>0</v>
      </c>
      <c r="AR50" s="16">
        <f t="shared" si="12"/>
        <v>0</v>
      </c>
      <c r="AS50" s="15"/>
      <c r="AT50" s="15"/>
      <c r="AU50" s="92">
        <f t="shared" si="3"/>
        <v>0</v>
      </c>
      <c r="AV50" s="92">
        <f t="shared" si="4"/>
        <v>0</v>
      </c>
      <c r="AW50" s="92">
        <f t="shared" si="5"/>
        <v>0</v>
      </c>
      <c r="AX50" s="92">
        <f t="shared" si="6"/>
        <v>0</v>
      </c>
      <c r="AY50" s="92">
        <f t="shared" si="13"/>
        <v>0</v>
      </c>
      <c r="AZ50" s="92">
        <f t="shared" si="13"/>
        <v>0</v>
      </c>
      <c r="BA50" s="95">
        <f t="shared" si="14"/>
        <v>0</v>
      </c>
      <c r="BB50" s="75"/>
      <c r="BC50"/>
    </row>
    <row r="51" spans="1:55" ht="15" hidden="1" customHeight="1" thickBot="1" x14ac:dyDescent="0.3">
      <c r="A51" s="100" t="s">
        <v>64</v>
      </c>
      <c r="B51" s="116"/>
      <c r="C51" s="116">
        <v>37</v>
      </c>
      <c r="D51" s="121">
        <f t="shared" si="19"/>
        <v>0</v>
      </c>
      <c r="E51" s="16">
        <f t="shared" si="15"/>
        <v>0</v>
      </c>
      <c r="F51" s="91"/>
      <c r="G51" s="91"/>
      <c r="H51" s="92"/>
      <c r="I51" s="92"/>
      <c r="J51" s="13" t="s">
        <v>55</v>
      </c>
      <c r="K51" s="94"/>
      <c r="L51" s="94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7">
        <f t="shared" si="2"/>
        <v>0</v>
      </c>
      <c r="AR51" s="16">
        <f t="shared" si="12"/>
        <v>0</v>
      </c>
      <c r="AS51" s="16"/>
      <c r="AT51" s="16"/>
      <c r="AU51" s="92">
        <f t="shared" si="3"/>
        <v>0</v>
      </c>
      <c r="AV51" s="92">
        <f t="shared" si="4"/>
        <v>0</v>
      </c>
      <c r="AW51" s="92">
        <f t="shared" si="5"/>
        <v>0</v>
      </c>
      <c r="AX51" s="92">
        <f t="shared" si="6"/>
        <v>0</v>
      </c>
      <c r="AY51" s="92">
        <f t="shared" si="13"/>
        <v>0</v>
      </c>
      <c r="AZ51" s="92">
        <f t="shared" si="13"/>
        <v>0</v>
      </c>
      <c r="BA51" s="95">
        <f t="shared" si="14"/>
        <v>0</v>
      </c>
      <c r="BB51" s="96"/>
      <c r="BC51"/>
    </row>
    <row r="52" spans="1:55" ht="15" customHeight="1" thickBot="1" x14ac:dyDescent="0.3">
      <c r="A52" s="102" t="s">
        <v>49</v>
      </c>
      <c r="B52" s="124"/>
      <c r="C52" s="87"/>
      <c r="D52" s="132">
        <f>SUM(D53:D54)</f>
        <v>0</v>
      </c>
      <c r="E52" s="129">
        <f>SUM(E53:E54)</f>
        <v>0</v>
      </c>
      <c r="F52" s="129">
        <f>SUM(F53:F54)</f>
        <v>0</v>
      </c>
      <c r="G52" s="129"/>
      <c r="H52" s="131">
        <f>SUM(H53:H54)</f>
        <v>0</v>
      </c>
      <c r="I52" s="131">
        <f>SUM(I53:I54)</f>
        <v>0</v>
      </c>
      <c r="J52" s="88"/>
      <c r="K52" s="130"/>
      <c r="L52" s="130"/>
      <c r="M52" s="129">
        <f>SUM(M53:M54)</f>
        <v>0</v>
      </c>
      <c r="N52" s="129">
        <f t="shared" ref="N52:AP52" si="20">SUM(N53:N54)</f>
        <v>0</v>
      </c>
      <c r="O52" s="129">
        <f t="shared" si="20"/>
        <v>0</v>
      </c>
      <c r="P52" s="129">
        <f t="shared" si="20"/>
        <v>0</v>
      </c>
      <c r="Q52" s="129">
        <f t="shared" si="20"/>
        <v>0</v>
      </c>
      <c r="R52" s="129">
        <f t="shared" si="20"/>
        <v>0</v>
      </c>
      <c r="S52" s="129">
        <f t="shared" si="20"/>
        <v>0</v>
      </c>
      <c r="T52" s="129">
        <f t="shared" si="20"/>
        <v>0</v>
      </c>
      <c r="U52" s="129">
        <f t="shared" si="20"/>
        <v>0</v>
      </c>
      <c r="V52" s="129">
        <f t="shared" si="20"/>
        <v>0</v>
      </c>
      <c r="W52" s="129">
        <f t="shared" si="20"/>
        <v>0</v>
      </c>
      <c r="X52" s="129">
        <f t="shared" si="20"/>
        <v>0</v>
      </c>
      <c r="Y52" s="129">
        <f t="shared" si="20"/>
        <v>0</v>
      </c>
      <c r="Z52" s="129">
        <f t="shared" si="20"/>
        <v>0</v>
      </c>
      <c r="AA52" s="129">
        <f t="shared" si="20"/>
        <v>0</v>
      </c>
      <c r="AB52" s="129">
        <f t="shared" si="20"/>
        <v>0</v>
      </c>
      <c r="AC52" s="129">
        <f t="shared" si="20"/>
        <v>0</v>
      </c>
      <c r="AD52" s="129">
        <f t="shared" si="20"/>
        <v>0</v>
      </c>
      <c r="AE52" s="129">
        <f t="shared" si="20"/>
        <v>0</v>
      </c>
      <c r="AF52" s="129">
        <f t="shared" si="20"/>
        <v>0</v>
      </c>
      <c r="AG52" s="129">
        <f t="shared" si="20"/>
        <v>0</v>
      </c>
      <c r="AH52" s="129">
        <f t="shared" si="20"/>
        <v>0</v>
      </c>
      <c r="AI52" s="129">
        <f t="shared" si="20"/>
        <v>0</v>
      </c>
      <c r="AJ52" s="129">
        <f t="shared" si="20"/>
        <v>0</v>
      </c>
      <c r="AK52" s="129">
        <f t="shared" si="20"/>
        <v>0</v>
      </c>
      <c r="AL52" s="129">
        <f t="shared" si="20"/>
        <v>0</v>
      </c>
      <c r="AM52" s="129">
        <f t="shared" si="20"/>
        <v>0</v>
      </c>
      <c r="AN52" s="129">
        <f t="shared" si="20"/>
        <v>0</v>
      </c>
      <c r="AO52" s="129">
        <f t="shared" si="20"/>
        <v>0</v>
      </c>
      <c r="AP52" s="129">
        <f t="shared" si="20"/>
        <v>0</v>
      </c>
      <c r="AQ52" s="129">
        <f t="shared" si="2"/>
        <v>0</v>
      </c>
      <c r="AR52" s="129">
        <f t="shared" si="12"/>
        <v>0</v>
      </c>
      <c r="AS52" s="129"/>
      <c r="AT52" s="129">
        <f>SUM(AT53:AT54)</f>
        <v>0</v>
      </c>
      <c r="AU52" s="131">
        <f t="shared" si="3"/>
        <v>0</v>
      </c>
      <c r="AV52" s="131">
        <f t="shared" si="4"/>
        <v>0</v>
      </c>
      <c r="AW52" s="131">
        <f t="shared" si="5"/>
        <v>0</v>
      </c>
      <c r="AX52" s="131">
        <f t="shared" si="6"/>
        <v>0</v>
      </c>
      <c r="AY52" s="131">
        <f t="shared" si="13"/>
        <v>0</v>
      </c>
      <c r="AZ52" s="131">
        <f t="shared" si="13"/>
        <v>0</v>
      </c>
      <c r="BA52" s="129">
        <f t="shared" si="14"/>
        <v>0</v>
      </c>
      <c r="BB52" s="99"/>
      <c r="BC52"/>
    </row>
    <row r="53" spans="1:55" ht="15" customHeight="1" x14ac:dyDescent="0.25">
      <c r="A53" s="97" t="s">
        <v>51</v>
      </c>
      <c r="B53" s="123" t="s">
        <v>143</v>
      </c>
      <c r="C53" s="115">
        <v>4</v>
      </c>
      <c r="D53" s="121">
        <f>AT53*AU53*AW53</f>
        <v>0</v>
      </c>
      <c r="E53" s="17">
        <f>ROUND(AT53*AV53*AX53,4)</f>
        <v>0</v>
      </c>
      <c r="F53" s="81"/>
      <c r="G53" s="81"/>
      <c r="H53" s="82"/>
      <c r="I53" s="82"/>
      <c r="J53" s="14" t="s">
        <v>83</v>
      </c>
      <c r="K53" s="84"/>
      <c r="L53" s="84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>
        <f t="shared" si="2"/>
        <v>0</v>
      </c>
      <c r="AR53" s="16">
        <f t="shared" si="12"/>
        <v>0</v>
      </c>
      <c r="AS53" s="16"/>
      <c r="AT53" s="16"/>
      <c r="AU53" s="82">
        <f t="shared" si="3"/>
        <v>0</v>
      </c>
      <c r="AV53" s="82">
        <f t="shared" si="4"/>
        <v>0</v>
      </c>
      <c r="AW53" s="82">
        <f t="shared" si="5"/>
        <v>0</v>
      </c>
      <c r="AX53" s="82">
        <f t="shared" si="6"/>
        <v>0</v>
      </c>
      <c r="AY53" s="92">
        <f t="shared" si="13"/>
        <v>0</v>
      </c>
      <c r="AZ53" s="92">
        <f t="shared" si="13"/>
        <v>0</v>
      </c>
      <c r="BA53" s="95">
        <f t="shared" si="14"/>
        <v>0</v>
      </c>
      <c r="BB53" s="86"/>
      <c r="BC53"/>
    </row>
    <row r="54" spans="1:55" ht="15" customHeight="1" thickBot="1" x14ac:dyDescent="0.3">
      <c r="A54" s="104" t="s">
        <v>50</v>
      </c>
      <c r="B54" s="123" t="s">
        <v>153</v>
      </c>
      <c r="C54" s="117">
        <v>5</v>
      </c>
      <c r="D54" s="121">
        <f>AT54*AU54*AW54</f>
        <v>0</v>
      </c>
      <c r="E54" s="17">
        <f>ROUND(AT54*AV54*AX54,4)</f>
        <v>0</v>
      </c>
      <c r="F54" s="91"/>
      <c r="G54" s="91"/>
      <c r="H54" s="92"/>
      <c r="I54" s="92"/>
      <c r="J54" s="13" t="s">
        <v>83</v>
      </c>
      <c r="K54" s="94"/>
      <c r="L54" s="94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7">
        <f t="shared" si="2"/>
        <v>0</v>
      </c>
      <c r="AR54" s="16">
        <f t="shared" si="12"/>
        <v>0</v>
      </c>
      <c r="AS54" s="16"/>
      <c r="AT54" s="16"/>
      <c r="AU54" s="82">
        <f t="shared" si="3"/>
        <v>0</v>
      </c>
      <c r="AV54" s="82">
        <f t="shared" si="4"/>
        <v>0</v>
      </c>
      <c r="AW54" s="82">
        <f t="shared" si="5"/>
        <v>0</v>
      </c>
      <c r="AX54" s="82">
        <f t="shared" si="6"/>
        <v>0</v>
      </c>
      <c r="AY54" s="92">
        <f t="shared" si="13"/>
        <v>0</v>
      </c>
      <c r="AZ54" s="92">
        <f t="shared" si="13"/>
        <v>0</v>
      </c>
      <c r="BA54" s="95">
        <f t="shared" si="14"/>
        <v>0</v>
      </c>
      <c r="BB54" s="96"/>
      <c r="BC54"/>
    </row>
    <row r="55" spans="1:55" ht="15" customHeight="1" thickBot="1" x14ac:dyDescent="0.3">
      <c r="A55" s="87" t="s">
        <v>52</v>
      </c>
      <c r="B55" s="124"/>
      <c r="C55" s="87"/>
      <c r="D55" s="132">
        <f>SUM(D56:D61)</f>
        <v>0</v>
      </c>
      <c r="E55" s="129">
        <f>SUM(E56:E61)</f>
        <v>0</v>
      </c>
      <c r="F55" s="129">
        <f>SUM(F56:F61)</f>
        <v>0</v>
      </c>
      <c r="G55" s="129"/>
      <c r="H55" s="131"/>
      <c r="I55" s="131"/>
      <c r="J55" s="88"/>
      <c r="K55" s="130"/>
      <c r="L55" s="130"/>
      <c r="M55" s="129">
        <f>SUM(M56:M61)</f>
        <v>0</v>
      </c>
      <c r="N55" s="129">
        <f t="shared" ref="N55:AP55" si="21">SUM(N56:N61)</f>
        <v>0</v>
      </c>
      <c r="O55" s="129">
        <f t="shared" si="21"/>
        <v>0</v>
      </c>
      <c r="P55" s="129">
        <f t="shared" si="21"/>
        <v>0</v>
      </c>
      <c r="Q55" s="129">
        <f t="shared" si="21"/>
        <v>0</v>
      </c>
      <c r="R55" s="129">
        <f t="shared" si="21"/>
        <v>0</v>
      </c>
      <c r="S55" s="129">
        <f t="shared" si="21"/>
        <v>0</v>
      </c>
      <c r="T55" s="129">
        <f t="shared" si="21"/>
        <v>0</v>
      </c>
      <c r="U55" s="129">
        <f t="shared" si="21"/>
        <v>0</v>
      </c>
      <c r="V55" s="129">
        <f t="shared" si="21"/>
        <v>0</v>
      </c>
      <c r="W55" s="129">
        <f t="shared" si="21"/>
        <v>0</v>
      </c>
      <c r="X55" s="129">
        <f t="shared" si="21"/>
        <v>0</v>
      </c>
      <c r="Y55" s="129">
        <f t="shared" si="21"/>
        <v>0</v>
      </c>
      <c r="Z55" s="129">
        <f t="shared" si="21"/>
        <v>0</v>
      </c>
      <c r="AA55" s="129">
        <f t="shared" si="21"/>
        <v>0</v>
      </c>
      <c r="AB55" s="129">
        <f t="shared" si="21"/>
        <v>0</v>
      </c>
      <c r="AC55" s="129">
        <f t="shared" si="21"/>
        <v>0</v>
      </c>
      <c r="AD55" s="129">
        <f t="shared" si="21"/>
        <v>0</v>
      </c>
      <c r="AE55" s="129">
        <f t="shared" si="21"/>
        <v>0</v>
      </c>
      <c r="AF55" s="129">
        <f t="shared" si="21"/>
        <v>0</v>
      </c>
      <c r="AG55" s="129">
        <f t="shared" si="21"/>
        <v>0</v>
      </c>
      <c r="AH55" s="129">
        <f t="shared" si="21"/>
        <v>0</v>
      </c>
      <c r="AI55" s="129">
        <f t="shared" si="21"/>
        <v>0</v>
      </c>
      <c r="AJ55" s="129">
        <f t="shared" si="21"/>
        <v>0</v>
      </c>
      <c r="AK55" s="129">
        <f t="shared" si="21"/>
        <v>0</v>
      </c>
      <c r="AL55" s="129">
        <f t="shared" si="21"/>
        <v>0</v>
      </c>
      <c r="AM55" s="129">
        <f t="shared" si="21"/>
        <v>0</v>
      </c>
      <c r="AN55" s="129">
        <f t="shared" si="21"/>
        <v>0</v>
      </c>
      <c r="AO55" s="129">
        <f t="shared" si="21"/>
        <v>0</v>
      </c>
      <c r="AP55" s="129">
        <f t="shared" si="21"/>
        <v>0</v>
      </c>
      <c r="AQ55" s="129">
        <f t="shared" si="2"/>
        <v>0</v>
      </c>
      <c r="AR55" s="129">
        <f t="shared" si="12"/>
        <v>0</v>
      </c>
      <c r="AS55" s="129"/>
      <c r="AT55" s="129">
        <f>SUM(AT56:AT61)</f>
        <v>0</v>
      </c>
      <c r="AU55" s="131">
        <f t="shared" si="3"/>
        <v>0</v>
      </c>
      <c r="AV55" s="131">
        <f t="shared" si="4"/>
        <v>0</v>
      </c>
      <c r="AW55" s="131">
        <f t="shared" si="5"/>
        <v>0</v>
      </c>
      <c r="AX55" s="131">
        <f t="shared" si="6"/>
        <v>0</v>
      </c>
      <c r="AY55" s="131">
        <f t="shared" si="13"/>
        <v>0</v>
      </c>
      <c r="AZ55" s="131">
        <f t="shared" si="13"/>
        <v>0</v>
      </c>
      <c r="BA55" s="129">
        <f t="shared" si="14"/>
        <v>0</v>
      </c>
      <c r="BB55" s="99"/>
      <c r="BC55"/>
    </row>
    <row r="56" spans="1:55" ht="15" customHeight="1" x14ac:dyDescent="0.25">
      <c r="A56" s="145" t="s">
        <v>53</v>
      </c>
      <c r="B56" s="147" t="s">
        <v>144</v>
      </c>
      <c r="C56" s="146">
        <v>15</v>
      </c>
      <c r="D56" s="121">
        <f>AT56*AU56*AW56</f>
        <v>0</v>
      </c>
      <c r="E56" s="17">
        <f>ROUND(AT56*AV56*AX56,4)</f>
        <v>0</v>
      </c>
      <c r="F56" s="81"/>
      <c r="G56" s="81"/>
      <c r="H56" s="82"/>
      <c r="I56" s="82"/>
      <c r="J56" s="14" t="s">
        <v>55</v>
      </c>
      <c r="K56" s="84"/>
      <c r="L56" s="84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>
        <f t="shared" si="2"/>
        <v>0</v>
      </c>
      <c r="AR56" s="16">
        <f t="shared" si="12"/>
        <v>0</v>
      </c>
      <c r="AS56" s="16"/>
      <c r="AT56" s="16"/>
      <c r="AU56" s="82">
        <f t="shared" si="3"/>
        <v>0</v>
      </c>
      <c r="AV56" s="82">
        <f t="shared" si="4"/>
        <v>0</v>
      </c>
      <c r="AW56" s="82">
        <f t="shared" si="5"/>
        <v>0</v>
      </c>
      <c r="AX56" s="82">
        <f t="shared" si="6"/>
        <v>0</v>
      </c>
      <c r="AY56" s="92">
        <f t="shared" si="13"/>
        <v>0</v>
      </c>
      <c r="AZ56" s="92">
        <f t="shared" si="13"/>
        <v>0</v>
      </c>
      <c r="BA56" s="95">
        <f t="shared" si="14"/>
        <v>0</v>
      </c>
      <c r="BB56" s="86"/>
      <c r="BC56"/>
    </row>
    <row r="57" spans="1:55" ht="15" customHeight="1" x14ac:dyDescent="0.25">
      <c r="A57" s="71" t="s">
        <v>54</v>
      </c>
      <c r="B57" s="123" t="s">
        <v>145</v>
      </c>
      <c r="C57" s="112">
        <v>16</v>
      </c>
      <c r="D57" s="121">
        <f>AT57*AU57*AW57</f>
        <v>0</v>
      </c>
      <c r="E57" s="17">
        <f t="shared" ref="E57:E61" si="22">ROUND(AT57*AV57*AX57,4)</f>
        <v>0</v>
      </c>
      <c r="F57" s="19"/>
      <c r="G57" s="19"/>
      <c r="H57" s="18"/>
      <c r="I57" s="18"/>
      <c r="J57" s="7" t="s">
        <v>55</v>
      </c>
      <c r="K57" s="20"/>
      <c r="L57" s="20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7">
        <f t="shared" si="2"/>
        <v>0</v>
      </c>
      <c r="AR57" s="16">
        <f t="shared" si="12"/>
        <v>0</v>
      </c>
      <c r="AS57" s="16"/>
      <c r="AT57" s="16"/>
      <c r="AU57" s="82">
        <f t="shared" si="3"/>
        <v>0</v>
      </c>
      <c r="AV57" s="82">
        <f t="shared" si="4"/>
        <v>0</v>
      </c>
      <c r="AW57" s="82">
        <f t="shared" si="5"/>
        <v>0</v>
      </c>
      <c r="AX57" s="82">
        <f t="shared" si="6"/>
        <v>0</v>
      </c>
      <c r="AY57" s="92">
        <f t="shared" si="13"/>
        <v>0</v>
      </c>
      <c r="AZ57" s="92">
        <f t="shared" si="13"/>
        <v>0</v>
      </c>
      <c r="BA57" s="95">
        <f t="shared" si="14"/>
        <v>0</v>
      </c>
      <c r="BB57" s="75"/>
      <c r="BC57"/>
    </row>
    <row r="58" spans="1:55" ht="15" customHeight="1" x14ac:dyDescent="0.25">
      <c r="A58" s="73" t="s">
        <v>124</v>
      </c>
      <c r="B58" s="123" t="s">
        <v>146</v>
      </c>
      <c r="C58" s="113">
        <v>26</v>
      </c>
      <c r="D58" s="121">
        <f>AT58*AU58*AW58</f>
        <v>0</v>
      </c>
      <c r="E58" s="17">
        <f t="shared" si="22"/>
        <v>0</v>
      </c>
      <c r="F58" s="19"/>
      <c r="G58" s="19"/>
      <c r="H58" s="18"/>
      <c r="I58" s="18"/>
      <c r="J58" s="7" t="s">
        <v>55</v>
      </c>
      <c r="K58" s="20"/>
      <c r="L58" s="20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7">
        <f t="shared" si="2"/>
        <v>0</v>
      </c>
      <c r="AR58" s="16">
        <f t="shared" si="12"/>
        <v>0</v>
      </c>
      <c r="AS58" s="16"/>
      <c r="AT58" s="16"/>
      <c r="AU58" s="82">
        <f t="shared" si="3"/>
        <v>0</v>
      </c>
      <c r="AV58" s="82">
        <f t="shared" si="4"/>
        <v>0</v>
      </c>
      <c r="AW58" s="82">
        <f t="shared" si="5"/>
        <v>0</v>
      </c>
      <c r="AX58" s="82">
        <f t="shared" si="6"/>
        <v>0</v>
      </c>
      <c r="AY58" s="92">
        <f t="shared" si="13"/>
        <v>0</v>
      </c>
      <c r="AZ58" s="92">
        <f t="shared" si="13"/>
        <v>0</v>
      </c>
      <c r="BA58" s="95">
        <f t="shared" si="14"/>
        <v>0</v>
      </c>
      <c r="BB58" s="75"/>
      <c r="BC58"/>
    </row>
    <row r="59" spans="1:55" ht="15" customHeight="1" x14ac:dyDescent="0.25">
      <c r="A59" s="73" t="s">
        <v>125</v>
      </c>
      <c r="B59" s="123" t="s">
        <v>147</v>
      </c>
      <c r="C59" s="112">
        <v>30</v>
      </c>
      <c r="D59" s="121">
        <f t="shared" ref="D59:D61" si="23">AT59*AU59*AW59</f>
        <v>0</v>
      </c>
      <c r="E59" s="17">
        <f t="shared" si="22"/>
        <v>0</v>
      </c>
      <c r="F59" s="19"/>
      <c r="G59" s="19"/>
      <c r="H59" s="18"/>
      <c r="I59" s="18"/>
      <c r="J59" s="7" t="s">
        <v>55</v>
      </c>
      <c r="K59" s="20"/>
      <c r="L59" s="20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7">
        <f t="shared" si="2"/>
        <v>0</v>
      </c>
      <c r="AR59" s="16">
        <f t="shared" si="12"/>
        <v>0</v>
      </c>
      <c r="AS59" s="16"/>
      <c r="AT59" s="16"/>
      <c r="AU59" s="82">
        <f t="shared" si="3"/>
        <v>0</v>
      </c>
      <c r="AV59" s="82">
        <f t="shared" si="4"/>
        <v>0</v>
      </c>
      <c r="AW59" s="82">
        <f t="shared" si="5"/>
        <v>0</v>
      </c>
      <c r="AX59" s="82">
        <f t="shared" si="6"/>
        <v>0</v>
      </c>
      <c r="AY59" s="92">
        <f t="shared" si="13"/>
        <v>0</v>
      </c>
      <c r="AZ59" s="92">
        <f t="shared" si="13"/>
        <v>0</v>
      </c>
      <c r="BA59" s="95">
        <f t="shared" si="14"/>
        <v>0</v>
      </c>
      <c r="BB59" s="75"/>
      <c r="BC59"/>
    </row>
    <row r="60" spans="1:55" ht="15" customHeight="1" x14ac:dyDescent="0.25">
      <c r="A60" s="73" t="s">
        <v>151</v>
      </c>
      <c r="B60" s="148" t="s">
        <v>150</v>
      </c>
      <c r="C60" s="112">
        <v>32</v>
      </c>
      <c r="D60" s="121">
        <f t="shared" si="23"/>
        <v>0</v>
      </c>
      <c r="E60" s="17">
        <f t="shared" si="22"/>
        <v>0</v>
      </c>
      <c r="F60" s="19"/>
      <c r="G60" s="19"/>
      <c r="H60" s="18"/>
      <c r="I60" s="18"/>
      <c r="J60" s="7" t="s">
        <v>55</v>
      </c>
      <c r="K60" s="20"/>
      <c r="L60" s="20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7">
        <f t="shared" si="2"/>
        <v>0</v>
      </c>
      <c r="AR60" s="16">
        <f t="shared" si="12"/>
        <v>0</v>
      </c>
      <c r="AS60" s="16"/>
      <c r="AT60" s="16"/>
      <c r="AU60" s="82">
        <f t="shared" si="3"/>
        <v>0</v>
      </c>
      <c r="AV60" s="82">
        <f t="shared" si="4"/>
        <v>0</v>
      </c>
      <c r="AW60" s="82">
        <f t="shared" si="5"/>
        <v>0</v>
      </c>
      <c r="AX60" s="82">
        <f t="shared" si="6"/>
        <v>0</v>
      </c>
      <c r="AY60" s="92">
        <f t="shared" si="13"/>
        <v>0</v>
      </c>
      <c r="AZ60" s="92">
        <f t="shared" si="13"/>
        <v>0</v>
      </c>
      <c r="BA60" s="95">
        <f t="shared" si="14"/>
        <v>0</v>
      </c>
      <c r="BB60" s="75"/>
      <c r="BC60"/>
    </row>
    <row r="61" spans="1:55" ht="15.75" thickBot="1" x14ac:dyDescent="0.3">
      <c r="A61" s="143" t="s">
        <v>152</v>
      </c>
      <c r="B61" s="125" t="s">
        <v>154</v>
      </c>
      <c r="C61" s="144">
        <v>24</v>
      </c>
      <c r="D61" s="122">
        <f t="shared" si="23"/>
        <v>0</v>
      </c>
      <c r="E61" s="149">
        <f t="shared" si="22"/>
        <v>0</v>
      </c>
      <c r="F61" s="64"/>
      <c r="G61" s="64"/>
      <c r="H61" s="65"/>
      <c r="I61" s="65"/>
      <c r="J61" s="66" t="s">
        <v>55</v>
      </c>
      <c r="K61" s="67"/>
      <c r="L61" s="67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149">
        <f t="shared" si="2"/>
        <v>0</v>
      </c>
      <c r="AR61" s="63">
        <f t="shared" si="12"/>
        <v>0</v>
      </c>
      <c r="AS61" s="63"/>
      <c r="AT61" s="63"/>
      <c r="AU61" s="150">
        <f t="shared" si="3"/>
        <v>0</v>
      </c>
      <c r="AV61" s="150">
        <f t="shared" si="4"/>
        <v>0</v>
      </c>
      <c r="AW61" s="150">
        <f t="shared" si="5"/>
        <v>0</v>
      </c>
      <c r="AX61" s="150">
        <f t="shared" si="6"/>
        <v>0</v>
      </c>
      <c r="AY61" s="65">
        <f t="shared" si="13"/>
        <v>0</v>
      </c>
      <c r="AZ61" s="65">
        <f t="shared" si="13"/>
        <v>0</v>
      </c>
      <c r="BA61" s="151">
        <f t="shared" si="14"/>
        <v>0</v>
      </c>
      <c r="BB61" s="76"/>
    </row>
    <row r="62" spans="1:55" x14ac:dyDescent="0.25">
      <c r="C62" s="2"/>
      <c r="D62" s="3"/>
      <c r="F62" s="2"/>
      <c r="G62" s="2"/>
      <c r="H62" s="1"/>
      <c r="I62" s="1"/>
      <c r="M62" s="5"/>
      <c r="O62" s="4"/>
      <c r="P62" s="5"/>
      <c r="Q62" s="5"/>
      <c r="U62" s="2"/>
      <c r="V62" s="2"/>
      <c r="W62" s="2"/>
      <c r="X62" s="2"/>
      <c r="Y62" s="1"/>
      <c r="Z62" s="1"/>
      <c r="AA62" s="1"/>
      <c r="AB62" s="1"/>
    </row>
    <row r="63" spans="1:55" x14ac:dyDescent="0.25">
      <c r="A63" s="10"/>
      <c r="B63" s="10"/>
      <c r="C63" s="10"/>
      <c r="D63" s="3"/>
      <c r="F63" s="2"/>
      <c r="G63" s="2"/>
      <c r="H63" s="1"/>
      <c r="I63" s="1"/>
      <c r="M63" s="5"/>
      <c r="O63" s="4"/>
      <c r="P63" s="5"/>
      <c r="Q63" s="5"/>
      <c r="U63" s="2"/>
      <c r="V63" s="2"/>
      <c r="W63" s="2"/>
      <c r="X63" s="2"/>
      <c r="Y63" s="1"/>
      <c r="Z63" s="1"/>
      <c r="AA63" s="1"/>
      <c r="AB63" s="1"/>
    </row>
    <row r="64" spans="1:55" x14ac:dyDescent="0.2">
      <c r="A64" s="6" t="s">
        <v>126</v>
      </c>
      <c r="B64" s="6"/>
      <c r="C64" s="6"/>
      <c r="D64" s="6"/>
      <c r="F64" s="2"/>
      <c r="G64" s="2"/>
      <c r="H64" s="1"/>
      <c r="I64" s="1"/>
      <c r="M64" s="5"/>
      <c r="O64" s="4"/>
      <c r="P64" s="5"/>
      <c r="Q64" s="5"/>
      <c r="U64" s="2"/>
      <c r="V64" s="2"/>
      <c r="W64" s="2"/>
      <c r="X64" s="2"/>
      <c r="Y64" s="1"/>
      <c r="Z64" s="1"/>
      <c r="AA64" s="1"/>
      <c r="AB64" s="1"/>
    </row>
    <row r="65" spans="1:28" x14ac:dyDescent="0.2">
      <c r="A65" s="6"/>
      <c r="B65" s="6"/>
      <c r="C65" s="6"/>
      <c r="D65" s="6"/>
      <c r="F65" s="2"/>
      <c r="G65" s="2"/>
      <c r="H65" s="1"/>
      <c r="I65" s="1"/>
      <c r="M65" s="5"/>
      <c r="O65" s="4"/>
      <c r="P65" s="5"/>
      <c r="Q65" s="5"/>
      <c r="U65" s="2"/>
      <c r="V65" s="2"/>
      <c r="W65" s="2"/>
      <c r="X65" s="2"/>
      <c r="Y65" s="1"/>
      <c r="Z65" s="1"/>
      <c r="AA65" s="1"/>
      <c r="AB65" s="1"/>
    </row>
    <row r="66" spans="1:28" x14ac:dyDescent="0.2">
      <c r="A66" s="6" t="s">
        <v>128</v>
      </c>
      <c r="B66" s="6"/>
      <c r="C66" s="6"/>
      <c r="D66" s="6"/>
      <c r="F66" s="2"/>
      <c r="G66" s="2"/>
      <c r="H66" s="1"/>
      <c r="I66" s="1"/>
      <c r="M66" s="5"/>
      <c r="O66" s="4"/>
      <c r="P66" s="5"/>
      <c r="Q66" s="5"/>
      <c r="U66" s="2"/>
      <c r="V66" s="2"/>
      <c r="W66" s="2"/>
      <c r="X66" s="2"/>
      <c r="Y66" s="1"/>
      <c r="Z66" s="1"/>
      <c r="AA66" s="1"/>
      <c r="AB66" s="1"/>
    </row>
    <row r="67" spans="1:28" x14ac:dyDescent="0.2">
      <c r="A67" s="6"/>
      <c r="B67" s="6"/>
      <c r="C67" s="6"/>
      <c r="D67" s="6"/>
      <c r="F67" s="2"/>
      <c r="G67" s="2"/>
      <c r="H67" s="1"/>
      <c r="I67" s="1"/>
      <c r="M67" s="5"/>
      <c r="O67" s="4"/>
      <c r="P67" s="5"/>
      <c r="Q67" s="5"/>
      <c r="U67" s="2"/>
      <c r="V67" s="2"/>
      <c r="W67" s="2"/>
      <c r="X67" s="2"/>
      <c r="Y67" s="1"/>
      <c r="Z67" s="1"/>
      <c r="AA67" s="1"/>
      <c r="AB67" s="1"/>
    </row>
    <row r="68" spans="1:28" x14ac:dyDescent="0.2">
      <c r="A68" s="6" t="s">
        <v>127</v>
      </c>
      <c r="B68" s="6"/>
      <c r="C68" s="6"/>
      <c r="D68" s="6"/>
      <c r="F68" s="2"/>
      <c r="G68" s="2"/>
      <c r="H68" s="1"/>
      <c r="I68" s="1"/>
      <c r="M68" s="5"/>
      <c r="O68" s="4"/>
      <c r="P68" s="5"/>
      <c r="Q68" s="5"/>
      <c r="U68" s="2"/>
      <c r="V68" s="2"/>
      <c r="W68" s="2"/>
      <c r="X68" s="2"/>
      <c r="Y68" s="1"/>
      <c r="Z68" s="1"/>
      <c r="AA68" s="1"/>
      <c r="AB68" s="1"/>
    </row>
    <row r="71" spans="1:28" x14ac:dyDescent="0.25">
      <c r="A71" s="10"/>
      <c r="B71" s="10"/>
    </row>
    <row r="72" spans="1:28" x14ac:dyDescent="0.25">
      <c r="A72" s="10"/>
      <c r="B72" s="10"/>
    </row>
    <row r="73" spans="1:28" x14ac:dyDescent="0.25">
      <c r="A73" s="10"/>
      <c r="B73" s="10"/>
    </row>
    <row r="74" spans="1:28" x14ac:dyDescent="0.25">
      <c r="A74" s="10"/>
      <c r="B74" s="10"/>
    </row>
    <row r="75" spans="1:28" x14ac:dyDescent="0.25">
      <c r="A75" s="10"/>
      <c r="B75" s="10"/>
    </row>
    <row r="76" spans="1:28" x14ac:dyDescent="0.25">
      <c r="A76" s="10"/>
      <c r="B76" s="10"/>
    </row>
    <row r="77" spans="1:28" x14ac:dyDescent="0.25">
      <c r="A77" s="10"/>
      <c r="B77" s="10"/>
    </row>
    <row r="78" spans="1:28" x14ac:dyDescent="0.25">
      <c r="A78" s="10"/>
      <c r="B78" s="10"/>
    </row>
  </sheetData>
  <mergeCells count="32">
    <mergeCell ref="A7:BB7"/>
    <mergeCell ref="A9:BB9"/>
    <mergeCell ref="C12:C15"/>
    <mergeCell ref="D12:E14"/>
    <mergeCell ref="H12:I14"/>
    <mergeCell ref="J12:J15"/>
    <mergeCell ref="K12:L14"/>
    <mergeCell ref="M12:AP12"/>
    <mergeCell ref="AQ12:AR14"/>
    <mergeCell ref="AS12:AT14"/>
    <mergeCell ref="AU12:AV14"/>
    <mergeCell ref="AW12:AX14"/>
    <mergeCell ref="AY12:AZ14"/>
    <mergeCell ref="BA12:BA15"/>
    <mergeCell ref="BB12:BB15"/>
    <mergeCell ref="M13:AB13"/>
    <mergeCell ref="AC13:AP13"/>
    <mergeCell ref="AP14:AP15"/>
    <mergeCell ref="A12:A15"/>
    <mergeCell ref="B12:B15"/>
    <mergeCell ref="F12:G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J14"/>
    <mergeCell ref="AK14:AN14"/>
    <mergeCell ref="AO14:AO15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8"/>
  <sheetViews>
    <sheetView showZeros="0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9" sqref="A9:BB9"/>
    </sheetView>
  </sheetViews>
  <sheetFormatPr defaultRowHeight="14.25" x14ac:dyDescent="0.25"/>
  <cols>
    <col min="1" max="1" width="30.7109375" style="2" customWidth="1"/>
    <col min="2" max="2" width="10.7109375" style="2" customWidth="1"/>
    <col min="3" max="3" width="9.7109375" style="3" customWidth="1"/>
    <col min="4" max="5" width="9.7109375" style="2" customWidth="1"/>
    <col min="6" max="7" width="9.7109375" style="1" customWidth="1"/>
    <col min="8" max="9" width="9.7109375" style="5" customWidth="1"/>
    <col min="10" max="10" width="8.7109375" style="5" customWidth="1"/>
    <col min="11" max="12" width="14.7109375" style="5" customWidth="1"/>
    <col min="13" max="13" width="9.7109375" style="4" customWidth="1"/>
    <col min="14" max="15" width="9.7109375" style="5" customWidth="1"/>
    <col min="16" max="20" width="9.7109375" style="2" customWidth="1"/>
    <col min="21" max="24" width="9.7109375" style="1" customWidth="1"/>
    <col min="25" max="54" width="9.7109375" style="2" customWidth="1"/>
    <col min="55" max="16384" width="9.140625" style="2"/>
  </cols>
  <sheetData>
    <row r="1" spans="1:55" ht="12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/>
      <c r="AJ1"/>
      <c r="AK1"/>
      <c r="AL1"/>
      <c r="AM1"/>
    </row>
    <row r="2" spans="1:55" ht="12.75" customHeight="1" x14ac:dyDescent="0.25">
      <c r="A2" s="11" t="s">
        <v>134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X2" s="11" t="s">
        <v>56</v>
      </c>
      <c r="AY2"/>
      <c r="AZ2"/>
      <c r="BA2"/>
      <c r="BB2"/>
      <c r="BC2"/>
    </row>
    <row r="3" spans="1:55" s="6" customFormat="1" ht="12.75" customHeight="1" x14ac:dyDescent="0.25">
      <c r="A3" s="11" t="s">
        <v>57</v>
      </c>
      <c r="AX3" s="11" t="s">
        <v>65</v>
      </c>
      <c r="AY3"/>
      <c r="AZ3"/>
      <c r="BA3"/>
      <c r="BB3"/>
      <c r="BC3"/>
    </row>
    <row r="4" spans="1:55" s="6" customFormat="1" ht="12.75" customHeight="1" x14ac:dyDescent="0.25">
      <c r="AX4" s="24" t="s">
        <v>123</v>
      </c>
      <c r="AY4"/>
      <c r="AZ4"/>
      <c r="BA4"/>
      <c r="BB4"/>
      <c r="BC4"/>
    </row>
    <row r="5" spans="1:55" s="6" customFormat="1" ht="12.75" customHeight="1" x14ac:dyDescent="0.25">
      <c r="AY5"/>
      <c r="AZ5"/>
      <c r="BA5"/>
      <c r="BB5"/>
      <c r="BC5"/>
    </row>
    <row r="6" spans="1:55" s="6" customFormat="1" ht="15" x14ac:dyDescent="0.25">
      <c r="AX6" s="25" t="s">
        <v>85</v>
      </c>
      <c r="AY6"/>
      <c r="AZ6"/>
      <c r="BA6"/>
      <c r="BB6"/>
      <c r="BC6"/>
    </row>
    <row r="7" spans="1:55" s="6" customFormat="1" ht="15.75" customHeight="1" x14ac:dyDescent="0.2">
      <c r="A7" s="184" t="s">
        <v>58</v>
      </c>
      <c r="B7" s="184"/>
      <c r="C7" s="184"/>
      <c r="D7" s="184"/>
      <c r="E7" s="184"/>
      <c r="F7" s="184"/>
      <c r="G7" s="184"/>
      <c r="H7" s="184"/>
      <c r="I7" s="184"/>
      <c r="J7" s="184"/>
      <c r="K7" s="184"/>
      <c r="L7" s="184"/>
      <c r="M7" s="184"/>
      <c r="N7" s="184"/>
      <c r="O7" s="184"/>
      <c r="P7" s="184"/>
      <c r="Q7" s="184"/>
      <c r="R7" s="184"/>
      <c r="S7" s="184"/>
      <c r="T7" s="184"/>
      <c r="U7" s="184"/>
      <c r="V7" s="184"/>
      <c r="W7" s="184"/>
      <c r="X7" s="184"/>
      <c r="Y7" s="184"/>
      <c r="Z7" s="184"/>
      <c r="AA7" s="184"/>
      <c r="AB7" s="184"/>
      <c r="AC7" s="184"/>
      <c r="AD7" s="184"/>
      <c r="AE7" s="184"/>
      <c r="AF7" s="184"/>
      <c r="AG7" s="184"/>
      <c r="AH7" s="184"/>
      <c r="AI7" s="184"/>
      <c r="AJ7" s="184"/>
      <c r="AK7" s="184"/>
      <c r="AL7" s="184"/>
      <c r="AM7" s="184"/>
      <c r="AN7" s="184"/>
      <c r="AO7" s="184"/>
      <c r="AP7" s="184"/>
      <c r="AQ7" s="184"/>
      <c r="AR7" s="184"/>
      <c r="AS7" s="184"/>
      <c r="AT7" s="184"/>
      <c r="AU7" s="184"/>
      <c r="AV7" s="184"/>
      <c r="AW7" s="184"/>
      <c r="AX7" s="184"/>
      <c r="AY7" s="184"/>
      <c r="AZ7" s="184"/>
      <c r="BA7" s="184"/>
      <c r="BB7" s="184"/>
      <c r="BC7" s="109"/>
    </row>
    <row r="8" spans="1:55" s="6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55" ht="15.75" x14ac:dyDescent="0.25">
      <c r="A9" s="185"/>
      <c r="B9" s="185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  <c r="Z9" s="185"/>
      <c r="AA9" s="185"/>
      <c r="AB9" s="185"/>
      <c r="AC9" s="185"/>
      <c r="AD9" s="185"/>
      <c r="AE9" s="185"/>
      <c r="AF9" s="185"/>
      <c r="AG9" s="185"/>
      <c r="AH9" s="185"/>
      <c r="AI9" s="185"/>
      <c r="AJ9" s="185"/>
      <c r="AK9" s="185"/>
      <c r="AL9" s="185"/>
      <c r="AM9" s="185"/>
      <c r="AN9" s="185"/>
      <c r="AO9" s="185"/>
      <c r="AP9" s="185"/>
      <c r="AQ9" s="185"/>
      <c r="AR9" s="185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08"/>
    </row>
    <row r="10" spans="1:55" s="6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55" ht="12.7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3"/>
      <c r="L11" s="2"/>
      <c r="M11" s="2"/>
      <c r="N11" s="2"/>
      <c r="O11" s="2"/>
      <c r="U11" s="2"/>
      <c r="V11" s="2"/>
      <c r="W11" s="2"/>
      <c r="X11" s="2"/>
    </row>
    <row r="12" spans="1:55" ht="14.25" customHeight="1" x14ac:dyDescent="0.25">
      <c r="A12" s="160" t="s">
        <v>2</v>
      </c>
      <c r="B12" s="163" t="s">
        <v>129</v>
      </c>
      <c r="C12" s="163" t="s">
        <v>3</v>
      </c>
      <c r="D12" s="166" t="s">
        <v>60</v>
      </c>
      <c r="E12" s="155"/>
      <c r="F12" s="154" t="s">
        <v>131</v>
      </c>
      <c r="G12" s="155"/>
      <c r="H12" s="154" t="s">
        <v>1</v>
      </c>
      <c r="I12" s="155"/>
      <c r="J12" s="186" t="s">
        <v>135</v>
      </c>
      <c r="K12" s="154" t="s">
        <v>4</v>
      </c>
      <c r="L12" s="155"/>
      <c r="M12" s="175" t="s">
        <v>62</v>
      </c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  <c r="AA12" s="176"/>
      <c r="AB12" s="176"/>
      <c r="AC12" s="176"/>
      <c r="AD12" s="176"/>
      <c r="AE12" s="176"/>
      <c r="AF12" s="176"/>
      <c r="AG12" s="176"/>
      <c r="AH12" s="176"/>
      <c r="AI12" s="176"/>
      <c r="AJ12" s="176"/>
      <c r="AK12" s="176"/>
      <c r="AL12" s="176"/>
      <c r="AM12" s="176"/>
      <c r="AN12" s="176"/>
      <c r="AO12" s="176"/>
      <c r="AP12" s="177"/>
      <c r="AQ12" s="154" t="s">
        <v>69</v>
      </c>
      <c r="AR12" s="155"/>
      <c r="AS12" s="154" t="s">
        <v>59</v>
      </c>
      <c r="AT12" s="155"/>
      <c r="AU12" s="154" t="s">
        <v>70</v>
      </c>
      <c r="AV12" s="155"/>
      <c r="AW12" s="154" t="s">
        <v>71</v>
      </c>
      <c r="AX12" s="155"/>
      <c r="AY12" s="154" t="s">
        <v>72</v>
      </c>
      <c r="AZ12" s="155"/>
      <c r="BA12" s="182" t="s">
        <v>73</v>
      </c>
      <c r="BB12" s="179" t="s">
        <v>133</v>
      </c>
      <c r="BC12"/>
    </row>
    <row r="13" spans="1:55" ht="14.25" customHeight="1" x14ac:dyDescent="0.25">
      <c r="A13" s="161"/>
      <c r="B13" s="164"/>
      <c r="C13" s="164"/>
      <c r="D13" s="167"/>
      <c r="E13" s="157"/>
      <c r="F13" s="156"/>
      <c r="G13" s="157"/>
      <c r="H13" s="156"/>
      <c r="I13" s="157"/>
      <c r="J13" s="187"/>
      <c r="K13" s="156"/>
      <c r="L13" s="157"/>
      <c r="M13" s="152" t="s">
        <v>5</v>
      </c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  <c r="AA13" s="178"/>
      <c r="AB13" s="153"/>
      <c r="AC13" s="152" t="s">
        <v>6</v>
      </c>
      <c r="AD13" s="178"/>
      <c r="AE13" s="178"/>
      <c r="AF13" s="178"/>
      <c r="AG13" s="178"/>
      <c r="AH13" s="178"/>
      <c r="AI13" s="178"/>
      <c r="AJ13" s="178"/>
      <c r="AK13" s="178"/>
      <c r="AL13" s="178"/>
      <c r="AM13" s="178"/>
      <c r="AN13" s="178"/>
      <c r="AO13" s="178"/>
      <c r="AP13" s="153"/>
      <c r="AQ13" s="156"/>
      <c r="AR13" s="157"/>
      <c r="AS13" s="156"/>
      <c r="AT13" s="157"/>
      <c r="AU13" s="156"/>
      <c r="AV13" s="157"/>
      <c r="AW13" s="156"/>
      <c r="AX13" s="157"/>
      <c r="AY13" s="156"/>
      <c r="AZ13" s="157"/>
      <c r="BA13" s="183"/>
      <c r="BB13" s="180"/>
      <c r="BC13"/>
    </row>
    <row r="14" spans="1:55" ht="63.75" customHeight="1" x14ac:dyDescent="0.25">
      <c r="A14" s="161"/>
      <c r="B14" s="164"/>
      <c r="C14" s="164"/>
      <c r="D14" s="168"/>
      <c r="E14" s="159"/>
      <c r="F14" s="158"/>
      <c r="G14" s="159"/>
      <c r="H14" s="158"/>
      <c r="I14" s="159"/>
      <c r="J14" s="187"/>
      <c r="K14" s="158"/>
      <c r="L14" s="159"/>
      <c r="M14" s="152" t="s">
        <v>10</v>
      </c>
      <c r="N14" s="153"/>
      <c r="O14" s="152" t="s">
        <v>74</v>
      </c>
      <c r="P14" s="153"/>
      <c r="Q14" s="152" t="s">
        <v>75</v>
      </c>
      <c r="R14" s="153"/>
      <c r="S14" s="152" t="s">
        <v>86</v>
      </c>
      <c r="T14" s="153"/>
      <c r="U14" s="152" t="s">
        <v>136</v>
      </c>
      <c r="V14" s="153"/>
      <c r="W14" s="169" t="s">
        <v>132</v>
      </c>
      <c r="X14" s="170"/>
      <c r="Y14" s="152" t="s">
        <v>84</v>
      </c>
      <c r="Z14" s="153"/>
      <c r="AA14" s="152" t="s">
        <v>76</v>
      </c>
      <c r="AB14" s="153"/>
      <c r="AC14" s="152" t="s">
        <v>7</v>
      </c>
      <c r="AD14" s="178"/>
      <c r="AE14" s="178"/>
      <c r="AF14" s="178"/>
      <c r="AG14" s="178"/>
      <c r="AH14" s="178"/>
      <c r="AI14" s="178"/>
      <c r="AJ14" s="153"/>
      <c r="AK14" s="152" t="s">
        <v>8</v>
      </c>
      <c r="AL14" s="178"/>
      <c r="AM14" s="178"/>
      <c r="AN14" s="153"/>
      <c r="AO14" s="171" t="s">
        <v>77</v>
      </c>
      <c r="AP14" s="173" t="s">
        <v>18</v>
      </c>
      <c r="AQ14" s="158"/>
      <c r="AR14" s="159"/>
      <c r="AS14" s="158"/>
      <c r="AT14" s="159"/>
      <c r="AU14" s="158"/>
      <c r="AV14" s="159"/>
      <c r="AW14" s="158"/>
      <c r="AX14" s="159"/>
      <c r="AY14" s="158"/>
      <c r="AZ14" s="159"/>
      <c r="BA14" s="183"/>
      <c r="BB14" s="180"/>
      <c r="BC14"/>
    </row>
    <row r="15" spans="1:55" ht="38.25" customHeight="1" thickBot="1" x14ac:dyDescent="0.3">
      <c r="A15" s="162"/>
      <c r="B15" s="165"/>
      <c r="C15" s="165"/>
      <c r="D15" s="118" t="s">
        <v>61</v>
      </c>
      <c r="E15" s="77" t="s">
        <v>9</v>
      </c>
      <c r="F15" s="77" t="s">
        <v>11</v>
      </c>
      <c r="G15" s="77" t="s">
        <v>130</v>
      </c>
      <c r="H15" s="77" t="s">
        <v>0</v>
      </c>
      <c r="I15" s="77" t="s">
        <v>78</v>
      </c>
      <c r="J15" s="188"/>
      <c r="K15" s="77" t="s">
        <v>61</v>
      </c>
      <c r="L15" s="77" t="s">
        <v>9</v>
      </c>
      <c r="M15" s="77" t="s">
        <v>61</v>
      </c>
      <c r="N15" s="77" t="s">
        <v>9</v>
      </c>
      <c r="O15" s="77" t="s">
        <v>61</v>
      </c>
      <c r="P15" s="77" t="s">
        <v>9</v>
      </c>
      <c r="Q15" s="77" t="s">
        <v>61</v>
      </c>
      <c r="R15" s="77" t="s">
        <v>9</v>
      </c>
      <c r="S15" s="77" t="s">
        <v>61</v>
      </c>
      <c r="T15" s="77" t="s">
        <v>9</v>
      </c>
      <c r="U15" s="77" t="s">
        <v>61</v>
      </c>
      <c r="V15" s="77" t="s">
        <v>9</v>
      </c>
      <c r="W15" s="77" t="s">
        <v>61</v>
      </c>
      <c r="X15" s="77" t="s">
        <v>9</v>
      </c>
      <c r="Y15" s="77" t="s">
        <v>61</v>
      </c>
      <c r="Z15" s="77" t="s">
        <v>9</v>
      </c>
      <c r="AA15" s="77" t="s">
        <v>61</v>
      </c>
      <c r="AB15" s="77" t="s">
        <v>9</v>
      </c>
      <c r="AC15" s="77" t="s">
        <v>11</v>
      </c>
      <c r="AD15" s="77" t="s">
        <v>12</v>
      </c>
      <c r="AE15" s="77" t="s">
        <v>13</v>
      </c>
      <c r="AF15" s="77" t="s">
        <v>14</v>
      </c>
      <c r="AG15" s="77" t="s">
        <v>15</v>
      </c>
      <c r="AH15" s="77" t="s">
        <v>16</v>
      </c>
      <c r="AI15" s="107" t="s">
        <v>18</v>
      </c>
      <c r="AJ15" s="107" t="s">
        <v>17</v>
      </c>
      <c r="AK15" s="77" t="s">
        <v>19</v>
      </c>
      <c r="AL15" s="77" t="s">
        <v>20</v>
      </c>
      <c r="AM15" s="77" t="s">
        <v>21</v>
      </c>
      <c r="AN15" s="77" t="s">
        <v>22</v>
      </c>
      <c r="AO15" s="172"/>
      <c r="AP15" s="174"/>
      <c r="AQ15" s="77" t="s">
        <v>61</v>
      </c>
      <c r="AR15" s="77" t="s">
        <v>9</v>
      </c>
      <c r="AS15" s="77" t="s">
        <v>61</v>
      </c>
      <c r="AT15" s="77" t="s">
        <v>9</v>
      </c>
      <c r="AU15" s="77" t="s">
        <v>61</v>
      </c>
      <c r="AV15" s="77" t="s">
        <v>9</v>
      </c>
      <c r="AW15" s="77" t="s">
        <v>61</v>
      </c>
      <c r="AX15" s="77" t="s">
        <v>9</v>
      </c>
      <c r="AY15" s="77" t="s">
        <v>61</v>
      </c>
      <c r="AZ15" s="77" t="s">
        <v>9</v>
      </c>
      <c r="BA15" s="172"/>
      <c r="BB15" s="181"/>
      <c r="BC15"/>
    </row>
    <row r="16" spans="1:55" ht="15" customHeight="1" thickBot="1" x14ac:dyDescent="0.3">
      <c r="A16" s="106">
        <v>1</v>
      </c>
      <c r="B16" s="106">
        <v>2</v>
      </c>
      <c r="C16" s="106">
        <v>3</v>
      </c>
      <c r="D16" s="105">
        <v>4</v>
      </c>
      <c r="E16" s="78">
        <v>5</v>
      </c>
      <c r="F16" s="78">
        <v>6</v>
      </c>
      <c r="G16" s="78">
        <v>7</v>
      </c>
      <c r="H16" s="78">
        <v>8</v>
      </c>
      <c r="I16" s="78">
        <v>9</v>
      </c>
      <c r="J16" s="78">
        <v>10</v>
      </c>
      <c r="K16" s="78">
        <v>11</v>
      </c>
      <c r="L16" s="78">
        <v>12</v>
      </c>
      <c r="M16" s="78">
        <v>13</v>
      </c>
      <c r="N16" s="78">
        <v>14</v>
      </c>
      <c r="O16" s="78">
        <v>15</v>
      </c>
      <c r="P16" s="78">
        <v>16</v>
      </c>
      <c r="Q16" s="78">
        <v>17</v>
      </c>
      <c r="R16" s="78">
        <v>18</v>
      </c>
      <c r="S16" s="78">
        <v>19</v>
      </c>
      <c r="T16" s="78">
        <v>20</v>
      </c>
      <c r="U16" s="78">
        <v>21</v>
      </c>
      <c r="V16" s="78">
        <v>22</v>
      </c>
      <c r="W16" s="78">
        <v>23</v>
      </c>
      <c r="X16" s="78">
        <v>24</v>
      </c>
      <c r="Y16" s="78">
        <v>25</v>
      </c>
      <c r="Z16" s="78">
        <v>26</v>
      </c>
      <c r="AA16" s="78">
        <v>27</v>
      </c>
      <c r="AB16" s="78">
        <v>28</v>
      </c>
      <c r="AC16" s="78">
        <v>29</v>
      </c>
      <c r="AD16" s="78">
        <v>30</v>
      </c>
      <c r="AE16" s="78">
        <v>31</v>
      </c>
      <c r="AF16" s="78">
        <v>32</v>
      </c>
      <c r="AG16" s="78">
        <v>33</v>
      </c>
      <c r="AH16" s="78">
        <v>34</v>
      </c>
      <c r="AI16" s="78">
        <v>35</v>
      </c>
      <c r="AJ16" s="78">
        <v>36</v>
      </c>
      <c r="AK16" s="78">
        <v>37</v>
      </c>
      <c r="AL16" s="78">
        <v>38</v>
      </c>
      <c r="AM16" s="78">
        <v>39</v>
      </c>
      <c r="AN16" s="78">
        <v>40</v>
      </c>
      <c r="AO16" s="78">
        <v>41</v>
      </c>
      <c r="AP16" s="78">
        <v>42</v>
      </c>
      <c r="AQ16" s="78">
        <v>43</v>
      </c>
      <c r="AR16" s="78">
        <v>44</v>
      </c>
      <c r="AS16" s="78">
        <v>45</v>
      </c>
      <c r="AT16" s="78">
        <v>46</v>
      </c>
      <c r="AU16" s="78">
        <v>47</v>
      </c>
      <c r="AV16" s="78">
        <v>48</v>
      </c>
      <c r="AW16" s="78">
        <v>49</v>
      </c>
      <c r="AX16" s="78">
        <v>50</v>
      </c>
      <c r="AY16" s="78">
        <v>51</v>
      </c>
      <c r="AZ16" s="78">
        <v>52</v>
      </c>
      <c r="BA16" s="78">
        <v>53</v>
      </c>
      <c r="BB16" s="79">
        <v>54</v>
      </c>
      <c r="BC16"/>
    </row>
    <row r="17" spans="1:55" ht="15" customHeight="1" thickBot="1" x14ac:dyDescent="0.3">
      <c r="A17" s="87" t="s">
        <v>79</v>
      </c>
      <c r="B17" s="87"/>
      <c r="C17" s="87"/>
      <c r="D17" s="132">
        <f>AT17*AW17*AU17</f>
        <v>0</v>
      </c>
      <c r="E17" s="129">
        <f>ROUND(AT17*AV17*AX17,4)</f>
        <v>0</v>
      </c>
      <c r="F17" s="129"/>
      <c r="G17" s="129"/>
      <c r="H17" s="131">
        <f>SUM(H18:H23)</f>
        <v>0</v>
      </c>
      <c r="I17" s="131">
        <f>SUM(I18:I23)</f>
        <v>0</v>
      </c>
      <c r="J17" s="88"/>
      <c r="K17" s="130">
        <f>SUM(K18:K23)</f>
        <v>0</v>
      </c>
      <c r="L17" s="130">
        <f>SUM(L18:L23)</f>
        <v>0</v>
      </c>
      <c r="M17" s="129">
        <f>SUM(M18:M23)</f>
        <v>0</v>
      </c>
      <c r="N17" s="129">
        <f t="shared" ref="N17:AO17" si="0">SUM(N18:N23)</f>
        <v>0</v>
      </c>
      <c r="O17" s="129">
        <f t="shared" si="0"/>
        <v>0</v>
      </c>
      <c r="P17" s="129">
        <f t="shared" si="0"/>
        <v>0</v>
      </c>
      <c r="Q17" s="129">
        <f t="shared" si="0"/>
        <v>0</v>
      </c>
      <c r="R17" s="129">
        <f t="shared" si="0"/>
        <v>0</v>
      </c>
      <c r="S17" s="129">
        <f t="shared" si="0"/>
        <v>0</v>
      </c>
      <c r="T17" s="129">
        <f t="shared" si="0"/>
        <v>0</v>
      </c>
      <c r="U17" s="129">
        <f t="shared" si="0"/>
        <v>0</v>
      </c>
      <c r="V17" s="129">
        <f t="shared" si="0"/>
        <v>0</v>
      </c>
      <c r="W17" s="129">
        <f t="shared" si="0"/>
        <v>0</v>
      </c>
      <c r="X17" s="129">
        <f t="shared" si="0"/>
        <v>0</v>
      </c>
      <c r="Y17" s="129">
        <f t="shared" si="0"/>
        <v>0</v>
      </c>
      <c r="Z17" s="129">
        <f t="shared" si="0"/>
        <v>0</v>
      </c>
      <c r="AA17" s="129">
        <f t="shared" si="0"/>
        <v>0</v>
      </c>
      <c r="AB17" s="129">
        <f>SUM(AB18:AB23)</f>
        <v>0</v>
      </c>
      <c r="AC17" s="129">
        <f t="shared" si="0"/>
        <v>0</v>
      </c>
      <c r="AD17" s="129">
        <f t="shared" si="0"/>
        <v>0</v>
      </c>
      <c r="AE17" s="129">
        <f t="shared" si="0"/>
        <v>0</v>
      </c>
      <c r="AF17" s="129">
        <f t="shared" si="0"/>
        <v>0</v>
      </c>
      <c r="AG17" s="129">
        <f t="shared" si="0"/>
        <v>0</v>
      </c>
      <c r="AH17" s="129">
        <f t="shared" si="0"/>
        <v>0</v>
      </c>
      <c r="AI17" s="129">
        <f t="shared" si="0"/>
        <v>0</v>
      </c>
      <c r="AJ17" s="129">
        <f t="shared" si="0"/>
        <v>0</v>
      </c>
      <c r="AK17" s="129">
        <f t="shared" si="0"/>
        <v>0</v>
      </c>
      <c r="AL17" s="129">
        <f t="shared" si="0"/>
        <v>0</v>
      </c>
      <c r="AM17" s="129">
        <f t="shared" si="0"/>
        <v>0</v>
      </c>
      <c r="AN17" s="129">
        <f t="shared" si="0"/>
        <v>0</v>
      </c>
      <c r="AO17" s="129">
        <f t="shared" si="0"/>
        <v>0</v>
      </c>
      <c r="AP17" s="129">
        <f>SUM(AP18:AP23)</f>
        <v>0</v>
      </c>
      <c r="AQ17" s="129">
        <f>M17+O17+S17+U17+W17+AA17+Q17+Y17</f>
        <v>0</v>
      </c>
      <c r="AR17" s="129">
        <f>N17+P17+R17+AC17+AD17+AE17+AF17+AG17+AH17+AI17+AJ17+AK17+AL17+AM17+AN17+AO17+AP17+T17+V17+AB17+X17+Z17</f>
        <v>0</v>
      </c>
      <c r="AS17" s="129">
        <f>SUM(AS18:AS23)</f>
        <v>0</v>
      </c>
      <c r="AT17" s="129">
        <f>SUM(AT18:AT23)</f>
        <v>0</v>
      </c>
      <c r="AU17" s="131">
        <f>IF(AT17-AQ17=0,0,(AT17-M17-O17-Q17)/AT17)</f>
        <v>0</v>
      </c>
      <c r="AV17" s="131">
        <f>IF(AT17=0,0,(AT17-N17-P17-R17-AC17-AD17-AE17-AF17-AG17-AH17-AI17-AJ17-AL17)/AT17)</f>
        <v>0</v>
      </c>
      <c r="AW17" s="131">
        <f>IF(OR(AT17=0,AU17=0),0,((AT17*AU17)-S17-U17-W17-Y17-AA17)/(AT17*AU17))</f>
        <v>0</v>
      </c>
      <c r="AX17" s="131">
        <f>IF(OR(AT17=0,AV17=0),0,((AT17*AV17)-AK17-AM17-AN17-AO17-AP17-T17-V17-X17-Z17-AB17)/(AT17*AV17))</f>
        <v>0</v>
      </c>
      <c r="AY17" s="131">
        <f>IF(K17=0,0,K17/(D17-Y17)/24)</f>
        <v>0</v>
      </c>
      <c r="AZ17" s="131">
        <f t="shared" ref="AY17:AZ22" si="1">IF(L17=0,0,L17/(E17-Z17)/24)</f>
        <v>0</v>
      </c>
      <c r="BA17" s="129">
        <f>ROUND(AT17-E17-AR17,4)</f>
        <v>0</v>
      </c>
      <c r="BB17" s="89"/>
      <c r="BC17"/>
    </row>
    <row r="18" spans="1:55" ht="15" hidden="1" customHeight="1" x14ac:dyDescent="0.25">
      <c r="A18" s="80" t="s">
        <v>23</v>
      </c>
      <c r="B18" s="110">
        <v>22</v>
      </c>
      <c r="C18" s="110">
        <v>22</v>
      </c>
      <c r="D18" s="119">
        <f>AS18*AW18*AU18</f>
        <v>0</v>
      </c>
      <c r="E18" s="17">
        <f>ROUND(AS18*AV18*AX18,4)</f>
        <v>0</v>
      </c>
      <c r="F18" s="81"/>
      <c r="G18" s="81"/>
      <c r="H18" s="82"/>
      <c r="I18" s="82"/>
      <c r="J18" s="83" t="s">
        <v>55</v>
      </c>
      <c r="K18" s="84"/>
      <c r="L18" s="84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>
        <f t="shared" ref="AQ18:AQ61" si="2">M18+O18+S18+U18+W18+AA18+Q18+Y18</f>
        <v>0</v>
      </c>
      <c r="AR18" s="17">
        <f>N18+P18+R18+AC18+AD18+AE18+AF18+AG18+AH18+AI18+AJ18+AK18+AL18+AM18+AN18+AO18+AP18+T18+V18+AB18+X18+Z18</f>
        <v>0</v>
      </c>
      <c r="AS18" s="17">
        <f>AT18</f>
        <v>0</v>
      </c>
      <c r="AT18" s="17"/>
      <c r="AU18" s="18">
        <f t="shared" ref="AU18:AU61" si="3">IF(AT18-AQ18=0,0,(AT18-M18-O18-Q18)/AT18)</f>
        <v>0</v>
      </c>
      <c r="AV18" s="18">
        <f t="shared" ref="AV18:AV61" si="4">IF(AT18=0,0,(AT18-N18-P18-R18-AC18-AD18-AE18-AF18-AG18-AH18-AI18-AJ18-AL18)/AT18)</f>
        <v>0</v>
      </c>
      <c r="AW18" s="18">
        <f t="shared" ref="AW18:AW61" si="5">IF(OR(AT18=0,AU18=0),0,((AT18*AU18)-S18-U18-W18-Y18-AA18)/(AT18*AU18))</f>
        <v>0</v>
      </c>
      <c r="AX18" s="18">
        <f t="shared" ref="AX18:AX61" si="6">IF(OR(AT18=0,AV18=0),0,((AT18*AV18)-AK18-AM18-AN18-AO18-AP18-T18-V18-X18-Z18-AB18)/(AT18*AV18))</f>
        <v>0</v>
      </c>
      <c r="AY18" s="82">
        <f>IF(K18=0,0,K18/(D18-Y18)/24)</f>
        <v>0</v>
      </c>
      <c r="AZ18" s="82">
        <f t="shared" si="1"/>
        <v>0</v>
      </c>
      <c r="BA18" s="85">
        <f>ROUND(AS18-E18-AR18,4)</f>
        <v>0</v>
      </c>
      <c r="BB18" s="86"/>
      <c r="BC18"/>
    </row>
    <row r="19" spans="1:55" ht="15" hidden="1" customHeight="1" x14ac:dyDescent="0.25">
      <c r="A19" s="68" t="s">
        <v>24</v>
      </c>
      <c r="B19" s="111">
        <v>23</v>
      </c>
      <c r="C19" s="111">
        <v>23</v>
      </c>
      <c r="D19" s="119">
        <f t="shared" ref="D19:D23" si="7">AS19*AW19*AU19</f>
        <v>0</v>
      </c>
      <c r="E19" s="17">
        <f t="shared" ref="E19:E22" si="8">ROUND(AS19*AV19*AX19,4)</f>
        <v>0</v>
      </c>
      <c r="F19" s="19"/>
      <c r="G19" s="19"/>
      <c r="H19" s="18"/>
      <c r="I19" s="18"/>
      <c r="J19" s="8" t="s">
        <v>55</v>
      </c>
      <c r="K19" s="20"/>
      <c r="L19" s="20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7">
        <f t="shared" si="2"/>
        <v>0</v>
      </c>
      <c r="AR19" s="15">
        <f>N19+P19+R19+AC19+AD19+AE19+AF19+AG19+AH19+AI19+AJ19+AK19+AL19+AM19+AN19+AO19+AP19+T19+V19+AB19</f>
        <v>0</v>
      </c>
      <c r="AS19" s="17">
        <f t="shared" ref="AS19:AS23" si="9">AT19</f>
        <v>0</v>
      </c>
      <c r="AT19" s="15"/>
      <c r="AU19" s="18">
        <f t="shared" si="3"/>
        <v>0</v>
      </c>
      <c r="AV19" s="18">
        <f t="shared" si="4"/>
        <v>0</v>
      </c>
      <c r="AW19" s="18">
        <f t="shared" si="5"/>
        <v>0</v>
      </c>
      <c r="AX19" s="18">
        <f t="shared" si="6"/>
        <v>0</v>
      </c>
      <c r="AY19" s="18">
        <f t="shared" si="1"/>
        <v>0</v>
      </c>
      <c r="AZ19" s="18">
        <f t="shared" si="1"/>
        <v>0</v>
      </c>
      <c r="BA19" s="74">
        <f>ROUND(AS19-E19-AR19,4)</f>
        <v>0</v>
      </c>
      <c r="BB19" s="75"/>
      <c r="BC19"/>
    </row>
    <row r="20" spans="1:55" ht="15" hidden="1" customHeight="1" x14ac:dyDescent="0.25">
      <c r="A20" s="69" t="s">
        <v>25</v>
      </c>
      <c r="B20" s="112"/>
      <c r="C20" s="112">
        <v>24</v>
      </c>
      <c r="D20" s="119">
        <f t="shared" si="7"/>
        <v>0</v>
      </c>
      <c r="E20" s="17">
        <f t="shared" si="8"/>
        <v>0</v>
      </c>
      <c r="F20" s="19"/>
      <c r="G20" s="19"/>
      <c r="H20" s="18"/>
      <c r="I20" s="18"/>
      <c r="J20" s="8" t="s">
        <v>55</v>
      </c>
      <c r="K20" s="20"/>
      <c r="L20" s="20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7">
        <f t="shared" si="2"/>
        <v>0</v>
      </c>
      <c r="AR20" s="15">
        <f>N20+P20+R20+AC20+AD20+AE20+AF20+AG20+AH20+AI20+AJ20+AK20+AL20+AM20+AN20+AO20+AP20+T20+V20+AB20</f>
        <v>0</v>
      </c>
      <c r="AS20" s="17">
        <f t="shared" si="9"/>
        <v>0</v>
      </c>
      <c r="AT20" s="15"/>
      <c r="AU20" s="18">
        <f t="shared" si="3"/>
        <v>0</v>
      </c>
      <c r="AV20" s="18">
        <f t="shared" si="4"/>
        <v>0</v>
      </c>
      <c r="AW20" s="18">
        <f t="shared" si="5"/>
        <v>0</v>
      </c>
      <c r="AX20" s="18">
        <f t="shared" si="6"/>
        <v>0</v>
      </c>
      <c r="AY20" s="18">
        <f t="shared" si="1"/>
        <v>0</v>
      </c>
      <c r="AZ20" s="18">
        <f t="shared" si="1"/>
        <v>0</v>
      </c>
      <c r="BA20" s="74">
        <f t="shared" ref="BA20:BA22" si="10">ROUND(AS20-E20-AR20,4)</f>
        <v>0</v>
      </c>
      <c r="BB20" s="75"/>
      <c r="BC20"/>
    </row>
    <row r="21" spans="1:55" ht="15" hidden="1" customHeight="1" x14ac:dyDescent="0.25">
      <c r="A21" s="68" t="s">
        <v>26</v>
      </c>
      <c r="B21" s="111"/>
      <c r="C21" s="111">
        <v>24</v>
      </c>
      <c r="D21" s="119">
        <f t="shared" si="7"/>
        <v>0</v>
      </c>
      <c r="E21" s="17">
        <f t="shared" si="8"/>
        <v>0</v>
      </c>
      <c r="F21" s="19"/>
      <c r="G21" s="19"/>
      <c r="H21" s="18"/>
      <c r="I21" s="18"/>
      <c r="J21" s="8" t="s">
        <v>55</v>
      </c>
      <c r="K21" s="20"/>
      <c r="L21" s="20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7">
        <f t="shared" si="2"/>
        <v>0</v>
      </c>
      <c r="AR21" s="15">
        <f>N21+P21+R21+AC21+AD21+AE21+AF21+AG21+AH21+AI21+AJ21+AK21+AL21+AM21+AN21+AO21+AP21+T21+V21+AB21</f>
        <v>0</v>
      </c>
      <c r="AS21" s="17">
        <f>AT21</f>
        <v>0</v>
      </c>
      <c r="AT21" s="15"/>
      <c r="AU21" s="18">
        <f t="shared" si="3"/>
        <v>0</v>
      </c>
      <c r="AV21" s="18">
        <f t="shared" si="4"/>
        <v>0</v>
      </c>
      <c r="AW21" s="18">
        <f t="shared" si="5"/>
        <v>0</v>
      </c>
      <c r="AX21" s="18">
        <f t="shared" si="6"/>
        <v>0</v>
      </c>
      <c r="AY21" s="18">
        <f t="shared" si="1"/>
        <v>0</v>
      </c>
      <c r="AZ21" s="18">
        <f t="shared" si="1"/>
        <v>0</v>
      </c>
      <c r="BA21" s="74">
        <f t="shared" si="10"/>
        <v>0</v>
      </c>
      <c r="BB21" s="75"/>
      <c r="BC21"/>
    </row>
    <row r="22" spans="1:55" ht="15" hidden="1" customHeight="1" x14ac:dyDescent="0.25">
      <c r="A22" s="70" t="s">
        <v>63</v>
      </c>
      <c r="B22" s="113"/>
      <c r="C22" s="113">
        <v>25</v>
      </c>
      <c r="D22" s="119">
        <f t="shared" si="7"/>
        <v>0</v>
      </c>
      <c r="E22" s="17">
        <f t="shared" si="8"/>
        <v>0</v>
      </c>
      <c r="F22" s="19"/>
      <c r="G22" s="19"/>
      <c r="H22" s="18"/>
      <c r="I22" s="18"/>
      <c r="J22" s="8" t="s">
        <v>55</v>
      </c>
      <c r="K22" s="20"/>
      <c r="L22" s="20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7">
        <f t="shared" si="2"/>
        <v>0</v>
      </c>
      <c r="AR22" s="15">
        <f>N22+P22+R22+AC22+AD22+AE22+AF22+AG22+AH22+AI22+AJ22+AK22+AL22+AM22+AN22+AO22+AP22+T22+V22+AB22</f>
        <v>0</v>
      </c>
      <c r="AS22" s="17">
        <f t="shared" si="9"/>
        <v>0</v>
      </c>
      <c r="AT22" s="15"/>
      <c r="AU22" s="18">
        <f t="shared" si="3"/>
        <v>0</v>
      </c>
      <c r="AV22" s="18">
        <f t="shared" si="4"/>
        <v>0</v>
      </c>
      <c r="AW22" s="18">
        <f t="shared" si="5"/>
        <v>0</v>
      </c>
      <c r="AX22" s="18">
        <f t="shared" si="6"/>
        <v>0</v>
      </c>
      <c r="AY22" s="18">
        <f t="shared" si="1"/>
        <v>0</v>
      </c>
      <c r="AZ22" s="18">
        <f t="shared" si="1"/>
        <v>0</v>
      </c>
      <c r="BA22" s="74">
        <f t="shared" si="10"/>
        <v>0</v>
      </c>
      <c r="BB22" s="75"/>
      <c r="BC22"/>
    </row>
    <row r="23" spans="1:55" ht="15" customHeight="1" thickBot="1" x14ac:dyDescent="0.3">
      <c r="A23" s="90" t="s">
        <v>27</v>
      </c>
      <c r="B23" s="123" t="s">
        <v>148</v>
      </c>
      <c r="C23" s="114">
        <v>17</v>
      </c>
      <c r="D23" s="119">
        <f t="shared" si="7"/>
        <v>0</v>
      </c>
      <c r="E23" s="17">
        <f>ROUND(AT23*AV23*AX23,4)</f>
        <v>0</v>
      </c>
      <c r="F23" s="91"/>
      <c r="G23" s="91"/>
      <c r="H23" s="92"/>
      <c r="I23" s="92"/>
      <c r="J23" s="93" t="s">
        <v>55</v>
      </c>
      <c r="K23" s="94"/>
      <c r="L23" s="94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7">
        <f t="shared" si="2"/>
        <v>0</v>
      </c>
      <c r="AR23" s="16">
        <f>N23+P23+R23+AC23+AD23+AE23+AF23+AG23+AH23+AI23+AJ23+AK23+AL23+AM23+AN23+AO23+AP23+T23+V23+X23+Z23+AB23</f>
        <v>0</v>
      </c>
      <c r="AS23" s="17">
        <f t="shared" si="9"/>
        <v>0</v>
      </c>
      <c r="AT23" s="16"/>
      <c r="AU23" s="82">
        <f t="shared" si="3"/>
        <v>0</v>
      </c>
      <c r="AV23" s="82">
        <f t="shared" si="4"/>
        <v>0</v>
      </c>
      <c r="AW23" s="82">
        <f t="shared" si="5"/>
        <v>0</v>
      </c>
      <c r="AX23" s="82">
        <f t="shared" si="6"/>
        <v>0</v>
      </c>
      <c r="AY23" s="92">
        <f>IF(D23=0,0,K23/D23/24)</f>
        <v>0</v>
      </c>
      <c r="AZ23" s="92">
        <f>IF(E23=0,0,L23/E23/24)</f>
        <v>0</v>
      </c>
      <c r="BA23" s="95">
        <f>ROUND(AT23-E23-AR23,4)</f>
        <v>0</v>
      </c>
      <c r="BB23" s="96"/>
      <c r="BC23"/>
    </row>
    <row r="24" spans="1:55" ht="15" customHeight="1" thickBot="1" x14ac:dyDescent="0.3">
      <c r="A24" s="87" t="s">
        <v>80</v>
      </c>
      <c r="B24" s="124"/>
      <c r="C24" s="87"/>
      <c r="D24" s="132">
        <f>AT24*AW24*AU24</f>
        <v>0</v>
      </c>
      <c r="E24" s="129">
        <f>SUM(E26:E27)</f>
        <v>0</v>
      </c>
      <c r="F24" s="129">
        <f>SUM(F25:F41)</f>
        <v>0</v>
      </c>
      <c r="G24" s="129"/>
      <c r="H24" s="131">
        <f>SUM(H25:H41)</f>
        <v>0</v>
      </c>
      <c r="I24" s="131">
        <f>SUM(I25:I41)</f>
        <v>0</v>
      </c>
      <c r="J24" s="88"/>
      <c r="K24" s="130">
        <f>SUM(K25:K41)</f>
        <v>0</v>
      </c>
      <c r="L24" s="130">
        <f>SUM(L25:L41)</f>
        <v>0</v>
      </c>
      <c r="M24" s="129">
        <f>SUM(M25:M41)</f>
        <v>0</v>
      </c>
      <c r="N24" s="129">
        <f t="shared" ref="N24:AO24" si="11">SUM(N25:N41)</f>
        <v>0</v>
      </c>
      <c r="O24" s="129">
        <f t="shared" si="11"/>
        <v>0</v>
      </c>
      <c r="P24" s="129">
        <f t="shared" si="11"/>
        <v>0</v>
      </c>
      <c r="Q24" s="129">
        <f t="shared" si="11"/>
        <v>0</v>
      </c>
      <c r="R24" s="129">
        <f t="shared" si="11"/>
        <v>0</v>
      </c>
      <c r="S24" s="129">
        <f t="shared" si="11"/>
        <v>0</v>
      </c>
      <c r="T24" s="129">
        <f t="shared" si="11"/>
        <v>0</v>
      </c>
      <c r="U24" s="129">
        <f t="shared" si="11"/>
        <v>0</v>
      </c>
      <c r="V24" s="129">
        <f t="shared" si="11"/>
        <v>0</v>
      </c>
      <c r="W24" s="129">
        <f t="shared" si="11"/>
        <v>0</v>
      </c>
      <c r="X24" s="129">
        <f t="shared" si="11"/>
        <v>0</v>
      </c>
      <c r="Y24" s="129">
        <f t="shared" si="11"/>
        <v>0</v>
      </c>
      <c r="Z24" s="129">
        <f t="shared" si="11"/>
        <v>0</v>
      </c>
      <c r="AA24" s="129">
        <f t="shared" si="11"/>
        <v>0</v>
      </c>
      <c r="AB24" s="129">
        <f t="shared" si="11"/>
        <v>0</v>
      </c>
      <c r="AC24" s="129">
        <f t="shared" si="11"/>
        <v>0</v>
      </c>
      <c r="AD24" s="129">
        <f t="shared" si="11"/>
        <v>0</v>
      </c>
      <c r="AE24" s="129">
        <f t="shared" si="11"/>
        <v>0</v>
      </c>
      <c r="AF24" s="129">
        <f t="shared" si="11"/>
        <v>0</v>
      </c>
      <c r="AG24" s="129">
        <f t="shared" si="11"/>
        <v>0</v>
      </c>
      <c r="AH24" s="129">
        <f t="shared" si="11"/>
        <v>0</v>
      </c>
      <c r="AI24" s="129">
        <f t="shared" si="11"/>
        <v>0</v>
      </c>
      <c r="AJ24" s="129">
        <f t="shared" si="11"/>
        <v>0</v>
      </c>
      <c r="AK24" s="129">
        <f t="shared" si="11"/>
        <v>0</v>
      </c>
      <c r="AL24" s="129">
        <f t="shared" si="11"/>
        <v>0</v>
      </c>
      <c r="AM24" s="129">
        <f t="shared" si="11"/>
        <v>0</v>
      </c>
      <c r="AN24" s="129">
        <f t="shared" si="11"/>
        <v>0</v>
      </c>
      <c r="AO24" s="129">
        <f t="shared" si="11"/>
        <v>0</v>
      </c>
      <c r="AP24" s="129">
        <f>SUM(AP25:AP41)</f>
        <v>0</v>
      </c>
      <c r="AQ24" s="129">
        <f t="shared" si="2"/>
        <v>0</v>
      </c>
      <c r="AR24" s="129">
        <f t="shared" ref="AR24:AR61" si="12">N24+P24+R24+AC24+AD24+AE24+AF24+AG24+AH24+AI24+AJ24+AK24+AL24+AM24+AN24+AO24+AP24+T24+V24+X24+Z24+AB24</f>
        <v>0</v>
      </c>
      <c r="AS24" s="129">
        <f>SUM(AS25:AS41)</f>
        <v>0</v>
      </c>
      <c r="AT24" s="129">
        <f>SUM(AT25:AT41)</f>
        <v>0</v>
      </c>
      <c r="AU24" s="131">
        <f t="shared" si="3"/>
        <v>0</v>
      </c>
      <c r="AV24" s="131">
        <f t="shared" si="4"/>
        <v>0</v>
      </c>
      <c r="AW24" s="131">
        <f t="shared" si="5"/>
        <v>0</v>
      </c>
      <c r="AX24" s="131">
        <f t="shared" si="6"/>
        <v>0</v>
      </c>
      <c r="AY24" s="131">
        <f t="shared" ref="AY24:AZ61" si="13">IF(D24=0,0,K24/D24/24)</f>
        <v>0</v>
      </c>
      <c r="AZ24" s="131">
        <f t="shared" si="13"/>
        <v>0</v>
      </c>
      <c r="BA24" s="129">
        <f t="shared" ref="BA24:BA61" si="14">ROUND(AT24-E24-AR24,4)</f>
        <v>0</v>
      </c>
      <c r="BB24" s="99"/>
      <c r="BC24"/>
    </row>
    <row r="25" spans="1:55" ht="15" hidden="1" customHeight="1" x14ac:dyDescent="0.25">
      <c r="A25" s="97" t="s">
        <v>28</v>
      </c>
      <c r="B25" s="115"/>
      <c r="C25" s="115">
        <v>30</v>
      </c>
      <c r="D25" s="121">
        <f>AT25*AU25*AW25</f>
        <v>0</v>
      </c>
      <c r="E25" s="15">
        <f t="shared" ref="E25:E51" si="15">ROUND(AS25*AV25*AX25,4)</f>
        <v>0</v>
      </c>
      <c r="F25" s="81"/>
      <c r="G25" s="81"/>
      <c r="H25" s="82"/>
      <c r="I25" s="82"/>
      <c r="J25" s="98" t="s">
        <v>68</v>
      </c>
      <c r="K25" s="84"/>
      <c r="L25" s="84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>
        <f t="shared" si="2"/>
        <v>0</v>
      </c>
      <c r="AR25" s="16">
        <f t="shared" si="12"/>
        <v>0</v>
      </c>
      <c r="AS25" s="17"/>
      <c r="AT25" s="17"/>
      <c r="AU25" s="92">
        <f t="shared" si="3"/>
        <v>0</v>
      </c>
      <c r="AV25" s="92">
        <f t="shared" si="4"/>
        <v>0</v>
      </c>
      <c r="AW25" s="92">
        <f t="shared" si="5"/>
        <v>0</v>
      </c>
      <c r="AX25" s="92">
        <f t="shared" si="6"/>
        <v>0</v>
      </c>
      <c r="AY25" s="92">
        <f t="shared" si="13"/>
        <v>0</v>
      </c>
      <c r="AZ25" s="92">
        <f t="shared" si="13"/>
        <v>0</v>
      </c>
      <c r="BA25" s="95">
        <f t="shared" si="14"/>
        <v>0</v>
      </c>
      <c r="BB25" s="86"/>
      <c r="BC25"/>
    </row>
    <row r="26" spans="1:55" ht="15" customHeight="1" x14ac:dyDescent="0.25">
      <c r="A26" s="71" t="s">
        <v>29</v>
      </c>
      <c r="B26" s="123" t="s">
        <v>137</v>
      </c>
      <c r="C26" s="112">
        <v>32</v>
      </c>
      <c r="D26" s="121">
        <f>AT26*AU26*AW26</f>
        <v>0</v>
      </c>
      <c r="E26" s="15">
        <f>ROUND(AT26*AV26*AX26,4)</f>
        <v>0</v>
      </c>
      <c r="F26" s="19"/>
      <c r="G26" s="19"/>
      <c r="H26" s="18"/>
      <c r="I26" s="18"/>
      <c r="J26" s="9" t="s">
        <v>68</v>
      </c>
      <c r="K26" s="20"/>
      <c r="L26" s="20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7">
        <f t="shared" si="2"/>
        <v>0</v>
      </c>
      <c r="AR26" s="16">
        <f t="shared" si="12"/>
        <v>0</v>
      </c>
      <c r="AS26" s="16"/>
      <c r="AT26" s="16"/>
      <c r="AU26" s="92">
        <f t="shared" si="3"/>
        <v>0</v>
      </c>
      <c r="AV26" s="92">
        <f t="shared" si="4"/>
        <v>0</v>
      </c>
      <c r="AW26" s="92">
        <f t="shared" si="5"/>
        <v>0</v>
      </c>
      <c r="AX26" s="92">
        <f t="shared" si="6"/>
        <v>0</v>
      </c>
      <c r="AY26" s="92">
        <f t="shared" si="13"/>
        <v>0</v>
      </c>
      <c r="AZ26" s="92">
        <f t="shared" si="13"/>
        <v>0</v>
      </c>
      <c r="BA26" s="95">
        <f t="shared" si="14"/>
        <v>0</v>
      </c>
      <c r="BB26" s="75"/>
      <c r="BC26"/>
    </row>
    <row r="27" spans="1:55" ht="15" customHeight="1" thickBot="1" x14ac:dyDescent="0.3">
      <c r="A27" s="71" t="s">
        <v>30</v>
      </c>
      <c r="B27" s="123" t="s">
        <v>138</v>
      </c>
      <c r="C27" s="112">
        <v>35</v>
      </c>
      <c r="D27" s="121">
        <f>AT27*AU27*AW27</f>
        <v>0</v>
      </c>
      <c r="E27" s="15">
        <f>ROUND(AT27*AV27*AX27,4)</f>
        <v>0</v>
      </c>
      <c r="F27" s="19"/>
      <c r="G27" s="19"/>
      <c r="H27" s="18"/>
      <c r="I27" s="18"/>
      <c r="J27" s="9" t="s">
        <v>68</v>
      </c>
      <c r="K27" s="20"/>
      <c r="L27" s="20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7">
        <f t="shared" si="2"/>
        <v>0</v>
      </c>
      <c r="AR27" s="16">
        <f t="shared" si="12"/>
        <v>0</v>
      </c>
      <c r="AS27" s="16"/>
      <c r="AT27" s="16"/>
      <c r="AU27" s="92">
        <f t="shared" si="3"/>
        <v>0</v>
      </c>
      <c r="AV27" s="92">
        <f t="shared" si="4"/>
        <v>0</v>
      </c>
      <c r="AW27" s="92">
        <f t="shared" si="5"/>
        <v>0</v>
      </c>
      <c r="AX27" s="92">
        <f t="shared" si="6"/>
        <v>0</v>
      </c>
      <c r="AY27" s="92">
        <f t="shared" si="13"/>
        <v>0</v>
      </c>
      <c r="AZ27" s="92">
        <f t="shared" si="13"/>
        <v>0</v>
      </c>
      <c r="BA27" s="95">
        <f t="shared" si="14"/>
        <v>0</v>
      </c>
      <c r="BB27" s="75"/>
      <c r="BC27"/>
    </row>
    <row r="28" spans="1:55" ht="15" hidden="1" customHeight="1" x14ac:dyDescent="0.3">
      <c r="A28" s="72" t="s">
        <v>31</v>
      </c>
      <c r="B28" s="111"/>
      <c r="C28" s="111">
        <v>39</v>
      </c>
      <c r="D28" s="121">
        <f t="shared" ref="D28:D41" si="16">AT28*AU28*AW28</f>
        <v>0</v>
      </c>
      <c r="E28" s="15">
        <f t="shared" si="15"/>
        <v>0</v>
      </c>
      <c r="F28" s="19"/>
      <c r="G28" s="19"/>
      <c r="H28" s="18"/>
      <c r="I28" s="18"/>
      <c r="J28" s="9" t="s">
        <v>68</v>
      </c>
      <c r="K28" s="20"/>
      <c r="L28" s="20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7">
        <f t="shared" si="2"/>
        <v>0</v>
      </c>
      <c r="AR28" s="16">
        <f t="shared" si="12"/>
        <v>0</v>
      </c>
      <c r="AS28" s="15"/>
      <c r="AT28" s="15"/>
      <c r="AU28" s="92">
        <f t="shared" si="3"/>
        <v>0</v>
      </c>
      <c r="AV28" s="92">
        <f t="shared" si="4"/>
        <v>0</v>
      </c>
      <c r="AW28" s="92">
        <f t="shared" si="5"/>
        <v>0</v>
      </c>
      <c r="AX28" s="92">
        <f t="shared" si="6"/>
        <v>0</v>
      </c>
      <c r="AY28" s="92">
        <f t="shared" si="13"/>
        <v>0</v>
      </c>
      <c r="AZ28" s="92">
        <f t="shared" si="13"/>
        <v>0</v>
      </c>
      <c r="BA28" s="95">
        <f t="shared" si="14"/>
        <v>0</v>
      </c>
      <c r="BB28" s="75"/>
      <c r="BC28"/>
    </row>
    <row r="29" spans="1:55" ht="15" hidden="1" customHeight="1" x14ac:dyDescent="0.3">
      <c r="A29" s="72" t="s">
        <v>32</v>
      </c>
      <c r="B29" s="111"/>
      <c r="C29" s="111">
        <v>40</v>
      </c>
      <c r="D29" s="121">
        <f t="shared" si="16"/>
        <v>0</v>
      </c>
      <c r="E29" s="15">
        <f t="shared" si="15"/>
        <v>0</v>
      </c>
      <c r="F29" s="19"/>
      <c r="G29" s="19"/>
      <c r="H29" s="18"/>
      <c r="I29" s="18"/>
      <c r="J29" s="9" t="s">
        <v>68</v>
      </c>
      <c r="K29" s="20"/>
      <c r="L29" s="20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7">
        <f t="shared" si="2"/>
        <v>0</v>
      </c>
      <c r="AR29" s="16">
        <f t="shared" si="12"/>
        <v>0</v>
      </c>
      <c r="AS29" s="15"/>
      <c r="AT29" s="15"/>
      <c r="AU29" s="92">
        <f t="shared" si="3"/>
        <v>0</v>
      </c>
      <c r="AV29" s="92">
        <f t="shared" si="4"/>
        <v>0</v>
      </c>
      <c r="AW29" s="92">
        <f t="shared" si="5"/>
        <v>0</v>
      </c>
      <c r="AX29" s="92">
        <f t="shared" si="6"/>
        <v>0</v>
      </c>
      <c r="AY29" s="92">
        <f t="shared" si="13"/>
        <v>0</v>
      </c>
      <c r="AZ29" s="92">
        <f t="shared" si="13"/>
        <v>0</v>
      </c>
      <c r="BA29" s="95">
        <f t="shared" si="14"/>
        <v>0</v>
      </c>
      <c r="BB29" s="75"/>
      <c r="BC29"/>
    </row>
    <row r="30" spans="1:55" ht="15" hidden="1" customHeight="1" x14ac:dyDescent="0.3">
      <c r="A30" s="72" t="s">
        <v>33</v>
      </c>
      <c r="B30" s="111"/>
      <c r="C30" s="111">
        <v>41</v>
      </c>
      <c r="D30" s="121">
        <f t="shared" si="16"/>
        <v>0</v>
      </c>
      <c r="E30" s="15">
        <f t="shared" si="15"/>
        <v>0</v>
      </c>
      <c r="F30" s="19"/>
      <c r="G30" s="19"/>
      <c r="H30" s="18"/>
      <c r="I30" s="18"/>
      <c r="J30" s="9" t="s">
        <v>68</v>
      </c>
      <c r="K30" s="20"/>
      <c r="L30" s="20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7">
        <f t="shared" si="2"/>
        <v>0</v>
      </c>
      <c r="AR30" s="16">
        <f t="shared" si="12"/>
        <v>0</v>
      </c>
      <c r="AS30" s="15"/>
      <c r="AT30" s="15"/>
      <c r="AU30" s="92">
        <f t="shared" si="3"/>
        <v>0</v>
      </c>
      <c r="AV30" s="92">
        <f t="shared" si="4"/>
        <v>0</v>
      </c>
      <c r="AW30" s="92">
        <f t="shared" si="5"/>
        <v>0</v>
      </c>
      <c r="AX30" s="92">
        <f t="shared" si="6"/>
        <v>0</v>
      </c>
      <c r="AY30" s="92">
        <f t="shared" si="13"/>
        <v>0</v>
      </c>
      <c r="AZ30" s="92">
        <f t="shared" si="13"/>
        <v>0</v>
      </c>
      <c r="BA30" s="95">
        <f t="shared" si="14"/>
        <v>0</v>
      </c>
      <c r="BB30" s="75"/>
      <c r="BC30"/>
    </row>
    <row r="31" spans="1:55" ht="15" hidden="1" customHeight="1" x14ac:dyDescent="0.3">
      <c r="A31" s="72" t="s">
        <v>34</v>
      </c>
      <c r="B31" s="111"/>
      <c r="C31" s="111">
        <v>42</v>
      </c>
      <c r="D31" s="121">
        <f t="shared" si="16"/>
        <v>0</v>
      </c>
      <c r="E31" s="15">
        <f t="shared" si="15"/>
        <v>0</v>
      </c>
      <c r="F31" s="19"/>
      <c r="G31" s="19"/>
      <c r="H31" s="18"/>
      <c r="I31" s="18"/>
      <c r="J31" s="9" t="s">
        <v>68</v>
      </c>
      <c r="K31" s="20"/>
      <c r="L31" s="20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7">
        <f t="shared" si="2"/>
        <v>0</v>
      </c>
      <c r="AR31" s="16">
        <f t="shared" si="12"/>
        <v>0</v>
      </c>
      <c r="AS31" s="15"/>
      <c r="AT31" s="15"/>
      <c r="AU31" s="92">
        <f t="shared" si="3"/>
        <v>0</v>
      </c>
      <c r="AV31" s="92">
        <f t="shared" si="4"/>
        <v>0</v>
      </c>
      <c r="AW31" s="92">
        <f t="shared" si="5"/>
        <v>0</v>
      </c>
      <c r="AX31" s="92">
        <f t="shared" si="6"/>
        <v>0</v>
      </c>
      <c r="AY31" s="92">
        <f t="shared" si="13"/>
        <v>0</v>
      </c>
      <c r="AZ31" s="92">
        <f t="shared" si="13"/>
        <v>0</v>
      </c>
      <c r="BA31" s="95">
        <f t="shared" si="14"/>
        <v>0</v>
      </c>
      <c r="BB31" s="75"/>
      <c r="BC31"/>
    </row>
    <row r="32" spans="1:55" ht="15" hidden="1" customHeight="1" x14ac:dyDescent="0.3">
      <c r="A32" s="72" t="s">
        <v>35</v>
      </c>
      <c r="B32" s="111"/>
      <c r="C32" s="111">
        <v>43</v>
      </c>
      <c r="D32" s="121">
        <f t="shared" si="16"/>
        <v>0</v>
      </c>
      <c r="E32" s="15">
        <f t="shared" si="15"/>
        <v>0</v>
      </c>
      <c r="F32" s="19"/>
      <c r="G32" s="19"/>
      <c r="H32" s="18"/>
      <c r="I32" s="18"/>
      <c r="J32" s="9" t="s">
        <v>68</v>
      </c>
      <c r="K32" s="20"/>
      <c r="L32" s="20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7">
        <f t="shared" si="2"/>
        <v>0</v>
      </c>
      <c r="AR32" s="16">
        <f t="shared" si="12"/>
        <v>0</v>
      </c>
      <c r="AS32" s="15"/>
      <c r="AT32" s="15"/>
      <c r="AU32" s="92">
        <f t="shared" si="3"/>
        <v>0</v>
      </c>
      <c r="AV32" s="92">
        <f t="shared" si="4"/>
        <v>0</v>
      </c>
      <c r="AW32" s="92">
        <f t="shared" si="5"/>
        <v>0</v>
      </c>
      <c r="AX32" s="92">
        <f t="shared" si="6"/>
        <v>0</v>
      </c>
      <c r="AY32" s="92">
        <f t="shared" si="13"/>
        <v>0</v>
      </c>
      <c r="AZ32" s="92">
        <f t="shared" si="13"/>
        <v>0</v>
      </c>
      <c r="BA32" s="95">
        <f t="shared" si="14"/>
        <v>0</v>
      </c>
      <c r="BB32" s="75"/>
      <c r="BC32"/>
    </row>
    <row r="33" spans="1:55" ht="15" hidden="1" customHeight="1" x14ac:dyDescent="0.3">
      <c r="A33" s="72" t="s">
        <v>36</v>
      </c>
      <c r="B33" s="111"/>
      <c r="C33" s="111">
        <v>44</v>
      </c>
      <c r="D33" s="121">
        <f t="shared" si="16"/>
        <v>0</v>
      </c>
      <c r="E33" s="15">
        <f t="shared" si="15"/>
        <v>0</v>
      </c>
      <c r="F33" s="19"/>
      <c r="G33" s="19"/>
      <c r="H33" s="18"/>
      <c r="I33" s="18"/>
      <c r="J33" s="9" t="s">
        <v>68</v>
      </c>
      <c r="K33" s="20"/>
      <c r="L33" s="20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7">
        <f t="shared" si="2"/>
        <v>0</v>
      </c>
      <c r="AR33" s="16">
        <f t="shared" si="12"/>
        <v>0</v>
      </c>
      <c r="AS33" s="15"/>
      <c r="AT33" s="15"/>
      <c r="AU33" s="92">
        <f t="shared" si="3"/>
        <v>0</v>
      </c>
      <c r="AV33" s="92">
        <f t="shared" si="4"/>
        <v>0</v>
      </c>
      <c r="AW33" s="92">
        <f t="shared" si="5"/>
        <v>0</v>
      </c>
      <c r="AX33" s="92">
        <f t="shared" si="6"/>
        <v>0</v>
      </c>
      <c r="AY33" s="92">
        <f t="shared" si="13"/>
        <v>0</v>
      </c>
      <c r="AZ33" s="92">
        <f t="shared" si="13"/>
        <v>0</v>
      </c>
      <c r="BA33" s="95">
        <f t="shared" si="14"/>
        <v>0</v>
      </c>
      <c r="BB33" s="75"/>
      <c r="BC33"/>
    </row>
    <row r="34" spans="1:55" ht="15" hidden="1" customHeight="1" x14ac:dyDescent="0.3">
      <c r="A34" s="72" t="s">
        <v>37</v>
      </c>
      <c r="B34" s="111"/>
      <c r="C34" s="111">
        <v>45</v>
      </c>
      <c r="D34" s="121">
        <f t="shared" si="16"/>
        <v>0</v>
      </c>
      <c r="E34" s="15">
        <f t="shared" si="15"/>
        <v>0</v>
      </c>
      <c r="F34" s="19"/>
      <c r="G34" s="19"/>
      <c r="H34" s="18"/>
      <c r="I34" s="18"/>
      <c r="J34" s="9" t="s">
        <v>68</v>
      </c>
      <c r="K34" s="20"/>
      <c r="L34" s="20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7">
        <f t="shared" si="2"/>
        <v>0</v>
      </c>
      <c r="AR34" s="16">
        <f t="shared" si="12"/>
        <v>0</v>
      </c>
      <c r="AS34" s="15"/>
      <c r="AT34" s="15"/>
      <c r="AU34" s="92">
        <f t="shared" si="3"/>
        <v>0</v>
      </c>
      <c r="AV34" s="92">
        <f t="shared" si="4"/>
        <v>0</v>
      </c>
      <c r="AW34" s="92">
        <f t="shared" si="5"/>
        <v>0</v>
      </c>
      <c r="AX34" s="92">
        <f t="shared" si="6"/>
        <v>0</v>
      </c>
      <c r="AY34" s="92">
        <f t="shared" si="13"/>
        <v>0</v>
      </c>
      <c r="AZ34" s="92">
        <f t="shared" si="13"/>
        <v>0</v>
      </c>
      <c r="BA34" s="95">
        <f t="shared" si="14"/>
        <v>0</v>
      </c>
      <c r="BB34" s="75"/>
      <c r="BC34"/>
    </row>
    <row r="35" spans="1:55" ht="15" hidden="1" customHeight="1" x14ac:dyDescent="0.3">
      <c r="A35" s="72" t="s">
        <v>38</v>
      </c>
      <c r="B35" s="111"/>
      <c r="C35" s="111">
        <v>46</v>
      </c>
      <c r="D35" s="121">
        <f t="shared" si="16"/>
        <v>0</v>
      </c>
      <c r="E35" s="15">
        <f t="shared" si="15"/>
        <v>0</v>
      </c>
      <c r="F35" s="19"/>
      <c r="G35" s="19"/>
      <c r="H35" s="18"/>
      <c r="I35" s="18"/>
      <c r="J35" s="9" t="s">
        <v>68</v>
      </c>
      <c r="K35" s="20"/>
      <c r="L35" s="20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7">
        <f t="shared" si="2"/>
        <v>0</v>
      </c>
      <c r="AR35" s="16">
        <f t="shared" si="12"/>
        <v>0</v>
      </c>
      <c r="AS35" s="15"/>
      <c r="AT35" s="15"/>
      <c r="AU35" s="92">
        <f t="shared" si="3"/>
        <v>0</v>
      </c>
      <c r="AV35" s="92">
        <f t="shared" si="4"/>
        <v>0</v>
      </c>
      <c r="AW35" s="92">
        <f t="shared" si="5"/>
        <v>0</v>
      </c>
      <c r="AX35" s="92">
        <f t="shared" si="6"/>
        <v>0</v>
      </c>
      <c r="AY35" s="92">
        <f t="shared" si="13"/>
        <v>0</v>
      </c>
      <c r="AZ35" s="92">
        <f t="shared" si="13"/>
        <v>0</v>
      </c>
      <c r="BA35" s="95">
        <f t="shared" si="14"/>
        <v>0</v>
      </c>
      <c r="BB35" s="75"/>
      <c r="BC35"/>
    </row>
    <row r="36" spans="1:55" ht="15" hidden="1" customHeight="1" x14ac:dyDescent="0.3">
      <c r="A36" s="72" t="s">
        <v>39</v>
      </c>
      <c r="B36" s="111"/>
      <c r="C36" s="111">
        <v>47</v>
      </c>
      <c r="D36" s="121">
        <f t="shared" si="16"/>
        <v>0</v>
      </c>
      <c r="E36" s="15">
        <f t="shared" si="15"/>
        <v>0</v>
      </c>
      <c r="F36" s="19"/>
      <c r="G36" s="19"/>
      <c r="H36" s="18"/>
      <c r="I36" s="18"/>
      <c r="J36" s="9" t="s">
        <v>68</v>
      </c>
      <c r="K36" s="20"/>
      <c r="L36" s="20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7">
        <f t="shared" si="2"/>
        <v>0</v>
      </c>
      <c r="AR36" s="16">
        <f t="shared" si="12"/>
        <v>0</v>
      </c>
      <c r="AS36" s="15"/>
      <c r="AT36" s="15"/>
      <c r="AU36" s="92">
        <f t="shared" si="3"/>
        <v>0</v>
      </c>
      <c r="AV36" s="92">
        <f t="shared" si="4"/>
        <v>0</v>
      </c>
      <c r="AW36" s="92">
        <f t="shared" si="5"/>
        <v>0</v>
      </c>
      <c r="AX36" s="92">
        <f t="shared" si="6"/>
        <v>0</v>
      </c>
      <c r="AY36" s="92">
        <f t="shared" si="13"/>
        <v>0</v>
      </c>
      <c r="AZ36" s="92">
        <f t="shared" si="13"/>
        <v>0</v>
      </c>
      <c r="BA36" s="95">
        <f t="shared" si="14"/>
        <v>0</v>
      </c>
      <c r="BB36" s="75"/>
      <c r="BC36"/>
    </row>
    <row r="37" spans="1:55" ht="15" hidden="1" customHeight="1" x14ac:dyDescent="0.3">
      <c r="A37" s="72" t="s">
        <v>40</v>
      </c>
      <c r="B37" s="111"/>
      <c r="C37" s="111">
        <v>48</v>
      </c>
      <c r="D37" s="121">
        <f t="shared" si="16"/>
        <v>0</v>
      </c>
      <c r="E37" s="15">
        <f t="shared" si="15"/>
        <v>0</v>
      </c>
      <c r="F37" s="19"/>
      <c r="G37" s="19"/>
      <c r="H37" s="18"/>
      <c r="I37" s="18"/>
      <c r="J37" s="9" t="s">
        <v>68</v>
      </c>
      <c r="K37" s="20"/>
      <c r="L37" s="20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7">
        <f t="shared" si="2"/>
        <v>0</v>
      </c>
      <c r="AR37" s="16">
        <f t="shared" si="12"/>
        <v>0</v>
      </c>
      <c r="AS37" s="15"/>
      <c r="AT37" s="15"/>
      <c r="AU37" s="92">
        <f t="shared" si="3"/>
        <v>0</v>
      </c>
      <c r="AV37" s="92">
        <f t="shared" si="4"/>
        <v>0</v>
      </c>
      <c r="AW37" s="92">
        <f t="shared" si="5"/>
        <v>0</v>
      </c>
      <c r="AX37" s="92">
        <f t="shared" si="6"/>
        <v>0</v>
      </c>
      <c r="AY37" s="92">
        <f t="shared" si="13"/>
        <v>0</v>
      </c>
      <c r="AZ37" s="92">
        <f t="shared" si="13"/>
        <v>0</v>
      </c>
      <c r="BA37" s="95">
        <f t="shared" si="14"/>
        <v>0</v>
      </c>
      <c r="BB37" s="75"/>
      <c r="BC37"/>
    </row>
    <row r="38" spans="1:55" ht="15" hidden="1" customHeight="1" x14ac:dyDescent="0.3">
      <c r="A38" s="72" t="s">
        <v>41</v>
      </c>
      <c r="B38" s="111"/>
      <c r="C38" s="111">
        <v>49</v>
      </c>
      <c r="D38" s="121">
        <f t="shared" si="16"/>
        <v>0</v>
      </c>
      <c r="E38" s="15">
        <f t="shared" si="15"/>
        <v>0</v>
      </c>
      <c r="F38" s="19"/>
      <c r="G38" s="19"/>
      <c r="H38" s="18"/>
      <c r="I38" s="18"/>
      <c r="J38" s="9" t="s">
        <v>68</v>
      </c>
      <c r="K38" s="20"/>
      <c r="L38" s="20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7">
        <f t="shared" si="2"/>
        <v>0</v>
      </c>
      <c r="AR38" s="16">
        <f t="shared" si="12"/>
        <v>0</v>
      </c>
      <c r="AS38" s="15"/>
      <c r="AT38" s="15"/>
      <c r="AU38" s="92">
        <f t="shared" si="3"/>
        <v>0</v>
      </c>
      <c r="AV38" s="92">
        <f t="shared" si="4"/>
        <v>0</v>
      </c>
      <c r="AW38" s="92">
        <f t="shared" si="5"/>
        <v>0</v>
      </c>
      <c r="AX38" s="92">
        <f t="shared" si="6"/>
        <v>0</v>
      </c>
      <c r="AY38" s="92">
        <f t="shared" si="13"/>
        <v>0</v>
      </c>
      <c r="AZ38" s="92">
        <f t="shared" si="13"/>
        <v>0</v>
      </c>
      <c r="BA38" s="95">
        <f t="shared" si="14"/>
        <v>0</v>
      </c>
      <c r="BB38" s="75"/>
      <c r="BC38"/>
    </row>
    <row r="39" spans="1:55" ht="15" hidden="1" customHeight="1" x14ac:dyDescent="0.3">
      <c r="A39" s="72" t="s">
        <v>42</v>
      </c>
      <c r="B39" s="111"/>
      <c r="C39" s="111">
        <v>50</v>
      </c>
      <c r="D39" s="121">
        <f t="shared" si="16"/>
        <v>0</v>
      </c>
      <c r="E39" s="15">
        <f t="shared" si="15"/>
        <v>0</v>
      </c>
      <c r="F39" s="19"/>
      <c r="G39" s="19"/>
      <c r="H39" s="18"/>
      <c r="I39" s="18"/>
      <c r="J39" s="9" t="s">
        <v>68</v>
      </c>
      <c r="K39" s="20"/>
      <c r="L39" s="20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7">
        <f t="shared" si="2"/>
        <v>0</v>
      </c>
      <c r="AR39" s="16">
        <f t="shared" si="12"/>
        <v>0</v>
      </c>
      <c r="AS39" s="15"/>
      <c r="AT39" s="15"/>
      <c r="AU39" s="92">
        <f t="shared" si="3"/>
        <v>0</v>
      </c>
      <c r="AV39" s="92">
        <f t="shared" si="4"/>
        <v>0</v>
      </c>
      <c r="AW39" s="92">
        <f t="shared" si="5"/>
        <v>0</v>
      </c>
      <c r="AX39" s="92">
        <f t="shared" si="6"/>
        <v>0</v>
      </c>
      <c r="AY39" s="92">
        <f t="shared" si="13"/>
        <v>0</v>
      </c>
      <c r="AZ39" s="92">
        <f t="shared" si="13"/>
        <v>0</v>
      </c>
      <c r="BA39" s="95">
        <f t="shared" si="14"/>
        <v>0</v>
      </c>
      <c r="BB39" s="75"/>
      <c r="BC39"/>
    </row>
    <row r="40" spans="1:55" ht="15" hidden="1" customHeight="1" x14ac:dyDescent="0.3">
      <c r="A40" s="72" t="s">
        <v>43</v>
      </c>
      <c r="B40" s="111"/>
      <c r="C40" s="111">
        <v>51</v>
      </c>
      <c r="D40" s="121">
        <f t="shared" si="16"/>
        <v>0</v>
      </c>
      <c r="E40" s="15">
        <f t="shared" si="15"/>
        <v>0</v>
      </c>
      <c r="F40" s="19"/>
      <c r="G40" s="19"/>
      <c r="H40" s="18"/>
      <c r="I40" s="18"/>
      <c r="J40" s="9" t="s">
        <v>68</v>
      </c>
      <c r="K40" s="20"/>
      <c r="L40" s="20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7">
        <f t="shared" si="2"/>
        <v>0</v>
      </c>
      <c r="AR40" s="16">
        <f t="shared" si="12"/>
        <v>0</v>
      </c>
      <c r="AS40" s="15"/>
      <c r="AT40" s="15"/>
      <c r="AU40" s="92">
        <f t="shared" si="3"/>
        <v>0</v>
      </c>
      <c r="AV40" s="92">
        <f t="shared" si="4"/>
        <v>0</v>
      </c>
      <c r="AW40" s="92">
        <f t="shared" si="5"/>
        <v>0</v>
      </c>
      <c r="AX40" s="92">
        <f t="shared" si="6"/>
        <v>0</v>
      </c>
      <c r="AY40" s="92">
        <f t="shared" si="13"/>
        <v>0</v>
      </c>
      <c r="AZ40" s="92">
        <f t="shared" si="13"/>
        <v>0</v>
      </c>
      <c r="BA40" s="95">
        <f t="shared" si="14"/>
        <v>0</v>
      </c>
      <c r="BB40" s="75"/>
      <c r="BC40"/>
    </row>
    <row r="41" spans="1:55" ht="15" hidden="1" customHeight="1" thickBot="1" x14ac:dyDescent="0.3">
      <c r="A41" s="100" t="s">
        <v>44</v>
      </c>
      <c r="B41" s="116"/>
      <c r="C41" s="116">
        <v>52</v>
      </c>
      <c r="D41" s="121">
        <f t="shared" si="16"/>
        <v>0</v>
      </c>
      <c r="E41" s="15">
        <f t="shared" si="15"/>
        <v>0</v>
      </c>
      <c r="F41" s="91"/>
      <c r="G41" s="91"/>
      <c r="H41" s="92"/>
      <c r="I41" s="92"/>
      <c r="J41" s="101" t="s">
        <v>68</v>
      </c>
      <c r="K41" s="94"/>
      <c r="L41" s="94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7">
        <f t="shared" si="2"/>
        <v>0</v>
      </c>
      <c r="AR41" s="16">
        <f t="shared" si="12"/>
        <v>0</v>
      </c>
      <c r="AS41" s="16"/>
      <c r="AT41" s="16"/>
      <c r="AU41" s="92">
        <f t="shared" si="3"/>
        <v>0</v>
      </c>
      <c r="AV41" s="92">
        <f t="shared" si="4"/>
        <v>0</v>
      </c>
      <c r="AW41" s="92">
        <f t="shared" si="5"/>
        <v>0</v>
      </c>
      <c r="AX41" s="92">
        <f t="shared" si="6"/>
        <v>0</v>
      </c>
      <c r="AY41" s="92">
        <f t="shared" si="13"/>
        <v>0</v>
      </c>
      <c r="AZ41" s="92">
        <f t="shared" si="13"/>
        <v>0</v>
      </c>
      <c r="BA41" s="95">
        <f t="shared" si="14"/>
        <v>0</v>
      </c>
      <c r="BB41" s="96"/>
      <c r="BC41"/>
    </row>
    <row r="42" spans="1:55" ht="15" customHeight="1" thickBot="1" x14ac:dyDescent="0.3">
      <c r="A42" s="102" t="s">
        <v>81</v>
      </c>
      <c r="B42" s="124"/>
      <c r="C42" s="87"/>
      <c r="D42" s="132">
        <f>SUM(D43:D45)</f>
        <v>0</v>
      </c>
      <c r="E42" s="129">
        <f>SUM(E43:E45)</f>
        <v>0</v>
      </c>
      <c r="F42" s="129">
        <f>SUM(F43:F45)</f>
        <v>0</v>
      </c>
      <c r="G42" s="129"/>
      <c r="H42" s="131">
        <f>SUM(H43:H45)</f>
        <v>0</v>
      </c>
      <c r="I42" s="131">
        <f>SUM(I43:I45)</f>
        <v>0</v>
      </c>
      <c r="J42" s="88"/>
      <c r="K42" s="130"/>
      <c r="L42" s="130"/>
      <c r="M42" s="129">
        <f>SUM(M43:M45)</f>
        <v>0</v>
      </c>
      <c r="N42" s="129">
        <f t="shared" ref="N42:AP42" si="17">SUM(N43:N45)</f>
        <v>0</v>
      </c>
      <c r="O42" s="129">
        <f t="shared" si="17"/>
        <v>0</v>
      </c>
      <c r="P42" s="129">
        <f t="shared" si="17"/>
        <v>0</v>
      </c>
      <c r="Q42" s="129">
        <f t="shared" si="17"/>
        <v>0</v>
      </c>
      <c r="R42" s="129">
        <f t="shared" si="17"/>
        <v>0</v>
      </c>
      <c r="S42" s="129">
        <f t="shared" si="17"/>
        <v>0</v>
      </c>
      <c r="T42" s="129">
        <f t="shared" si="17"/>
        <v>0</v>
      </c>
      <c r="U42" s="129">
        <f t="shared" si="17"/>
        <v>0</v>
      </c>
      <c r="V42" s="129">
        <f t="shared" si="17"/>
        <v>0</v>
      </c>
      <c r="W42" s="129">
        <f t="shared" si="17"/>
        <v>0</v>
      </c>
      <c r="X42" s="129">
        <f t="shared" si="17"/>
        <v>0</v>
      </c>
      <c r="Y42" s="129">
        <f t="shared" si="17"/>
        <v>0</v>
      </c>
      <c r="Z42" s="129">
        <f t="shared" si="17"/>
        <v>0</v>
      </c>
      <c r="AA42" s="129">
        <f t="shared" si="17"/>
        <v>0</v>
      </c>
      <c r="AB42" s="129">
        <f t="shared" si="17"/>
        <v>0</v>
      </c>
      <c r="AC42" s="129">
        <f t="shared" si="17"/>
        <v>0</v>
      </c>
      <c r="AD42" s="129">
        <f t="shared" si="17"/>
        <v>0</v>
      </c>
      <c r="AE42" s="129">
        <f t="shared" si="17"/>
        <v>0</v>
      </c>
      <c r="AF42" s="129">
        <f t="shared" si="17"/>
        <v>0</v>
      </c>
      <c r="AG42" s="129">
        <f t="shared" si="17"/>
        <v>0</v>
      </c>
      <c r="AH42" s="129">
        <f t="shared" si="17"/>
        <v>0</v>
      </c>
      <c r="AI42" s="129">
        <f t="shared" si="17"/>
        <v>0</v>
      </c>
      <c r="AJ42" s="129">
        <f t="shared" si="17"/>
        <v>0</v>
      </c>
      <c r="AK42" s="129">
        <f t="shared" si="17"/>
        <v>0</v>
      </c>
      <c r="AL42" s="129">
        <f t="shared" si="17"/>
        <v>0</v>
      </c>
      <c r="AM42" s="129">
        <f t="shared" si="17"/>
        <v>0</v>
      </c>
      <c r="AN42" s="129">
        <f t="shared" si="17"/>
        <v>0</v>
      </c>
      <c r="AO42" s="129">
        <f t="shared" si="17"/>
        <v>0</v>
      </c>
      <c r="AP42" s="129">
        <f t="shared" si="17"/>
        <v>0</v>
      </c>
      <c r="AQ42" s="129">
        <f t="shared" si="2"/>
        <v>0</v>
      </c>
      <c r="AR42" s="129">
        <f t="shared" si="12"/>
        <v>0</v>
      </c>
      <c r="AS42" s="129"/>
      <c r="AT42" s="129">
        <f>SUM(AT43:AT45)</f>
        <v>0</v>
      </c>
      <c r="AU42" s="131">
        <f t="shared" si="3"/>
        <v>0</v>
      </c>
      <c r="AV42" s="131">
        <f t="shared" si="4"/>
        <v>0</v>
      </c>
      <c r="AW42" s="131">
        <f t="shared" si="5"/>
        <v>0</v>
      </c>
      <c r="AX42" s="131">
        <f t="shared" si="6"/>
        <v>0</v>
      </c>
      <c r="AY42" s="131">
        <f t="shared" si="13"/>
        <v>0</v>
      </c>
      <c r="AZ42" s="131">
        <f t="shared" si="13"/>
        <v>0</v>
      </c>
      <c r="BA42" s="129">
        <f t="shared" si="14"/>
        <v>0</v>
      </c>
      <c r="BB42" s="99"/>
      <c r="BC42"/>
    </row>
    <row r="43" spans="1:55" ht="15" customHeight="1" x14ac:dyDescent="0.25">
      <c r="A43" s="97" t="s">
        <v>66</v>
      </c>
      <c r="B43" s="123" t="s">
        <v>139</v>
      </c>
      <c r="C43" s="115">
        <v>25</v>
      </c>
      <c r="D43" s="121">
        <f>AT43*AU43*AW43</f>
        <v>0</v>
      </c>
      <c r="E43" s="17">
        <f>ROUND(AT43*AV43*AX43,4)</f>
        <v>0</v>
      </c>
      <c r="F43" s="81"/>
      <c r="G43" s="81"/>
      <c r="H43" s="82"/>
      <c r="I43" s="82"/>
      <c r="J43" s="14" t="s">
        <v>55</v>
      </c>
      <c r="K43" s="84"/>
      <c r="L43" s="84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>
        <f t="shared" si="2"/>
        <v>0</v>
      </c>
      <c r="AR43" s="16">
        <f t="shared" si="12"/>
        <v>0</v>
      </c>
      <c r="AS43" s="16"/>
      <c r="AT43" s="16"/>
      <c r="AU43" s="82">
        <f t="shared" si="3"/>
        <v>0</v>
      </c>
      <c r="AV43" s="82">
        <f t="shared" si="4"/>
        <v>0</v>
      </c>
      <c r="AW43" s="82">
        <f t="shared" si="5"/>
        <v>0</v>
      </c>
      <c r="AX43" s="82">
        <f t="shared" si="6"/>
        <v>0</v>
      </c>
      <c r="AY43" s="92">
        <f t="shared" si="13"/>
        <v>0</v>
      </c>
      <c r="AZ43" s="92">
        <f t="shared" si="13"/>
        <v>0</v>
      </c>
      <c r="BA43" s="95">
        <f t="shared" si="14"/>
        <v>0</v>
      </c>
      <c r="BB43" s="86"/>
      <c r="BC43"/>
    </row>
    <row r="44" spans="1:55" ht="15" hidden="1" customHeight="1" x14ac:dyDescent="0.25">
      <c r="A44" s="72" t="s">
        <v>67</v>
      </c>
      <c r="B44" s="123"/>
      <c r="C44" s="111">
        <v>31</v>
      </c>
      <c r="D44" s="121">
        <f>AT44*AU44*AW44</f>
        <v>0</v>
      </c>
      <c r="E44" s="15">
        <f t="shared" si="15"/>
        <v>0</v>
      </c>
      <c r="F44" s="19"/>
      <c r="G44" s="19"/>
      <c r="H44" s="18"/>
      <c r="I44" s="18"/>
      <c r="J44" s="7" t="s">
        <v>55</v>
      </c>
      <c r="K44" s="20"/>
      <c r="L44" s="20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7">
        <f t="shared" si="2"/>
        <v>0</v>
      </c>
      <c r="AR44" s="16">
        <f t="shared" si="12"/>
        <v>0</v>
      </c>
      <c r="AS44" s="15"/>
      <c r="AT44" s="15"/>
      <c r="AU44" s="82">
        <f t="shared" si="3"/>
        <v>0</v>
      </c>
      <c r="AV44" s="82">
        <f t="shared" si="4"/>
        <v>0</v>
      </c>
      <c r="AW44" s="82">
        <f t="shared" si="5"/>
        <v>0</v>
      </c>
      <c r="AX44" s="82">
        <f t="shared" si="6"/>
        <v>0</v>
      </c>
      <c r="AY44" s="92">
        <f t="shared" si="13"/>
        <v>0</v>
      </c>
      <c r="AZ44" s="92">
        <f t="shared" si="13"/>
        <v>0</v>
      </c>
      <c r="BA44" s="95">
        <f t="shared" si="14"/>
        <v>0</v>
      </c>
      <c r="BB44" s="75"/>
      <c r="BC44"/>
    </row>
    <row r="45" spans="1:55" ht="15" customHeight="1" thickBot="1" x14ac:dyDescent="0.3">
      <c r="A45" s="103" t="s">
        <v>67</v>
      </c>
      <c r="B45" s="123" t="s">
        <v>140</v>
      </c>
      <c r="C45" s="114">
        <v>38</v>
      </c>
      <c r="D45" s="121">
        <f>AT45*AU45*AW45</f>
        <v>0</v>
      </c>
      <c r="E45" s="16">
        <f>ROUND(AT45*AV45*AX45,4)</f>
        <v>0</v>
      </c>
      <c r="F45" s="91"/>
      <c r="G45" s="91"/>
      <c r="H45" s="92"/>
      <c r="I45" s="92"/>
      <c r="J45" s="13" t="s">
        <v>55</v>
      </c>
      <c r="K45" s="94"/>
      <c r="L45" s="94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7">
        <f t="shared" si="2"/>
        <v>0</v>
      </c>
      <c r="AR45" s="16">
        <f t="shared" si="12"/>
        <v>0</v>
      </c>
      <c r="AS45" s="16"/>
      <c r="AT45" s="16"/>
      <c r="AU45" s="82">
        <f t="shared" si="3"/>
        <v>0</v>
      </c>
      <c r="AV45" s="82">
        <f t="shared" si="4"/>
        <v>0</v>
      </c>
      <c r="AW45" s="82">
        <f t="shared" si="5"/>
        <v>0</v>
      </c>
      <c r="AX45" s="82">
        <f t="shared" si="6"/>
        <v>0</v>
      </c>
      <c r="AY45" s="92">
        <f t="shared" si="13"/>
        <v>0</v>
      </c>
      <c r="AZ45" s="92">
        <f t="shared" si="13"/>
        <v>0</v>
      </c>
      <c r="BA45" s="95">
        <f t="shared" si="14"/>
        <v>0</v>
      </c>
      <c r="BB45" s="96"/>
      <c r="BC45"/>
    </row>
    <row r="46" spans="1:55" ht="15" customHeight="1" thickBot="1" x14ac:dyDescent="0.3">
      <c r="A46" s="102" t="s">
        <v>82</v>
      </c>
      <c r="B46" s="124"/>
      <c r="C46" s="87"/>
      <c r="D46" s="132">
        <f>SUM(D47:D51)</f>
        <v>0</v>
      </c>
      <c r="E46" s="129">
        <f>SUM(E47:E51)</f>
        <v>0</v>
      </c>
      <c r="F46" s="129">
        <f>SUM(F47:F51)</f>
        <v>0</v>
      </c>
      <c r="G46" s="129"/>
      <c r="H46" s="131">
        <f>SUM(H47:H51)</f>
        <v>0</v>
      </c>
      <c r="I46" s="131">
        <f>SUM(I47:I51)</f>
        <v>0</v>
      </c>
      <c r="J46" s="88"/>
      <c r="K46" s="130"/>
      <c r="L46" s="130"/>
      <c r="M46" s="129">
        <f>SUM(M47:M51)</f>
        <v>0</v>
      </c>
      <c r="N46" s="129">
        <f t="shared" ref="N46:AP46" si="18">SUM(N47:N51)</f>
        <v>0</v>
      </c>
      <c r="O46" s="129">
        <f t="shared" si="18"/>
        <v>0</v>
      </c>
      <c r="P46" s="129">
        <f t="shared" si="18"/>
        <v>0</v>
      </c>
      <c r="Q46" s="129">
        <f t="shared" si="18"/>
        <v>0</v>
      </c>
      <c r="R46" s="129">
        <f t="shared" si="18"/>
        <v>0</v>
      </c>
      <c r="S46" s="129">
        <f t="shared" si="18"/>
        <v>0</v>
      </c>
      <c r="T46" s="129">
        <f t="shared" si="18"/>
        <v>0</v>
      </c>
      <c r="U46" s="129">
        <f t="shared" si="18"/>
        <v>0</v>
      </c>
      <c r="V46" s="129">
        <f t="shared" si="18"/>
        <v>0</v>
      </c>
      <c r="W46" s="129">
        <f t="shared" si="18"/>
        <v>0</v>
      </c>
      <c r="X46" s="129">
        <f t="shared" si="18"/>
        <v>0</v>
      </c>
      <c r="Y46" s="129">
        <f t="shared" si="18"/>
        <v>0</v>
      </c>
      <c r="Z46" s="129">
        <f t="shared" si="18"/>
        <v>0</v>
      </c>
      <c r="AA46" s="129">
        <f t="shared" si="18"/>
        <v>0</v>
      </c>
      <c r="AB46" s="129">
        <f t="shared" si="18"/>
        <v>0</v>
      </c>
      <c r="AC46" s="129">
        <f t="shared" si="18"/>
        <v>0</v>
      </c>
      <c r="AD46" s="129">
        <f t="shared" si="18"/>
        <v>0</v>
      </c>
      <c r="AE46" s="129">
        <f t="shared" si="18"/>
        <v>0</v>
      </c>
      <c r="AF46" s="129">
        <f t="shared" si="18"/>
        <v>0</v>
      </c>
      <c r="AG46" s="129">
        <f t="shared" si="18"/>
        <v>0</v>
      </c>
      <c r="AH46" s="129">
        <f t="shared" si="18"/>
        <v>0</v>
      </c>
      <c r="AI46" s="129">
        <f t="shared" si="18"/>
        <v>0</v>
      </c>
      <c r="AJ46" s="129">
        <f t="shared" si="18"/>
        <v>0</v>
      </c>
      <c r="AK46" s="129">
        <f t="shared" si="18"/>
        <v>0</v>
      </c>
      <c r="AL46" s="129">
        <f t="shared" si="18"/>
        <v>0</v>
      </c>
      <c r="AM46" s="129">
        <f t="shared" si="18"/>
        <v>0</v>
      </c>
      <c r="AN46" s="129">
        <f t="shared" si="18"/>
        <v>0</v>
      </c>
      <c r="AO46" s="129">
        <f t="shared" si="18"/>
        <v>0</v>
      </c>
      <c r="AP46" s="129">
        <f t="shared" si="18"/>
        <v>0</v>
      </c>
      <c r="AQ46" s="129">
        <f t="shared" si="2"/>
        <v>0</v>
      </c>
      <c r="AR46" s="129">
        <f t="shared" si="12"/>
        <v>0</v>
      </c>
      <c r="AS46" s="129"/>
      <c r="AT46" s="129">
        <f>SUM(AT47:AT51)</f>
        <v>0</v>
      </c>
      <c r="AU46" s="131">
        <f t="shared" si="3"/>
        <v>0</v>
      </c>
      <c r="AV46" s="131">
        <f t="shared" si="4"/>
        <v>0</v>
      </c>
      <c r="AW46" s="131">
        <f t="shared" si="5"/>
        <v>0</v>
      </c>
      <c r="AX46" s="131">
        <f t="shared" si="6"/>
        <v>0</v>
      </c>
      <c r="AY46" s="131">
        <f t="shared" si="13"/>
        <v>0</v>
      </c>
      <c r="AZ46" s="131">
        <f t="shared" si="13"/>
        <v>0</v>
      </c>
      <c r="BA46" s="129">
        <f t="shared" si="14"/>
        <v>0</v>
      </c>
      <c r="BB46" s="99"/>
      <c r="BC46"/>
    </row>
    <row r="47" spans="1:55" ht="15" customHeight="1" x14ac:dyDescent="0.25">
      <c r="A47" s="97" t="s">
        <v>46</v>
      </c>
      <c r="B47" s="123" t="s">
        <v>141</v>
      </c>
      <c r="C47" s="115">
        <v>28</v>
      </c>
      <c r="D47" s="121">
        <f>AT47*AU47*AW47</f>
        <v>0</v>
      </c>
      <c r="E47" s="17">
        <f>ROUND(AT47*AV47*AX47,4)</f>
        <v>0</v>
      </c>
      <c r="F47" s="81"/>
      <c r="G47" s="81"/>
      <c r="H47" s="82"/>
      <c r="I47" s="82"/>
      <c r="J47" s="14" t="s">
        <v>55</v>
      </c>
      <c r="K47" s="84"/>
      <c r="L47" s="84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>
        <f t="shared" si="2"/>
        <v>0</v>
      </c>
      <c r="AR47" s="16">
        <f t="shared" si="12"/>
        <v>0</v>
      </c>
      <c r="AS47" s="16"/>
      <c r="AT47" s="16"/>
      <c r="AU47" s="82">
        <f t="shared" si="3"/>
        <v>0</v>
      </c>
      <c r="AV47" s="82">
        <f t="shared" si="4"/>
        <v>0</v>
      </c>
      <c r="AW47" s="82">
        <f t="shared" si="5"/>
        <v>0</v>
      </c>
      <c r="AX47" s="82">
        <f t="shared" si="6"/>
        <v>0</v>
      </c>
      <c r="AY47" s="92">
        <f t="shared" si="13"/>
        <v>0</v>
      </c>
      <c r="AZ47" s="92">
        <f t="shared" si="13"/>
        <v>0</v>
      </c>
      <c r="BA47" s="95">
        <f t="shared" si="14"/>
        <v>0</v>
      </c>
      <c r="BB47" s="86"/>
      <c r="BC47"/>
    </row>
    <row r="48" spans="1:55" ht="15" customHeight="1" thickBot="1" x14ac:dyDescent="0.3">
      <c r="A48" s="71" t="s">
        <v>45</v>
      </c>
      <c r="B48" s="123" t="s">
        <v>142</v>
      </c>
      <c r="C48" s="112">
        <v>33</v>
      </c>
      <c r="D48" s="121">
        <f>AT48*AU48*AW48</f>
        <v>0</v>
      </c>
      <c r="E48" s="17">
        <f>ROUND(AT48*AV48*AX48,4)</f>
        <v>0</v>
      </c>
      <c r="F48" s="19"/>
      <c r="G48" s="19"/>
      <c r="H48" s="18"/>
      <c r="I48" s="18"/>
      <c r="J48" s="7" t="s">
        <v>55</v>
      </c>
      <c r="K48" s="20"/>
      <c r="L48" s="20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7">
        <f t="shared" si="2"/>
        <v>0</v>
      </c>
      <c r="AR48" s="16">
        <f t="shared" si="12"/>
        <v>0</v>
      </c>
      <c r="AS48" s="16"/>
      <c r="AT48" s="16"/>
      <c r="AU48" s="82">
        <f t="shared" si="3"/>
        <v>0</v>
      </c>
      <c r="AV48" s="82">
        <f t="shared" si="4"/>
        <v>0</v>
      </c>
      <c r="AW48" s="82">
        <f t="shared" si="5"/>
        <v>0</v>
      </c>
      <c r="AX48" s="82">
        <f t="shared" si="6"/>
        <v>0</v>
      </c>
      <c r="AY48" s="92">
        <f t="shared" si="13"/>
        <v>0</v>
      </c>
      <c r="AZ48" s="92">
        <f t="shared" si="13"/>
        <v>0</v>
      </c>
      <c r="BA48" s="95">
        <f t="shared" si="14"/>
        <v>0</v>
      </c>
      <c r="BB48" s="75"/>
      <c r="BC48"/>
    </row>
    <row r="49" spans="1:55" ht="15" hidden="1" customHeight="1" x14ac:dyDescent="0.3">
      <c r="A49" s="72" t="s">
        <v>48</v>
      </c>
      <c r="B49" s="111"/>
      <c r="C49" s="111">
        <v>35</v>
      </c>
      <c r="D49" s="120">
        <f t="shared" ref="D49:D51" si="19">AS49*AW49*AU49</f>
        <v>0</v>
      </c>
      <c r="E49" s="15">
        <f t="shared" si="15"/>
        <v>0</v>
      </c>
      <c r="F49" s="19"/>
      <c r="G49" s="19"/>
      <c r="H49" s="18"/>
      <c r="I49" s="18"/>
      <c r="J49" s="7" t="s">
        <v>55</v>
      </c>
      <c r="K49" s="20"/>
      <c r="L49" s="20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7">
        <f t="shared" si="2"/>
        <v>0</v>
      </c>
      <c r="AR49" s="16">
        <f t="shared" si="12"/>
        <v>0</v>
      </c>
      <c r="AS49" s="15"/>
      <c r="AT49" s="15"/>
      <c r="AU49" s="92">
        <f t="shared" si="3"/>
        <v>0</v>
      </c>
      <c r="AV49" s="92">
        <f t="shared" si="4"/>
        <v>0</v>
      </c>
      <c r="AW49" s="92">
        <f t="shared" si="5"/>
        <v>0</v>
      </c>
      <c r="AX49" s="92">
        <f t="shared" si="6"/>
        <v>0</v>
      </c>
      <c r="AY49" s="92">
        <f t="shared" si="13"/>
        <v>0</v>
      </c>
      <c r="AZ49" s="92">
        <f t="shared" si="13"/>
        <v>0</v>
      </c>
      <c r="BA49" s="95">
        <f t="shared" si="14"/>
        <v>0</v>
      </c>
      <c r="BB49" s="75"/>
      <c r="BC49"/>
    </row>
    <row r="50" spans="1:55" ht="15" hidden="1" customHeight="1" x14ac:dyDescent="0.3">
      <c r="A50" s="72" t="s">
        <v>47</v>
      </c>
      <c r="B50" s="111"/>
      <c r="C50" s="111">
        <v>36</v>
      </c>
      <c r="D50" s="120">
        <f t="shared" si="19"/>
        <v>0</v>
      </c>
      <c r="E50" s="15">
        <f t="shared" si="15"/>
        <v>0</v>
      </c>
      <c r="F50" s="19"/>
      <c r="G50" s="19"/>
      <c r="H50" s="18"/>
      <c r="I50" s="18"/>
      <c r="J50" s="7" t="s">
        <v>55</v>
      </c>
      <c r="K50" s="20"/>
      <c r="L50" s="20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7">
        <f t="shared" si="2"/>
        <v>0</v>
      </c>
      <c r="AR50" s="16">
        <f t="shared" si="12"/>
        <v>0</v>
      </c>
      <c r="AS50" s="15"/>
      <c r="AT50" s="15"/>
      <c r="AU50" s="92">
        <f t="shared" si="3"/>
        <v>0</v>
      </c>
      <c r="AV50" s="92">
        <f t="shared" si="4"/>
        <v>0</v>
      </c>
      <c r="AW50" s="92">
        <f t="shared" si="5"/>
        <v>0</v>
      </c>
      <c r="AX50" s="92">
        <f t="shared" si="6"/>
        <v>0</v>
      </c>
      <c r="AY50" s="92">
        <f t="shared" si="13"/>
        <v>0</v>
      </c>
      <c r="AZ50" s="92">
        <f t="shared" si="13"/>
        <v>0</v>
      </c>
      <c r="BA50" s="95">
        <f t="shared" si="14"/>
        <v>0</v>
      </c>
      <c r="BB50" s="75"/>
      <c r="BC50"/>
    </row>
    <row r="51" spans="1:55" ht="15" hidden="1" customHeight="1" thickBot="1" x14ac:dyDescent="0.3">
      <c r="A51" s="100" t="s">
        <v>64</v>
      </c>
      <c r="B51" s="116"/>
      <c r="C51" s="116">
        <v>37</v>
      </c>
      <c r="D51" s="121">
        <f t="shared" si="19"/>
        <v>0</v>
      </c>
      <c r="E51" s="16">
        <f t="shared" si="15"/>
        <v>0</v>
      </c>
      <c r="F51" s="91"/>
      <c r="G51" s="91"/>
      <c r="H51" s="92"/>
      <c r="I51" s="92"/>
      <c r="J51" s="13" t="s">
        <v>55</v>
      </c>
      <c r="K51" s="94"/>
      <c r="L51" s="94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7">
        <f t="shared" si="2"/>
        <v>0</v>
      </c>
      <c r="AR51" s="16">
        <f t="shared" si="12"/>
        <v>0</v>
      </c>
      <c r="AS51" s="16"/>
      <c r="AT51" s="16"/>
      <c r="AU51" s="92">
        <f t="shared" si="3"/>
        <v>0</v>
      </c>
      <c r="AV51" s="92">
        <f t="shared" si="4"/>
        <v>0</v>
      </c>
      <c r="AW51" s="92">
        <f t="shared" si="5"/>
        <v>0</v>
      </c>
      <c r="AX51" s="92">
        <f t="shared" si="6"/>
        <v>0</v>
      </c>
      <c r="AY51" s="92">
        <f t="shared" si="13"/>
        <v>0</v>
      </c>
      <c r="AZ51" s="92">
        <f t="shared" si="13"/>
        <v>0</v>
      </c>
      <c r="BA51" s="95">
        <f t="shared" si="14"/>
        <v>0</v>
      </c>
      <c r="BB51" s="96"/>
      <c r="BC51"/>
    </row>
    <row r="52" spans="1:55" ht="15" customHeight="1" thickBot="1" x14ac:dyDescent="0.3">
      <c r="A52" s="102" t="s">
        <v>49</v>
      </c>
      <c r="B52" s="124"/>
      <c r="C52" s="87"/>
      <c r="D52" s="132">
        <f>SUM(D53:D54)</f>
        <v>0</v>
      </c>
      <c r="E52" s="129">
        <f>SUM(E53:E54)</f>
        <v>0</v>
      </c>
      <c r="F52" s="129">
        <f>SUM(F53:F54)</f>
        <v>0</v>
      </c>
      <c r="G52" s="129"/>
      <c r="H52" s="131">
        <f>SUM(H53:H54)</f>
        <v>0</v>
      </c>
      <c r="I52" s="131">
        <f>SUM(I53:I54)</f>
        <v>0</v>
      </c>
      <c r="J52" s="88"/>
      <c r="K52" s="130"/>
      <c r="L52" s="130"/>
      <c r="M52" s="129">
        <f>SUM(M53:M54)</f>
        <v>0</v>
      </c>
      <c r="N52" s="129">
        <f t="shared" ref="N52:AP52" si="20">SUM(N53:N54)</f>
        <v>0</v>
      </c>
      <c r="O52" s="129">
        <f t="shared" si="20"/>
        <v>0</v>
      </c>
      <c r="P52" s="129">
        <f t="shared" si="20"/>
        <v>0</v>
      </c>
      <c r="Q52" s="129">
        <f t="shared" si="20"/>
        <v>0</v>
      </c>
      <c r="R52" s="129">
        <f t="shared" si="20"/>
        <v>0</v>
      </c>
      <c r="S52" s="129">
        <f t="shared" si="20"/>
        <v>0</v>
      </c>
      <c r="T52" s="129">
        <f t="shared" si="20"/>
        <v>0</v>
      </c>
      <c r="U52" s="129">
        <f t="shared" si="20"/>
        <v>0</v>
      </c>
      <c r="V52" s="129">
        <f t="shared" si="20"/>
        <v>0</v>
      </c>
      <c r="W52" s="129">
        <f t="shared" si="20"/>
        <v>0</v>
      </c>
      <c r="X52" s="129">
        <f t="shared" si="20"/>
        <v>0</v>
      </c>
      <c r="Y52" s="129">
        <f t="shared" si="20"/>
        <v>0</v>
      </c>
      <c r="Z52" s="129">
        <f t="shared" si="20"/>
        <v>0</v>
      </c>
      <c r="AA52" s="129">
        <f t="shared" si="20"/>
        <v>0</v>
      </c>
      <c r="AB52" s="129">
        <f t="shared" si="20"/>
        <v>0</v>
      </c>
      <c r="AC52" s="129">
        <f t="shared" si="20"/>
        <v>0</v>
      </c>
      <c r="AD52" s="129">
        <f t="shared" si="20"/>
        <v>0</v>
      </c>
      <c r="AE52" s="129">
        <f t="shared" si="20"/>
        <v>0</v>
      </c>
      <c r="AF52" s="129">
        <f t="shared" si="20"/>
        <v>0</v>
      </c>
      <c r="AG52" s="129">
        <f t="shared" si="20"/>
        <v>0</v>
      </c>
      <c r="AH52" s="129">
        <f t="shared" si="20"/>
        <v>0</v>
      </c>
      <c r="AI52" s="129">
        <f t="shared" si="20"/>
        <v>0</v>
      </c>
      <c r="AJ52" s="129">
        <f t="shared" si="20"/>
        <v>0</v>
      </c>
      <c r="AK52" s="129">
        <f t="shared" si="20"/>
        <v>0</v>
      </c>
      <c r="AL52" s="129">
        <f t="shared" si="20"/>
        <v>0</v>
      </c>
      <c r="AM52" s="129">
        <f t="shared" si="20"/>
        <v>0</v>
      </c>
      <c r="AN52" s="129">
        <f t="shared" si="20"/>
        <v>0</v>
      </c>
      <c r="AO52" s="129">
        <f t="shared" si="20"/>
        <v>0</v>
      </c>
      <c r="AP52" s="129">
        <f t="shared" si="20"/>
        <v>0</v>
      </c>
      <c r="AQ52" s="129">
        <f t="shared" si="2"/>
        <v>0</v>
      </c>
      <c r="AR52" s="129">
        <f t="shared" si="12"/>
        <v>0</v>
      </c>
      <c r="AS52" s="129"/>
      <c r="AT52" s="129">
        <f>SUM(AT53:AT54)</f>
        <v>0</v>
      </c>
      <c r="AU52" s="131">
        <f t="shared" si="3"/>
        <v>0</v>
      </c>
      <c r="AV52" s="131">
        <f t="shared" si="4"/>
        <v>0</v>
      </c>
      <c r="AW52" s="131">
        <f t="shared" si="5"/>
        <v>0</v>
      </c>
      <c r="AX52" s="131">
        <f t="shared" si="6"/>
        <v>0</v>
      </c>
      <c r="AY52" s="131">
        <f t="shared" si="13"/>
        <v>0</v>
      </c>
      <c r="AZ52" s="131">
        <f t="shared" si="13"/>
        <v>0</v>
      </c>
      <c r="BA52" s="129">
        <f t="shared" si="14"/>
        <v>0</v>
      </c>
      <c r="BB52" s="99"/>
      <c r="BC52"/>
    </row>
    <row r="53" spans="1:55" ht="15" customHeight="1" x14ac:dyDescent="0.25">
      <c r="A53" s="97" t="s">
        <v>51</v>
      </c>
      <c r="B53" s="123" t="s">
        <v>143</v>
      </c>
      <c r="C53" s="115">
        <v>4</v>
      </c>
      <c r="D53" s="121">
        <f>AT53*AU53*AW53</f>
        <v>0</v>
      </c>
      <c r="E53" s="17">
        <f>ROUND(AT53*AV53*AX53,4)</f>
        <v>0</v>
      </c>
      <c r="F53" s="81"/>
      <c r="G53" s="81"/>
      <c r="H53" s="82"/>
      <c r="I53" s="82"/>
      <c r="J53" s="14" t="s">
        <v>83</v>
      </c>
      <c r="K53" s="84"/>
      <c r="L53" s="84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>
        <f t="shared" si="2"/>
        <v>0</v>
      </c>
      <c r="AR53" s="16">
        <f t="shared" si="12"/>
        <v>0</v>
      </c>
      <c r="AS53" s="16"/>
      <c r="AT53" s="16"/>
      <c r="AU53" s="82">
        <f t="shared" si="3"/>
        <v>0</v>
      </c>
      <c r="AV53" s="82">
        <f t="shared" si="4"/>
        <v>0</v>
      </c>
      <c r="AW53" s="82">
        <f t="shared" si="5"/>
        <v>0</v>
      </c>
      <c r="AX53" s="82">
        <f t="shared" si="6"/>
        <v>0</v>
      </c>
      <c r="AY53" s="92">
        <f t="shared" si="13"/>
        <v>0</v>
      </c>
      <c r="AZ53" s="92">
        <f t="shared" si="13"/>
        <v>0</v>
      </c>
      <c r="BA53" s="95">
        <f t="shared" si="14"/>
        <v>0</v>
      </c>
      <c r="BB53" s="86"/>
      <c r="BC53"/>
    </row>
    <row r="54" spans="1:55" ht="15" customHeight="1" thickBot="1" x14ac:dyDescent="0.3">
      <c r="A54" s="104" t="s">
        <v>50</v>
      </c>
      <c r="B54" s="123" t="s">
        <v>153</v>
      </c>
      <c r="C54" s="117">
        <v>5</v>
      </c>
      <c r="D54" s="121">
        <f>AT54*AU54*AW54</f>
        <v>0</v>
      </c>
      <c r="E54" s="17">
        <f>ROUND(AT54*AV54*AX54,4)</f>
        <v>0</v>
      </c>
      <c r="F54" s="91"/>
      <c r="G54" s="91"/>
      <c r="H54" s="92"/>
      <c r="I54" s="92"/>
      <c r="J54" s="13" t="s">
        <v>83</v>
      </c>
      <c r="K54" s="94"/>
      <c r="L54" s="94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7">
        <f t="shared" si="2"/>
        <v>0</v>
      </c>
      <c r="AR54" s="16">
        <f t="shared" si="12"/>
        <v>0</v>
      </c>
      <c r="AS54" s="16"/>
      <c r="AT54" s="16"/>
      <c r="AU54" s="82">
        <f t="shared" si="3"/>
        <v>0</v>
      </c>
      <c r="AV54" s="82">
        <f t="shared" si="4"/>
        <v>0</v>
      </c>
      <c r="AW54" s="82">
        <f t="shared" si="5"/>
        <v>0</v>
      </c>
      <c r="AX54" s="82">
        <f t="shared" si="6"/>
        <v>0</v>
      </c>
      <c r="AY54" s="92">
        <f t="shared" si="13"/>
        <v>0</v>
      </c>
      <c r="AZ54" s="92">
        <f t="shared" si="13"/>
        <v>0</v>
      </c>
      <c r="BA54" s="95">
        <f t="shared" si="14"/>
        <v>0</v>
      </c>
      <c r="BB54" s="96"/>
      <c r="BC54"/>
    </row>
    <row r="55" spans="1:55" ht="15" customHeight="1" thickBot="1" x14ac:dyDescent="0.3">
      <c r="A55" s="87" t="s">
        <v>52</v>
      </c>
      <c r="B55" s="124"/>
      <c r="C55" s="87"/>
      <c r="D55" s="132">
        <f>SUM(D56:D61)</f>
        <v>0</v>
      </c>
      <c r="E55" s="129">
        <f>SUM(E56:E61)</f>
        <v>0</v>
      </c>
      <c r="F55" s="129">
        <f>SUM(F56:F61)</f>
        <v>0</v>
      </c>
      <c r="G55" s="129"/>
      <c r="H55" s="131"/>
      <c r="I55" s="131"/>
      <c r="J55" s="88"/>
      <c r="K55" s="130"/>
      <c r="L55" s="130"/>
      <c r="M55" s="129">
        <f>SUM(M56:M61)</f>
        <v>0</v>
      </c>
      <c r="N55" s="129">
        <f t="shared" ref="N55:AP55" si="21">SUM(N56:N61)</f>
        <v>0</v>
      </c>
      <c r="O55" s="129">
        <f t="shared" si="21"/>
        <v>0</v>
      </c>
      <c r="P55" s="129">
        <f t="shared" si="21"/>
        <v>0</v>
      </c>
      <c r="Q55" s="129">
        <f t="shared" si="21"/>
        <v>0</v>
      </c>
      <c r="R55" s="129">
        <f t="shared" si="21"/>
        <v>0</v>
      </c>
      <c r="S55" s="129">
        <f t="shared" si="21"/>
        <v>0</v>
      </c>
      <c r="T55" s="129">
        <f t="shared" si="21"/>
        <v>0</v>
      </c>
      <c r="U55" s="129">
        <f t="shared" si="21"/>
        <v>0</v>
      </c>
      <c r="V55" s="129">
        <f t="shared" si="21"/>
        <v>0</v>
      </c>
      <c r="W55" s="129">
        <f t="shared" si="21"/>
        <v>0</v>
      </c>
      <c r="X55" s="129">
        <f t="shared" si="21"/>
        <v>0</v>
      </c>
      <c r="Y55" s="129">
        <f t="shared" si="21"/>
        <v>0</v>
      </c>
      <c r="Z55" s="129">
        <f t="shared" si="21"/>
        <v>0</v>
      </c>
      <c r="AA55" s="129">
        <f t="shared" si="21"/>
        <v>0</v>
      </c>
      <c r="AB55" s="129">
        <f t="shared" si="21"/>
        <v>0</v>
      </c>
      <c r="AC55" s="129">
        <f t="shared" si="21"/>
        <v>0</v>
      </c>
      <c r="AD55" s="129">
        <f t="shared" si="21"/>
        <v>0</v>
      </c>
      <c r="AE55" s="129">
        <f t="shared" si="21"/>
        <v>0</v>
      </c>
      <c r="AF55" s="129">
        <f t="shared" si="21"/>
        <v>0</v>
      </c>
      <c r="AG55" s="129">
        <f t="shared" si="21"/>
        <v>0</v>
      </c>
      <c r="AH55" s="129">
        <f t="shared" si="21"/>
        <v>0</v>
      </c>
      <c r="AI55" s="129">
        <f t="shared" si="21"/>
        <v>0</v>
      </c>
      <c r="AJ55" s="129">
        <f t="shared" si="21"/>
        <v>0</v>
      </c>
      <c r="AK55" s="129">
        <f t="shared" si="21"/>
        <v>0</v>
      </c>
      <c r="AL55" s="129">
        <f t="shared" si="21"/>
        <v>0</v>
      </c>
      <c r="AM55" s="129">
        <f t="shared" si="21"/>
        <v>0</v>
      </c>
      <c r="AN55" s="129">
        <f t="shared" si="21"/>
        <v>0</v>
      </c>
      <c r="AO55" s="129">
        <f t="shared" si="21"/>
        <v>0</v>
      </c>
      <c r="AP55" s="129">
        <f t="shared" si="21"/>
        <v>0</v>
      </c>
      <c r="AQ55" s="129">
        <f t="shared" si="2"/>
        <v>0</v>
      </c>
      <c r="AR55" s="129">
        <f t="shared" si="12"/>
        <v>0</v>
      </c>
      <c r="AS55" s="129"/>
      <c r="AT55" s="129">
        <f>SUM(AT56:AT61)</f>
        <v>0</v>
      </c>
      <c r="AU55" s="131">
        <f t="shared" si="3"/>
        <v>0</v>
      </c>
      <c r="AV55" s="131">
        <f t="shared" si="4"/>
        <v>0</v>
      </c>
      <c r="AW55" s="131">
        <f t="shared" si="5"/>
        <v>0</v>
      </c>
      <c r="AX55" s="131">
        <f t="shared" si="6"/>
        <v>0</v>
      </c>
      <c r="AY55" s="131">
        <f t="shared" si="13"/>
        <v>0</v>
      </c>
      <c r="AZ55" s="131">
        <f t="shared" si="13"/>
        <v>0</v>
      </c>
      <c r="BA55" s="129">
        <f t="shared" si="14"/>
        <v>0</v>
      </c>
      <c r="BB55" s="99"/>
      <c r="BC55"/>
    </row>
    <row r="56" spans="1:55" ht="15" customHeight="1" x14ac:dyDescent="0.25">
      <c r="A56" s="145" t="s">
        <v>53</v>
      </c>
      <c r="B56" s="147" t="s">
        <v>144</v>
      </c>
      <c r="C56" s="146">
        <v>15</v>
      </c>
      <c r="D56" s="121">
        <f>AT56*AU56*AW56</f>
        <v>0</v>
      </c>
      <c r="E56" s="17">
        <f>ROUND(AT56*AV56*AX56,4)</f>
        <v>0</v>
      </c>
      <c r="F56" s="81"/>
      <c r="G56" s="81"/>
      <c r="H56" s="82"/>
      <c r="I56" s="82"/>
      <c r="J56" s="14" t="s">
        <v>55</v>
      </c>
      <c r="K56" s="84"/>
      <c r="L56" s="84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>
        <f t="shared" si="2"/>
        <v>0</v>
      </c>
      <c r="AR56" s="16">
        <f t="shared" si="12"/>
        <v>0</v>
      </c>
      <c r="AS56" s="16"/>
      <c r="AT56" s="16"/>
      <c r="AU56" s="82">
        <f t="shared" si="3"/>
        <v>0</v>
      </c>
      <c r="AV56" s="82">
        <f t="shared" si="4"/>
        <v>0</v>
      </c>
      <c r="AW56" s="82">
        <f t="shared" si="5"/>
        <v>0</v>
      </c>
      <c r="AX56" s="82">
        <f t="shared" si="6"/>
        <v>0</v>
      </c>
      <c r="AY56" s="92">
        <f t="shared" si="13"/>
        <v>0</v>
      </c>
      <c r="AZ56" s="92">
        <f t="shared" si="13"/>
        <v>0</v>
      </c>
      <c r="BA56" s="95">
        <f t="shared" si="14"/>
        <v>0</v>
      </c>
      <c r="BB56" s="86"/>
      <c r="BC56"/>
    </row>
    <row r="57" spans="1:55" ht="15" customHeight="1" x14ac:dyDescent="0.25">
      <c r="A57" s="71" t="s">
        <v>54</v>
      </c>
      <c r="B57" s="123" t="s">
        <v>145</v>
      </c>
      <c r="C57" s="112">
        <v>16</v>
      </c>
      <c r="D57" s="121">
        <f>AT57*AU57*AW57</f>
        <v>0</v>
      </c>
      <c r="E57" s="17">
        <f t="shared" ref="E57:E61" si="22">ROUND(AT57*AV57*AX57,4)</f>
        <v>0</v>
      </c>
      <c r="F57" s="19"/>
      <c r="G57" s="19"/>
      <c r="H57" s="18"/>
      <c r="I57" s="18"/>
      <c r="J57" s="7" t="s">
        <v>55</v>
      </c>
      <c r="K57" s="20"/>
      <c r="L57" s="20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7">
        <f t="shared" si="2"/>
        <v>0</v>
      </c>
      <c r="AR57" s="16">
        <f t="shared" si="12"/>
        <v>0</v>
      </c>
      <c r="AS57" s="16"/>
      <c r="AT57" s="16"/>
      <c r="AU57" s="82">
        <f t="shared" si="3"/>
        <v>0</v>
      </c>
      <c r="AV57" s="82">
        <f t="shared" si="4"/>
        <v>0</v>
      </c>
      <c r="AW57" s="82">
        <f t="shared" si="5"/>
        <v>0</v>
      </c>
      <c r="AX57" s="82">
        <f t="shared" si="6"/>
        <v>0</v>
      </c>
      <c r="AY57" s="92">
        <f t="shared" si="13"/>
        <v>0</v>
      </c>
      <c r="AZ57" s="92">
        <f t="shared" si="13"/>
        <v>0</v>
      </c>
      <c r="BA57" s="95">
        <f t="shared" si="14"/>
        <v>0</v>
      </c>
      <c r="BB57" s="75"/>
      <c r="BC57"/>
    </row>
    <row r="58" spans="1:55" ht="15" customHeight="1" x14ac:dyDescent="0.25">
      <c r="A58" s="73" t="s">
        <v>124</v>
      </c>
      <c r="B58" s="123" t="s">
        <v>146</v>
      </c>
      <c r="C58" s="113">
        <v>26</v>
      </c>
      <c r="D58" s="121">
        <f>AT58*AU58*AW58</f>
        <v>0</v>
      </c>
      <c r="E58" s="17">
        <f t="shared" si="22"/>
        <v>0</v>
      </c>
      <c r="F58" s="19"/>
      <c r="G58" s="19"/>
      <c r="H58" s="18"/>
      <c r="I58" s="18"/>
      <c r="J58" s="7" t="s">
        <v>55</v>
      </c>
      <c r="K58" s="20"/>
      <c r="L58" s="20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7">
        <f t="shared" si="2"/>
        <v>0</v>
      </c>
      <c r="AR58" s="16">
        <f t="shared" si="12"/>
        <v>0</v>
      </c>
      <c r="AS58" s="16"/>
      <c r="AT58" s="16"/>
      <c r="AU58" s="82">
        <f t="shared" si="3"/>
        <v>0</v>
      </c>
      <c r="AV58" s="82">
        <f t="shared" si="4"/>
        <v>0</v>
      </c>
      <c r="AW58" s="82">
        <f t="shared" si="5"/>
        <v>0</v>
      </c>
      <c r="AX58" s="82">
        <f t="shared" si="6"/>
        <v>0</v>
      </c>
      <c r="AY58" s="92">
        <f t="shared" si="13"/>
        <v>0</v>
      </c>
      <c r="AZ58" s="92">
        <f t="shared" si="13"/>
        <v>0</v>
      </c>
      <c r="BA58" s="95">
        <f t="shared" si="14"/>
        <v>0</v>
      </c>
      <c r="BB58" s="75"/>
      <c r="BC58"/>
    </row>
    <row r="59" spans="1:55" ht="15" customHeight="1" x14ac:dyDescent="0.25">
      <c r="A59" s="73" t="s">
        <v>125</v>
      </c>
      <c r="B59" s="123" t="s">
        <v>147</v>
      </c>
      <c r="C59" s="112">
        <v>30</v>
      </c>
      <c r="D59" s="121">
        <f t="shared" ref="D59:D61" si="23">AT59*AU59*AW59</f>
        <v>0</v>
      </c>
      <c r="E59" s="17">
        <f t="shared" si="22"/>
        <v>0</v>
      </c>
      <c r="F59" s="19"/>
      <c r="G59" s="19"/>
      <c r="H59" s="18"/>
      <c r="I59" s="18"/>
      <c r="J59" s="7" t="s">
        <v>55</v>
      </c>
      <c r="K59" s="20"/>
      <c r="L59" s="20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7">
        <f t="shared" si="2"/>
        <v>0</v>
      </c>
      <c r="AR59" s="16">
        <f t="shared" si="12"/>
        <v>0</v>
      </c>
      <c r="AS59" s="16"/>
      <c r="AT59" s="16"/>
      <c r="AU59" s="82">
        <f t="shared" si="3"/>
        <v>0</v>
      </c>
      <c r="AV59" s="82">
        <f t="shared" si="4"/>
        <v>0</v>
      </c>
      <c r="AW59" s="82">
        <f t="shared" si="5"/>
        <v>0</v>
      </c>
      <c r="AX59" s="82">
        <f t="shared" si="6"/>
        <v>0</v>
      </c>
      <c r="AY59" s="92">
        <f t="shared" si="13"/>
        <v>0</v>
      </c>
      <c r="AZ59" s="92">
        <f t="shared" si="13"/>
        <v>0</v>
      </c>
      <c r="BA59" s="95">
        <f t="shared" si="14"/>
        <v>0</v>
      </c>
      <c r="BB59" s="75"/>
      <c r="BC59"/>
    </row>
    <row r="60" spans="1:55" ht="15" customHeight="1" x14ac:dyDescent="0.25">
      <c r="A60" s="73" t="s">
        <v>151</v>
      </c>
      <c r="B60" s="148" t="s">
        <v>150</v>
      </c>
      <c r="C60" s="112">
        <v>32</v>
      </c>
      <c r="D60" s="121">
        <f t="shared" si="23"/>
        <v>0</v>
      </c>
      <c r="E60" s="17">
        <f t="shared" si="22"/>
        <v>0</v>
      </c>
      <c r="F60" s="19"/>
      <c r="G60" s="19"/>
      <c r="H60" s="18"/>
      <c r="I60" s="18"/>
      <c r="J60" s="7" t="s">
        <v>55</v>
      </c>
      <c r="K60" s="20"/>
      <c r="L60" s="20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7">
        <f t="shared" si="2"/>
        <v>0</v>
      </c>
      <c r="AR60" s="16">
        <f t="shared" si="12"/>
        <v>0</v>
      </c>
      <c r="AS60" s="16"/>
      <c r="AT60" s="16"/>
      <c r="AU60" s="82">
        <f t="shared" si="3"/>
        <v>0</v>
      </c>
      <c r="AV60" s="82">
        <f t="shared" si="4"/>
        <v>0</v>
      </c>
      <c r="AW60" s="82">
        <f t="shared" si="5"/>
        <v>0</v>
      </c>
      <c r="AX60" s="82">
        <f t="shared" si="6"/>
        <v>0</v>
      </c>
      <c r="AY60" s="92">
        <f t="shared" si="13"/>
        <v>0</v>
      </c>
      <c r="AZ60" s="92">
        <f t="shared" si="13"/>
        <v>0</v>
      </c>
      <c r="BA60" s="95">
        <f t="shared" si="14"/>
        <v>0</v>
      </c>
      <c r="BB60" s="75"/>
      <c r="BC60"/>
    </row>
    <row r="61" spans="1:55" ht="15.75" thickBot="1" x14ac:dyDescent="0.3">
      <c r="A61" s="143" t="s">
        <v>152</v>
      </c>
      <c r="B61" s="125" t="s">
        <v>154</v>
      </c>
      <c r="C61" s="144">
        <v>24</v>
      </c>
      <c r="D61" s="122">
        <f t="shared" si="23"/>
        <v>0</v>
      </c>
      <c r="E61" s="149">
        <f t="shared" si="22"/>
        <v>0</v>
      </c>
      <c r="F61" s="64"/>
      <c r="G61" s="64"/>
      <c r="H61" s="65"/>
      <c r="I61" s="65"/>
      <c r="J61" s="66" t="s">
        <v>55</v>
      </c>
      <c r="K61" s="67"/>
      <c r="L61" s="67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149">
        <f t="shared" si="2"/>
        <v>0</v>
      </c>
      <c r="AR61" s="63">
        <f t="shared" si="12"/>
        <v>0</v>
      </c>
      <c r="AS61" s="63"/>
      <c r="AT61" s="63"/>
      <c r="AU61" s="150">
        <f t="shared" si="3"/>
        <v>0</v>
      </c>
      <c r="AV61" s="150">
        <f t="shared" si="4"/>
        <v>0</v>
      </c>
      <c r="AW61" s="150">
        <f t="shared" si="5"/>
        <v>0</v>
      </c>
      <c r="AX61" s="150">
        <f t="shared" si="6"/>
        <v>0</v>
      </c>
      <c r="AY61" s="65">
        <f t="shared" si="13"/>
        <v>0</v>
      </c>
      <c r="AZ61" s="65">
        <f t="shared" si="13"/>
        <v>0</v>
      </c>
      <c r="BA61" s="151">
        <f t="shared" si="14"/>
        <v>0</v>
      </c>
      <c r="BB61" s="76"/>
    </row>
    <row r="62" spans="1:55" x14ac:dyDescent="0.25">
      <c r="C62" s="2"/>
      <c r="D62" s="3"/>
      <c r="F62" s="2"/>
      <c r="G62" s="2"/>
      <c r="H62" s="1"/>
      <c r="I62" s="1"/>
      <c r="M62" s="5"/>
      <c r="O62" s="4"/>
      <c r="P62" s="5"/>
      <c r="Q62" s="5"/>
      <c r="U62" s="2"/>
      <c r="V62" s="2"/>
      <c r="W62" s="2"/>
      <c r="X62" s="2"/>
      <c r="Y62" s="1"/>
      <c r="Z62" s="1"/>
      <c r="AA62" s="1"/>
      <c r="AB62" s="1"/>
    </row>
    <row r="63" spans="1:55" x14ac:dyDescent="0.25">
      <c r="A63" s="10"/>
      <c r="B63" s="10"/>
      <c r="C63" s="10"/>
      <c r="D63" s="3"/>
      <c r="F63" s="2"/>
      <c r="G63" s="2"/>
      <c r="H63" s="1"/>
      <c r="I63" s="1"/>
      <c r="M63" s="5"/>
      <c r="O63" s="4"/>
      <c r="P63" s="5"/>
      <c r="Q63" s="5"/>
      <c r="U63" s="2"/>
      <c r="V63" s="2"/>
      <c r="W63" s="2"/>
      <c r="X63" s="2"/>
      <c r="Y63" s="1"/>
      <c r="Z63" s="1"/>
      <c r="AA63" s="1"/>
      <c r="AB63" s="1"/>
    </row>
    <row r="64" spans="1:55" x14ac:dyDescent="0.2">
      <c r="A64" s="6" t="s">
        <v>126</v>
      </c>
      <c r="B64" s="6"/>
      <c r="C64" s="6"/>
      <c r="D64" s="6"/>
      <c r="F64" s="2"/>
      <c r="G64" s="2"/>
      <c r="H64" s="1"/>
      <c r="I64" s="1"/>
      <c r="M64" s="5"/>
      <c r="O64" s="4"/>
      <c r="P64" s="5"/>
      <c r="Q64" s="5"/>
      <c r="U64" s="2"/>
      <c r="V64" s="2"/>
      <c r="W64" s="2"/>
      <c r="X64" s="2"/>
      <c r="Y64" s="1"/>
      <c r="Z64" s="1"/>
      <c r="AA64" s="1"/>
      <c r="AB64" s="1"/>
    </row>
    <row r="65" spans="1:28" x14ac:dyDescent="0.2">
      <c r="A65" s="6"/>
      <c r="B65" s="6"/>
      <c r="C65" s="6"/>
      <c r="D65" s="6"/>
      <c r="F65" s="2"/>
      <c r="G65" s="2"/>
      <c r="H65" s="1"/>
      <c r="I65" s="1"/>
      <c r="M65" s="5"/>
      <c r="O65" s="4"/>
      <c r="P65" s="5"/>
      <c r="Q65" s="5"/>
      <c r="U65" s="2"/>
      <c r="V65" s="2"/>
      <c r="W65" s="2"/>
      <c r="X65" s="2"/>
      <c r="Y65" s="1"/>
      <c r="Z65" s="1"/>
      <c r="AA65" s="1"/>
      <c r="AB65" s="1"/>
    </row>
    <row r="66" spans="1:28" x14ac:dyDescent="0.2">
      <c r="A66" s="6" t="s">
        <v>128</v>
      </c>
      <c r="B66" s="6"/>
      <c r="C66" s="6"/>
      <c r="D66" s="6"/>
      <c r="F66" s="2"/>
      <c r="G66" s="2"/>
      <c r="H66" s="1"/>
      <c r="I66" s="1"/>
      <c r="M66" s="5"/>
      <c r="O66" s="4"/>
      <c r="P66" s="5"/>
      <c r="Q66" s="5"/>
      <c r="U66" s="2"/>
      <c r="V66" s="2"/>
      <c r="W66" s="2"/>
      <c r="X66" s="2"/>
      <c r="Y66" s="1"/>
      <c r="Z66" s="1"/>
      <c r="AA66" s="1"/>
      <c r="AB66" s="1"/>
    </row>
    <row r="67" spans="1:28" x14ac:dyDescent="0.2">
      <c r="A67" s="6"/>
      <c r="B67" s="6"/>
      <c r="C67" s="6"/>
      <c r="D67" s="6"/>
      <c r="F67" s="2"/>
      <c r="G67" s="2"/>
      <c r="H67" s="1"/>
      <c r="I67" s="1"/>
      <c r="M67" s="5"/>
      <c r="O67" s="4"/>
      <c r="P67" s="5"/>
      <c r="Q67" s="5"/>
      <c r="U67" s="2"/>
      <c r="V67" s="2"/>
      <c r="W67" s="2"/>
      <c r="X67" s="2"/>
      <c r="Y67" s="1"/>
      <c r="Z67" s="1"/>
      <c r="AA67" s="1"/>
      <c r="AB67" s="1"/>
    </row>
    <row r="68" spans="1:28" x14ac:dyDescent="0.2">
      <c r="A68" s="6" t="s">
        <v>127</v>
      </c>
      <c r="B68" s="6"/>
      <c r="C68" s="6"/>
      <c r="D68" s="6"/>
      <c r="F68" s="2"/>
      <c r="G68" s="2"/>
      <c r="H68" s="1"/>
      <c r="I68" s="1"/>
      <c r="M68" s="5"/>
      <c r="O68" s="4"/>
      <c r="P68" s="5"/>
      <c r="Q68" s="5"/>
      <c r="U68" s="2"/>
      <c r="V68" s="2"/>
      <c r="W68" s="2"/>
      <c r="X68" s="2"/>
      <c r="Y68" s="1"/>
      <c r="Z68" s="1"/>
      <c r="AA68" s="1"/>
      <c r="AB68" s="1"/>
    </row>
    <row r="71" spans="1:28" x14ac:dyDescent="0.25">
      <c r="A71" s="10"/>
      <c r="B71" s="10"/>
    </row>
    <row r="72" spans="1:28" x14ac:dyDescent="0.25">
      <c r="A72" s="10"/>
      <c r="B72" s="10"/>
    </row>
    <row r="73" spans="1:28" x14ac:dyDescent="0.25">
      <c r="A73" s="10"/>
      <c r="B73" s="10"/>
    </row>
    <row r="74" spans="1:28" x14ac:dyDescent="0.25">
      <c r="A74" s="10"/>
      <c r="B74" s="10"/>
    </row>
    <row r="75" spans="1:28" x14ac:dyDescent="0.25">
      <c r="A75" s="10"/>
      <c r="B75" s="10"/>
    </row>
    <row r="76" spans="1:28" x14ac:dyDescent="0.25">
      <c r="A76" s="10"/>
      <c r="B76" s="10"/>
    </row>
    <row r="77" spans="1:28" x14ac:dyDescent="0.25">
      <c r="A77" s="10"/>
      <c r="B77" s="10"/>
    </row>
    <row r="78" spans="1:28" x14ac:dyDescent="0.25">
      <c r="A78" s="10"/>
      <c r="B78" s="10"/>
    </row>
  </sheetData>
  <mergeCells count="32">
    <mergeCell ref="A7:BB7"/>
    <mergeCell ref="A9:BB9"/>
    <mergeCell ref="C12:C15"/>
    <mergeCell ref="D12:E14"/>
    <mergeCell ref="H12:I14"/>
    <mergeCell ref="J12:J15"/>
    <mergeCell ref="K12:L14"/>
    <mergeCell ref="M12:AP12"/>
    <mergeCell ref="AQ12:AR14"/>
    <mergeCell ref="AS12:AT14"/>
    <mergeCell ref="AU12:AV14"/>
    <mergeCell ref="AW12:AX14"/>
    <mergeCell ref="AY12:AZ14"/>
    <mergeCell ref="BA12:BA15"/>
    <mergeCell ref="BB12:BB15"/>
    <mergeCell ref="M13:AB13"/>
    <mergeCell ref="AC13:AP13"/>
    <mergeCell ref="AP14:AP15"/>
    <mergeCell ref="A12:A15"/>
    <mergeCell ref="B12:B15"/>
    <mergeCell ref="F12:G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J14"/>
    <mergeCell ref="AK14:AN14"/>
    <mergeCell ref="AO14:AO15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8"/>
  <sheetViews>
    <sheetView showZeros="0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9" sqref="A9:BB9"/>
    </sheetView>
  </sheetViews>
  <sheetFormatPr defaultRowHeight="14.25" x14ac:dyDescent="0.25"/>
  <cols>
    <col min="1" max="1" width="30.7109375" style="2" customWidth="1"/>
    <col min="2" max="2" width="10.7109375" style="2" customWidth="1"/>
    <col min="3" max="3" width="9.7109375" style="3" customWidth="1"/>
    <col min="4" max="5" width="9.7109375" style="2" customWidth="1"/>
    <col min="6" max="7" width="9.7109375" style="1" customWidth="1"/>
    <col min="8" max="9" width="9.7109375" style="5" customWidth="1"/>
    <col min="10" max="10" width="8.7109375" style="5" customWidth="1"/>
    <col min="11" max="12" width="14.7109375" style="5" customWidth="1"/>
    <col min="13" max="13" width="9.7109375" style="4" customWidth="1"/>
    <col min="14" max="15" width="9.7109375" style="5" customWidth="1"/>
    <col min="16" max="20" width="9.7109375" style="2" customWidth="1"/>
    <col min="21" max="24" width="9.7109375" style="1" customWidth="1"/>
    <col min="25" max="54" width="9.7109375" style="2" customWidth="1"/>
    <col min="55" max="16384" width="9.140625" style="2"/>
  </cols>
  <sheetData>
    <row r="1" spans="1:55" ht="12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/>
      <c r="AJ1"/>
      <c r="AK1"/>
      <c r="AL1"/>
      <c r="AM1"/>
    </row>
    <row r="2" spans="1:55" ht="12.75" customHeight="1" x14ac:dyDescent="0.25">
      <c r="A2" s="11" t="s">
        <v>134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X2" s="11" t="s">
        <v>56</v>
      </c>
      <c r="AY2"/>
      <c r="AZ2"/>
      <c r="BA2"/>
      <c r="BB2"/>
      <c r="BC2"/>
    </row>
    <row r="3" spans="1:55" s="6" customFormat="1" ht="12.75" customHeight="1" x14ac:dyDescent="0.25">
      <c r="A3" s="11" t="s">
        <v>57</v>
      </c>
      <c r="AX3" s="11" t="s">
        <v>65</v>
      </c>
      <c r="AY3"/>
      <c r="AZ3"/>
      <c r="BA3"/>
      <c r="BB3"/>
      <c r="BC3"/>
    </row>
    <row r="4" spans="1:55" s="6" customFormat="1" ht="12.75" customHeight="1" x14ac:dyDescent="0.25">
      <c r="AX4" s="24" t="s">
        <v>123</v>
      </c>
      <c r="AY4"/>
      <c r="AZ4"/>
      <c r="BA4"/>
      <c r="BB4"/>
      <c r="BC4"/>
    </row>
    <row r="5" spans="1:55" s="6" customFormat="1" ht="12.75" customHeight="1" x14ac:dyDescent="0.25">
      <c r="AY5"/>
      <c r="AZ5"/>
      <c r="BA5"/>
      <c r="BB5"/>
      <c r="BC5"/>
    </row>
    <row r="6" spans="1:55" s="6" customFormat="1" ht="15" x14ac:dyDescent="0.25">
      <c r="AX6" s="25" t="s">
        <v>85</v>
      </c>
      <c r="AY6"/>
      <c r="AZ6"/>
      <c r="BA6"/>
      <c r="BB6"/>
      <c r="BC6"/>
    </row>
    <row r="7" spans="1:55" s="6" customFormat="1" ht="15.75" customHeight="1" x14ac:dyDescent="0.2">
      <c r="A7" s="184" t="s">
        <v>58</v>
      </c>
      <c r="B7" s="184"/>
      <c r="C7" s="184"/>
      <c r="D7" s="184"/>
      <c r="E7" s="184"/>
      <c r="F7" s="184"/>
      <c r="G7" s="184"/>
      <c r="H7" s="184"/>
      <c r="I7" s="184"/>
      <c r="J7" s="184"/>
      <c r="K7" s="184"/>
      <c r="L7" s="184"/>
      <c r="M7" s="184"/>
      <c r="N7" s="184"/>
      <c r="O7" s="184"/>
      <c r="P7" s="184"/>
      <c r="Q7" s="184"/>
      <c r="R7" s="184"/>
      <c r="S7" s="184"/>
      <c r="T7" s="184"/>
      <c r="U7" s="184"/>
      <c r="V7" s="184"/>
      <c r="W7" s="184"/>
      <c r="X7" s="184"/>
      <c r="Y7" s="184"/>
      <c r="Z7" s="184"/>
      <c r="AA7" s="184"/>
      <c r="AB7" s="184"/>
      <c r="AC7" s="184"/>
      <c r="AD7" s="184"/>
      <c r="AE7" s="184"/>
      <c r="AF7" s="184"/>
      <c r="AG7" s="184"/>
      <c r="AH7" s="184"/>
      <c r="AI7" s="184"/>
      <c r="AJ7" s="184"/>
      <c r="AK7" s="184"/>
      <c r="AL7" s="184"/>
      <c r="AM7" s="184"/>
      <c r="AN7" s="184"/>
      <c r="AO7" s="184"/>
      <c r="AP7" s="184"/>
      <c r="AQ7" s="184"/>
      <c r="AR7" s="184"/>
      <c r="AS7" s="184"/>
      <c r="AT7" s="184"/>
      <c r="AU7" s="184"/>
      <c r="AV7" s="184"/>
      <c r="AW7" s="184"/>
      <c r="AX7" s="184"/>
      <c r="AY7" s="184"/>
      <c r="AZ7" s="184"/>
      <c r="BA7" s="184"/>
      <c r="BB7" s="184"/>
      <c r="BC7" s="109"/>
    </row>
    <row r="8" spans="1:55" s="6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55" ht="15.75" x14ac:dyDescent="0.25">
      <c r="A9" s="185"/>
      <c r="B9" s="185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  <c r="Z9" s="185"/>
      <c r="AA9" s="185"/>
      <c r="AB9" s="185"/>
      <c r="AC9" s="185"/>
      <c r="AD9" s="185"/>
      <c r="AE9" s="185"/>
      <c r="AF9" s="185"/>
      <c r="AG9" s="185"/>
      <c r="AH9" s="185"/>
      <c r="AI9" s="185"/>
      <c r="AJ9" s="185"/>
      <c r="AK9" s="185"/>
      <c r="AL9" s="185"/>
      <c r="AM9" s="185"/>
      <c r="AN9" s="185"/>
      <c r="AO9" s="185"/>
      <c r="AP9" s="185"/>
      <c r="AQ9" s="185"/>
      <c r="AR9" s="185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08"/>
    </row>
    <row r="10" spans="1:55" s="6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55" ht="12.7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3"/>
      <c r="L11" s="2"/>
      <c r="M11" s="2"/>
      <c r="N11" s="2"/>
      <c r="O11" s="2"/>
      <c r="U11" s="2"/>
      <c r="V11" s="2"/>
      <c r="W11" s="2"/>
      <c r="X11" s="2"/>
    </row>
    <row r="12" spans="1:55" ht="14.25" customHeight="1" x14ac:dyDescent="0.25">
      <c r="A12" s="160" t="s">
        <v>2</v>
      </c>
      <c r="B12" s="163" t="s">
        <v>129</v>
      </c>
      <c r="C12" s="163" t="s">
        <v>3</v>
      </c>
      <c r="D12" s="166" t="s">
        <v>60</v>
      </c>
      <c r="E12" s="155"/>
      <c r="F12" s="154" t="s">
        <v>131</v>
      </c>
      <c r="G12" s="155"/>
      <c r="H12" s="154" t="s">
        <v>1</v>
      </c>
      <c r="I12" s="155"/>
      <c r="J12" s="186" t="s">
        <v>135</v>
      </c>
      <c r="K12" s="154" t="s">
        <v>4</v>
      </c>
      <c r="L12" s="155"/>
      <c r="M12" s="175" t="s">
        <v>62</v>
      </c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  <c r="AA12" s="176"/>
      <c r="AB12" s="176"/>
      <c r="AC12" s="176"/>
      <c r="AD12" s="176"/>
      <c r="AE12" s="176"/>
      <c r="AF12" s="176"/>
      <c r="AG12" s="176"/>
      <c r="AH12" s="176"/>
      <c r="AI12" s="176"/>
      <c r="AJ12" s="176"/>
      <c r="AK12" s="176"/>
      <c r="AL12" s="176"/>
      <c r="AM12" s="176"/>
      <c r="AN12" s="176"/>
      <c r="AO12" s="176"/>
      <c r="AP12" s="177"/>
      <c r="AQ12" s="154" t="s">
        <v>69</v>
      </c>
      <c r="AR12" s="155"/>
      <c r="AS12" s="154" t="s">
        <v>59</v>
      </c>
      <c r="AT12" s="155"/>
      <c r="AU12" s="154" t="s">
        <v>70</v>
      </c>
      <c r="AV12" s="155"/>
      <c r="AW12" s="154" t="s">
        <v>71</v>
      </c>
      <c r="AX12" s="155"/>
      <c r="AY12" s="154" t="s">
        <v>72</v>
      </c>
      <c r="AZ12" s="155"/>
      <c r="BA12" s="182" t="s">
        <v>73</v>
      </c>
      <c r="BB12" s="179" t="s">
        <v>133</v>
      </c>
      <c r="BC12"/>
    </row>
    <row r="13" spans="1:55" ht="14.25" customHeight="1" x14ac:dyDescent="0.25">
      <c r="A13" s="161"/>
      <c r="B13" s="164"/>
      <c r="C13" s="164"/>
      <c r="D13" s="167"/>
      <c r="E13" s="157"/>
      <c r="F13" s="156"/>
      <c r="G13" s="157"/>
      <c r="H13" s="156"/>
      <c r="I13" s="157"/>
      <c r="J13" s="187"/>
      <c r="K13" s="156"/>
      <c r="L13" s="157"/>
      <c r="M13" s="152" t="s">
        <v>5</v>
      </c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  <c r="AA13" s="178"/>
      <c r="AB13" s="153"/>
      <c r="AC13" s="152" t="s">
        <v>6</v>
      </c>
      <c r="AD13" s="178"/>
      <c r="AE13" s="178"/>
      <c r="AF13" s="178"/>
      <c r="AG13" s="178"/>
      <c r="AH13" s="178"/>
      <c r="AI13" s="178"/>
      <c r="AJ13" s="178"/>
      <c r="AK13" s="178"/>
      <c r="AL13" s="178"/>
      <c r="AM13" s="178"/>
      <c r="AN13" s="178"/>
      <c r="AO13" s="178"/>
      <c r="AP13" s="153"/>
      <c r="AQ13" s="156"/>
      <c r="AR13" s="157"/>
      <c r="AS13" s="156"/>
      <c r="AT13" s="157"/>
      <c r="AU13" s="156"/>
      <c r="AV13" s="157"/>
      <c r="AW13" s="156"/>
      <c r="AX13" s="157"/>
      <c r="AY13" s="156"/>
      <c r="AZ13" s="157"/>
      <c r="BA13" s="183"/>
      <c r="BB13" s="180"/>
      <c r="BC13"/>
    </row>
    <row r="14" spans="1:55" ht="63.75" customHeight="1" x14ac:dyDescent="0.25">
      <c r="A14" s="161"/>
      <c r="B14" s="164"/>
      <c r="C14" s="164"/>
      <c r="D14" s="168"/>
      <c r="E14" s="159"/>
      <c r="F14" s="158"/>
      <c r="G14" s="159"/>
      <c r="H14" s="158"/>
      <c r="I14" s="159"/>
      <c r="J14" s="187"/>
      <c r="K14" s="158"/>
      <c r="L14" s="159"/>
      <c r="M14" s="152" t="s">
        <v>10</v>
      </c>
      <c r="N14" s="153"/>
      <c r="O14" s="152" t="s">
        <v>74</v>
      </c>
      <c r="P14" s="153"/>
      <c r="Q14" s="152" t="s">
        <v>75</v>
      </c>
      <c r="R14" s="153"/>
      <c r="S14" s="152" t="s">
        <v>86</v>
      </c>
      <c r="T14" s="153"/>
      <c r="U14" s="152" t="s">
        <v>136</v>
      </c>
      <c r="V14" s="153"/>
      <c r="W14" s="169" t="s">
        <v>132</v>
      </c>
      <c r="X14" s="170"/>
      <c r="Y14" s="152" t="s">
        <v>84</v>
      </c>
      <c r="Z14" s="153"/>
      <c r="AA14" s="152" t="s">
        <v>76</v>
      </c>
      <c r="AB14" s="153"/>
      <c r="AC14" s="152" t="s">
        <v>7</v>
      </c>
      <c r="AD14" s="178"/>
      <c r="AE14" s="178"/>
      <c r="AF14" s="178"/>
      <c r="AG14" s="178"/>
      <c r="AH14" s="178"/>
      <c r="AI14" s="178"/>
      <c r="AJ14" s="153"/>
      <c r="AK14" s="152" t="s">
        <v>8</v>
      </c>
      <c r="AL14" s="178"/>
      <c r="AM14" s="178"/>
      <c r="AN14" s="153"/>
      <c r="AO14" s="171" t="s">
        <v>77</v>
      </c>
      <c r="AP14" s="173" t="s">
        <v>18</v>
      </c>
      <c r="AQ14" s="158"/>
      <c r="AR14" s="159"/>
      <c r="AS14" s="158"/>
      <c r="AT14" s="159"/>
      <c r="AU14" s="158"/>
      <c r="AV14" s="159"/>
      <c r="AW14" s="158"/>
      <c r="AX14" s="159"/>
      <c r="AY14" s="158"/>
      <c r="AZ14" s="159"/>
      <c r="BA14" s="183"/>
      <c r="BB14" s="180"/>
      <c r="BC14"/>
    </row>
    <row r="15" spans="1:55" ht="38.25" customHeight="1" thickBot="1" x14ac:dyDescent="0.3">
      <c r="A15" s="162"/>
      <c r="B15" s="165"/>
      <c r="C15" s="165"/>
      <c r="D15" s="118" t="s">
        <v>61</v>
      </c>
      <c r="E15" s="77" t="s">
        <v>9</v>
      </c>
      <c r="F15" s="77" t="s">
        <v>11</v>
      </c>
      <c r="G15" s="77" t="s">
        <v>130</v>
      </c>
      <c r="H15" s="77" t="s">
        <v>0</v>
      </c>
      <c r="I15" s="77" t="s">
        <v>78</v>
      </c>
      <c r="J15" s="188"/>
      <c r="K15" s="77" t="s">
        <v>61</v>
      </c>
      <c r="L15" s="77" t="s">
        <v>9</v>
      </c>
      <c r="M15" s="77" t="s">
        <v>61</v>
      </c>
      <c r="N15" s="77" t="s">
        <v>9</v>
      </c>
      <c r="O15" s="77" t="s">
        <v>61</v>
      </c>
      <c r="P15" s="77" t="s">
        <v>9</v>
      </c>
      <c r="Q15" s="77" t="s">
        <v>61</v>
      </c>
      <c r="R15" s="77" t="s">
        <v>9</v>
      </c>
      <c r="S15" s="77" t="s">
        <v>61</v>
      </c>
      <c r="T15" s="77" t="s">
        <v>9</v>
      </c>
      <c r="U15" s="77" t="s">
        <v>61</v>
      </c>
      <c r="V15" s="77" t="s">
        <v>9</v>
      </c>
      <c r="W15" s="77" t="s">
        <v>61</v>
      </c>
      <c r="X15" s="77" t="s">
        <v>9</v>
      </c>
      <c r="Y15" s="77" t="s">
        <v>61</v>
      </c>
      <c r="Z15" s="77" t="s">
        <v>9</v>
      </c>
      <c r="AA15" s="77" t="s">
        <v>61</v>
      </c>
      <c r="AB15" s="77" t="s">
        <v>9</v>
      </c>
      <c r="AC15" s="77" t="s">
        <v>11</v>
      </c>
      <c r="AD15" s="77" t="s">
        <v>12</v>
      </c>
      <c r="AE15" s="77" t="s">
        <v>13</v>
      </c>
      <c r="AF15" s="77" t="s">
        <v>14</v>
      </c>
      <c r="AG15" s="77" t="s">
        <v>15</v>
      </c>
      <c r="AH15" s="77" t="s">
        <v>16</v>
      </c>
      <c r="AI15" s="107" t="s">
        <v>18</v>
      </c>
      <c r="AJ15" s="107" t="s">
        <v>17</v>
      </c>
      <c r="AK15" s="77" t="s">
        <v>19</v>
      </c>
      <c r="AL15" s="77" t="s">
        <v>20</v>
      </c>
      <c r="AM15" s="77" t="s">
        <v>21</v>
      </c>
      <c r="AN15" s="77" t="s">
        <v>22</v>
      </c>
      <c r="AO15" s="172"/>
      <c r="AP15" s="174"/>
      <c r="AQ15" s="77" t="s">
        <v>61</v>
      </c>
      <c r="AR15" s="77" t="s">
        <v>9</v>
      </c>
      <c r="AS15" s="77" t="s">
        <v>61</v>
      </c>
      <c r="AT15" s="77" t="s">
        <v>9</v>
      </c>
      <c r="AU15" s="77" t="s">
        <v>61</v>
      </c>
      <c r="AV15" s="77" t="s">
        <v>9</v>
      </c>
      <c r="AW15" s="77" t="s">
        <v>61</v>
      </c>
      <c r="AX15" s="77" t="s">
        <v>9</v>
      </c>
      <c r="AY15" s="77" t="s">
        <v>61</v>
      </c>
      <c r="AZ15" s="77" t="s">
        <v>9</v>
      </c>
      <c r="BA15" s="172"/>
      <c r="BB15" s="181"/>
      <c r="BC15"/>
    </row>
    <row r="16" spans="1:55" ht="15" customHeight="1" thickBot="1" x14ac:dyDescent="0.3">
      <c r="A16" s="106">
        <v>1</v>
      </c>
      <c r="B16" s="106">
        <v>2</v>
      </c>
      <c r="C16" s="106">
        <v>3</v>
      </c>
      <c r="D16" s="105">
        <v>4</v>
      </c>
      <c r="E16" s="78">
        <v>5</v>
      </c>
      <c r="F16" s="78">
        <v>6</v>
      </c>
      <c r="G16" s="78">
        <v>7</v>
      </c>
      <c r="H16" s="78">
        <v>8</v>
      </c>
      <c r="I16" s="78">
        <v>9</v>
      </c>
      <c r="J16" s="78">
        <v>10</v>
      </c>
      <c r="K16" s="78">
        <v>11</v>
      </c>
      <c r="L16" s="78">
        <v>12</v>
      </c>
      <c r="M16" s="78">
        <v>13</v>
      </c>
      <c r="N16" s="78">
        <v>14</v>
      </c>
      <c r="O16" s="78">
        <v>15</v>
      </c>
      <c r="P16" s="78">
        <v>16</v>
      </c>
      <c r="Q16" s="78">
        <v>17</v>
      </c>
      <c r="R16" s="78">
        <v>18</v>
      </c>
      <c r="S16" s="78">
        <v>19</v>
      </c>
      <c r="T16" s="78">
        <v>20</v>
      </c>
      <c r="U16" s="78">
        <v>21</v>
      </c>
      <c r="V16" s="78">
        <v>22</v>
      </c>
      <c r="W16" s="78">
        <v>23</v>
      </c>
      <c r="X16" s="78">
        <v>24</v>
      </c>
      <c r="Y16" s="78">
        <v>25</v>
      </c>
      <c r="Z16" s="78">
        <v>26</v>
      </c>
      <c r="AA16" s="78">
        <v>27</v>
      </c>
      <c r="AB16" s="78">
        <v>28</v>
      </c>
      <c r="AC16" s="78">
        <v>29</v>
      </c>
      <c r="AD16" s="78">
        <v>30</v>
      </c>
      <c r="AE16" s="78">
        <v>31</v>
      </c>
      <c r="AF16" s="78">
        <v>32</v>
      </c>
      <c r="AG16" s="78">
        <v>33</v>
      </c>
      <c r="AH16" s="78">
        <v>34</v>
      </c>
      <c r="AI16" s="78">
        <v>35</v>
      </c>
      <c r="AJ16" s="78">
        <v>36</v>
      </c>
      <c r="AK16" s="78">
        <v>37</v>
      </c>
      <c r="AL16" s="78">
        <v>38</v>
      </c>
      <c r="AM16" s="78">
        <v>39</v>
      </c>
      <c r="AN16" s="78">
        <v>40</v>
      </c>
      <c r="AO16" s="78">
        <v>41</v>
      </c>
      <c r="AP16" s="78">
        <v>42</v>
      </c>
      <c r="AQ16" s="78">
        <v>43</v>
      </c>
      <c r="AR16" s="78">
        <v>44</v>
      </c>
      <c r="AS16" s="78">
        <v>45</v>
      </c>
      <c r="AT16" s="78">
        <v>46</v>
      </c>
      <c r="AU16" s="78">
        <v>47</v>
      </c>
      <c r="AV16" s="78">
        <v>48</v>
      </c>
      <c r="AW16" s="78">
        <v>49</v>
      </c>
      <c r="AX16" s="78">
        <v>50</v>
      </c>
      <c r="AY16" s="78">
        <v>51</v>
      </c>
      <c r="AZ16" s="78">
        <v>52</v>
      </c>
      <c r="BA16" s="78">
        <v>53</v>
      </c>
      <c r="BB16" s="79">
        <v>54</v>
      </c>
      <c r="BC16"/>
    </row>
    <row r="17" spans="1:55" ht="15" customHeight="1" thickBot="1" x14ac:dyDescent="0.3">
      <c r="A17" s="87" t="s">
        <v>79</v>
      </c>
      <c r="B17" s="87"/>
      <c r="C17" s="87"/>
      <c r="D17" s="132">
        <f>AT17*AW17*AU17</f>
        <v>0</v>
      </c>
      <c r="E17" s="129">
        <f>ROUND(AT17*AV17*AX17,4)</f>
        <v>0</v>
      </c>
      <c r="F17" s="129"/>
      <c r="G17" s="129"/>
      <c r="H17" s="131">
        <f>SUM(H18:H23)</f>
        <v>0</v>
      </c>
      <c r="I17" s="131">
        <f>SUM(I18:I23)</f>
        <v>0</v>
      </c>
      <c r="J17" s="88"/>
      <c r="K17" s="130">
        <f>SUM(K18:K23)</f>
        <v>0</v>
      </c>
      <c r="L17" s="130">
        <f>SUM(L18:L23)</f>
        <v>0</v>
      </c>
      <c r="M17" s="129">
        <f>SUM(M18:M23)</f>
        <v>0</v>
      </c>
      <c r="N17" s="129">
        <f t="shared" ref="N17:AO17" si="0">SUM(N18:N23)</f>
        <v>0</v>
      </c>
      <c r="O17" s="129">
        <f t="shared" si="0"/>
        <v>0</v>
      </c>
      <c r="P17" s="129">
        <f t="shared" si="0"/>
        <v>0</v>
      </c>
      <c r="Q17" s="129">
        <f t="shared" si="0"/>
        <v>0</v>
      </c>
      <c r="R17" s="129">
        <f t="shared" si="0"/>
        <v>0</v>
      </c>
      <c r="S17" s="129">
        <f t="shared" si="0"/>
        <v>0</v>
      </c>
      <c r="T17" s="129">
        <f t="shared" si="0"/>
        <v>0</v>
      </c>
      <c r="U17" s="129">
        <f t="shared" si="0"/>
        <v>0</v>
      </c>
      <c r="V17" s="129">
        <f t="shared" si="0"/>
        <v>0</v>
      </c>
      <c r="W17" s="129">
        <f t="shared" si="0"/>
        <v>0</v>
      </c>
      <c r="X17" s="129">
        <f t="shared" si="0"/>
        <v>0</v>
      </c>
      <c r="Y17" s="129">
        <f t="shared" si="0"/>
        <v>0</v>
      </c>
      <c r="Z17" s="129">
        <f t="shared" si="0"/>
        <v>0</v>
      </c>
      <c r="AA17" s="129">
        <f t="shared" si="0"/>
        <v>0</v>
      </c>
      <c r="AB17" s="129">
        <f>SUM(AB18:AB23)</f>
        <v>0</v>
      </c>
      <c r="AC17" s="129">
        <f t="shared" si="0"/>
        <v>0</v>
      </c>
      <c r="AD17" s="129">
        <f t="shared" si="0"/>
        <v>0</v>
      </c>
      <c r="AE17" s="129">
        <f t="shared" si="0"/>
        <v>0</v>
      </c>
      <c r="AF17" s="129">
        <f t="shared" si="0"/>
        <v>0</v>
      </c>
      <c r="AG17" s="129">
        <f t="shared" si="0"/>
        <v>0</v>
      </c>
      <c r="AH17" s="129">
        <f t="shared" si="0"/>
        <v>0</v>
      </c>
      <c r="AI17" s="129">
        <f t="shared" si="0"/>
        <v>0</v>
      </c>
      <c r="AJ17" s="129">
        <f t="shared" si="0"/>
        <v>0</v>
      </c>
      <c r="AK17" s="129">
        <f t="shared" si="0"/>
        <v>0</v>
      </c>
      <c r="AL17" s="129">
        <f t="shared" si="0"/>
        <v>0</v>
      </c>
      <c r="AM17" s="129">
        <f t="shared" si="0"/>
        <v>0</v>
      </c>
      <c r="AN17" s="129">
        <f t="shared" si="0"/>
        <v>0</v>
      </c>
      <c r="AO17" s="129">
        <f t="shared" si="0"/>
        <v>0</v>
      </c>
      <c r="AP17" s="129">
        <f>SUM(AP18:AP23)</f>
        <v>0</v>
      </c>
      <c r="AQ17" s="129">
        <f>M17+O17+S17+U17+W17+AA17+Q17+Y17</f>
        <v>0</v>
      </c>
      <c r="AR17" s="129">
        <f>N17+P17+R17+AC17+AD17+AE17+AF17+AG17+AH17+AI17+AJ17+AK17+AL17+AM17+AN17+AO17+AP17+T17+V17+AB17+X17+Z17</f>
        <v>0</v>
      </c>
      <c r="AS17" s="129">
        <f>SUM(AS18:AS23)</f>
        <v>0</v>
      </c>
      <c r="AT17" s="129">
        <f>SUM(AT18:AT23)</f>
        <v>0</v>
      </c>
      <c r="AU17" s="131">
        <f>IF(AT17-AQ17=0,0,(AT17-M17-O17-Q17)/AT17)</f>
        <v>0</v>
      </c>
      <c r="AV17" s="131">
        <f>IF(AT17=0,0,(AT17-N17-P17-R17-AC17-AD17-AE17-AF17-AG17-AH17-AI17-AJ17-AL17)/AT17)</f>
        <v>0</v>
      </c>
      <c r="AW17" s="131">
        <f>IF(OR(AT17=0,AU17=0),0,((AT17*AU17)-S17-U17-W17-Y17-AA17)/(AT17*AU17))</f>
        <v>0</v>
      </c>
      <c r="AX17" s="131">
        <f>IF(OR(AT17=0,AV17=0),0,((AT17*AV17)-AK17-AM17-AN17-AO17-AP17-T17-V17-X17-Z17-AB17)/(AT17*AV17))</f>
        <v>0</v>
      </c>
      <c r="AY17" s="131">
        <f>IF(K17=0,0,K17/(D17-Y17)/24)</f>
        <v>0</v>
      </c>
      <c r="AZ17" s="131">
        <f t="shared" ref="AY17:AZ22" si="1">IF(L17=0,0,L17/(E17-Z17)/24)</f>
        <v>0</v>
      </c>
      <c r="BA17" s="129">
        <f>ROUND(AT17-E17-AR17,4)</f>
        <v>0</v>
      </c>
      <c r="BB17" s="89"/>
      <c r="BC17"/>
    </row>
    <row r="18" spans="1:55" ht="15" hidden="1" customHeight="1" x14ac:dyDescent="0.25">
      <c r="A18" s="80" t="s">
        <v>23</v>
      </c>
      <c r="B18" s="110">
        <v>22</v>
      </c>
      <c r="C18" s="110">
        <v>22</v>
      </c>
      <c r="D18" s="119">
        <f>AS18*AW18*AU18</f>
        <v>0</v>
      </c>
      <c r="E18" s="17">
        <f>ROUND(AS18*AV18*AX18,4)</f>
        <v>0</v>
      </c>
      <c r="F18" s="81"/>
      <c r="G18" s="81"/>
      <c r="H18" s="82"/>
      <c r="I18" s="82"/>
      <c r="J18" s="83" t="s">
        <v>55</v>
      </c>
      <c r="K18" s="84"/>
      <c r="L18" s="84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>
        <f t="shared" ref="AQ18:AQ61" si="2">M18+O18+S18+U18+W18+AA18+Q18+Y18</f>
        <v>0</v>
      </c>
      <c r="AR18" s="17">
        <f>N18+P18+R18+AC18+AD18+AE18+AF18+AG18+AH18+AI18+AJ18+AK18+AL18+AM18+AN18+AO18+AP18+T18+V18+AB18+X18+Z18</f>
        <v>0</v>
      </c>
      <c r="AS18" s="17">
        <f>AT18</f>
        <v>0</v>
      </c>
      <c r="AT18" s="17"/>
      <c r="AU18" s="18">
        <f t="shared" ref="AU18:AU61" si="3">IF(AT18-AQ18=0,0,(AT18-M18-O18-Q18)/AT18)</f>
        <v>0</v>
      </c>
      <c r="AV18" s="18">
        <f t="shared" ref="AV18:AV61" si="4">IF(AT18=0,0,(AT18-N18-P18-R18-AC18-AD18-AE18-AF18-AG18-AH18-AI18-AJ18-AL18)/AT18)</f>
        <v>0</v>
      </c>
      <c r="AW18" s="18">
        <f t="shared" ref="AW18:AW61" si="5">IF(OR(AT18=0,AU18=0),0,((AT18*AU18)-S18-U18-W18-Y18-AA18)/(AT18*AU18))</f>
        <v>0</v>
      </c>
      <c r="AX18" s="18">
        <f t="shared" ref="AX18:AX61" si="6">IF(OR(AT18=0,AV18=0),0,((AT18*AV18)-AK18-AM18-AN18-AO18-AP18-T18-V18-X18-Z18-AB18)/(AT18*AV18))</f>
        <v>0</v>
      </c>
      <c r="AY18" s="82">
        <f>IF(K18=0,0,K18/(D18-Y18)/24)</f>
        <v>0</v>
      </c>
      <c r="AZ18" s="82">
        <f t="shared" si="1"/>
        <v>0</v>
      </c>
      <c r="BA18" s="85">
        <f>ROUND(AS18-E18-AR18,4)</f>
        <v>0</v>
      </c>
      <c r="BB18" s="86"/>
      <c r="BC18"/>
    </row>
    <row r="19" spans="1:55" ht="15" hidden="1" customHeight="1" x14ac:dyDescent="0.25">
      <c r="A19" s="68" t="s">
        <v>24</v>
      </c>
      <c r="B19" s="111">
        <v>23</v>
      </c>
      <c r="C19" s="111">
        <v>23</v>
      </c>
      <c r="D19" s="119">
        <f t="shared" ref="D19:D23" si="7">AS19*AW19*AU19</f>
        <v>0</v>
      </c>
      <c r="E19" s="17">
        <f t="shared" ref="E19:E22" si="8">ROUND(AS19*AV19*AX19,4)</f>
        <v>0</v>
      </c>
      <c r="F19" s="19"/>
      <c r="G19" s="19"/>
      <c r="H19" s="18"/>
      <c r="I19" s="18"/>
      <c r="J19" s="8" t="s">
        <v>55</v>
      </c>
      <c r="K19" s="20"/>
      <c r="L19" s="20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7">
        <f t="shared" si="2"/>
        <v>0</v>
      </c>
      <c r="AR19" s="15">
        <f>N19+P19+R19+AC19+AD19+AE19+AF19+AG19+AH19+AI19+AJ19+AK19+AL19+AM19+AN19+AO19+AP19+T19+V19+AB19</f>
        <v>0</v>
      </c>
      <c r="AS19" s="17">
        <f t="shared" ref="AS19:AS23" si="9">AT19</f>
        <v>0</v>
      </c>
      <c r="AT19" s="15"/>
      <c r="AU19" s="18">
        <f t="shared" si="3"/>
        <v>0</v>
      </c>
      <c r="AV19" s="18">
        <f t="shared" si="4"/>
        <v>0</v>
      </c>
      <c r="AW19" s="18">
        <f t="shared" si="5"/>
        <v>0</v>
      </c>
      <c r="AX19" s="18">
        <f t="shared" si="6"/>
        <v>0</v>
      </c>
      <c r="AY19" s="18">
        <f t="shared" si="1"/>
        <v>0</v>
      </c>
      <c r="AZ19" s="18">
        <f t="shared" si="1"/>
        <v>0</v>
      </c>
      <c r="BA19" s="74">
        <f>ROUND(AS19-E19-AR19,4)</f>
        <v>0</v>
      </c>
      <c r="BB19" s="75"/>
      <c r="BC19"/>
    </row>
    <row r="20" spans="1:55" ht="15" hidden="1" customHeight="1" x14ac:dyDescent="0.25">
      <c r="A20" s="69" t="s">
        <v>25</v>
      </c>
      <c r="B20" s="112"/>
      <c r="C20" s="112">
        <v>24</v>
      </c>
      <c r="D20" s="119">
        <f t="shared" si="7"/>
        <v>0</v>
      </c>
      <c r="E20" s="17">
        <f t="shared" si="8"/>
        <v>0</v>
      </c>
      <c r="F20" s="19"/>
      <c r="G20" s="19"/>
      <c r="H20" s="18"/>
      <c r="I20" s="18"/>
      <c r="J20" s="8" t="s">
        <v>55</v>
      </c>
      <c r="K20" s="20"/>
      <c r="L20" s="20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7">
        <f t="shared" si="2"/>
        <v>0</v>
      </c>
      <c r="AR20" s="15">
        <f>N20+P20+R20+AC20+AD20+AE20+AF20+AG20+AH20+AI20+AJ20+AK20+AL20+AM20+AN20+AO20+AP20+T20+V20+AB20</f>
        <v>0</v>
      </c>
      <c r="AS20" s="17">
        <f t="shared" si="9"/>
        <v>0</v>
      </c>
      <c r="AT20" s="15"/>
      <c r="AU20" s="18">
        <f t="shared" si="3"/>
        <v>0</v>
      </c>
      <c r="AV20" s="18">
        <f t="shared" si="4"/>
        <v>0</v>
      </c>
      <c r="AW20" s="18">
        <f t="shared" si="5"/>
        <v>0</v>
      </c>
      <c r="AX20" s="18">
        <f t="shared" si="6"/>
        <v>0</v>
      </c>
      <c r="AY20" s="18">
        <f t="shared" si="1"/>
        <v>0</v>
      </c>
      <c r="AZ20" s="18">
        <f t="shared" si="1"/>
        <v>0</v>
      </c>
      <c r="BA20" s="74">
        <f t="shared" ref="BA20:BA22" si="10">ROUND(AS20-E20-AR20,4)</f>
        <v>0</v>
      </c>
      <c r="BB20" s="75"/>
      <c r="BC20"/>
    </row>
    <row r="21" spans="1:55" ht="15" hidden="1" customHeight="1" x14ac:dyDescent="0.25">
      <c r="A21" s="68" t="s">
        <v>26</v>
      </c>
      <c r="B21" s="111"/>
      <c r="C21" s="111">
        <v>24</v>
      </c>
      <c r="D21" s="119">
        <f t="shared" si="7"/>
        <v>0</v>
      </c>
      <c r="E21" s="17">
        <f t="shared" si="8"/>
        <v>0</v>
      </c>
      <c r="F21" s="19"/>
      <c r="G21" s="19"/>
      <c r="H21" s="18"/>
      <c r="I21" s="18"/>
      <c r="J21" s="8" t="s">
        <v>55</v>
      </c>
      <c r="K21" s="20"/>
      <c r="L21" s="20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7">
        <f t="shared" si="2"/>
        <v>0</v>
      </c>
      <c r="AR21" s="15">
        <f>N21+P21+R21+AC21+AD21+AE21+AF21+AG21+AH21+AI21+AJ21+AK21+AL21+AM21+AN21+AO21+AP21+T21+V21+AB21</f>
        <v>0</v>
      </c>
      <c r="AS21" s="17">
        <f>AT21</f>
        <v>0</v>
      </c>
      <c r="AT21" s="15"/>
      <c r="AU21" s="18">
        <f t="shared" si="3"/>
        <v>0</v>
      </c>
      <c r="AV21" s="18">
        <f t="shared" si="4"/>
        <v>0</v>
      </c>
      <c r="AW21" s="18">
        <f t="shared" si="5"/>
        <v>0</v>
      </c>
      <c r="AX21" s="18">
        <f t="shared" si="6"/>
        <v>0</v>
      </c>
      <c r="AY21" s="18">
        <f t="shared" si="1"/>
        <v>0</v>
      </c>
      <c r="AZ21" s="18">
        <f t="shared" si="1"/>
        <v>0</v>
      </c>
      <c r="BA21" s="74">
        <f t="shared" si="10"/>
        <v>0</v>
      </c>
      <c r="BB21" s="75"/>
      <c r="BC21"/>
    </row>
    <row r="22" spans="1:55" ht="15" hidden="1" customHeight="1" x14ac:dyDescent="0.25">
      <c r="A22" s="70" t="s">
        <v>63</v>
      </c>
      <c r="B22" s="113"/>
      <c r="C22" s="113">
        <v>25</v>
      </c>
      <c r="D22" s="119">
        <f t="shared" si="7"/>
        <v>0</v>
      </c>
      <c r="E22" s="17">
        <f t="shared" si="8"/>
        <v>0</v>
      </c>
      <c r="F22" s="19"/>
      <c r="G22" s="19"/>
      <c r="H22" s="18"/>
      <c r="I22" s="18"/>
      <c r="J22" s="8" t="s">
        <v>55</v>
      </c>
      <c r="K22" s="20"/>
      <c r="L22" s="20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7">
        <f t="shared" si="2"/>
        <v>0</v>
      </c>
      <c r="AR22" s="15">
        <f>N22+P22+R22+AC22+AD22+AE22+AF22+AG22+AH22+AI22+AJ22+AK22+AL22+AM22+AN22+AO22+AP22+T22+V22+AB22</f>
        <v>0</v>
      </c>
      <c r="AS22" s="17">
        <f t="shared" si="9"/>
        <v>0</v>
      </c>
      <c r="AT22" s="15"/>
      <c r="AU22" s="18">
        <f t="shared" si="3"/>
        <v>0</v>
      </c>
      <c r="AV22" s="18">
        <f t="shared" si="4"/>
        <v>0</v>
      </c>
      <c r="AW22" s="18">
        <f t="shared" si="5"/>
        <v>0</v>
      </c>
      <c r="AX22" s="18">
        <f t="shared" si="6"/>
        <v>0</v>
      </c>
      <c r="AY22" s="18">
        <f t="shared" si="1"/>
        <v>0</v>
      </c>
      <c r="AZ22" s="18">
        <f t="shared" si="1"/>
        <v>0</v>
      </c>
      <c r="BA22" s="74">
        <f t="shared" si="10"/>
        <v>0</v>
      </c>
      <c r="BB22" s="75"/>
      <c r="BC22"/>
    </row>
    <row r="23" spans="1:55" ht="15" customHeight="1" thickBot="1" x14ac:dyDescent="0.3">
      <c r="A23" s="90" t="s">
        <v>27</v>
      </c>
      <c r="B23" s="123" t="s">
        <v>148</v>
      </c>
      <c r="C23" s="114">
        <v>17</v>
      </c>
      <c r="D23" s="119">
        <f t="shared" si="7"/>
        <v>0</v>
      </c>
      <c r="E23" s="17">
        <f>ROUND(AT23*AV23*AX23,4)</f>
        <v>0</v>
      </c>
      <c r="F23" s="91"/>
      <c r="G23" s="91"/>
      <c r="H23" s="92"/>
      <c r="I23" s="92"/>
      <c r="J23" s="93" t="s">
        <v>55</v>
      </c>
      <c r="K23" s="94"/>
      <c r="L23" s="94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7">
        <f t="shared" si="2"/>
        <v>0</v>
      </c>
      <c r="AR23" s="16">
        <f>N23+P23+R23+AC23+AD23+AE23+AF23+AG23+AH23+AI23+AJ23+AK23+AL23+AM23+AN23+AO23+AP23+T23+V23+X23+Z23+AB23</f>
        <v>0</v>
      </c>
      <c r="AS23" s="17">
        <f t="shared" si="9"/>
        <v>0</v>
      </c>
      <c r="AT23" s="16"/>
      <c r="AU23" s="82">
        <f t="shared" si="3"/>
        <v>0</v>
      </c>
      <c r="AV23" s="82">
        <f t="shared" si="4"/>
        <v>0</v>
      </c>
      <c r="AW23" s="82">
        <f t="shared" si="5"/>
        <v>0</v>
      </c>
      <c r="AX23" s="82">
        <f t="shared" si="6"/>
        <v>0</v>
      </c>
      <c r="AY23" s="92">
        <f>IF(D23=0,0,K23/D23/24)</f>
        <v>0</v>
      </c>
      <c r="AZ23" s="92">
        <f>IF(E23=0,0,L23/E23/24)</f>
        <v>0</v>
      </c>
      <c r="BA23" s="95">
        <f>ROUND(AT23-E23-AR23,4)</f>
        <v>0</v>
      </c>
      <c r="BB23" s="96"/>
      <c r="BC23"/>
    </row>
    <row r="24" spans="1:55" ht="15" customHeight="1" thickBot="1" x14ac:dyDescent="0.3">
      <c r="A24" s="87" t="s">
        <v>80</v>
      </c>
      <c r="B24" s="124"/>
      <c r="C24" s="87"/>
      <c r="D24" s="132">
        <f>AT24*AW24*AU24</f>
        <v>0</v>
      </c>
      <c r="E24" s="129">
        <f>SUM(E26:E27)</f>
        <v>0</v>
      </c>
      <c r="F24" s="129">
        <f>SUM(F25:F41)</f>
        <v>0</v>
      </c>
      <c r="G24" s="129"/>
      <c r="H24" s="131">
        <f>SUM(H25:H41)</f>
        <v>0</v>
      </c>
      <c r="I24" s="131">
        <f>SUM(I25:I41)</f>
        <v>0</v>
      </c>
      <c r="J24" s="88"/>
      <c r="K24" s="130">
        <f>SUM(K25:K41)</f>
        <v>0</v>
      </c>
      <c r="L24" s="130">
        <f>SUM(L25:L41)</f>
        <v>0</v>
      </c>
      <c r="M24" s="129">
        <f>SUM(M25:M41)</f>
        <v>0</v>
      </c>
      <c r="N24" s="129">
        <f t="shared" ref="N24:AO24" si="11">SUM(N25:N41)</f>
        <v>0</v>
      </c>
      <c r="O24" s="129">
        <f t="shared" si="11"/>
        <v>0</v>
      </c>
      <c r="P24" s="129">
        <f t="shared" si="11"/>
        <v>0</v>
      </c>
      <c r="Q24" s="129">
        <f t="shared" si="11"/>
        <v>0</v>
      </c>
      <c r="R24" s="129">
        <f t="shared" si="11"/>
        <v>0</v>
      </c>
      <c r="S24" s="129">
        <f t="shared" si="11"/>
        <v>0</v>
      </c>
      <c r="T24" s="129">
        <f t="shared" si="11"/>
        <v>0</v>
      </c>
      <c r="U24" s="129">
        <f t="shared" si="11"/>
        <v>0</v>
      </c>
      <c r="V24" s="129">
        <f t="shared" si="11"/>
        <v>0</v>
      </c>
      <c r="W24" s="129">
        <f t="shared" si="11"/>
        <v>0</v>
      </c>
      <c r="X24" s="129">
        <f t="shared" si="11"/>
        <v>0</v>
      </c>
      <c r="Y24" s="129">
        <f t="shared" si="11"/>
        <v>0</v>
      </c>
      <c r="Z24" s="129">
        <f t="shared" si="11"/>
        <v>0</v>
      </c>
      <c r="AA24" s="129">
        <f t="shared" si="11"/>
        <v>0</v>
      </c>
      <c r="AB24" s="129">
        <f t="shared" si="11"/>
        <v>0</v>
      </c>
      <c r="AC24" s="129">
        <f t="shared" si="11"/>
        <v>0</v>
      </c>
      <c r="AD24" s="129">
        <f t="shared" si="11"/>
        <v>0</v>
      </c>
      <c r="AE24" s="129">
        <f t="shared" si="11"/>
        <v>0</v>
      </c>
      <c r="AF24" s="129">
        <f t="shared" si="11"/>
        <v>0</v>
      </c>
      <c r="AG24" s="129">
        <f t="shared" si="11"/>
        <v>0</v>
      </c>
      <c r="AH24" s="129">
        <f t="shared" si="11"/>
        <v>0</v>
      </c>
      <c r="AI24" s="129">
        <f t="shared" si="11"/>
        <v>0</v>
      </c>
      <c r="AJ24" s="129">
        <f t="shared" si="11"/>
        <v>0</v>
      </c>
      <c r="AK24" s="129">
        <f t="shared" si="11"/>
        <v>0</v>
      </c>
      <c r="AL24" s="129">
        <f t="shared" si="11"/>
        <v>0</v>
      </c>
      <c r="AM24" s="129">
        <f t="shared" si="11"/>
        <v>0</v>
      </c>
      <c r="AN24" s="129">
        <f t="shared" si="11"/>
        <v>0</v>
      </c>
      <c r="AO24" s="129">
        <f t="shared" si="11"/>
        <v>0</v>
      </c>
      <c r="AP24" s="129">
        <f>SUM(AP25:AP41)</f>
        <v>0</v>
      </c>
      <c r="AQ24" s="129">
        <f t="shared" si="2"/>
        <v>0</v>
      </c>
      <c r="AR24" s="129">
        <f t="shared" ref="AR24:AR61" si="12">N24+P24+R24+AC24+AD24+AE24+AF24+AG24+AH24+AI24+AJ24+AK24+AL24+AM24+AN24+AO24+AP24+T24+V24+X24+Z24+AB24</f>
        <v>0</v>
      </c>
      <c r="AS24" s="129">
        <f>SUM(AS25:AS41)</f>
        <v>0</v>
      </c>
      <c r="AT24" s="129">
        <f>SUM(AT25:AT41)</f>
        <v>0</v>
      </c>
      <c r="AU24" s="131">
        <f t="shared" si="3"/>
        <v>0</v>
      </c>
      <c r="AV24" s="131">
        <f t="shared" si="4"/>
        <v>0</v>
      </c>
      <c r="AW24" s="131">
        <f t="shared" si="5"/>
        <v>0</v>
      </c>
      <c r="AX24" s="131">
        <f t="shared" si="6"/>
        <v>0</v>
      </c>
      <c r="AY24" s="131">
        <f t="shared" ref="AY24:AZ61" si="13">IF(D24=0,0,K24/D24/24)</f>
        <v>0</v>
      </c>
      <c r="AZ24" s="131">
        <f t="shared" si="13"/>
        <v>0</v>
      </c>
      <c r="BA24" s="129">
        <f t="shared" ref="BA24:BA61" si="14">ROUND(AT24-E24-AR24,4)</f>
        <v>0</v>
      </c>
      <c r="BB24" s="99"/>
      <c r="BC24"/>
    </row>
    <row r="25" spans="1:55" ht="15" hidden="1" customHeight="1" x14ac:dyDescent="0.25">
      <c r="A25" s="97" t="s">
        <v>28</v>
      </c>
      <c r="B25" s="115"/>
      <c r="C25" s="115">
        <v>30</v>
      </c>
      <c r="D25" s="121">
        <f>AT25*AU25*AW25</f>
        <v>0</v>
      </c>
      <c r="E25" s="15">
        <f t="shared" ref="E25:E51" si="15">ROUND(AS25*AV25*AX25,4)</f>
        <v>0</v>
      </c>
      <c r="F25" s="81"/>
      <c r="G25" s="81"/>
      <c r="H25" s="82"/>
      <c r="I25" s="82"/>
      <c r="J25" s="98" t="s">
        <v>68</v>
      </c>
      <c r="K25" s="84"/>
      <c r="L25" s="84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>
        <f t="shared" si="2"/>
        <v>0</v>
      </c>
      <c r="AR25" s="16">
        <f t="shared" si="12"/>
        <v>0</v>
      </c>
      <c r="AS25" s="17"/>
      <c r="AT25" s="17"/>
      <c r="AU25" s="92">
        <f t="shared" si="3"/>
        <v>0</v>
      </c>
      <c r="AV25" s="92">
        <f t="shared" si="4"/>
        <v>0</v>
      </c>
      <c r="AW25" s="92">
        <f t="shared" si="5"/>
        <v>0</v>
      </c>
      <c r="AX25" s="92">
        <f t="shared" si="6"/>
        <v>0</v>
      </c>
      <c r="AY25" s="92">
        <f t="shared" si="13"/>
        <v>0</v>
      </c>
      <c r="AZ25" s="92">
        <f t="shared" si="13"/>
        <v>0</v>
      </c>
      <c r="BA25" s="95">
        <f t="shared" si="14"/>
        <v>0</v>
      </c>
      <c r="BB25" s="86"/>
      <c r="BC25"/>
    </row>
    <row r="26" spans="1:55" ht="15" customHeight="1" x14ac:dyDescent="0.25">
      <c r="A26" s="71" t="s">
        <v>29</v>
      </c>
      <c r="B26" s="123" t="s">
        <v>137</v>
      </c>
      <c r="C26" s="112">
        <v>32</v>
      </c>
      <c r="D26" s="121">
        <f>AT26*AU26*AW26</f>
        <v>0</v>
      </c>
      <c r="E26" s="15">
        <f>ROUND(AT26*AV26*AX26,4)</f>
        <v>0</v>
      </c>
      <c r="F26" s="19"/>
      <c r="G26" s="19"/>
      <c r="H26" s="18"/>
      <c r="I26" s="18"/>
      <c r="J26" s="9" t="s">
        <v>68</v>
      </c>
      <c r="K26" s="20"/>
      <c r="L26" s="20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7">
        <f t="shared" si="2"/>
        <v>0</v>
      </c>
      <c r="AR26" s="16">
        <f t="shared" si="12"/>
        <v>0</v>
      </c>
      <c r="AS26" s="16"/>
      <c r="AT26" s="16"/>
      <c r="AU26" s="92">
        <f t="shared" si="3"/>
        <v>0</v>
      </c>
      <c r="AV26" s="92">
        <f t="shared" si="4"/>
        <v>0</v>
      </c>
      <c r="AW26" s="92">
        <f t="shared" si="5"/>
        <v>0</v>
      </c>
      <c r="AX26" s="92">
        <f t="shared" si="6"/>
        <v>0</v>
      </c>
      <c r="AY26" s="92">
        <f t="shared" si="13"/>
        <v>0</v>
      </c>
      <c r="AZ26" s="92">
        <f t="shared" si="13"/>
        <v>0</v>
      </c>
      <c r="BA26" s="95">
        <f t="shared" si="14"/>
        <v>0</v>
      </c>
      <c r="BB26" s="75"/>
      <c r="BC26"/>
    </row>
    <row r="27" spans="1:55" ht="15" customHeight="1" thickBot="1" x14ac:dyDescent="0.3">
      <c r="A27" s="71" t="s">
        <v>30</v>
      </c>
      <c r="B27" s="123" t="s">
        <v>138</v>
      </c>
      <c r="C27" s="112">
        <v>35</v>
      </c>
      <c r="D27" s="121">
        <f>AT27*AU27*AW27</f>
        <v>0</v>
      </c>
      <c r="E27" s="15">
        <f>ROUND(AT27*AV27*AX27,4)</f>
        <v>0</v>
      </c>
      <c r="F27" s="19"/>
      <c r="G27" s="19"/>
      <c r="H27" s="18"/>
      <c r="I27" s="18"/>
      <c r="J27" s="9" t="s">
        <v>68</v>
      </c>
      <c r="K27" s="20"/>
      <c r="L27" s="20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7">
        <f t="shared" si="2"/>
        <v>0</v>
      </c>
      <c r="AR27" s="16">
        <f t="shared" si="12"/>
        <v>0</v>
      </c>
      <c r="AS27" s="16"/>
      <c r="AT27" s="16"/>
      <c r="AU27" s="92">
        <f t="shared" si="3"/>
        <v>0</v>
      </c>
      <c r="AV27" s="92">
        <f t="shared" si="4"/>
        <v>0</v>
      </c>
      <c r="AW27" s="92">
        <f t="shared" si="5"/>
        <v>0</v>
      </c>
      <c r="AX27" s="92">
        <f t="shared" si="6"/>
        <v>0</v>
      </c>
      <c r="AY27" s="92">
        <f t="shared" si="13"/>
        <v>0</v>
      </c>
      <c r="AZ27" s="92">
        <f t="shared" si="13"/>
        <v>0</v>
      </c>
      <c r="BA27" s="95">
        <f t="shared" si="14"/>
        <v>0</v>
      </c>
      <c r="BB27" s="75"/>
      <c r="BC27"/>
    </row>
    <row r="28" spans="1:55" ht="15" hidden="1" customHeight="1" x14ac:dyDescent="0.3">
      <c r="A28" s="72" t="s">
        <v>31</v>
      </c>
      <c r="B28" s="111"/>
      <c r="C28" s="111">
        <v>39</v>
      </c>
      <c r="D28" s="121">
        <f t="shared" ref="D28:D41" si="16">AT28*AU28*AW28</f>
        <v>0</v>
      </c>
      <c r="E28" s="15">
        <f t="shared" si="15"/>
        <v>0</v>
      </c>
      <c r="F28" s="19"/>
      <c r="G28" s="19"/>
      <c r="H28" s="18"/>
      <c r="I28" s="18"/>
      <c r="J28" s="9" t="s">
        <v>68</v>
      </c>
      <c r="K28" s="20"/>
      <c r="L28" s="20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7">
        <f t="shared" si="2"/>
        <v>0</v>
      </c>
      <c r="AR28" s="16">
        <f t="shared" si="12"/>
        <v>0</v>
      </c>
      <c r="AS28" s="15"/>
      <c r="AT28" s="15"/>
      <c r="AU28" s="92">
        <f t="shared" si="3"/>
        <v>0</v>
      </c>
      <c r="AV28" s="92">
        <f t="shared" si="4"/>
        <v>0</v>
      </c>
      <c r="AW28" s="92">
        <f t="shared" si="5"/>
        <v>0</v>
      </c>
      <c r="AX28" s="92">
        <f t="shared" si="6"/>
        <v>0</v>
      </c>
      <c r="AY28" s="92">
        <f t="shared" si="13"/>
        <v>0</v>
      </c>
      <c r="AZ28" s="92">
        <f t="shared" si="13"/>
        <v>0</v>
      </c>
      <c r="BA28" s="95">
        <f t="shared" si="14"/>
        <v>0</v>
      </c>
      <c r="BB28" s="75"/>
      <c r="BC28"/>
    </row>
    <row r="29" spans="1:55" ht="15" hidden="1" customHeight="1" x14ac:dyDescent="0.3">
      <c r="A29" s="72" t="s">
        <v>32</v>
      </c>
      <c r="B29" s="111"/>
      <c r="C29" s="111">
        <v>40</v>
      </c>
      <c r="D29" s="121">
        <f t="shared" si="16"/>
        <v>0</v>
      </c>
      <c r="E29" s="15">
        <f t="shared" si="15"/>
        <v>0</v>
      </c>
      <c r="F29" s="19"/>
      <c r="G29" s="19"/>
      <c r="H29" s="18"/>
      <c r="I29" s="18"/>
      <c r="J29" s="9" t="s">
        <v>68</v>
      </c>
      <c r="K29" s="20"/>
      <c r="L29" s="20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7">
        <f t="shared" si="2"/>
        <v>0</v>
      </c>
      <c r="AR29" s="16">
        <f t="shared" si="12"/>
        <v>0</v>
      </c>
      <c r="AS29" s="15"/>
      <c r="AT29" s="15"/>
      <c r="AU29" s="92">
        <f t="shared" si="3"/>
        <v>0</v>
      </c>
      <c r="AV29" s="92">
        <f t="shared" si="4"/>
        <v>0</v>
      </c>
      <c r="AW29" s="92">
        <f t="shared" si="5"/>
        <v>0</v>
      </c>
      <c r="AX29" s="92">
        <f t="shared" si="6"/>
        <v>0</v>
      </c>
      <c r="AY29" s="92">
        <f t="shared" si="13"/>
        <v>0</v>
      </c>
      <c r="AZ29" s="92">
        <f t="shared" si="13"/>
        <v>0</v>
      </c>
      <c r="BA29" s="95">
        <f t="shared" si="14"/>
        <v>0</v>
      </c>
      <c r="BB29" s="75"/>
      <c r="BC29"/>
    </row>
    <row r="30" spans="1:55" ht="15" hidden="1" customHeight="1" x14ac:dyDescent="0.3">
      <c r="A30" s="72" t="s">
        <v>33</v>
      </c>
      <c r="B30" s="111"/>
      <c r="C30" s="111">
        <v>41</v>
      </c>
      <c r="D30" s="121">
        <f t="shared" si="16"/>
        <v>0</v>
      </c>
      <c r="E30" s="15">
        <f t="shared" si="15"/>
        <v>0</v>
      </c>
      <c r="F30" s="19"/>
      <c r="G30" s="19"/>
      <c r="H30" s="18"/>
      <c r="I30" s="18"/>
      <c r="J30" s="9" t="s">
        <v>68</v>
      </c>
      <c r="K30" s="20"/>
      <c r="L30" s="20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7">
        <f t="shared" si="2"/>
        <v>0</v>
      </c>
      <c r="AR30" s="16">
        <f t="shared" si="12"/>
        <v>0</v>
      </c>
      <c r="AS30" s="15"/>
      <c r="AT30" s="15"/>
      <c r="AU30" s="92">
        <f t="shared" si="3"/>
        <v>0</v>
      </c>
      <c r="AV30" s="92">
        <f t="shared" si="4"/>
        <v>0</v>
      </c>
      <c r="AW30" s="92">
        <f t="shared" si="5"/>
        <v>0</v>
      </c>
      <c r="AX30" s="92">
        <f t="shared" si="6"/>
        <v>0</v>
      </c>
      <c r="AY30" s="92">
        <f t="shared" si="13"/>
        <v>0</v>
      </c>
      <c r="AZ30" s="92">
        <f t="shared" si="13"/>
        <v>0</v>
      </c>
      <c r="BA30" s="95">
        <f t="shared" si="14"/>
        <v>0</v>
      </c>
      <c r="BB30" s="75"/>
      <c r="BC30"/>
    </row>
    <row r="31" spans="1:55" ht="15" hidden="1" customHeight="1" x14ac:dyDescent="0.3">
      <c r="A31" s="72" t="s">
        <v>34</v>
      </c>
      <c r="B31" s="111"/>
      <c r="C31" s="111">
        <v>42</v>
      </c>
      <c r="D31" s="121">
        <f t="shared" si="16"/>
        <v>0</v>
      </c>
      <c r="E31" s="15">
        <f t="shared" si="15"/>
        <v>0</v>
      </c>
      <c r="F31" s="19"/>
      <c r="G31" s="19"/>
      <c r="H31" s="18"/>
      <c r="I31" s="18"/>
      <c r="J31" s="9" t="s">
        <v>68</v>
      </c>
      <c r="K31" s="20"/>
      <c r="L31" s="20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7">
        <f t="shared" si="2"/>
        <v>0</v>
      </c>
      <c r="AR31" s="16">
        <f t="shared" si="12"/>
        <v>0</v>
      </c>
      <c r="AS31" s="15"/>
      <c r="AT31" s="15"/>
      <c r="AU31" s="92">
        <f t="shared" si="3"/>
        <v>0</v>
      </c>
      <c r="AV31" s="92">
        <f t="shared" si="4"/>
        <v>0</v>
      </c>
      <c r="AW31" s="92">
        <f t="shared" si="5"/>
        <v>0</v>
      </c>
      <c r="AX31" s="92">
        <f t="shared" si="6"/>
        <v>0</v>
      </c>
      <c r="AY31" s="92">
        <f t="shared" si="13"/>
        <v>0</v>
      </c>
      <c r="AZ31" s="92">
        <f t="shared" si="13"/>
        <v>0</v>
      </c>
      <c r="BA31" s="95">
        <f t="shared" si="14"/>
        <v>0</v>
      </c>
      <c r="BB31" s="75"/>
      <c r="BC31"/>
    </row>
    <row r="32" spans="1:55" ht="15" hidden="1" customHeight="1" x14ac:dyDescent="0.3">
      <c r="A32" s="72" t="s">
        <v>35</v>
      </c>
      <c r="B32" s="111"/>
      <c r="C32" s="111">
        <v>43</v>
      </c>
      <c r="D32" s="121">
        <f t="shared" si="16"/>
        <v>0</v>
      </c>
      <c r="E32" s="15">
        <f t="shared" si="15"/>
        <v>0</v>
      </c>
      <c r="F32" s="19"/>
      <c r="G32" s="19"/>
      <c r="H32" s="18"/>
      <c r="I32" s="18"/>
      <c r="J32" s="9" t="s">
        <v>68</v>
      </c>
      <c r="K32" s="20"/>
      <c r="L32" s="20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7">
        <f t="shared" si="2"/>
        <v>0</v>
      </c>
      <c r="AR32" s="16">
        <f t="shared" si="12"/>
        <v>0</v>
      </c>
      <c r="AS32" s="15"/>
      <c r="AT32" s="15"/>
      <c r="AU32" s="92">
        <f t="shared" si="3"/>
        <v>0</v>
      </c>
      <c r="AV32" s="92">
        <f t="shared" si="4"/>
        <v>0</v>
      </c>
      <c r="AW32" s="92">
        <f t="shared" si="5"/>
        <v>0</v>
      </c>
      <c r="AX32" s="92">
        <f t="shared" si="6"/>
        <v>0</v>
      </c>
      <c r="AY32" s="92">
        <f t="shared" si="13"/>
        <v>0</v>
      </c>
      <c r="AZ32" s="92">
        <f t="shared" si="13"/>
        <v>0</v>
      </c>
      <c r="BA32" s="95">
        <f t="shared" si="14"/>
        <v>0</v>
      </c>
      <c r="BB32" s="75"/>
      <c r="BC32"/>
    </row>
    <row r="33" spans="1:55" ht="15" hidden="1" customHeight="1" x14ac:dyDescent="0.3">
      <c r="A33" s="72" t="s">
        <v>36</v>
      </c>
      <c r="B33" s="111"/>
      <c r="C33" s="111">
        <v>44</v>
      </c>
      <c r="D33" s="121">
        <f t="shared" si="16"/>
        <v>0</v>
      </c>
      <c r="E33" s="15">
        <f t="shared" si="15"/>
        <v>0</v>
      </c>
      <c r="F33" s="19"/>
      <c r="G33" s="19"/>
      <c r="H33" s="18"/>
      <c r="I33" s="18"/>
      <c r="J33" s="9" t="s">
        <v>68</v>
      </c>
      <c r="K33" s="20"/>
      <c r="L33" s="20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7">
        <f t="shared" si="2"/>
        <v>0</v>
      </c>
      <c r="AR33" s="16">
        <f t="shared" si="12"/>
        <v>0</v>
      </c>
      <c r="AS33" s="15"/>
      <c r="AT33" s="15"/>
      <c r="AU33" s="92">
        <f t="shared" si="3"/>
        <v>0</v>
      </c>
      <c r="AV33" s="92">
        <f t="shared" si="4"/>
        <v>0</v>
      </c>
      <c r="AW33" s="92">
        <f t="shared" si="5"/>
        <v>0</v>
      </c>
      <c r="AX33" s="92">
        <f t="shared" si="6"/>
        <v>0</v>
      </c>
      <c r="AY33" s="92">
        <f t="shared" si="13"/>
        <v>0</v>
      </c>
      <c r="AZ33" s="92">
        <f t="shared" si="13"/>
        <v>0</v>
      </c>
      <c r="BA33" s="95">
        <f t="shared" si="14"/>
        <v>0</v>
      </c>
      <c r="BB33" s="75"/>
      <c r="BC33"/>
    </row>
    <row r="34" spans="1:55" ht="15" hidden="1" customHeight="1" x14ac:dyDescent="0.3">
      <c r="A34" s="72" t="s">
        <v>37</v>
      </c>
      <c r="B34" s="111"/>
      <c r="C34" s="111">
        <v>45</v>
      </c>
      <c r="D34" s="121">
        <f t="shared" si="16"/>
        <v>0</v>
      </c>
      <c r="E34" s="15">
        <f t="shared" si="15"/>
        <v>0</v>
      </c>
      <c r="F34" s="19"/>
      <c r="G34" s="19"/>
      <c r="H34" s="18"/>
      <c r="I34" s="18"/>
      <c r="J34" s="9" t="s">
        <v>68</v>
      </c>
      <c r="K34" s="20"/>
      <c r="L34" s="20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7">
        <f t="shared" si="2"/>
        <v>0</v>
      </c>
      <c r="AR34" s="16">
        <f t="shared" si="12"/>
        <v>0</v>
      </c>
      <c r="AS34" s="15"/>
      <c r="AT34" s="15"/>
      <c r="AU34" s="92">
        <f t="shared" si="3"/>
        <v>0</v>
      </c>
      <c r="AV34" s="92">
        <f t="shared" si="4"/>
        <v>0</v>
      </c>
      <c r="AW34" s="92">
        <f t="shared" si="5"/>
        <v>0</v>
      </c>
      <c r="AX34" s="92">
        <f t="shared" si="6"/>
        <v>0</v>
      </c>
      <c r="AY34" s="92">
        <f t="shared" si="13"/>
        <v>0</v>
      </c>
      <c r="AZ34" s="92">
        <f t="shared" si="13"/>
        <v>0</v>
      </c>
      <c r="BA34" s="95">
        <f t="shared" si="14"/>
        <v>0</v>
      </c>
      <c r="BB34" s="75"/>
      <c r="BC34"/>
    </row>
    <row r="35" spans="1:55" ht="15" hidden="1" customHeight="1" x14ac:dyDescent="0.3">
      <c r="A35" s="72" t="s">
        <v>38</v>
      </c>
      <c r="B35" s="111"/>
      <c r="C35" s="111">
        <v>46</v>
      </c>
      <c r="D35" s="121">
        <f t="shared" si="16"/>
        <v>0</v>
      </c>
      <c r="E35" s="15">
        <f t="shared" si="15"/>
        <v>0</v>
      </c>
      <c r="F35" s="19"/>
      <c r="G35" s="19"/>
      <c r="H35" s="18"/>
      <c r="I35" s="18"/>
      <c r="J35" s="9" t="s">
        <v>68</v>
      </c>
      <c r="K35" s="20"/>
      <c r="L35" s="20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7">
        <f t="shared" si="2"/>
        <v>0</v>
      </c>
      <c r="AR35" s="16">
        <f t="shared" si="12"/>
        <v>0</v>
      </c>
      <c r="AS35" s="15"/>
      <c r="AT35" s="15"/>
      <c r="AU35" s="92">
        <f t="shared" si="3"/>
        <v>0</v>
      </c>
      <c r="AV35" s="92">
        <f t="shared" si="4"/>
        <v>0</v>
      </c>
      <c r="AW35" s="92">
        <f t="shared" si="5"/>
        <v>0</v>
      </c>
      <c r="AX35" s="92">
        <f t="shared" si="6"/>
        <v>0</v>
      </c>
      <c r="AY35" s="92">
        <f t="shared" si="13"/>
        <v>0</v>
      </c>
      <c r="AZ35" s="92">
        <f t="shared" si="13"/>
        <v>0</v>
      </c>
      <c r="BA35" s="95">
        <f t="shared" si="14"/>
        <v>0</v>
      </c>
      <c r="BB35" s="75"/>
      <c r="BC35"/>
    </row>
    <row r="36" spans="1:55" ht="15" hidden="1" customHeight="1" x14ac:dyDescent="0.3">
      <c r="A36" s="72" t="s">
        <v>39</v>
      </c>
      <c r="B36" s="111"/>
      <c r="C36" s="111">
        <v>47</v>
      </c>
      <c r="D36" s="121">
        <f t="shared" si="16"/>
        <v>0</v>
      </c>
      <c r="E36" s="15">
        <f t="shared" si="15"/>
        <v>0</v>
      </c>
      <c r="F36" s="19"/>
      <c r="G36" s="19"/>
      <c r="H36" s="18"/>
      <c r="I36" s="18"/>
      <c r="J36" s="9" t="s">
        <v>68</v>
      </c>
      <c r="K36" s="20"/>
      <c r="L36" s="20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7">
        <f t="shared" si="2"/>
        <v>0</v>
      </c>
      <c r="AR36" s="16">
        <f t="shared" si="12"/>
        <v>0</v>
      </c>
      <c r="AS36" s="15"/>
      <c r="AT36" s="15"/>
      <c r="AU36" s="92">
        <f t="shared" si="3"/>
        <v>0</v>
      </c>
      <c r="AV36" s="92">
        <f t="shared" si="4"/>
        <v>0</v>
      </c>
      <c r="AW36" s="92">
        <f t="shared" si="5"/>
        <v>0</v>
      </c>
      <c r="AX36" s="92">
        <f t="shared" si="6"/>
        <v>0</v>
      </c>
      <c r="AY36" s="92">
        <f t="shared" si="13"/>
        <v>0</v>
      </c>
      <c r="AZ36" s="92">
        <f t="shared" si="13"/>
        <v>0</v>
      </c>
      <c r="BA36" s="95">
        <f t="shared" si="14"/>
        <v>0</v>
      </c>
      <c r="BB36" s="75"/>
      <c r="BC36"/>
    </row>
    <row r="37" spans="1:55" ht="15" hidden="1" customHeight="1" x14ac:dyDescent="0.3">
      <c r="A37" s="72" t="s">
        <v>40</v>
      </c>
      <c r="B37" s="111"/>
      <c r="C37" s="111">
        <v>48</v>
      </c>
      <c r="D37" s="121">
        <f t="shared" si="16"/>
        <v>0</v>
      </c>
      <c r="E37" s="15">
        <f t="shared" si="15"/>
        <v>0</v>
      </c>
      <c r="F37" s="19"/>
      <c r="G37" s="19"/>
      <c r="H37" s="18"/>
      <c r="I37" s="18"/>
      <c r="J37" s="9" t="s">
        <v>68</v>
      </c>
      <c r="K37" s="20"/>
      <c r="L37" s="20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7">
        <f t="shared" si="2"/>
        <v>0</v>
      </c>
      <c r="AR37" s="16">
        <f t="shared" si="12"/>
        <v>0</v>
      </c>
      <c r="AS37" s="15"/>
      <c r="AT37" s="15"/>
      <c r="AU37" s="92">
        <f t="shared" si="3"/>
        <v>0</v>
      </c>
      <c r="AV37" s="92">
        <f t="shared" si="4"/>
        <v>0</v>
      </c>
      <c r="AW37" s="92">
        <f t="shared" si="5"/>
        <v>0</v>
      </c>
      <c r="AX37" s="92">
        <f t="shared" si="6"/>
        <v>0</v>
      </c>
      <c r="AY37" s="92">
        <f t="shared" si="13"/>
        <v>0</v>
      </c>
      <c r="AZ37" s="92">
        <f t="shared" si="13"/>
        <v>0</v>
      </c>
      <c r="BA37" s="95">
        <f t="shared" si="14"/>
        <v>0</v>
      </c>
      <c r="BB37" s="75"/>
      <c r="BC37"/>
    </row>
    <row r="38" spans="1:55" ht="15" hidden="1" customHeight="1" x14ac:dyDescent="0.3">
      <c r="A38" s="72" t="s">
        <v>41</v>
      </c>
      <c r="B38" s="111"/>
      <c r="C38" s="111">
        <v>49</v>
      </c>
      <c r="D38" s="121">
        <f t="shared" si="16"/>
        <v>0</v>
      </c>
      <c r="E38" s="15">
        <f t="shared" si="15"/>
        <v>0</v>
      </c>
      <c r="F38" s="19"/>
      <c r="G38" s="19"/>
      <c r="H38" s="18"/>
      <c r="I38" s="18"/>
      <c r="J38" s="9" t="s">
        <v>68</v>
      </c>
      <c r="K38" s="20"/>
      <c r="L38" s="20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7">
        <f t="shared" si="2"/>
        <v>0</v>
      </c>
      <c r="AR38" s="16">
        <f t="shared" si="12"/>
        <v>0</v>
      </c>
      <c r="AS38" s="15"/>
      <c r="AT38" s="15"/>
      <c r="AU38" s="92">
        <f t="shared" si="3"/>
        <v>0</v>
      </c>
      <c r="AV38" s="92">
        <f t="shared" si="4"/>
        <v>0</v>
      </c>
      <c r="AW38" s="92">
        <f t="shared" si="5"/>
        <v>0</v>
      </c>
      <c r="AX38" s="92">
        <f t="shared" si="6"/>
        <v>0</v>
      </c>
      <c r="AY38" s="92">
        <f t="shared" si="13"/>
        <v>0</v>
      </c>
      <c r="AZ38" s="92">
        <f t="shared" si="13"/>
        <v>0</v>
      </c>
      <c r="BA38" s="95">
        <f t="shared" si="14"/>
        <v>0</v>
      </c>
      <c r="BB38" s="75"/>
      <c r="BC38"/>
    </row>
    <row r="39" spans="1:55" ht="15" hidden="1" customHeight="1" x14ac:dyDescent="0.3">
      <c r="A39" s="72" t="s">
        <v>42</v>
      </c>
      <c r="B39" s="111"/>
      <c r="C39" s="111">
        <v>50</v>
      </c>
      <c r="D39" s="121">
        <f t="shared" si="16"/>
        <v>0</v>
      </c>
      <c r="E39" s="15">
        <f t="shared" si="15"/>
        <v>0</v>
      </c>
      <c r="F39" s="19"/>
      <c r="G39" s="19"/>
      <c r="H39" s="18"/>
      <c r="I39" s="18"/>
      <c r="J39" s="9" t="s">
        <v>68</v>
      </c>
      <c r="K39" s="20"/>
      <c r="L39" s="20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7">
        <f t="shared" si="2"/>
        <v>0</v>
      </c>
      <c r="AR39" s="16">
        <f t="shared" si="12"/>
        <v>0</v>
      </c>
      <c r="AS39" s="15"/>
      <c r="AT39" s="15"/>
      <c r="AU39" s="92">
        <f t="shared" si="3"/>
        <v>0</v>
      </c>
      <c r="AV39" s="92">
        <f t="shared" si="4"/>
        <v>0</v>
      </c>
      <c r="AW39" s="92">
        <f t="shared" si="5"/>
        <v>0</v>
      </c>
      <c r="AX39" s="92">
        <f t="shared" si="6"/>
        <v>0</v>
      </c>
      <c r="AY39" s="92">
        <f t="shared" si="13"/>
        <v>0</v>
      </c>
      <c r="AZ39" s="92">
        <f t="shared" si="13"/>
        <v>0</v>
      </c>
      <c r="BA39" s="95">
        <f t="shared" si="14"/>
        <v>0</v>
      </c>
      <c r="BB39" s="75"/>
      <c r="BC39"/>
    </row>
    <row r="40" spans="1:55" ht="15" hidden="1" customHeight="1" x14ac:dyDescent="0.3">
      <c r="A40" s="72" t="s">
        <v>43</v>
      </c>
      <c r="B40" s="111"/>
      <c r="C40" s="111">
        <v>51</v>
      </c>
      <c r="D40" s="121">
        <f t="shared" si="16"/>
        <v>0</v>
      </c>
      <c r="E40" s="15">
        <f t="shared" si="15"/>
        <v>0</v>
      </c>
      <c r="F40" s="19"/>
      <c r="G40" s="19"/>
      <c r="H40" s="18"/>
      <c r="I40" s="18"/>
      <c r="J40" s="9" t="s">
        <v>68</v>
      </c>
      <c r="K40" s="20"/>
      <c r="L40" s="20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7">
        <f t="shared" si="2"/>
        <v>0</v>
      </c>
      <c r="AR40" s="16">
        <f t="shared" si="12"/>
        <v>0</v>
      </c>
      <c r="AS40" s="15"/>
      <c r="AT40" s="15"/>
      <c r="AU40" s="92">
        <f t="shared" si="3"/>
        <v>0</v>
      </c>
      <c r="AV40" s="92">
        <f t="shared" si="4"/>
        <v>0</v>
      </c>
      <c r="AW40" s="92">
        <f t="shared" si="5"/>
        <v>0</v>
      </c>
      <c r="AX40" s="92">
        <f t="shared" si="6"/>
        <v>0</v>
      </c>
      <c r="AY40" s="92">
        <f t="shared" si="13"/>
        <v>0</v>
      </c>
      <c r="AZ40" s="92">
        <f t="shared" si="13"/>
        <v>0</v>
      </c>
      <c r="BA40" s="95">
        <f t="shared" si="14"/>
        <v>0</v>
      </c>
      <c r="BB40" s="75"/>
      <c r="BC40"/>
    </row>
    <row r="41" spans="1:55" ht="15" hidden="1" customHeight="1" thickBot="1" x14ac:dyDescent="0.3">
      <c r="A41" s="100" t="s">
        <v>44</v>
      </c>
      <c r="B41" s="116"/>
      <c r="C41" s="116">
        <v>52</v>
      </c>
      <c r="D41" s="121">
        <f t="shared" si="16"/>
        <v>0</v>
      </c>
      <c r="E41" s="15">
        <f t="shared" si="15"/>
        <v>0</v>
      </c>
      <c r="F41" s="91"/>
      <c r="G41" s="91"/>
      <c r="H41" s="92"/>
      <c r="I41" s="92"/>
      <c r="J41" s="101" t="s">
        <v>68</v>
      </c>
      <c r="K41" s="94"/>
      <c r="L41" s="94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7">
        <f t="shared" si="2"/>
        <v>0</v>
      </c>
      <c r="AR41" s="16">
        <f t="shared" si="12"/>
        <v>0</v>
      </c>
      <c r="AS41" s="16"/>
      <c r="AT41" s="16"/>
      <c r="AU41" s="92">
        <f t="shared" si="3"/>
        <v>0</v>
      </c>
      <c r="AV41" s="92">
        <f t="shared" si="4"/>
        <v>0</v>
      </c>
      <c r="AW41" s="92">
        <f t="shared" si="5"/>
        <v>0</v>
      </c>
      <c r="AX41" s="92">
        <f t="shared" si="6"/>
        <v>0</v>
      </c>
      <c r="AY41" s="92">
        <f t="shared" si="13"/>
        <v>0</v>
      </c>
      <c r="AZ41" s="92">
        <f t="shared" si="13"/>
        <v>0</v>
      </c>
      <c r="BA41" s="95">
        <f t="shared" si="14"/>
        <v>0</v>
      </c>
      <c r="BB41" s="96"/>
      <c r="BC41"/>
    </row>
    <row r="42" spans="1:55" ht="15" customHeight="1" thickBot="1" x14ac:dyDescent="0.3">
      <c r="A42" s="102" t="s">
        <v>81</v>
      </c>
      <c r="B42" s="124"/>
      <c r="C42" s="87"/>
      <c r="D42" s="132">
        <f>SUM(D43:D45)</f>
        <v>0</v>
      </c>
      <c r="E42" s="129">
        <f>SUM(E43:E45)</f>
        <v>0</v>
      </c>
      <c r="F42" s="129">
        <f>SUM(F43:F45)</f>
        <v>0</v>
      </c>
      <c r="G42" s="129"/>
      <c r="H42" s="131">
        <f>SUM(H43:H45)</f>
        <v>0</v>
      </c>
      <c r="I42" s="131">
        <f>SUM(I43:I45)</f>
        <v>0</v>
      </c>
      <c r="J42" s="88"/>
      <c r="K42" s="130"/>
      <c r="L42" s="130"/>
      <c r="M42" s="129">
        <f>SUM(M43:M45)</f>
        <v>0</v>
      </c>
      <c r="N42" s="129">
        <f t="shared" ref="N42:AP42" si="17">SUM(N43:N45)</f>
        <v>0</v>
      </c>
      <c r="O42" s="129">
        <f t="shared" si="17"/>
        <v>0</v>
      </c>
      <c r="P42" s="129">
        <f t="shared" si="17"/>
        <v>0</v>
      </c>
      <c r="Q42" s="129">
        <f t="shared" si="17"/>
        <v>0</v>
      </c>
      <c r="R42" s="129">
        <f t="shared" si="17"/>
        <v>0</v>
      </c>
      <c r="S42" s="129">
        <f t="shared" si="17"/>
        <v>0</v>
      </c>
      <c r="T42" s="129">
        <f t="shared" si="17"/>
        <v>0</v>
      </c>
      <c r="U42" s="129">
        <f t="shared" si="17"/>
        <v>0</v>
      </c>
      <c r="V42" s="129">
        <f t="shared" si="17"/>
        <v>0</v>
      </c>
      <c r="W42" s="129">
        <f t="shared" si="17"/>
        <v>0</v>
      </c>
      <c r="X42" s="129">
        <f t="shared" si="17"/>
        <v>0</v>
      </c>
      <c r="Y42" s="129">
        <f t="shared" si="17"/>
        <v>0</v>
      </c>
      <c r="Z42" s="129">
        <f t="shared" si="17"/>
        <v>0</v>
      </c>
      <c r="AA42" s="129">
        <f t="shared" si="17"/>
        <v>0</v>
      </c>
      <c r="AB42" s="129">
        <f t="shared" si="17"/>
        <v>0</v>
      </c>
      <c r="AC42" s="129">
        <f t="shared" si="17"/>
        <v>0</v>
      </c>
      <c r="AD42" s="129">
        <f t="shared" si="17"/>
        <v>0</v>
      </c>
      <c r="AE42" s="129">
        <f t="shared" si="17"/>
        <v>0</v>
      </c>
      <c r="AF42" s="129">
        <f t="shared" si="17"/>
        <v>0</v>
      </c>
      <c r="AG42" s="129">
        <f t="shared" si="17"/>
        <v>0</v>
      </c>
      <c r="AH42" s="129">
        <f t="shared" si="17"/>
        <v>0</v>
      </c>
      <c r="AI42" s="129">
        <f t="shared" si="17"/>
        <v>0</v>
      </c>
      <c r="AJ42" s="129">
        <f t="shared" si="17"/>
        <v>0</v>
      </c>
      <c r="AK42" s="129">
        <f t="shared" si="17"/>
        <v>0</v>
      </c>
      <c r="AL42" s="129">
        <f t="shared" si="17"/>
        <v>0</v>
      </c>
      <c r="AM42" s="129">
        <f t="shared" si="17"/>
        <v>0</v>
      </c>
      <c r="AN42" s="129">
        <f t="shared" si="17"/>
        <v>0</v>
      </c>
      <c r="AO42" s="129">
        <f t="shared" si="17"/>
        <v>0</v>
      </c>
      <c r="AP42" s="129">
        <f t="shared" si="17"/>
        <v>0</v>
      </c>
      <c r="AQ42" s="129">
        <f t="shared" si="2"/>
        <v>0</v>
      </c>
      <c r="AR42" s="129">
        <f t="shared" si="12"/>
        <v>0</v>
      </c>
      <c r="AS42" s="129"/>
      <c r="AT42" s="129">
        <f>SUM(AT43:AT45)</f>
        <v>0</v>
      </c>
      <c r="AU42" s="131">
        <f t="shared" si="3"/>
        <v>0</v>
      </c>
      <c r="AV42" s="131">
        <f t="shared" si="4"/>
        <v>0</v>
      </c>
      <c r="AW42" s="131">
        <f t="shared" si="5"/>
        <v>0</v>
      </c>
      <c r="AX42" s="131">
        <f t="shared" si="6"/>
        <v>0</v>
      </c>
      <c r="AY42" s="131">
        <f t="shared" si="13"/>
        <v>0</v>
      </c>
      <c r="AZ42" s="131">
        <f t="shared" si="13"/>
        <v>0</v>
      </c>
      <c r="BA42" s="129">
        <f t="shared" si="14"/>
        <v>0</v>
      </c>
      <c r="BB42" s="99"/>
      <c r="BC42"/>
    </row>
    <row r="43" spans="1:55" ht="15" customHeight="1" x14ac:dyDescent="0.25">
      <c r="A43" s="97" t="s">
        <v>66</v>
      </c>
      <c r="B43" s="123" t="s">
        <v>139</v>
      </c>
      <c r="C43" s="115">
        <v>25</v>
      </c>
      <c r="D43" s="121">
        <f>AT43*AU43*AW43</f>
        <v>0</v>
      </c>
      <c r="E43" s="17">
        <f>ROUND(AT43*AV43*AX43,4)</f>
        <v>0</v>
      </c>
      <c r="F43" s="81"/>
      <c r="G43" s="81"/>
      <c r="H43" s="82"/>
      <c r="I43" s="82"/>
      <c r="J43" s="14" t="s">
        <v>55</v>
      </c>
      <c r="K43" s="84"/>
      <c r="L43" s="84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>
        <f t="shared" si="2"/>
        <v>0</v>
      </c>
      <c r="AR43" s="16">
        <f t="shared" si="12"/>
        <v>0</v>
      </c>
      <c r="AS43" s="16"/>
      <c r="AT43" s="16"/>
      <c r="AU43" s="82">
        <f t="shared" si="3"/>
        <v>0</v>
      </c>
      <c r="AV43" s="82">
        <f t="shared" si="4"/>
        <v>0</v>
      </c>
      <c r="AW43" s="82">
        <f t="shared" si="5"/>
        <v>0</v>
      </c>
      <c r="AX43" s="82">
        <f t="shared" si="6"/>
        <v>0</v>
      </c>
      <c r="AY43" s="92">
        <f t="shared" si="13"/>
        <v>0</v>
      </c>
      <c r="AZ43" s="92">
        <f t="shared" si="13"/>
        <v>0</v>
      </c>
      <c r="BA43" s="95">
        <f t="shared" si="14"/>
        <v>0</v>
      </c>
      <c r="BB43" s="86"/>
      <c r="BC43"/>
    </row>
    <row r="44" spans="1:55" ht="15" hidden="1" customHeight="1" x14ac:dyDescent="0.25">
      <c r="A44" s="72" t="s">
        <v>67</v>
      </c>
      <c r="B44" s="123"/>
      <c r="C44" s="111">
        <v>31</v>
      </c>
      <c r="D44" s="121">
        <f>AT44*AU44*AW44</f>
        <v>0</v>
      </c>
      <c r="E44" s="15">
        <f t="shared" si="15"/>
        <v>0</v>
      </c>
      <c r="F44" s="19"/>
      <c r="G44" s="19"/>
      <c r="H44" s="18"/>
      <c r="I44" s="18"/>
      <c r="J44" s="7" t="s">
        <v>55</v>
      </c>
      <c r="K44" s="20"/>
      <c r="L44" s="20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7">
        <f t="shared" si="2"/>
        <v>0</v>
      </c>
      <c r="AR44" s="16">
        <f t="shared" si="12"/>
        <v>0</v>
      </c>
      <c r="AS44" s="15"/>
      <c r="AT44" s="15"/>
      <c r="AU44" s="82">
        <f t="shared" si="3"/>
        <v>0</v>
      </c>
      <c r="AV44" s="82">
        <f t="shared" si="4"/>
        <v>0</v>
      </c>
      <c r="AW44" s="82">
        <f t="shared" si="5"/>
        <v>0</v>
      </c>
      <c r="AX44" s="82">
        <f t="shared" si="6"/>
        <v>0</v>
      </c>
      <c r="AY44" s="92">
        <f t="shared" si="13"/>
        <v>0</v>
      </c>
      <c r="AZ44" s="92">
        <f t="shared" si="13"/>
        <v>0</v>
      </c>
      <c r="BA44" s="95">
        <f t="shared" si="14"/>
        <v>0</v>
      </c>
      <c r="BB44" s="75"/>
      <c r="BC44"/>
    </row>
    <row r="45" spans="1:55" ht="15" customHeight="1" thickBot="1" x14ac:dyDescent="0.3">
      <c r="A45" s="103" t="s">
        <v>67</v>
      </c>
      <c r="B45" s="123" t="s">
        <v>140</v>
      </c>
      <c r="C45" s="114">
        <v>38</v>
      </c>
      <c r="D45" s="121">
        <f>AT45*AU45*AW45</f>
        <v>0</v>
      </c>
      <c r="E45" s="16">
        <f>ROUND(AT45*AV45*AX45,4)</f>
        <v>0</v>
      </c>
      <c r="F45" s="91"/>
      <c r="G45" s="91"/>
      <c r="H45" s="92"/>
      <c r="I45" s="92"/>
      <c r="J45" s="13" t="s">
        <v>55</v>
      </c>
      <c r="K45" s="94"/>
      <c r="L45" s="94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7">
        <f t="shared" si="2"/>
        <v>0</v>
      </c>
      <c r="AR45" s="16">
        <f t="shared" si="12"/>
        <v>0</v>
      </c>
      <c r="AS45" s="16"/>
      <c r="AT45" s="16"/>
      <c r="AU45" s="82">
        <f t="shared" si="3"/>
        <v>0</v>
      </c>
      <c r="AV45" s="82">
        <f t="shared" si="4"/>
        <v>0</v>
      </c>
      <c r="AW45" s="82">
        <f t="shared" si="5"/>
        <v>0</v>
      </c>
      <c r="AX45" s="82">
        <f t="shared" si="6"/>
        <v>0</v>
      </c>
      <c r="AY45" s="92">
        <f t="shared" si="13"/>
        <v>0</v>
      </c>
      <c r="AZ45" s="92">
        <f t="shared" si="13"/>
        <v>0</v>
      </c>
      <c r="BA45" s="95">
        <f t="shared" si="14"/>
        <v>0</v>
      </c>
      <c r="BB45" s="96"/>
      <c r="BC45"/>
    </row>
    <row r="46" spans="1:55" ht="15" customHeight="1" thickBot="1" x14ac:dyDescent="0.3">
      <c r="A46" s="102" t="s">
        <v>82</v>
      </c>
      <c r="B46" s="124"/>
      <c r="C46" s="87"/>
      <c r="D46" s="132">
        <f>SUM(D47:D51)</f>
        <v>0</v>
      </c>
      <c r="E46" s="129">
        <f>SUM(E47:E51)</f>
        <v>0</v>
      </c>
      <c r="F46" s="129">
        <f>SUM(F47:F51)</f>
        <v>0</v>
      </c>
      <c r="G46" s="129"/>
      <c r="H46" s="131">
        <f>SUM(H47:H51)</f>
        <v>0</v>
      </c>
      <c r="I46" s="131">
        <f>SUM(I47:I51)</f>
        <v>0</v>
      </c>
      <c r="J46" s="88"/>
      <c r="K46" s="130"/>
      <c r="L46" s="130"/>
      <c r="M46" s="129">
        <f>SUM(M47:M51)</f>
        <v>0</v>
      </c>
      <c r="N46" s="129">
        <f t="shared" ref="N46:AP46" si="18">SUM(N47:N51)</f>
        <v>0</v>
      </c>
      <c r="O46" s="129">
        <f t="shared" si="18"/>
        <v>0</v>
      </c>
      <c r="P46" s="129">
        <f t="shared" si="18"/>
        <v>0</v>
      </c>
      <c r="Q46" s="129">
        <f t="shared" si="18"/>
        <v>0</v>
      </c>
      <c r="R46" s="129">
        <f t="shared" si="18"/>
        <v>0</v>
      </c>
      <c r="S46" s="129">
        <f t="shared" si="18"/>
        <v>0</v>
      </c>
      <c r="T46" s="129">
        <f t="shared" si="18"/>
        <v>0</v>
      </c>
      <c r="U46" s="129">
        <f t="shared" si="18"/>
        <v>0</v>
      </c>
      <c r="V46" s="129">
        <f t="shared" si="18"/>
        <v>0</v>
      </c>
      <c r="W46" s="129">
        <f t="shared" si="18"/>
        <v>0</v>
      </c>
      <c r="X46" s="129">
        <f t="shared" si="18"/>
        <v>0</v>
      </c>
      <c r="Y46" s="129">
        <f t="shared" si="18"/>
        <v>0</v>
      </c>
      <c r="Z46" s="129">
        <f t="shared" si="18"/>
        <v>0</v>
      </c>
      <c r="AA46" s="129">
        <f t="shared" si="18"/>
        <v>0</v>
      </c>
      <c r="AB46" s="129">
        <f t="shared" si="18"/>
        <v>0</v>
      </c>
      <c r="AC46" s="129">
        <f t="shared" si="18"/>
        <v>0</v>
      </c>
      <c r="AD46" s="129">
        <f t="shared" si="18"/>
        <v>0</v>
      </c>
      <c r="AE46" s="129">
        <f t="shared" si="18"/>
        <v>0</v>
      </c>
      <c r="AF46" s="129">
        <f t="shared" si="18"/>
        <v>0</v>
      </c>
      <c r="AG46" s="129">
        <f t="shared" si="18"/>
        <v>0</v>
      </c>
      <c r="AH46" s="129">
        <f t="shared" si="18"/>
        <v>0</v>
      </c>
      <c r="AI46" s="129">
        <f t="shared" si="18"/>
        <v>0</v>
      </c>
      <c r="AJ46" s="129">
        <f t="shared" si="18"/>
        <v>0</v>
      </c>
      <c r="AK46" s="129">
        <f t="shared" si="18"/>
        <v>0</v>
      </c>
      <c r="AL46" s="129">
        <f t="shared" si="18"/>
        <v>0</v>
      </c>
      <c r="AM46" s="129">
        <f t="shared" si="18"/>
        <v>0</v>
      </c>
      <c r="AN46" s="129">
        <f t="shared" si="18"/>
        <v>0</v>
      </c>
      <c r="AO46" s="129">
        <f t="shared" si="18"/>
        <v>0</v>
      </c>
      <c r="AP46" s="129">
        <f t="shared" si="18"/>
        <v>0</v>
      </c>
      <c r="AQ46" s="129">
        <f t="shared" si="2"/>
        <v>0</v>
      </c>
      <c r="AR46" s="129">
        <f t="shared" si="12"/>
        <v>0</v>
      </c>
      <c r="AS46" s="129"/>
      <c r="AT46" s="129">
        <f>SUM(AT47:AT51)</f>
        <v>0</v>
      </c>
      <c r="AU46" s="131">
        <f t="shared" si="3"/>
        <v>0</v>
      </c>
      <c r="AV46" s="131">
        <f t="shared" si="4"/>
        <v>0</v>
      </c>
      <c r="AW46" s="131">
        <f t="shared" si="5"/>
        <v>0</v>
      </c>
      <c r="AX46" s="131">
        <f t="shared" si="6"/>
        <v>0</v>
      </c>
      <c r="AY46" s="131">
        <f t="shared" si="13"/>
        <v>0</v>
      </c>
      <c r="AZ46" s="131">
        <f t="shared" si="13"/>
        <v>0</v>
      </c>
      <c r="BA46" s="129">
        <f t="shared" si="14"/>
        <v>0</v>
      </c>
      <c r="BB46" s="99"/>
      <c r="BC46"/>
    </row>
    <row r="47" spans="1:55" ht="15" customHeight="1" x14ac:dyDescent="0.25">
      <c r="A47" s="97" t="s">
        <v>46</v>
      </c>
      <c r="B47" s="123" t="s">
        <v>141</v>
      </c>
      <c r="C47" s="115">
        <v>28</v>
      </c>
      <c r="D47" s="121">
        <f>AT47*AU47*AW47</f>
        <v>0</v>
      </c>
      <c r="E47" s="17">
        <f>ROUND(AT47*AV47*AX47,4)</f>
        <v>0</v>
      </c>
      <c r="F47" s="81"/>
      <c r="G47" s="81"/>
      <c r="H47" s="82"/>
      <c r="I47" s="82"/>
      <c r="J47" s="14" t="s">
        <v>55</v>
      </c>
      <c r="K47" s="84"/>
      <c r="L47" s="84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>
        <f t="shared" si="2"/>
        <v>0</v>
      </c>
      <c r="AR47" s="16">
        <f t="shared" si="12"/>
        <v>0</v>
      </c>
      <c r="AS47" s="16"/>
      <c r="AT47" s="16"/>
      <c r="AU47" s="82">
        <f t="shared" si="3"/>
        <v>0</v>
      </c>
      <c r="AV47" s="82">
        <f t="shared" si="4"/>
        <v>0</v>
      </c>
      <c r="AW47" s="82">
        <f t="shared" si="5"/>
        <v>0</v>
      </c>
      <c r="AX47" s="82">
        <f t="shared" si="6"/>
        <v>0</v>
      </c>
      <c r="AY47" s="92">
        <f t="shared" si="13"/>
        <v>0</v>
      </c>
      <c r="AZ47" s="92">
        <f t="shared" si="13"/>
        <v>0</v>
      </c>
      <c r="BA47" s="95">
        <f t="shared" si="14"/>
        <v>0</v>
      </c>
      <c r="BB47" s="86"/>
      <c r="BC47"/>
    </row>
    <row r="48" spans="1:55" ht="15" customHeight="1" thickBot="1" x14ac:dyDescent="0.3">
      <c r="A48" s="71" t="s">
        <v>45</v>
      </c>
      <c r="B48" s="123" t="s">
        <v>142</v>
      </c>
      <c r="C48" s="112">
        <v>33</v>
      </c>
      <c r="D48" s="121">
        <f>AT48*AU48*AW48</f>
        <v>0</v>
      </c>
      <c r="E48" s="17">
        <f>ROUND(AT48*AV48*AX48,4)</f>
        <v>0</v>
      </c>
      <c r="F48" s="19"/>
      <c r="G48" s="19"/>
      <c r="H48" s="18"/>
      <c r="I48" s="18"/>
      <c r="J48" s="7" t="s">
        <v>55</v>
      </c>
      <c r="K48" s="20"/>
      <c r="L48" s="20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7">
        <f t="shared" si="2"/>
        <v>0</v>
      </c>
      <c r="AR48" s="16">
        <f t="shared" si="12"/>
        <v>0</v>
      </c>
      <c r="AS48" s="16"/>
      <c r="AT48" s="16"/>
      <c r="AU48" s="82">
        <f t="shared" si="3"/>
        <v>0</v>
      </c>
      <c r="AV48" s="82">
        <f t="shared" si="4"/>
        <v>0</v>
      </c>
      <c r="AW48" s="82">
        <f t="shared" si="5"/>
        <v>0</v>
      </c>
      <c r="AX48" s="82">
        <f t="shared" si="6"/>
        <v>0</v>
      </c>
      <c r="AY48" s="92">
        <f t="shared" si="13"/>
        <v>0</v>
      </c>
      <c r="AZ48" s="92">
        <f t="shared" si="13"/>
        <v>0</v>
      </c>
      <c r="BA48" s="95">
        <f t="shared" si="14"/>
        <v>0</v>
      </c>
      <c r="BB48" s="75"/>
      <c r="BC48"/>
    </row>
    <row r="49" spans="1:55" ht="15" hidden="1" customHeight="1" x14ac:dyDescent="0.3">
      <c r="A49" s="72" t="s">
        <v>48</v>
      </c>
      <c r="B49" s="111"/>
      <c r="C49" s="111">
        <v>35</v>
      </c>
      <c r="D49" s="120">
        <f t="shared" ref="D49:D51" si="19">AS49*AW49*AU49</f>
        <v>0</v>
      </c>
      <c r="E49" s="15">
        <f t="shared" si="15"/>
        <v>0</v>
      </c>
      <c r="F49" s="19"/>
      <c r="G49" s="19"/>
      <c r="H49" s="18"/>
      <c r="I49" s="18"/>
      <c r="J49" s="7" t="s">
        <v>55</v>
      </c>
      <c r="K49" s="20"/>
      <c r="L49" s="20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7">
        <f t="shared" si="2"/>
        <v>0</v>
      </c>
      <c r="AR49" s="16">
        <f t="shared" si="12"/>
        <v>0</v>
      </c>
      <c r="AS49" s="15"/>
      <c r="AT49" s="15"/>
      <c r="AU49" s="92">
        <f t="shared" si="3"/>
        <v>0</v>
      </c>
      <c r="AV49" s="92">
        <f t="shared" si="4"/>
        <v>0</v>
      </c>
      <c r="AW49" s="92">
        <f t="shared" si="5"/>
        <v>0</v>
      </c>
      <c r="AX49" s="92">
        <f t="shared" si="6"/>
        <v>0</v>
      </c>
      <c r="AY49" s="92">
        <f t="shared" si="13"/>
        <v>0</v>
      </c>
      <c r="AZ49" s="92">
        <f t="shared" si="13"/>
        <v>0</v>
      </c>
      <c r="BA49" s="95">
        <f t="shared" si="14"/>
        <v>0</v>
      </c>
      <c r="BB49" s="75"/>
      <c r="BC49"/>
    </row>
    <row r="50" spans="1:55" ht="15" hidden="1" customHeight="1" x14ac:dyDescent="0.3">
      <c r="A50" s="72" t="s">
        <v>47</v>
      </c>
      <c r="B50" s="111"/>
      <c r="C50" s="111">
        <v>36</v>
      </c>
      <c r="D50" s="120">
        <f t="shared" si="19"/>
        <v>0</v>
      </c>
      <c r="E50" s="15">
        <f t="shared" si="15"/>
        <v>0</v>
      </c>
      <c r="F50" s="19"/>
      <c r="G50" s="19"/>
      <c r="H50" s="18"/>
      <c r="I50" s="18"/>
      <c r="J50" s="7" t="s">
        <v>55</v>
      </c>
      <c r="K50" s="20"/>
      <c r="L50" s="20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7">
        <f t="shared" si="2"/>
        <v>0</v>
      </c>
      <c r="AR50" s="16">
        <f t="shared" si="12"/>
        <v>0</v>
      </c>
      <c r="AS50" s="15"/>
      <c r="AT50" s="15"/>
      <c r="AU50" s="92">
        <f t="shared" si="3"/>
        <v>0</v>
      </c>
      <c r="AV50" s="92">
        <f t="shared" si="4"/>
        <v>0</v>
      </c>
      <c r="AW50" s="92">
        <f t="shared" si="5"/>
        <v>0</v>
      </c>
      <c r="AX50" s="92">
        <f t="shared" si="6"/>
        <v>0</v>
      </c>
      <c r="AY50" s="92">
        <f t="shared" si="13"/>
        <v>0</v>
      </c>
      <c r="AZ50" s="92">
        <f t="shared" si="13"/>
        <v>0</v>
      </c>
      <c r="BA50" s="95">
        <f t="shared" si="14"/>
        <v>0</v>
      </c>
      <c r="BB50" s="75"/>
      <c r="BC50"/>
    </row>
    <row r="51" spans="1:55" ht="15" hidden="1" customHeight="1" thickBot="1" x14ac:dyDescent="0.3">
      <c r="A51" s="100" t="s">
        <v>64</v>
      </c>
      <c r="B51" s="116"/>
      <c r="C51" s="116">
        <v>37</v>
      </c>
      <c r="D51" s="121">
        <f t="shared" si="19"/>
        <v>0</v>
      </c>
      <c r="E51" s="16">
        <f t="shared" si="15"/>
        <v>0</v>
      </c>
      <c r="F51" s="91"/>
      <c r="G51" s="91"/>
      <c r="H51" s="92"/>
      <c r="I51" s="92"/>
      <c r="J51" s="13" t="s">
        <v>55</v>
      </c>
      <c r="K51" s="94"/>
      <c r="L51" s="94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7">
        <f t="shared" si="2"/>
        <v>0</v>
      </c>
      <c r="AR51" s="16">
        <f t="shared" si="12"/>
        <v>0</v>
      </c>
      <c r="AS51" s="16"/>
      <c r="AT51" s="16"/>
      <c r="AU51" s="92">
        <f t="shared" si="3"/>
        <v>0</v>
      </c>
      <c r="AV51" s="92">
        <f t="shared" si="4"/>
        <v>0</v>
      </c>
      <c r="AW51" s="92">
        <f t="shared" si="5"/>
        <v>0</v>
      </c>
      <c r="AX51" s="92">
        <f t="shared" si="6"/>
        <v>0</v>
      </c>
      <c r="AY51" s="92">
        <f t="shared" si="13"/>
        <v>0</v>
      </c>
      <c r="AZ51" s="92">
        <f t="shared" si="13"/>
        <v>0</v>
      </c>
      <c r="BA51" s="95">
        <f t="shared" si="14"/>
        <v>0</v>
      </c>
      <c r="BB51" s="96"/>
      <c r="BC51"/>
    </row>
    <row r="52" spans="1:55" ht="15" customHeight="1" thickBot="1" x14ac:dyDescent="0.3">
      <c r="A52" s="102" t="s">
        <v>49</v>
      </c>
      <c r="B52" s="124"/>
      <c r="C52" s="87"/>
      <c r="D52" s="132">
        <f>SUM(D53:D54)</f>
        <v>0</v>
      </c>
      <c r="E52" s="129">
        <f>SUM(E53:E54)</f>
        <v>0</v>
      </c>
      <c r="F52" s="129">
        <f>SUM(F53:F54)</f>
        <v>0</v>
      </c>
      <c r="G52" s="129"/>
      <c r="H52" s="131">
        <f>SUM(H53:H54)</f>
        <v>0</v>
      </c>
      <c r="I52" s="131">
        <f>SUM(I53:I54)</f>
        <v>0</v>
      </c>
      <c r="J52" s="88"/>
      <c r="K52" s="130"/>
      <c r="L52" s="130"/>
      <c r="M52" s="129">
        <f>SUM(M53:M54)</f>
        <v>0</v>
      </c>
      <c r="N52" s="129">
        <f t="shared" ref="N52:AP52" si="20">SUM(N53:N54)</f>
        <v>0</v>
      </c>
      <c r="O52" s="129">
        <f t="shared" si="20"/>
        <v>0</v>
      </c>
      <c r="P52" s="129">
        <f t="shared" si="20"/>
        <v>0</v>
      </c>
      <c r="Q52" s="129">
        <f t="shared" si="20"/>
        <v>0</v>
      </c>
      <c r="R52" s="129">
        <f t="shared" si="20"/>
        <v>0</v>
      </c>
      <c r="S52" s="129">
        <f t="shared" si="20"/>
        <v>0</v>
      </c>
      <c r="T52" s="129">
        <f t="shared" si="20"/>
        <v>0</v>
      </c>
      <c r="U52" s="129">
        <f t="shared" si="20"/>
        <v>0</v>
      </c>
      <c r="V52" s="129">
        <f t="shared" si="20"/>
        <v>0</v>
      </c>
      <c r="W52" s="129">
        <f t="shared" si="20"/>
        <v>0</v>
      </c>
      <c r="X52" s="129">
        <f t="shared" si="20"/>
        <v>0</v>
      </c>
      <c r="Y52" s="129">
        <f t="shared" si="20"/>
        <v>0</v>
      </c>
      <c r="Z52" s="129">
        <f t="shared" si="20"/>
        <v>0</v>
      </c>
      <c r="AA52" s="129">
        <f t="shared" si="20"/>
        <v>0</v>
      </c>
      <c r="AB52" s="129">
        <f t="shared" si="20"/>
        <v>0</v>
      </c>
      <c r="AC52" s="129">
        <f t="shared" si="20"/>
        <v>0</v>
      </c>
      <c r="AD52" s="129">
        <f t="shared" si="20"/>
        <v>0</v>
      </c>
      <c r="AE52" s="129">
        <f t="shared" si="20"/>
        <v>0</v>
      </c>
      <c r="AF52" s="129">
        <f t="shared" si="20"/>
        <v>0</v>
      </c>
      <c r="AG52" s="129">
        <f t="shared" si="20"/>
        <v>0</v>
      </c>
      <c r="AH52" s="129">
        <f t="shared" si="20"/>
        <v>0</v>
      </c>
      <c r="AI52" s="129">
        <f t="shared" si="20"/>
        <v>0</v>
      </c>
      <c r="AJ52" s="129">
        <f t="shared" si="20"/>
        <v>0</v>
      </c>
      <c r="AK52" s="129">
        <f t="shared" si="20"/>
        <v>0</v>
      </c>
      <c r="AL52" s="129">
        <f t="shared" si="20"/>
        <v>0</v>
      </c>
      <c r="AM52" s="129">
        <f t="shared" si="20"/>
        <v>0</v>
      </c>
      <c r="AN52" s="129">
        <f t="shared" si="20"/>
        <v>0</v>
      </c>
      <c r="AO52" s="129">
        <f t="shared" si="20"/>
        <v>0</v>
      </c>
      <c r="AP52" s="129">
        <f t="shared" si="20"/>
        <v>0</v>
      </c>
      <c r="AQ52" s="129">
        <f t="shared" si="2"/>
        <v>0</v>
      </c>
      <c r="AR52" s="129">
        <f t="shared" si="12"/>
        <v>0</v>
      </c>
      <c r="AS52" s="129"/>
      <c r="AT52" s="129">
        <f>SUM(AT53:AT54)</f>
        <v>0</v>
      </c>
      <c r="AU52" s="131">
        <f t="shared" si="3"/>
        <v>0</v>
      </c>
      <c r="AV52" s="131">
        <f t="shared" si="4"/>
        <v>0</v>
      </c>
      <c r="AW52" s="131">
        <f t="shared" si="5"/>
        <v>0</v>
      </c>
      <c r="AX52" s="131">
        <f t="shared" si="6"/>
        <v>0</v>
      </c>
      <c r="AY52" s="131">
        <f t="shared" si="13"/>
        <v>0</v>
      </c>
      <c r="AZ52" s="131">
        <f t="shared" si="13"/>
        <v>0</v>
      </c>
      <c r="BA52" s="129">
        <f t="shared" si="14"/>
        <v>0</v>
      </c>
      <c r="BB52" s="99"/>
      <c r="BC52"/>
    </row>
    <row r="53" spans="1:55" ht="15" customHeight="1" x14ac:dyDescent="0.25">
      <c r="A53" s="97" t="s">
        <v>51</v>
      </c>
      <c r="B53" s="123" t="s">
        <v>143</v>
      </c>
      <c r="C53" s="115">
        <v>4</v>
      </c>
      <c r="D53" s="121">
        <f>AT53*AU53*AW53</f>
        <v>0</v>
      </c>
      <c r="E53" s="17">
        <f>ROUND(AT53*AV53*AX53,4)</f>
        <v>0</v>
      </c>
      <c r="F53" s="81"/>
      <c r="G53" s="81"/>
      <c r="H53" s="82"/>
      <c r="I53" s="82"/>
      <c r="J53" s="14" t="s">
        <v>83</v>
      </c>
      <c r="K53" s="84"/>
      <c r="L53" s="84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>
        <f t="shared" si="2"/>
        <v>0</v>
      </c>
      <c r="AR53" s="16">
        <f t="shared" si="12"/>
        <v>0</v>
      </c>
      <c r="AS53" s="16"/>
      <c r="AT53" s="16"/>
      <c r="AU53" s="82">
        <f t="shared" si="3"/>
        <v>0</v>
      </c>
      <c r="AV53" s="82">
        <f t="shared" si="4"/>
        <v>0</v>
      </c>
      <c r="AW53" s="82">
        <f t="shared" si="5"/>
        <v>0</v>
      </c>
      <c r="AX53" s="82">
        <f t="shared" si="6"/>
        <v>0</v>
      </c>
      <c r="AY53" s="92">
        <f t="shared" si="13"/>
        <v>0</v>
      </c>
      <c r="AZ53" s="92">
        <f t="shared" si="13"/>
        <v>0</v>
      </c>
      <c r="BA53" s="95">
        <f t="shared" si="14"/>
        <v>0</v>
      </c>
      <c r="BB53" s="86"/>
      <c r="BC53"/>
    </row>
    <row r="54" spans="1:55" ht="15" customHeight="1" thickBot="1" x14ac:dyDescent="0.3">
      <c r="A54" s="104" t="s">
        <v>50</v>
      </c>
      <c r="B54" s="123" t="s">
        <v>153</v>
      </c>
      <c r="C54" s="117">
        <v>5</v>
      </c>
      <c r="D54" s="121">
        <f>AT54*AU54*AW54</f>
        <v>0</v>
      </c>
      <c r="E54" s="17">
        <f>ROUND(AT54*AV54*AX54,4)</f>
        <v>0</v>
      </c>
      <c r="F54" s="91"/>
      <c r="G54" s="91"/>
      <c r="H54" s="92"/>
      <c r="I54" s="92"/>
      <c r="J54" s="13" t="s">
        <v>83</v>
      </c>
      <c r="K54" s="94"/>
      <c r="L54" s="94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7">
        <f t="shared" si="2"/>
        <v>0</v>
      </c>
      <c r="AR54" s="16">
        <f t="shared" si="12"/>
        <v>0</v>
      </c>
      <c r="AS54" s="16"/>
      <c r="AT54" s="16"/>
      <c r="AU54" s="82">
        <f t="shared" si="3"/>
        <v>0</v>
      </c>
      <c r="AV54" s="82">
        <f t="shared" si="4"/>
        <v>0</v>
      </c>
      <c r="AW54" s="82">
        <f t="shared" si="5"/>
        <v>0</v>
      </c>
      <c r="AX54" s="82">
        <f t="shared" si="6"/>
        <v>0</v>
      </c>
      <c r="AY54" s="92">
        <f t="shared" si="13"/>
        <v>0</v>
      </c>
      <c r="AZ54" s="92">
        <f t="shared" si="13"/>
        <v>0</v>
      </c>
      <c r="BA54" s="95">
        <f t="shared" si="14"/>
        <v>0</v>
      </c>
      <c r="BB54" s="96"/>
      <c r="BC54"/>
    </row>
    <row r="55" spans="1:55" ht="15" customHeight="1" thickBot="1" x14ac:dyDescent="0.3">
      <c r="A55" s="87" t="s">
        <v>52</v>
      </c>
      <c r="B55" s="124"/>
      <c r="C55" s="87"/>
      <c r="D55" s="132">
        <f>SUM(D56:D61)</f>
        <v>0</v>
      </c>
      <c r="E55" s="129">
        <f>SUM(E56:E61)</f>
        <v>0</v>
      </c>
      <c r="F55" s="129">
        <f>SUM(F56:F61)</f>
        <v>0</v>
      </c>
      <c r="G55" s="129"/>
      <c r="H55" s="131"/>
      <c r="I55" s="131"/>
      <c r="J55" s="88"/>
      <c r="K55" s="130"/>
      <c r="L55" s="130"/>
      <c r="M55" s="129">
        <f>SUM(M56:M61)</f>
        <v>0</v>
      </c>
      <c r="N55" s="129">
        <f t="shared" ref="N55:AP55" si="21">SUM(N56:N61)</f>
        <v>0</v>
      </c>
      <c r="O55" s="129">
        <f t="shared" si="21"/>
        <v>0</v>
      </c>
      <c r="P55" s="129">
        <f t="shared" si="21"/>
        <v>0</v>
      </c>
      <c r="Q55" s="129">
        <f t="shared" si="21"/>
        <v>0</v>
      </c>
      <c r="R55" s="129">
        <f t="shared" si="21"/>
        <v>0</v>
      </c>
      <c r="S55" s="129">
        <f t="shared" si="21"/>
        <v>0</v>
      </c>
      <c r="T55" s="129">
        <f t="shared" si="21"/>
        <v>0</v>
      </c>
      <c r="U55" s="129">
        <f t="shared" si="21"/>
        <v>0</v>
      </c>
      <c r="V55" s="129">
        <f t="shared" si="21"/>
        <v>0</v>
      </c>
      <c r="W55" s="129">
        <f t="shared" si="21"/>
        <v>0</v>
      </c>
      <c r="X55" s="129">
        <f t="shared" si="21"/>
        <v>0</v>
      </c>
      <c r="Y55" s="129">
        <f t="shared" si="21"/>
        <v>0</v>
      </c>
      <c r="Z55" s="129">
        <f t="shared" si="21"/>
        <v>0</v>
      </c>
      <c r="AA55" s="129">
        <f t="shared" si="21"/>
        <v>0</v>
      </c>
      <c r="AB55" s="129">
        <f t="shared" si="21"/>
        <v>0</v>
      </c>
      <c r="AC55" s="129">
        <f t="shared" si="21"/>
        <v>0</v>
      </c>
      <c r="AD55" s="129">
        <f t="shared" si="21"/>
        <v>0</v>
      </c>
      <c r="AE55" s="129">
        <f t="shared" si="21"/>
        <v>0</v>
      </c>
      <c r="AF55" s="129">
        <f t="shared" si="21"/>
        <v>0</v>
      </c>
      <c r="AG55" s="129">
        <f t="shared" si="21"/>
        <v>0</v>
      </c>
      <c r="AH55" s="129">
        <f t="shared" si="21"/>
        <v>0</v>
      </c>
      <c r="AI55" s="129">
        <f t="shared" si="21"/>
        <v>0</v>
      </c>
      <c r="AJ55" s="129">
        <f t="shared" si="21"/>
        <v>0</v>
      </c>
      <c r="AK55" s="129">
        <f t="shared" si="21"/>
        <v>0</v>
      </c>
      <c r="AL55" s="129">
        <f t="shared" si="21"/>
        <v>0</v>
      </c>
      <c r="AM55" s="129">
        <f t="shared" si="21"/>
        <v>0</v>
      </c>
      <c r="AN55" s="129">
        <f t="shared" si="21"/>
        <v>0</v>
      </c>
      <c r="AO55" s="129">
        <f t="shared" si="21"/>
        <v>0</v>
      </c>
      <c r="AP55" s="129">
        <f t="shared" si="21"/>
        <v>0</v>
      </c>
      <c r="AQ55" s="129">
        <f t="shared" si="2"/>
        <v>0</v>
      </c>
      <c r="AR55" s="129">
        <f t="shared" si="12"/>
        <v>0</v>
      </c>
      <c r="AS55" s="129"/>
      <c r="AT55" s="129">
        <f>SUM(AT56:AT61)</f>
        <v>0</v>
      </c>
      <c r="AU55" s="131">
        <f t="shared" si="3"/>
        <v>0</v>
      </c>
      <c r="AV55" s="131">
        <f t="shared" si="4"/>
        <v>0</v>
      </c>
      <c r="AW55" s="131">
        <f t="shared" si="5"/>
        <v>0</v>
      </c>
      <c r="AX55" s="131">
        <f t="shared" si="6"/>
        <v>0</v>
      </c>
      <c r="AY55" s="131">
        <f t="shared" si="13"/>
        <v>0</v>
      </c>
      <c r="AZ55" s="131">
        <f t="shared" si="13"/>
        <v>0</v>
      </c>
      <c r="BA55" s="129">
        <f t="shared" si="14"/>
        <v>0</v>
      </c>
      <c r="BB55" s="99"/>
      <c r="BC55"/>
    </row>
    <row r="56" spans="1:55" ht="15" customHeight="1" x14ac:dyDescent="0.25">
      <c r="A56" s="145" t="s">
        <v>53</v>
      </c>
      <c r="B56" s="147" t="s">
        <v>144</v>
      </c>
      <c r="C56" s="146">
        <v>15</v>
      </c>
      <c r="D56" s="121">
        <f>AT56*AU56*AW56</f>
        <v>0</v>
      </c>
      <c r="E56" s="17">
        <f>ROUND(AT56*AV56*AX56,4)</f>
        <v>0</v>
      </c>
      <c r="F56" s="81"/>
      <c r="G56" s="81"/>
      <c r="H56" s="82"/>
      <c r="I56" s="82"/>
      <c r="J56" s="14" t="s">
        <v>55</v>
      </c>
      <c r="K56" s="84"/>
      <c r="L56" s="84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>
        <f t="shared" si="2"/>
        <v>0</v>
      </c>
      <c r="AR56" s="16">
        <f t="shared" si="12"/>
        <v>0</v>
      </c>
      <c r="AS56" s="16"/>
      <c r="AT56" s="16"/>
      <c r="AU56" s="82">
        <f t="shared" si="3"/>
        <v>0</v>
      </c>
      <c r="AV56" s="82">
        <f t="shared" si="4"/>
        <v>0</v>
      </c>
      <c r="AW56" s="82">
        <f t="shared" si="5"/>
        <v>0</v>
      </c>
      <c r="AX56" s="82">
        <f t="shared" si="6"/>
        <v>0</v>
      </c>
      <c r="AY56" s="92">
        <f t="shared" si="13"/>
        <v>0</v>
      </c>
      <c r="AZ56" s="92">
        <f t="shared" si="13"/>
        <v>0</v>
      </c>
      <c r="BA56" s="95">
        <f t="shared" si="14"/>
        <v>0</v>
      </c>
      <c r="BB56" s="86"/>
      <c r="BC56"/>
    </row>
    <row r="57" spans="1:55" ht="15" customHeight="1" x14ac:dyDescent="0.25">
      <c r="A57" s="71" t="s">
        <v>54</v>
      </c>
      <c r="B57" s="123" t="s">
        <v>145</v>
      </c>
      <c r="C57" s="112">
        <v>16</v>
      </c>
      <c r="D57" s="121">
        <f>AT57*AU57*AW57</f>
        <v>0</v>
      </c>
      <c r="E57" s="17">
        <f t="shared" ref="E57:E61" si="22">ROUND(AT57*AV57*AX57,4)</f>
        <v>0</v>
      </c>
      <c r="F57" s="19"/>
      <c r="G57" s="19"/>
      <c r="H57" s="18"/>
      <c r="I57" s="18"/>
      <c r="J57" s="7" t="s">
        <v>55</v>
      </c>
      <c r="K57" s="20"/>
      <c r="L57" s="20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7">
        <f t="shared" si="2"/>
        <v>0</v>
      </c>
      <c r="AR57" s="16">
        <f t="shared" si="12"/>
        <v>0</v>
      </c>
      <c r="AS57" s="16"/>
      <c r="AT57" s="16"/>
      <c r="AU57" s="82">
        <f t="shared" si="3"/>
        <v>0</v>
      </c>
      <c r="AV57" s="82">
        <f t="shared" si="4"/>
        <v>0</v>
      </c>
      <c r="AW57" s="82">
        <f t="shared" si="5"/>
        <v>0</v>
      </c>
      <c r="AX57" s="82">
        <f t="shared" si="6"/>
        <v>0</v>
      </c>
      <c r="AY57" s="92">
        <f t="shared" si="13"/>
        <v>0</v>
      </c>
      <c r="AZ57" s="92">
        <f t="shared" si="13"/>
        <v>0</v>
      </c>
      <c r="BA57" s="95">
        <f t="shared" si="14"/>
        <v>0</v>
      </c>
      <c r="BB57" s="75"/>
      <c r="BC57"/>
    </row>
    <row r="58" spans="1:55" ht="15" customHeight="1" x14ac:dyDescent="0.25">
      <c r="A58" s="73" t="s">
        <v>124</v>
      </c>
      <c r="B58" s="123" t="s">
        <v>146</v>
      </c>
      <c r="C58" s="113">
        <v>26</v>
      </c>
      <c r="D58" s="121">
        <f>AT58*AU58*AW58</f>
        <v>0</v>
      </c>
      <c r="E58" s="17">
        <f t="shared" si="22"/>
        <v>0</v>
      </c>
      <c r="F58" s="19"/>
      <c r="G58" s="19"/>
      <c r="H58" s="18"/>
      <c r="I58" s="18"/>
      <c r="J58" s="7" t="s">
        <v>55</v>
      </c>
      <c r="K58" s="20"/>
      <c r="L58" s="20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7">
        <f t="shared" si="2"/>
        <v>0</v>
      </c>
      <c r="AR58" s="16">
        <f t="shared" si="12"/>
        <v>0</v>
      </c>
      <c r="AS58" s="16"/>
      <c r="AT58" s="16"/>
      <c r="AU58" s="82">
        <f t="shared" si="3"/>
        <v>0</v>
      </c>
      <c r="AV58" s="82">
        <f t="shared" si="4"/>
        <v>0</v>
      </c>
      <c r="AW58" s="82">
        <f t="shared" si="5"/>
        <v>0</v>
      </c>
      <c r="AX58" s="82">
        <f t="shared" si="6"/>
        <v>0</v>
      </c>
      <c r="AY58" s="92">
        <f t="shared" si="13"/>
        <v>0</v>
      </c>
      <c r="AZ58" s="92">
        <f t="shared" si="13"/>
        <v>0</v>
      </c>
      <c r="BA58" s="95">
        <f t="shared" si="14"/>
        <v>0</v>
      </c>
      <c r="BB58" s="75"/>
      <c r="BC58"/>
    </row>
    <row r="59" spans="1:55" ht="15" customHeight="1" x14ac:dyDescent="0.25">
      <c r="A59" s="73" t="s">
        <v>125</v>
      </c>
      <c r="B59" s="123" t="s">
        <v>147</v>
      </c>
      <c r="C59" s="112">
        <v>30</v>
      </c>
      <c r="D59" s="121">
        <f t="shared" ref="D59:D61" si="23">AT59*AU59*AW59</f>
        <v>0</v>
      </c>
      <c r="E59" s="17">
        <f t="shared" si="22"/>
        <v>0</v>
      </c>
      <c r="F59" s="19"/>
      <c r="G59" s="19"/>
      <c r="H59" s="18"/>
      <c r="I59" s="18"/>
      <c r="J59" s="7" t="s">
        <v>55</v>
      </c>
      <c r="K59" s="20"/>
      <c r="L59" s="20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7">
        <f t="shared" si="2"/>
        <v>0</v>
      </c>
      <c r="AR59" s="16">
        <f t="shared" si="12"/>
        <v>0</v>
      </c>
      <c r="AS59" s="16"/>
      <c r="AT59" s="16"/>
      <c r="AU59" s="82">
        <f t="shared" si="3"/>
        <v>0</v>
      </c>
      <c r="AV59" s="82">
        <f t="shared" si="4"/>
        <v>0</v>
      </c>
      <c r="AW59" s="82">
        <f t="shared" si="5"/>
        <v>0</v>
      </c>
      <c r="AX59" s="82">
        <f t="shared" si="6"/>
        <v>0</v>
      </c>
      <c r="AY59" s="92">
        <f t="shared" si="13"/>
        <v>0</v>
      </c>
      <c r="AZ59" s="92">
        <f t="shared" si="13"/>
        <v>0</v>
      </c>
      <c r="BA59" s="95">
        <f t="shared" si="14"/>
        <v>0</v>
      </c>
      <c r="BB59" s="75"/>
      <c r="BC59"/>
    </row>
    <row r="60" spans="1:55" ht="15" customHeight="1" x14ac:dyDescent="0.25">
      <c r="A60" s="73" t="s">
        <v>151</v>
      </c>
      <c r="B60" s="148" t="s">
        <v>150</v>
      </c>
      <c r="C60" s="112">
        <v>32</v>
      </c>
      <c r="D60" s="121">
        <f t="shared" si="23"/>
        <v>0</v>
      </c>
      <c r="E60" s="17">
        <f t="shared" si="22"/>
        <v>0</v>
      </c>
      <c r="F60" s="19"/>
      <c r="G60" s="19"/>
      <c r="H60" s="18"/>
      <c r="I60" s="18"/>
      <c r="J60" s="7" t="s">
        <v>55</v>
      </c>
      <c r="K60" s="20"/>
      <c r="L60" s="20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7">
        <f t="shared" si="2"/>
        <v>0</v>
      </c>
      <c r="AR60" s="16">
        <f t="shared" si="12"/>
        <v>0</v>
      </c>
      <c r="AS60" s="16"/>
      <c r="AT60" s="16"/>
      <c r="AU60" s="82">
        <f t="shared" si="3"/>
        <v>0</v>
      </c>
      <c r="AV60" s="82">
        <f t="shared" si="4"/>
        <v>0</v>
      </c>
      <c r="AW60" s="82">
        <f t="shared" si="5"/>
        <v>0</v>
      </c>
      <c r="AX60" s="82">
        <f t="shared" si="6"/>
        <v>0</v>
      </c>
      <c r="AY60" s="92">
        <f t="shared" si="13"/>
        <v>0</v>
      </c>
      <c r="AZ60" s="92">
        <f t="shared" si="13"/>
        <v>0</v>
      </c>
      <c r="BA60" s="95">
        <f t="shared" si="14"/>
        <v>0</v>
      </c>
      <c r="BB60" s="75"/>
      <c r="BC60"/>
    </row>
    <row r="61" spans="1:55" ht="15.75" thickBot="1" x14ac:dyDescent="0.3">
      <c r="A61" s="143" t="s">
        <v>152</v>
      </c>
      <c r="B61" s="125" t="s">
        <v>154</v>
      </c>
      <c r="C61" s="144">
        <v>24</v>
      </c>
      <c r="D61" s="122">
        <f t="shared" si="23"/>
        <v>0</v>
      </c>
      <c r="E61" s="149">
        <f t="shared" si="22"/>
        <v>0</v>
      </c>
      <c r="F61" s="64"/>
      <c r="G61" s="64"/>
      <c r="H61" s="65"/>
      <c r="I61" s="65"/>
      <c r="J61" s="66" t="s">
        <v>55</v>
      </c>
      <c r="K61" s="67"/>
      <c r="L61" s="67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149">
        <f t="shared" si="2"/>
        <v>0</v>
      </c>
      <c r="AR61" s="63">
        <f t="shared" si="12"/>
        <v>0</v>
      </c>
      <c r="AS61" s="63"/>
      <c r="AT61" s="63"/>
      <c r="AU61" s="150">
        <f t="shared" si="3"/>
        <v>0</v>
      </c>
      <c r="AV61" s="150">
        <f t="shared" si="4"/>
        <v>0</v>
      </c>
      <c r="AW61" s="150">
        <f t="shared" si="5"/>
        <v>0</v>
      </c>
      <c r="AX61" s="150">
        <f t="shared" si="6"/>
        <v>0</v>
      </c>
      <c r="AY61" s="65">
        <f t="shared" si="13"/>
        <v>0</v>
      </c>
      <c r="AZ61" s="65">
        <f t="shared" si="13"/>
        <v>0</v>
      </c>
      <c r="BA61" s="151">
        <f t="shared" si="14"/>
        <v>0</v>
      </c>
      <c r="BB61" s="76"/>
    </row>
    <row r="62" spans="1:55" x14ac:dyDescent="0.25">
      <c r="C62" s="2"/>
      <c r="D62" s="3"/>
      <c r="F62" s="2"/>
      <c r="G62" s="2"/>
      <c r="H62" s="1"/>
      <c r="I62" s="1"/>
      <c r="M62" s="5"/>
      <c r="O62" s="4"/>
      <c r="P62" s="5"/>
      <c r="Q62" s="5"/>
      <c r="U62" s="2"/>
      <c r="V62" s="2"/>
      <c r="W62" s="2"/>
      <c r="X62" s="2"/>
      <c r="Y62" s="1"/>
      <c r="Z62" s="1"/>
      <c r="AA62" s="1"/>
      <c r="AB62" s="1"/>
    </row>
    <row r="63" spans="1:55" x14ac:dyDescent="0.25">
      <c r="A63" s="10"/>
      <c r="B63" s="10"/>
      <c r="C63" s="10"/>
      <c r="D63" s="3"/>
      <c r="F63" s="2"/>
      <c r="G63" s="2"/>
      <c r="H63" s="1"/>
      <c r="I63" s="1"/>
      <c r="M63" s="5"/>
      <c r="O63" s="4"/>
      <c r="P63" s="5"/>
      <c r="Q63" s="5"/>
      <c r="U63" s="2"/>
      <c r="V63" s="2"/>
      <c r="W63" s="2"/>
      <c r="X63" s="2"/>
      <c r="Y63" s="1"/>
      <c r="Z63" s="1"/>
      <c r="AA63" s="1"/>
      <c r="AB63" s="1"/>
    </row>
    <row r="64" spans="1:55" x14ac:dyDescent="0.2">
      <c r="A64" s="6" t="s">
        <v>126</v>
      </c>
      <c r="B64" s="6"/>
      <c r="C64" s="6"/>
      <c r="D64" s="6"/>
      <c r="F64" s="2"/>
      <c r="G64" s="2"/>
      <c r="H64" s="1"/>
      <c r="I64" s="1"/>
      <c r="M64" s="5"/>
      <c r="O64" s="4"/>
      <c r="P64" s="5"/>
      <c r="Q64" s="5"/>
      <c r="U64" s="2"/>
      <c r="V64" s="2"/>
      <c r="W64" s="2"/>
      <c r="X64" s="2"/>
      <c r="Y64" s="1"/>
      <c r="Z64" s="1"/>
      <c r="AA64" s="1"/>
      <c r="AB64" s="1"/>
    </row>
    <row r="65" spans="1:28" x14ac:dyDescent="0.2">
      <c r="A65" s="6"/>
      <c r="B65" s="6"/>
      <c r="C65" s="6"/>
      <c r="D65" s="6"/>
      <c r="F65" s="2"/>
      <c r="G65" s="2"/>
      <c r="H65" s="1"/>
      <c r="I65" s="1"/>
      <c r="M65" s="5"/>
      <c r="O65" s="4"/>
      <c r="P65" s="5"/>
      <c r="Q65" s="5"/>
      <c r="U65" s="2"/>
      <c r="V65" s="2"/>
      <c r="W65" s="2"/>
      <c r="X65" s="2"/>
      <c r="Y65" s="1"/>
      <c r="Z65" s="1"/>
      <c r="AA65" s="1"/>
      <c r="AB65" s="1"/>
    </row>
    <row r="66" spans="1:28" x14ac:dyDescent="0.2">
      <c r="A66" s="6" t="s">
        <v>128</v>
      </c>
      <c r="B66" s="6"/>
      <c r="C66" s="6"/>
      <c r="D66" s="6"/>
      <c r="F66" s="2"/>
      <c r="G66" s="2"/>
      <c r="H66" s="1"/>
      <c r="I66" s="1"/>
      <c r="M66" s="5"/>
      <c r="O66" s="4"/>
      <c r="P66" s="5"/>
      <c r="Q66" s="5"/>
      <c r="U66" s="2"/>
      <c r="V66" s="2"/>
      <c r="W66" s="2"/>
      <c r="X66" s="2"/>
      <c r="Y66" s="1"/>
      <c r="Z66" s="1"/>
      <c r="AA66" s="1"/>
      <c r="AB66" s="1"/>
    </row>
    <row r="67" spans="1:28" x14ac:dyDescent="0.2">
      <c r="A67" s="6"/>
      <c r="B67" s="6"/>
      <c r="C67" s="6"/>
      <c r="D67" s="6"/>
      <c r="F67" s="2"/>
      <c r="G67" s="2"/>
      <c r="H67" s="1"/>
      <c r="I67" s="1"/>
      <c r="M67" s="5"/>
      <c r="O67" s="4"/>
      <c r="P67" s="5"/>
      <c r="Q67" s="5"/>
      <c r="U67" s="2"/>
      <c r="V67" s="2"/>
      <c r="W67" s="2"/>
      <c r="X67" s="2"/>
      <c r="Y67" s="1"/>
      <c r="Z67" s="1"/>
      <c r="AA67" s="1"/>
      <c r="AB67" s="1"/>
    </row>
    <row r="68" spans="1:28" x14ac:dyDescent="0.2">
      <c r="A68" s="6" t="s">
        <v>127</v>
      </c>
      <c r="B68" s="6"/>
      <c r="C68" s="6"/>
      <c r="D68" s="6"/>
      <c r="F68" s="2"/>
      <c r="G68" s="2"/>
      <c r="H68" s="1"/>
      <c r="I68" s="1"/>
      <c r="M68" s="5"/>
      <c r="O68" s="4"/>
      <c r="P68" s="5"/>
      <c r="Q68" s="5"/>
      <c r="U68" s="2"/>
      <c r="V68" s="2"/>
      <c r="W68" s="2"/>
      <c r="X68" s="2"/>
      <c r="Y68" s="1"/>
      <c r="Z68" s="1"/>
      <c r="AA68" s="1"/>
      <c r="AB68" s="1"/>
    </row>
    <row r="71" spans="1:28" x14ac:dyDescent="0.25">
      <c r="A71" s="10"/>
      <c r="B71" s="10"/>
    </row>
    <row r="72" spans="1:28" x14ac:dyDescent="0.25">
      <c r="A72" s="10"/>
      <c r="B72" s="10"/>
    </row>
    <row r="73" spans="1:28" x14ac:dyDescent="0.25">
      <c r="A73" s="10"/>
      <c r="B73" s="10"/>
    </row>
    <row r="74" spans="1:28" x14ac:dyDescent="0.25">
      <c r="A74" s="10"/>
      <c r="B74" s="10"/>
    </row>
    <row r="75" spans="1:28" x14ac:dyDescent="0.25">
      <c r="A75" s="10"/>
      <c r="B75" s="10"/>
    </row>
    <row r="76" spans="1:28" x14ac:dyDescent="0.25">
      <c r="A76" s="10"/>
      <c r="B76" s="10"/>
    </row>
    <row r="77" spans="1:28" x14ac:dyDescent="0.25">
      <c r="A77" s="10"/>
      <c r="B77" s="10"/>
    </row>
    <row r="78" spans="1:28" x14ac:dyDescent="0.25">
      <c r="A78" s="10"/>
      <c r="B78" s="10"/>
    </row>
  </sheetData>
  <mergeCells count="32">
    <mergeCell ref="A7:BB7"/>
    <mergeCell ref="A9:BB9"/>
    <mergeCell ref="C12:C15"/>
    <mergeCell ref="D12:E14"/>
    <mergeCell ref="H12:I14"/>
    <mergeCell ref="J12:J15"/>
    <mergeCell ref="K12:L14"/>
    <mergeCell ref="M12:AP12"/>
    <mergeCell ref="AQ12:AR14"/>
    <mergeCell ref="AS12:AT14"/>
    <mergeCell ref="AU12:AV14"/>
    <mergeCell ref="AW12:AX14"/>
    <mergeCell ref="AY12:AZ14"/>
    <mergeCell ref="BA12:BA15"/>
    <mergeCell ref="BB12:BB15"/>
    <mergeCell ref="M13:AB13"/>
    <mergeCell ref="AC13:AP13"/>
    <mergeCell ref="AP14:AP15"/>
    <mergeCell ref="A12:A15"/>
    <mergeCell ref="B12:B15"/>
    <mergeCell ref="F12:G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J14"/>
    <mergeCell ref="AK14:AN14"/>
    <mergeCell ref="AO14:AO15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9"/>
  <sheetViews>
    <sheetView showZeros="0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9" sqref="A9:BB9"/>
    </sheetView>
  </sheetViews>
  <sheetFormatPr defaultRowHeight="14.25" x14ac:dyDescent="0.25"/>
  <cols>
    <col min="1" max="1" width="30.7109375" style="2" customWidth="1"/>
    <col min="2" max="2" width="10.7109375" style="2" customWidth="1"/>
    <col min="3" max="3" width="9.7109375" style="3" customWidth="1"/>
    <col min="4" max="5" width="9.7109375" style="2" customWidth="1"/>
    <col min="6" max="7" width="9.7109375" style="1" customWidth="1"/>
    <col min="8" max="9" width="9.7109375" style="5" customWidth="1"/>
    <col min="10" max="10" width="8.7109375" style="5" customWidth="1"/>
    <col min="11" max="12" width="14.7109375" style="5" customWidth="1"/>
    <col min="13" max="13" width="9.7109375" style="4" customWidth="1"/>
    <col min="14" max="15" width="9.7109375" style="5" customWidth="1"/>
    <col min="16" max="20" width="9.7109375" style="2" customWidth="1"/>
    <col min="21" max="24" width="9.7109375" style="1" customWidth="1"/>
    <col min="25" max="54" width="9.7109375" style="2" customWidth="1"/>
    <col min="55" max="16384" width="9.140625" style="2"/>
  </cols>
  <sheetData>
    <row r="1" spans="1:55" ht="12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/>
      <c r="AJ1"/>
      <c r="AK1"/>
      <c r="AL1"/>
      <c r="AM1"/>
    </row>
    <row r="2" spans="1:55" ht="12.75" customHeight="1" x14ac:dyDescent="0.25">
      <c r="A2" s="11" t="s">
        <v>134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X2" s="11" t="s">
        <v>56</v>
      </c>
      <c r="AY2"/>
      <c r="AZ2"/>
      <c r="BA2"/>
      <c r="BB2"/>
      <c r="BC2"/>
    </row>
    <row r="3" spans="1:55" s="6" customFormat="1" ht="12.75" customHeight="1" x14ac:dyDescent="0.25">
      <c r="A3" s="11" t="s">
        <v>57</v>
      </c>
      <c r="AX3" s="11" t="s">
        <v>65</v>
      </c>
      <c r="AY3"/>
      <c r="AZ3"/>
      <c r="BA3"/>
      <c r="BB3"/>
      <c r="BC3"/>
    </row>
    <row r="4" spans="1:55" s="6" customFormat="1" ht="12.75" customHeight="1" x14ac:dyDescent="0.25">
      <c r="AX4" s="24" t="s">
        <v>123</v>
      </c>
      <c r="AY4"/>
      <c r="AZ4"/>
      <c r="BA4"/>
      <c r="BB4"/>
      <c r="BC4"/>
    </row>
    <row r="5" spans="1:55" s="6" customFormat="1" ht="12.75" customHeight="1" x14ac:dyDescent="0.25">
      <c r="AY5"/>
      <c r="AZ5"/>
      <c r="BA5"/>
      <c r="BB5"/>
      <c r="BC5"/>
    </row>
    <row r="6" spans="1:55" s="6" customFormat="1" ht="15" x14ac:dyDescent="0.25">
      <c r="AX6" s="25" t="s">
        <v>85</v>
      </c>
      <c r="AY6"/>
      <c r="AZ6"/>
      <c r="BA6"/>
      <c r="BB6"/>
      <c r="BC6"/>
    </row>
    <row r="7" spans="1:55" s="6" customFormat="1" ht="15.75" customHeight="1" x14ac:dyDescent="0.2">
      <c r="A7" s="184" t="s">
        <v>58</v>
      </c>
      <c r="B7" s="184"/>
      <c r="C7" s="184"/>
      <c r="D7" s="184"/>
      <c r="E7" s="184"/>
      <c r="F7" s="184"/>
      <c r="G7" s="184"/>
      <c r="H7" s="184"/>
      <c r="I7" s="184"/>
      <c r="J7" s="184"/>
      <c r="K7" s="184"/>
      <c r="L7" s="184"/>
      <c r="M7" s="184"/>
      <c r="N7" s="184"/>
      <c r="O7" s="184"/>
      <c r="P7" s="184"/>
      <c r="Q7" s="184"/>
      <c r="R7" s="184"/>
      <c r="S7" s="184"/>
      <c r="T7" s="184"/>
      <c r="U7" s="184"/>
      <c r="V7" s="184"/>
      <c r="W7" s="184"/>
      <c r="X7" s="184"/>
      <c r="Y7" s="184"/>
      <c r="Z7" s="184"/>
      <c r="AA7" s="184"/>
      <c r="AB7" s="184"/>
      <c r="AC7" s="184"/>
      <c r="AD7" s="184"/>
      <c r="AE7" s="184"/>
      <c r="AF7" s="184"/>
      <c r="AG7" s="184"/>
      <c r="AH7" s="184"/>
      <c r="AI7" s="184"/>
      <c r="AJ7" s="184"/>
      <c r="AK7" s="184"/>
      <c r="AL7" s="184"/>
      <c r="AM7" s="184"/>
      <c r="AN7" s="184"/>
      <c r="AO7" s="184"/>
      <c r="AP7" s="184"/>
      <c r="AQ7" s="184"/>
      <c r="AR7" s="184"/>
      <c r="AS7" s="184"/>
      <c r="AT7" s="184"/>
      <c r="AU7" s="184"/>
      <c r="AV7" s="184"/>
      <c r="AW7" s="184"/>
      <c r="AX7" s="184"/>
      <c r="AY7" s="184"/>
      <c r="AZ7" s="184"/>
      <c r="BA7" s="184"/>
      <c r="BB7" s="184"/>
      <c r="BC7" s="109"/>
    </row>
    <row r="8" spans="1:55" s="6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55" ht="15.75" x14ac:dyDescent="0.25">
      <c r="A9" s="185"/>
      <c r="B9" s="185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  <c r="Z9" s="185"/>
      <c r="AA9" s="185"/>
      <c r="AB9" s="185"/>
      <c r="AC9" s="185"/>
      <c r="AD9" s="185"/>
      <c r="AE9" s="185"/>
      <c r="AF9" s="185"/>
      <c r="AG9" s="185"/>
      <c r="AH9" s="185"/>
      <c r="AI9" s="185"/>
      <c r="AJ9" s="185"/>
      <c r="AK9" s="185"/>
      <c r="AL9" s="185"/>
      <c r="AM9" s="185"/>
      <c r="AN9" s="185"/>
      <c r="AO9" s="185"/>
      <c r="AP9" s="185"/>
      <c r="AQ9" s="185"/>
      <c r="AR9" s="185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08"/>
    </row>
    <row r="10" spans="1:55" s="6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55" ht="12.7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3"/>
      <c r="L11" s="2"/>
      <c r="M11" s="2"/>
      <c r="N11" s="2"/>
      <c r="O11" s="2"/>
      <c r="U11" s="2"/>
      <c r="V11" s="2"/>
      <c r="W11" s="2"/>
      <c r="X11" s="2"/>
    </row>
    <row r="12" spans="1:55" ht="14.25" customHeight="1" x14ac:dyDescent="0.25">
      <c r="A12" s="190" t="s">
        <v>2</v>
      </c>
      <c r="B12" s="163" t="s">
        <v>129</v>
      </c>
      <c r="C12" s="163" t="s">
        <v>3</v>
      </c>
      <c r="D12" s="177" t="s">
        <v>60</v>
      </c>
      <c r="E12" s="194"/>
      <c r="F12" s="154" t="s">
        <v>131</v>
      </c>
      <c r="G12" s="155"/>
      <c r="H12" s="194" t="s">
        <v>1</v>
      </c>
      <c r="I12" s="194"/>
      <c r="J12" s="186" t="s">
        <v>135</v>
      </c>
      <c r="K12" s="154" t="s">
        <v>4</v>
      </c>
      <c r="L12" s="155"/>
      <c r="M12" s="154" t="s">
        <v>62</v>
      </c>
      <c r="N12" s="195"/>
      <c r="O12" s="195"/>
      <c r="P12" s="195"/>
      <c r="Q12" s="195"/>
      <c r="R12" s="195"/>
      <c r="S12" s="195"/>
      <c r="T12" s="195"/>
      <c r="U12" s="195"/>
      <c r="V12" s="195"/>
      <c r="W12" s="195"/>
      <c r="X12" s="195"/>
      <c r="Y12" s="195"/>
      <c r="Z12" s="195"/>
      <c r="AA12" s="195"/>
      <c r="AB12" s="195"/>
      <c r="AC12" s="195"/>
      <c r="AD12" s="195"/>
      <c r="AE12" s="195"/>
      <c r="AF12" s="195"/>
      <c r="AG12" s="195"/>
      <c r="AH12" s="195"/>
      <c r="AI12" s="195"/>
      <c r="AJ12" s="195"/>
      <c r="AK12" s="195"/>
      <c r="AL12" s="195"/>
      <c r="AM12" s="195"/>
      <c r="AN12" s="195"/>
      <c r="AO12" s="195"/>
      <c r="AP12" s="155"/>
      <c r="AQ12" s="195" t="s">
        <v>69</v>
      </c>
      <c r="AR12" s="155"/>
      <c r="AS12" s="154" t="s">
        <v>59</v>
      </c>
      <c r="AT12" s="155"/>
      <c r="AU12" s="154" t="s">
        <v>70</v>
      </c>
      <c r="AV12" s="155"/>
      <c r="AW12" s="154" t="s">
        <v>71</v>
      </c>
      <c r="AX12" s="155"/>
      <c r="AY12" s="154" t="s">
        <v>72</v>
      </c>
      <c r="AZ12" s="155"/>
      <c r="BA12" s="154" t="s">
        <v>73</v>
      </c>
      <c r="BB12" s="198" t="s">
        <v>133</v>
      </c>
      <c r="BC12"/>
    </row>
    <row r="13" spans="1:55" ht="14.25" customHeight="1" x14ac:dyDescent="0.25">
      <c r="A13" s="191"/>
      <c r="B13" s="164"/>
      <c r="C13" s="164"/>
      <c r="D13" s="153"/>
      <c r="E13" s="189"/>
      <c r="F13" s="156"/>
      <c r="G13" s="157"/>
      <c r="H13" s="189"/>
      <c r="I13" s="189"/>
      <c r="J13" s="187"/>
      <c r="K13" s="156"/>
      <c r="L13" s="157"/>
      <c r="M13" s="152" t="s">
        <v>5</v>
      </c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  <c r="AA13" s="178"/>
      <c r="AB13" s="153"/>
      <c r="AC13" s="189" t="s">
        <v>6</v>
      </c>
      <c r="AD13" s="189"/>
      <c r="AE13" s="189"/>
      <c r="AF13" s="189"/>
      <c r="AG13" s="189"/>
      <c r="AH13" s="189"/>
      <c r="AI13" s="189"/>
      <c r="AJ13" s="189"/>
      <c r="AK13" s="189"/>
      <c r="AL13" s="189"/>
      <c r="AM13" s="189"/>
      <c r="AN13" s="189"/>
      <c r="AO13" s="189"/>
      <c r="AP13" s="189"/>
      <c r="AQ13" s="196"/>
      <c r="AR13" s="157"/>
      <c r="AS13" s="156"/>
      <c r="AT13" s="157"/>
      <c r="AU13" s="156"/>
      <c r="AV13" s="157"/>
      <c r="AW13" s="156"/>
      <c r="AX13" s="157"/>
      <c r="AY13" s="156"/>
      <c r="AZ13" s="157"/>
      <c r="BA13" s="156"/>
      <c r="BB13" s="199"/>
      <c r="BC13"/>
    </row>
    <row r="14" spans="1:55" ht="63.75" customHeight="1" x14ac:dyDescent="0.25">
      <c r="A14" s="191"/>
      <c r="B14" s="164"/>
      <c r="C14" s="164"/>
      <c r="D14" s="153"/>
      <c r="E14" s="189"/>
      <c r="F14" s="158"/>
      <c r="G14" s="159"/>
      <c r="H14" s="189"/>
      <c r="I14" s="189"/>
      <c r="J14" s="187"/>
      <c r="K14" s="158"/>
      <c r="L14" s="159"/>
      <c r="M14" s="152" t="s">
        <v>10</v>
      </c>
      <c r="N14" s="153"/>
      <c r="O14" s="152" t="s">
        <v>74</v>
      </c>
      <c r="P14" s="153"/>
      <c r="Q14" s="152" t="s">
        <v>75</v>
      </c>
      <c r="R14" s="153"/>
      <c r="S14" s="152" t="s">
        <v>86</v>
      </c>
      <c r="T14" s="153"/>
      <c r="U14" s="152" t="s">
        <v>136</v>
      </c>
      <c r="V14" s="153"/>
      <c r="W14" s="193" t="s">
        <v>132</v>
      </c>
      <c r="X14" s="193"/>
      <c r="Y14" s="152" t="s">
        <v>84</v>
      </c>
      <c r="Z14" s="153"/>
      <c r="AA14" s="152" t="s">
        <v>76</v>
      </c>
      <c r="AB14" s="153"/>
      <c r="AC14" s="152" t="s">
        <v>7</v>
      </c>
      <c r="AD14" s="178"/>
      <c r="AE14" s="178"/>
      <c r="AF14" s="178"/>
      <c r="AG14" s="178"/>
      <c r="AH14" s="178"/>
      <c r="AI14" s="178"/>
      <c r="AJ14" s="153"/>
      <c r="AK14" s="152" t="s">
        <v>8</v>
      </c>
      <c r="AL14" s="178"/>
      <c r="AM14" s="178"/>
      <c r="AN14" s="153"/>
      <c r="AO14" s="171" t="s">
        <v>77</v>
      </c>
      <c r="AP14" s="173" t="s">
        <v>18</v>
      </c>
      <c r="AQ14" s="196"/>
      <c r="AR14" s="157"/>
      <c r="AS14" s="156"/>
      <c r="AT14" s="157"/>
      <c r="AU14" s="156"/>
      <c r="AV14" s="157"/>
      <c r="AW14" s="156"/>
      <c r="AX14" s="157"/>
      <c r="AY14" s="156"/>
      <c r="AZ14" s="157"/>
      <c r="BA14" s="156"/>
      <c r="BB14" s="199"/>
      <c r="BC14"/>
    </row>
    <row r="15" spans="1:55" ht="38.25" customHeight="1" thickBot="1" x14ac:dyDescent="0.3">
      <c r="A15" s="192"/>
      <c r="B15" s="165"/>
      <c r="C15" s="165"/>
      <c r="D15" s="118" t="s">
        <v>61</v>
      </c>
      <c r="E15" s="77" t="s">
        <v>9</v>
      </c>
      <c r="F15" s="77" t="s">
        <v>11</v>
      </c>
      <c r="G15" s="77" t="s">
        <v>130</v>
      </c>
      <c r="H15" s="77" t="s">
        <v>0</v>
      </c>
      <c r="I15" s="77" t="s">
        <v>78</v>
      </c>
      <c r="J15" s="188"/>
      <c r="K15" s="77" t="s">
        <v>61</v>
      </c>
      <c r="L15" s="77" t="s">
        <v>9</v>
      </c>
      <c r="M15" s="77" t="s">
        <v>61</v>
      </c>
      <c r="N15" s="77" t="s">
        <v>9</v>
      </c>
      <c r="O15" s="77" t="s">
        <v>61</v>
      </c>
      <c r="P15" s="77" t="s">
        <v>9</v>
      </c>
      <c r="Q15" s="77" t="s">
        <v>61</v>
      </c>
      <c r="R15" s="77" t="s">
        <v>9</v>
      </c>
      <c r="S15" s="77" t="s">
        <v>61</v>
      </c>
      <c r="T15" s="77" t="s">
        <v>9</v>
      </c>
      <c r="U15" s="77" t="s">
        <v>61</v>
      </c>
      <c r="V15" s="77" t="s">
        <v>9</v>
      </c>
      <c r="W15" s="77" t="s">
        <v>61</v>
      </c>
      <c r="X15" s="77" t="s">
        <v>9</v>
      </c>
      <c r="Y15" s="77" t="s">
        <v>61</v>
      </c>
      <c r="Z15" s="77" t="s">
        <v>9</v>
      </c>
      <c r="AA15" s="77" t="s">
        <v>61</v>
      </c>
      <c r="AB15" s="77" t="s">
        <v>9</v>
      </c>
      <c r="AC15" s="77" t="s">
        <v>11</v>
      </c>
      <c r="AD15" s="77" t="s">
        <v>12</v>
      </c>
      <c r="AE15" s="77" t="s">
        <v>13</v>
      </c>
      <c r="AF15" s="77" t="s">
        <v>14</v>
      </c>
      <c r="AG15" s="77" t="s">
        <v>15</v>
      </c>
      <c r="AH15" s="77" t="s">
        <v>16</v>
      </c>
      <c r="AI15" s="107" t="s">
        <v>18</v>
      </c>
      <c r="AJ15" s="107" t="s">
        <v>17</v>
      </c>
      <c r="AK15" s="77" t="s">
        <v>19</v>
      </c>
      <c r="AL15" s="77" t="s">
        <v>20</v>
      </c>
      <c r="AM15" s="77" t="s">
        <v>21</v>
      </c>
      <c r="AN15" s="77" t="s">
        <v>22</v>
      </c>
      <c r="AO15" s="172"/>
      <c r="AP15" s="174"/>
      <c r="AQ15" s="77" t="s">
        <v>61</v>
      </c>
      <c r="AR15" s="77" t="s">
        <v>9</v>
      </c>
      <c r="AS15" s="77" t="s">
        <v>61</v>
      </c>
      <c r="AT15" s="77" t="s">
        <v>9</v>
      </c>
      <c r="AU15" s="77" t="s">
        <v>61</v>
      </c>
      <c r="AV15" s="77" t="s">
        <v>9</v>
      </c>
      <c r="AW15" s="77" t="s">
        <v>61</v>
      </c>
      <c r="AX15" s="77" t="s">
        <v>9</v>
      </c>
      <c r="AY15" s="77" t="s">
        <v>61</v>
      </c>
      <c r="AZ15" s="77" t="s">
        <v>9</v>
      </c>
      <c r="BA15" s="197"/>
      <c r="BB15" s="200"/>
      <c r="BC15"/>
    </row>
    <row r="16" spans="1:55" ht="15" customHeight="1" thickBot="1" x14ac:dyDescent="0.3">
      <c r="A16" s="106">
        <v>1</v>
      </c>
      <c r="B16" s="106">
        <v>2</v>
      </c>
      <c r="C16" s="106">
        <v>3</v>
      </c>
      <c r="D16" s="105">
        <v>4</v>
      </c>
      <c r="E16" s="78">
        <v>5</v>
      </c>
      <c r="F16" s="78">
        <v>6</v>
      </c>
      <c r="G16" s="78">
        <v>7</v>
      </c>
      <c r="H16" s="78">
        <v>8</v>
      </c>
      <c r="I16" s="78">
        <v>9</v>
      </c>
      <c r="J16" s="78">
        <v>10</v>
      </c>
      <c r="K16" s="78">
        <v>11</v>
      </c>
      <c r="L16" s="78">
        <v>12</v>
      </c>
      <c r="M16" s="78">
        <v>13</v>
      </c>
      <c r="N16" s="78">
        <v>14</v>
      </c>
      <c r="O16" s="78">
        <v>15</v>
      </c>
      <c r="P16" s="78">
        <v>16</v>
      </c>
      <c r="Q16" s="78">
        <v>17</v>
      </c>
      <c r="R16" s="78">
        <v>18</v>
      </c>
      <c r="S16" s="78">
        <v>19</v>
      </c>
      <c r="T16" s="78">
        <v>20</v>
      </c>
      <c r="U16" s="78">
        <v>21</v>
      </c>
      <c r="V16" s="78">
        <v>22</v>
      </c>
      <c r="W16" s="78">
        <v>23</v>
      </c>
      <c r="X16" s="78">
        <v>24</v>
      </c>
      <c r="Y16" s="78">
        <v>25</v>
      </c>
      <c r="Z16" s="78">
        <v>26</v>
      </c>
      <c r="AA16" s="78">
        <v>27</v>
      </c>
      <c r="AB16" s="78">
        <v>28</v>
      </c>
      <c r="AC16" s="78">
        <v>29</v>
      </c>
      <c r="AD16" s="78">
        <v>30</v>
      </c>
      <c r="AE16" s="78">
        <v>31</v>
      </c>
      <c r="AF16" s="78">
        <v>32</v>
      </c>
      <c r="AG16" s="78">
        <v>33</v>
      </c>
      <c r="AH16" s="78">
        <v>34</v>
      </c>
      <c r="AI16" s="78">
        <v>35</v>
      </c>
      <c r="AJ16" s="78">
        <v>36</v>
      </c>
      <c r="AK16" s="78">
        <v>37</v>
      </c>
      <c r="AL16" s="78">
        <v>38</v>
      </c>
      <c r="AM16" s="78">
        <v>39</v>
      </c>
      <c r="AN16" s="78">
        <v>40</v>
      </c>
      <c r="AO16" s="78">
        <v>41</v>
      </c>
      <c r="AP16" s="78">
        <v>42</v>
      </c>
      <c r="AQ16" s="78">
        <v>43</v>
      </c>
      <c r="AR16" s="78">
        <v>44</v>
      </c>
      <c r="AS16" s="78">
        <v>45</v>
      </c>
      <c r="AT16" s="78">
        <v>46</v>
      </c>
      <c r="AU16" s="78">
        <v>47</v>
      </c>
      <c r="AV16" s="78">
        <v>48</v>
      </c>
      <c r="AW16" s="78">
        <v>49</v>
      </c>
      <c r="AX16" s="78">
        <v>50</v>
      </c>
      <c r="AY16" s="78">
        <v>51</v>
      </c>
      <c r="AZ16" s="78">
        <v>52</v>
      </c>
      <c r="BA16" s="78">
        <v>53</v>
      </c>
      <c r="BB16" s="79">
        <v>54</v>
      </c>
      <c r="BC16"/>
    </row>
    <row r="17" spans="1:55" ht="15" customHeight="1" thickBot="1" x14ac:dyDescent="0.3">
      <c r="A17" s="87" t="s">
        <v>79</v>
      </c>
      <c r="B17" s="87"/>
      <c r="C17" s="87"/>
      <c r="D17" s="129">
        <f t="shared" ref="D17:E17" si="0">SUM(D18:D23)</f>
        <v>0</v>
      </c>
      <c r="E17" s="129">
        <f t="shared" si="0"/>
        <v>0</v>
      </c>
      <c r="F17" s="129">
        <f>SUM(F18:F23)</f>
        <v>0</v>
      </c>
      <c r="G17" s="129">
        <f t="shared" ref="G17:I17" si="1">SUM(G18:G23)</f>
        <v>0</v>
      </c>
      <c r="H17" s="131">
        <f t="shared" si="1"/>
        <v>0</v>
      </c>
      <c r="I17" s="131">
        <f t="shared" si="1"/>
        <v>0</v>
      </c>
      <c r="J17" s="129"/>
      <c r="K17" s="130">
        <f t="shared" ref="K17" si="2">SUM(K18:K23)</f>
        <v>0</v>
      </c>
      <c r="L17" s="130">
        <f t="shared" ref="L17" si="3">SUM(L18:L23)</f>
        <v>0</v>
      </c>
      <c r="M17" s="129">
        <f t="shared" ref="M17" si="4">SUM(M18:M23)</f>
        <v>0</v>
      </c>
      <c r="N17" s="129">
        <f t="shared" ref="N17" si="5">SUM(N18:N23)</f>
        <v>0</v>
      </c>
      <c r="O17" s="129">
        <f t="shared" ref="O17" si="6">SUM(O18:O23)</f>
        <v>0</v>
      </c>
      <c r="P17" s="129">
        <f t="shared" ref="P17" si="7">SUM(P18:P23)</f>
        <v>0</v>
      </c>
      <c r="Q17" s="129">
        <f t="shared" ref="Q17" si="8">SUM(Q18:Q23)</f>
        <v>0</v>
      </c>
      <c r="R17" s="129">
        <f t="shared" ref="R17" si="9">SUM(R18:R23)</f>
        <v>0</v>
      </c>
      <c r="S17" s="129">
        <f t="shared" ref="S17" si="10">SUM(S18:S23)</f>
        <v>0</v>
      </c>
      <c r="T17" s="129">
        <f t="shared" ref="T17" si="11">SUM(T18:T23)</f>
        <v>0</v>
      </c>
      <c r="U17" s="129">
        <f t="shared" ref="U17" si="12">SUM(U18:U23)</f>
        <v>0</v>
      </c>
      <c r="V17" s="129">
        <f t="shared" ref="V17" si="13">SUM(V18:V23)</f>
        <v>0</v>
      </c>
      <c r="W17" s="129">
        <f t="shared" ref="W17" si="14">SUM(W18:W23)</f>
        <v>0</v>
      </c>
      <c r="X17" s="129">
        <f t="shared" ref="X17" si="15">SUM(X18:X23)</f>
        <v>0</v>
      </c>
      <c r="Y17" s="129">
        <f t="shared" ref="Y17" si="16">SUM(Y18:Y23)</f>
        <v>0</v>
      </c>
      <c r="Z17" s="129">
        <f t="shared" ref="Z17" si="17">SUM(Z18:Z23)</f>
        <v>0</v>
      </c>
      <c r="AA17" s="129">
        <f t="shared" ref="AA17" si="18">SUM(AA18:AA23)</f>
        <v>0</v>
      </c>
      <c r="AB17" s="129">
        <f t="shared" ref="AB17" si="19">SUM(AB18:AB23)</f>
        <v>0</v>
      </c>
      <c r="AC17" s="129">
        <f t="shared" ref="AC17" si="20">SUM(AC18:AC23)</f>
        <v>0</v>
      </c>
      <c r="AD17" s="129">
        <f t="shared" ref="AD17" si="21">SUM(AD18:AD23)</f>
        <v>0</v>
      </c>
      <c r="AE17" s="129">
        <f t="shared" ref="AE17" si="22">SUM(AE18:AE23)</f>
        <v>0</v>
      </c>
      <c r="AF17" s="129">
        <f t="shared" ref="AF17" si="23">SUM(AF18:AF23)</f>
        <v>0</v>
      </c>
      <c r="AG17" s="129">
        <f t="shared" ref="AG17" si="24">SUM(AG18:AG23)</f>
        <v>0</v>
      </c>
      <c r="AH17" s="129">
        <f t="shared" ref="AH17" si="25">SUM(AH18:AH23)</f>
        <v>0</v>
      </c>
      <c r="AI17" s="129">
        <f t="shared" ref="AI17" si="26">SUM(AI18:AI23)</f>
        <v>0</v>
      </c>
      <c r="AJ17" s="129">
        <f t="shared" ref="AJ17" si="27">SUM(AJ18:AJ23)</f>
        <v>0</v>
      </c>
      <c r="AK17" s="129">
        <f t="shared" ref="AK17" si="28">SUM(AK18:AK23)</f>
        <v>0</v>
      </c>
      <c r="AL17" s="129">
        <f t="shared" ref="AL17" si="29">SUM(AL18:AL23)</f>
        <v>0</v>
      </c>
      <c r="AM17" s="129">
        <f t="shared" ref="AM17" si="30">SUM(AM18:AM23)</f>
        <v>0</v>
      </c>
      <c r="AN17" s="129">
        <f t="shared" ref="AN17" si="31">SUM(AN18:AN23)</f>
        <v>0</v>
      </c>
      <c r="AO17" s="129">
        <f t="shared" ref="AO17" si="32">SUM(AO18:AO23)</f>
        <v>0</v>
      </c>
      <c r="AP17" s="129">
        <f t="shared" ref="AP17" si="33">SUM(AP18:AP23)</f>
        <v>0</v>
      </c>
      <c r="AQ17" s="129">
        <f t="shared" ref="AQ17:AQ59" si="34">M17+O17+S17+U17+W17+AA17+Q17+Y17</f>
        <v>0</v>
      </c>
      <c r="AR17" s="129">
        <f>N17+P17+R17+AC17+AD17+AE17+AF17+AG17+AH17+AI17+AJ17+AK17+AL17+AM17+AN17+AO17+AP17+T17+V17+AB17</f>
        <v>0</v>
      </c>
      <c r="AS17" s="129">
        <f>AT17</f>
        <v>0</v>
      </c>
      <c r="AT17" s="129">
        <f>SUM(AT18:AT23)</f>
        <v>0</v>
      </c>
      <c r="AU17" s="131">
        <f t="shared" ref="AU17:AU22" si="35">IF(AT17-AQ17=0,0,(AT17-M17-O17-Q17)/AT17)</f>
        <v>0</v>
      </c>
      <c r="AV17" s="131">
        <f t="shared" ref="AV17:AV59" si="36">IF(AT17=0,0,(AT17-N17-P17-R17-AC17-AD17-AE17-AF17-AG17-AH17-AI17-AJ17-AL17)/AT17)</f>
        <v>0</v>
      </c>
      <c r="AW17" s="131">
        <f t="shared" ref="AW17:AW22" si="37">IF(OR(AT17=0,AU17=0),0,((AT17*AU17)-S17-U17-W17-AA17-Y17)/(AT17*AU17))</f>
        <v>0</v>
      </c>
      <c r="AX17" s="131">
        <f t="shared" ref="AX17:AX22" si="38">IF(OR(AT17=0,AV17=0),0,((AT17*AV17)-AK17-AM17-AN17-AO17-AP17-T17-V17-X17-Z17-AB17)/(AT17*AV17))</f>
        <v>0</v>
      </c>
      <c r="AY17" s="131">
        <f>SUM(AY18:AY23)</f>
        <v>0</v>
      </c>
      <c r="AZ17" s="131">
        <f>SUM(AZ18:AZ23)</f>
        <v>0</v>
      </c>
      <c r="BA17" s="129">
        <f>ROUND(AS17-E17-AR17,4)</f>
        <v>0</v>
      </c>
      <c r="BB17" s="137"/>
      <c r="BC17"/>
    </row>
    <row r="18" spans="1:55" ht="15" hidden="1" customHeight="1" x14ac:dyDescent="0.25">
      <c r="A18" s="80" t="s">
        <v>23</v>
      </c>
      <c r="B18" s="110">
        <v>22</v>
      </c>
      <c r="C18" s="110">
        <v>22</v>
      </c>
      <c r="D18" s="121">
        <f t="shared" ref="D18:D22" si="39">AT18*AU18*AW18</f>
        <v>0</v>
      </c>
      <c r="E18" s="16">
        <f t="shared" ref="E18:E22" si="40">ROUND(AT18*AV18*AX18,4)</f>
        <v>0</v>
      </c>
      <c r="F18" s="91">
        <f>'1'!F18+'2'!F18+'3'!F18</f>
        <v>0</v>
      </c>
      <c r="G18" s="91">
        <f>'1'!G18+'2'!G18+'3'!G18</f>
        <v>0</v>
      </c>
      <c r="H18" s="135">
        <f>'1'!H18+'2'!H18+'3'!H18</f>
        <v>0</v>
      </c>
      <c r="I18" s="135">
        <f>'1'!I18+'2'!I18+'3'!I18</f>
        <v>0</v>
      </c>
      <c r="J18" s="83" t="s">
        <v>55</v>
      </c>
      <c r="K18" s="133">
        <f>'1'!K18+'2'!K18+'3'!K18</f>
        <v>0</v>
      </c>
      <c r="L18" s="133">
        <f>'1'!L18+'2'!L18+'3'!L18</f>
        <v>0</v>
      </c>
      <c r="M18" s="91">
        <f>'1'!M18+'2'!M18+'3'!M18</f>
        <v>0</v>
      </c>
      <c r="N18" s="91">
        <f>'1'!N18+'2'!N18+'3'!N18</f>
        <v>0</v>
      </c>
      <c r="O18" s="91">
        <f>'1'!O18+'2'!O18+'3'!O18</f>
        <v>0</v>
      </c>
      <c r="P18" s="91">
        <f>'1'!P18+'2'!P18+'3'!P18</f>
        <v>0</v>
      </c>
      <c r="Q18" s="91">
        <f>'1'!Q18+'2'!Q18+'3'!Q18</f>
        <v>0</v>
      </c>
      <c r="R18" s="91">
        <f>'1'!R18+'2'!R18+'3'!R18</f>
        <v>0</v>
      </c>
      <c r="S18" s="91">
        <f>'1'!S18+'2'!S18+'3'!S18</f>
        <v>0</v>
      </c>
      <c r="T18" s="91">
        <f>'1'!T18+'2'!T18+'3'!T18</f>
        <v>0</v>
      </c>
      <c r="U18" s="91">
        <f>'1'!U18+'2'!U18+'3'!U18</f>
        <v>0</v>
      </c>
      <c r="V18" s="91">
        <f>'1'!V18+'2'!V18+'3'!V18</f>
        <v>0</v>
      </c>
      <c r="W18" s="91">
        <f>'1'!W18+'2'!W18+'3'!W18</f>
        <v>0</v>
      </c>
      <c r="X18" s="91">
        <f>'1'!X18+'2'!X18+'3'!X18</f>
        <v>0</v>
      </c>
      <c r="Y18" s="91">
        <f>'1'!Y18+'2'!Y18+'3'!Y18</f>
        <v>0</v>
      </c>
      <c r="Z18" s="91">
        <f>'1'!Z18+'2'!Z18+'3'!Z18</f>
        <v>0</v>
      </c>
      <c r="AA18" s="91">
        <f>'1'!AA18+'2'!AA18+'3'!AA18</f>
        <v>0</v>
      </c>
      <c r="AB18" s="91">
        <f>'1'!AB18+'2'!AB18+'3'!AB18</f>
        <v>0</v>
      </c>
      <c r="AC18" s="91">
        <f>'1'!AC18+'2'!AC18+'3'!AC18</f>
        <v>0</v>
      </c>
      <c r="AD18" s="91">
        <f>'1'!AD18+'2'!AD18+'3'!AD18</f>
        <v>0</v>
      </c>
      <c r="AE18" s="91">
        <f>'1'!AE18+'2'!AE18+'3'!AE18</f>
        <v>0</v>
      </c>
      <c r="AF18" s="91">
        <f>'1'!AF18+'2'!AF18+'3'!AF18</f>
        <v>0</v>
      </c>
      <c r="AG18" s="91">
        <f>'1'!AG18+'2'!AG18+'3'!AG18</f>
        <v>0</v>
      </c>
      <c r="AH18" s="91">
        <f>'1'!AH18+'2'!AH18+'3'!AH18</f>
        <v>0</v>
      </c>
      <c r="AI18" s="91">
        <f>'1'!AI18+'2'!AI18+'3'!AI18</f>
        <v>0</v>
      </c>
      <c r="AJ18" s="91">
        <f>'1'!AJ18+'2'!AJ18+'3'!AJ18</f>
        <v>0</v>
      </c>
      <c r="AK18" s="91">
        <f>'1'!AK18+'2'!AK18+'3'!AK18</f>
        <v>0</v>
      </c>
      <c r="AL18" s="91">
        <f>'1'!AL18+'2'!AL18+'3'!AL18</f>
        <v>0</v>
      </c>
      <c r="AM18" s="91">
        <f>'1'!AM18+'2'!AM18+'3'!AM18</f>
        <v>0</v>
      </c>
      <c r="AN18" s="91">
        <f>'1'!AN18+'2'!AN18+'3'!AN18</f>
        <v>0</v>
      </c>
      <c r="AO18" s="91">
        <f>'1'!AO18+'2'!AO18+'3'!AO18</f>
        <v>0</v>
      </c>
      <c r="AP18" s="91">
        <f>'1'!AP18+'2'!AP18+'3'!AP18</f>
        <v>0</v>
      </c>
      <c r="AQ18" s="16">
        <f t="shared" si="34"/>
        <v>0</v>
      </c>
      <c r="AR18" s="17">
        <f>N18+P18+R18+AC18+AD18+AE18+AF18+AG18+AH18+AI18+AJ18+AK18+AL18+AM18+AN18+AO18+AP18+T18+V18+AB18</f>
        <v>0</v>
      </c>
      <c r="AS18" s="17"/>
      <c r="AT18" s="17"/>
      <c r="AU18" s="92">
        <f t="shared" si="35"/>
        <v>0</v>
      </c>
      <c r="AV18" s="92">
        <f t="shared" si="36"/>
        <v>0</v>
      </c>
      <c r="AW18" s="92">
        <f t="shared" si="37"/>
        <v>0</v>
      </c>
      <c r="AX18" s="92">
        <f t="shared" si="38"/>
        <v>0</v>
      </c>
      <c r="AY18" s="82">
        <f t="shared" ref="AY18:AZ22" si="41">IF(K18=0,0,K18/(D18-Y18)/24)</f>
        <v>0</v>
      </c>
      <c r="AZ18" s="82">
        <f t="shared" si="41"/>
        <v>0</v>
      </c>
      <c r="BA18" s="85">
        <f>ROUND(AS18-E18-AR18,4)</f>
        <v>0</v>
      </c>
      <c r="BB18" s="138"/>
      <c r="BC18"/>
    </row>
    <row r="19" spans="1:55" ht="15" hidden="1" customHeight="1" x14ac:dyDescent="0.25">
      <c r="A19" s="68" t="s">
        <v>24</v>
      </c>
      <c r="B19" s="111">
        <v>23</v>
      </c>
      <c r="C19" s="111">
        <v>23</v>
      </c>
      <c r="D19" s="121">
        <f t="shared" si="39"/>
        <v>0</v>
      </c>
      <c r="E19" s="16">
        <f t="shared" si="40"/>
        <v>0</v>
      </c>
      <c r="F19" s="91">
        <f>'1'!F19+'2'!F19+'3'!F19</f>
        <v>0</v>
      </c>
      <c r="G19" s="91">
        <f>'1'!G19+'2'!G19+'3'!G19</f>
        <v>0</v>
      </c>
      <c r="H19" s="135">
        <f>'1'!H19+'2'!H19+'3'!H19</f>
        <v>0</v>
      </c>
      <c r="I19" s="135">
        <f>'1'!I19+'2'!I19+'3'!I19</f>
        <v>0</v>
      </c>
      <c r="J19" s="8" t="s">
        <v>55</v>
      </c>
      <c r="K19" s="133">
        <f>'1'!K19+'2'!K19+'3'!K19</f>
        <v>0</v>
      </c>
      <c r="L19" s="133">
        <f>'1'!L19+'2'!L19+'3'!L19</f>
        <v>0</v>
      </c>
      <c r="M19" s="91">
        <f>'1'!M19+'2'!M19+'3'!M19</f>
        <v>0</v>
      </c>
      <c r="N19" s="91">
        <f>'1'!N19+'2'!N19+'3'!N19</f>
        <v>0</v>
      </c>
      <c r="O19" s="91">
        <f>'1'!O19+'2'!O19+'3'!O19</f>
        <v>0</v>
      </c>
      <c r="P19" s="91">
        <f>'1'!P19+'2'!P19+'3'!P19</f>
        <v>0</v>
      </c>
      <c r="Q19" s="91">
        <f>'1'!Q19+'2'!Q19+'3'!Q19</f>
        <v>0</v>
      </c>
      <c r="R19" s="91">
        <f>'1'!R19+'2'!R19+'3'!R19</f>
        <v>0</v>
      </c>
      <c r="S19" s="91">
        <f>'1'!S19+'2'!S19+'3'!S19</f>
        <v>0</v>
      </c>
      <c r="T19" s="91">
        <f>'1'!T19+'2'!T19+'3'!T19</f>
        <v>0</v>
      </c>
      <c r="U19" s="91">
        <f>'1'!U19+'2'!U19+'3'!U19</f>
        <v>0</v>
      </c>
      <c r="V19" s="91">
        <f>'1'!V19+'2'!V19+'3'!V19</f>
        <v>0</v>
      </c>
      <c r="W19" s="91">
        <f>'1'!W19+'2'!W19+'3'!W19</f>
        <v>0</v>
      </c>
      <c r="X19" s="91">
        <f>'1'!X19+'2'!X19+'3'!X19</f>
        <v>0</v>
      </c>
      <c r="Y19" s="91">
        <f>'1'!Y19+'2'!Y19+'3'!Y19</f>
        <v>0</v>
      </c>
      <c r="Z19" s="91">
        <f>'1'!Z19+'2'!Z19+'3'!Z19</f>
        <v>0</v>
      </c>
      <c r="AA19" s="91">
        <f>'1'!AA19+'2'!AA19+'3'!AA19</f>
        <v>0</v>
      </c>
      <c r="AB19" s="91">
        <f>'1'!AB19+'2'!AB19+'3'!AB19</f>
        <v>0</v>
      </c>
      <c r="AC19" s="91">
        <f>'1'!AC19+'2'!AC19+'3'!AC19</f>
        <v>0</v>
      </c>
      <c r="AD19" s="91">
        <f>'1'!AD19+'2'!AD19+'3'!AD19</f>
        <v>0</v>
      </c>
      <c r="AE19" s="91">
        <f>'1'!AE19+'2'!AE19+'3'!AE19</f>
        <v>0</v>
      </c>
      <c r="AF19" s="91">
        <f>'1'!AF19+'2'!AF19+'3'!AF19</f>
        <v>0</v>
      </c>
      <c r="AG19" s="91">
        <f>'1'!AG19+'2'!AG19+'3'!AG19</f>
        <v>0</v>
      </c>
      <c r="AH19" s="91">
        <f>'1'!AH19+'2'!AH19+'3'!AH19</f>
        <v>0</v>
      </c>
      <c r="AI19" s="91">
        <f>'1'!AI19+'2'!AI19+'3'!AI19</f>
        <v>0</v>
      </c>
      <c r="AJ19" s="91">
        <f>'1'!AJ19+'2'!AJ19+'3'!AJ19</f>
        <v>0</v>
      </c>
      <c r="AK19" s="91">
        <f>'1'!AK19+'2'!AK19+'3'!AK19</f>
        <v>0</v>
      </c>
      <c r="AL19" s="91">
        <f>'1'!AL19+'2'!AL19+'3'!AL19</f>
        <v>0</v>
      </c>
      <c r="AM19" s="91">
        <f>'1'!AM19+'2'!AM19+'3'!AM19</f>
        <v>0</v>
      </c>
      <c r="AN19" s="91">
        <f>'1'!AN19+'2'!AN19+'3'!AN19</f>
        <v>0</v>
      </c>
      <c r="AO19" s="91">
        <f>'1'!AO19+'2'!AO19+'3'!AO19</f>
        <v>0</v>
      </c>
      <c r="AP19" s="91">
        <f>'1'!AP19+'2'!AP19+'3'!AP19</f>
        <v>0</v>
      </c>
      <c r="AQ19" s="16">
        <f t="shared" si="34"/>
        <v>0</v>
      </c>
      <c r="AR19" s="17">
        <f t="shared" ref="AR19:AR59" si="42">N19+P19+R19+AC19+AD19+AE19+AF19+AG19+AH19+AI19+AJ19+AK19+AL19+AM19+AN19+AO19+AP19+T19+V19+AB19</f>
        <v>0</v>
      </c>
      <c r="AS19" s="15"/>
      <c r="AT19" s="15"/>
      <c r="AU19" s="92">
        <f t="shared" si="35"/>
        <v>0</v>
      </c>
      <c r="AV19" s="92">
        <f t="shared" si="36"/>
        <v>0</v>
      </c>
      <c r="AW19" s="92">
        <f t="shared" si="37"/>
        <v>0</v>
      </c>
      <c r="AX19" s="92">
        <f t="shared" si="38"/>
        <v>0</v>
      </c>
      <c r="AY19" s="18">
        <f t="shared" si="41"/>
        <v>0</v>
      </c>
      <c r="AZ19" s="18">
        <f t="shared" si="41"/>
        <v>0</v>
      </c>
      <c r="BA19" s="74">
        <f>ROUND(AS19-E19-AR19,4)</f>
        <v>0</v>
      </c>
      <c r="BB19" s="139"/>
      <c r="BC19"/>
    </row>
    <row r="20" spans="1:55" ht="15" hidden="1" customHeight="1" x14ac:dyDescent="0.25">
      <c r="A20" s="69" t="s">
        <v>25</v>
      </c>
      <c r="B20" s="112"/>
      <c r="C20" s="112">
        <v>24</v>
      </c>
      <c r="D20" s="121">
        <f t="shared" si="39"/>
        <v>0</v>
      </c>
      <c r="E20" s="16">
        <f t="shared" si="40"/>
        <v>0</v>
      </c>
      <c r="F20" s="91">
        <f>'1'!F20+'2'!F20+'3'!F20</f>
        <v>0</v>
      </c>
      <c r="G20" s="91">
        <f>'1'!G20+'2'!G20+'3'!G20</f>
        <v>0</v>
      </c>
      <c r="H20" s="135">
        <f>'1'!H20+'2'!H20+'3'!H20</f>
        <v>0</v>
      </c>
      <c r="I20" s="135">
        <f>'1'!I20+'2'!I20+'3'!I20</f>
        <v>0</v>
      </c>
      <c r="J20" s="8" t="s">
        <v>55</v>
      </c>
      <c r="K20" s="133">
        <f>'1'!K20+'2'!K20+'3'!K20</f>
        <v>0</v>
      </c>
      <c r="L20" s="133">
        <f>'1'!L20+'2'!L20+'3'!L20</f>
        <v>0</v>
      </c>
      <c r="M20" s="91">
        <f>'1'!M20+'2'!M20+'3'!M20</f>
        <v>0</v>
      </c>
      <c r="N20" s="91">
        <f>'1'!N20+'2'!N20+'3'!N20</f>
        <v>0</v>
      </c>
      <c r="O20" s="91">
        <f>'1'!O20+'2'!O20+'3'!O20</f>
        <v>0</v>
      </c>
      <c r="P20" s="91">
        <f>'1'!P20+'2'!P20+'3'!P20</f>
        <v>0</v>
      </c>
      <c r="Q20" s="91">
        <f>'1'!Q20+'2'!Q20+'3'!Q20</f>
        <v>0</v>
      </c>
      <c r="R20" s="91">
        <f>'1'!R20+'2'!R20+'3'!R20</f>
        <v>0</v>
      </c>
      <c r="S20" s="91">
        <f>'1'!S20+'2'!S20+'3'!S20</f>
        <v>0</v>
      </c>
      <c r="T20" s="91">
        <f>'1'!T20+'2'!T20+'3'!T20</f>
        <v>0</v>
      </c>
      <c r="U20" s="91">
        <f>'1'!U20+'2'!U20+'3'!U20</f>
        <v>0</v>
      </c>
      <c r="V20" s="91">
        <f>'1'!V20+'2'!V20+'3'!V20</f>
        <v>0</v>
      </c>
      <c r="W20" s="91">
        <f>'1'!W20+'2'!W20+'3'!W20</f>
        <v>0</v>
      </c>
      <c r="X20" s="91">
        <f>'1'!X20+'2'!X20+'3'!X20</f>
        <v>0</v>
      </c>
      <c r="Y20" s="91">
        <f>'1'!Y20+'2'!Y20+'3'!Y20</f>
        <v>0</v>
      </c>
      <c r="Z20" s="91">
        <f>'1'!Z20+'2'!Z20+'3'!Z20</f>
        <v>0</v>
      </c>
      <c r="AA20" s="91">
        <f>'1'!AA20+'2'!AA20+'3'!AA20</f>
        <v>0</v>
      </c>
      <c r="AB20" s="91">
        <f>'1'!AB20+'2'!AB20+'3'!AB20</f>
        <v>0</v>
      </c>
      <c r="AC20" s="91">
        <f>'1'!AC20+'2'!AC20+'3'!AC20</f>
        <v>0</v>
      </c>
      <c r="AD20" s="91">
        <f>'1'!AD20+'2'!AD20+'3'!AD20</f>
        <v>0</v>
      </c>
      <c r="AE20" s="91">
        <f>'1'!AE20+'2'!AE20+'3'!AE20</f>
        <v>0</v>
      </c>
      <c r="AF20" s="91">
        <f>'1'!AF20+'2'!AF20+'3'!AF20</f>
        <v>0</v>
      </c>
      <c r="AG20" s="91">
        <f>'1'!AG20+'2'!AG20+'3'!AG20</f>
        <v>0</v>
      </c>
      <c r="AH20" s="91">
        <f>'1'!AH20+'2'!AH20+'3'!AH20</f>
        <v>0</v>
      </c>
      <c r="AI20" s="91">
        <f>'1'!AI20+'2'!AI20+'3'!AI20</f>
        <v>0</v>
      </c>
      <c r="AJ20" s="91">
        <f>'1'!AJ20+'2'!AJ20+'3'!AJ20</f>
        <v>0</v>
      </c>
      <c r="AK20" s="91">
        <f>'1'!AK20+'2'!AK20+'3'!AK20</f>
        <v>0</v>
      </c>
      <c r="AL20" s="91">
        <f>'1'!AL20+'2'!AL20+'3'!AL20</f>
        <v>0</v>
      </c>
      <c r="AM20" s="91">
        <f>'1'!AM20+'2'!AM20+'3'!AM20</f>
        <v>0</v>
      </c>
      <c r="AN20" s="91">
        <f>'1'!AN20+'2'!AN20+'3'!AN20</f>
        <v>0</v>
      </c>
      <c r="AO20" s="91">
        <f>'1'!AO20+'2'!AO20+'3'!AO20</f>
        <v>0</v>
      </c>
      <c r="AP20" s="91">
        <f>'1'!AP20+'2'!AP20+'3'!AP20</f>
        <v>0</v>
      </c>
      <c r="AQ20" s="16">
        <f t="shared" si="34"/>
        <v>0</v>
      </c>
      <c r="AR20" s="17">
        <f t="shared" si="42"/>
        <v>0</v>
      </c>
      <c r="AS20" s="15"/>
      <c r="AT20" s="15"/>
      <c r="AU20" s="92">
        <f t="shared" si="35"/>
        <v>0</v>
      </c>
      <c r="AV20" s="92">
        <f t="shared" si="36"/>
        <v>0</v>
      </c>
      <c r="AW20" s="92">
        <f t="shared" si="37"/>
        <v>0</v>
      </c>
      <c r="AX20" s="92">
        <f t="shared" si="38"/>
        <v>0</v>
      </c>
      <c r="AY20" s="18">
        <f t="shared" si="41"/>
        <v>0</v>
      </c>
      <c r="AZ20" s="18">
        <f t="shared" si="41"/>
        <v>0</v>
      </c>
      <c r="BA20" s="74">
        <f t="shared" ref="BA20:BA22" si="43">ROUND(AS20-E20-AR20,4)</f>
        <v>0</v>
      </c>
      <c r="BB20" s="139"/>
      <c r="BC20"/>
    </row>
    <row r="21" spans="1:55" ht="15" hidden="1" customHeight="1" x14ac:dyDescent="0.25">
      <c r="A21" s="68" t="s">
        <v>26</v>
      </c>
      <c r="B21" s="111"/>
      <c r="C21" s="111">
        <v>24</v>
      </c>
      <c r="D21" s="121">
        <f t="shared" si="39"/>
        <v>0</v>
      </c>
      <c r="E21" s="16">
        <f t="shared" si="40"/>
        <v>0</v>
      </c>
      <c r="F21" s="91">
        <f>'1'!F21+'2'!F21+'3'!F21</f>
        <v>0</v>
      </c>
      <c r="G21" s="91">
        <f>'1'!G21+'2'!G21+'3'!G21</f>
        <v>0</v>
      </c>
      <c r="H21" s="135">
        <f>'1'!H21+'2'!H21+'3'!H21</f>
        <v>0</v>
      </c>
      <c r="I21" s="135">
        <f>'1'!I21+'2'!I21+'3'!I21</f>
        <v>0</v>
      </c>
      <c r="J21" s="8" t="s">
        <v>55</v>
      </c>
      <c r="K21" s="133">
        <f>'1'!K21+'2'!K21+'3'!K21</f>
        <v>0</v>
      </c>
      <c r="L21" s="133">
        <f>'1'!L21+'2'!L21+'3'!L21</f>
        <v>0</v>
      </c>
      <c r="M21" s="91">
        <f>'1'!M21+'2'!M21+'3'!M21</f>
        <v>0</v>
      </c>
      <c r="N21" s="91">
        <f>'1'!N21+'2'!N21+'3'!N21</f>
        <v>0</v>
      </c>
      <c r="O21" s="91">
        <f>'1'!O21+'2'!O21+'3'!O21</f>
        <v>0</v>
      </c>
      <c r="P21" s="91">
        <f>'1'!P21+'2'!P21+'3'!P21</f>
        <v>0</v>
      </c>
      <c r="Q21" s="91">
        <f>'1'!Q21+'2'!Q21+'3'!Q21</f>
        <v>0</v>
      </c>
      <c r="R21" s="91">
        <f>'1'!R21+'2'!R21+'3'!R21</f>
        <v>0</v>
      </c>
      <c r="S21" s="91">
        <f>'1'!S21+'2'!S21+'3'!S21</f>
        <v>0</v>
      </c>
      <c r="T21" s="91">
        <f>'1'!T21+'2'!T21+'3'!T21</f>
        <v>0</v>
      </c>
      <c r="U21" s="91">
        <f>'1'!U21+'2'!U21+'3'!U21</f>
        <v>0</v>
      </c>
      <c r="V21" s="91">
        <f>'1'!V21+'2'!V21+'3'!V21</f>
        <v>0</v>
      </c>
      <c r="W21" s="91">
        <f>'1'!W21+'2'!W21+'3'!W21</f>
        <v>0</v>
      </c>
      <c r="X21" s="91">
        <f>'1'!X21+'2'!X21+'3'!X21</f>
        <v>0</v>
      </c>
      <c r="Y21" s="91">
        <f>'1'!Y21+'2'!Y21+'3'!Y21</f>
        <v>0</v>
      </c>
      <c r="Z21" s="91">
        <f>'1'!Z21+'2'!Z21+'3'!Z21</f>
        <v>0</v>
      </c>
      <c r="AA21" s="91">
        <f>'1'!AA21+'2'!AA21+'3'!AA21</f>
        <v>0</v>
      </c>
      <c r="AB21" s="91">
        <f>'1'!AB21+'2'!AB21+'3'!AB21</f>
        <v>0</v>
      </c>
      <c r="AC21" s="91">
        <f>'1'!AC21+'2'!AC21+'3'!AC21</f>
        <v>0</v>
      </c>
      <c r="AD21" s="91">
        <f>'1'!AD21+'2'!AD21+'3'!AD21</f>
        <v>0</v>
      </c>
      <c r="AE21" s="91">
        <f>'1'!AE21+'2'!AE21+'3'!AE21</f>
        <v>0</v>
      </c>
      <c r="AF21" s="91">
        <f>'1'!AF21+'2'!AF21+'3'!AF21</f>
        <v>0</v>
      </c>
      <c r="AG21" s="91">
        <f>'1'!AG21+'2'!AG21+'3'!AG21</f>
        <v>0</v>
      </c>
      <c r="AH21" s="91">
        <f>'1'!AH21+'2'!AH21+'3'!AH21</f>
        <v>0</v>
      </c>
      <c r="AI21" s="91">
        <f>'1'!AI21+'2'!AI21+'3'!AI21</f>
        <v>0</v>
      </c>
      <c r="AJ21" s="91">
        <f>'1'!AJ21+'2'!AJ21+'3'!AJ21</f>
        <v>0</v>
      </c>
      <c r="AK21" s="91">
        <f>'1'!AK21+'2'!AK21+'3'!AK21</f>
        <v>0</v>
      </c>
      <c r="AL21" s="91">
        <f>'1'!AL21+'2'!AL21+'3'!AL21</f>
        <v>0</v>
      </c>
      <c r="AM21" s="91">
        <f>'1'!AM21+'2'!AM21+'3'!AM21</f>
        <v>0</v>
      </c>
      <c r="AN21" s="91">
        <f>'1'!AN21+'2'!AN21+'3'!AN21</f>
        <v>0</v>
      </c>
      <c r="AO21" s="91">
        <f>'1'!AO21+'2'!AO21+'3'!AO21</f>
        <v>0</v>
      </c>
      <c r="AP21" s="91">
        <f>'1'!AP21+'2'!AP21+'3'!AP21</f>
        <v>0</v>
      </c>
      <c r="AQ21" s="16">
        <f t="shared" si="34"/>
        <v>0</v>
      </c>
      <c r="AR21" s="17">
        <f t="shared" si="42"/>
        <v>0</v>
      </c>
      <c r="AS21" s="15"/>
      <c r="AT21" s="15"/>
      <c r="AU21" s="92">
        <f t="shared" si="35"/>
        <v>0</v>
      </c>
      <c r="AV21" s="92">
        <f t="shared" si="36"/>
        <v>0</v>
      </c>
      <c r="AW21" s="92">
        <f t="shared" si="37"/>
        <v>0</v>
      </c>
      <c r="AX21" s="92">
        <f t="shared" si="38"/>
        <v>0</v>
      </c>
      <c r="AY21" s="18">
        <f t="shared" si="41"/>
        <v>0</v>
      </c>
      <c r="AZ21" s="18">
        <f t="shared" si="41"/>
        <v>0</v>
      </c>
      <c r="BA21" s="74">
        <f t="shared" si="43"/>
        <v>0</v>
      </c>
      <c r="BB21" s="139"/>
      <c r="BC21"/>
    </row>
    <row r="22" spans="1:55" ht="15" hidden="1" customHeight="1" x14ac:dyDescent="0.25">
      <c r="A22" s="70" t="s">
        <v>63</v>
      </c>
      <c r="B22" s="113"/>
      <c r="C22" s="113">
        <v>25</v>
      </c>
      <c r="D22" s="121">
        <f t="shared" si="39"/>
        <v>0</v>
      </c>
      <c r="E22" s="16">
        <f t="shared" si="40"/>
        <v>0</v>
      </c>
      <c r="F22" s="91">
        <f>'1'!F22+'2'!F22+'3'!F22</f>
        <v>0</v>
      </c>
      <c r="G22" s="91">
        <f>'1'!G22+'2'!G22+'3'!G22</f>
        <v>0</v>
      </c>
      <c r="H22" s="135">
        <f>'1'!H22+'2'!H22+'3'!H22</f>
        <v>0</v>
      </c>
      <c r="I22" s="135">
        <f>'1'!I22+'2'!I22+'3'!I22</f>
        <v>0</v>
      </c>
      <c r="J22" s="8" t="s">
        <v>55</v>
      </c>
      <c r="K22" s="133">
        <f>'1'!K22+'2'!K22+'3'!K22</f>
        <v>0</v>
      </c>
      <c r="L22" s="133">
        <f>'1'!L22+'2'!L22+'3'!L22</f>
        <v>0</v>
      </c>
      <c r="M22" s="91">
        <f>'1'!M22+'2'!M22+'3'!M22</f>
        <v>0</v>
      </c>
      <c r="N22" s="91">
        <f>'1'!N22+'2'!N22+'3'!N22</f>
        <v>0</v>
      </c>
      <c r="O22" s="91">
        <f>'1'!O22+'2'!O22+'3'!O22</f>
        <v>0</v>
      </c>
      <c r="P22" s="91">
        <f>'1'!P22+'2'!P22+'3'!P22</f>
        <v>0</v>
      </c>
      <c r="Q22" s="91">
        <f>'1'!Q22+'2'!Q22+'3'!Q22</f>
        <v>0</v>
      </c>
      <c r="R22" s="91">
        <f>'1'!R22+'2'!R22+'3'!R22</f>
        <v>0</v>
      </c>
      <c r="S22" s="91">
        <f>'1'!S22+'2'!S22+'3'!S22</f>
        <v>0</v>
      </c>
      <c r="T22" s="91">
        <f>'1'!T22+'2'!T22+'3'!T22</f>
        <v>0</v>
      </c>
      <c r="U22" s="91">
        <f>'1'!U22+'2'!U22+'3'!U22</f>
        <v>0</v>
      </c>
      <c r="V22" s="91">
        <f>'1'!V22+'2'!V22+'3'!V22</f>
        <v>0</v>
      </c>
      <c r="W22" s="91">
        <f>'1'!W22+'2'!W22+'3'!W22</f>
        <v>0</v>
      </c>
      <c r="X22" s="91">
        <f>'1'!X22+'2'!X22+'3'!X22</f>
        <v>0</v>
      </c>
      <c r="Y22" s="91">
        <f>'1'!Y22+'2'!Y22+'3'!Y22</f>
        <v>0</v>
      </c>
      <c r="Z22" s="91">
        <f>'1'!Z22+'2'!Z22+'3'!Z22</f>
        <v>0</v>
      </c>
      <c r="AA22" s="91">
        <f>'1'!AA22+'2'!AA22+'3'!AA22</f>
        <v>0</v>
      </c>
      <c r="AB22" s="91">
        <f>'1'!AB22+'2'!AB22+'3'!AB22</f>
        <v>0</v>
      </c>
      <c r="AC22" s="91">
        <f>'1'!AC22+'2'!AC22+'3'!AC22</f>
        <v>0</v>
      </c>
      <c r="AD22" s="91">
        <f>'1'!AD22+'2'!AD22+'3'!AD22</f>
        <v>0</v>
      </c>
      <c r="AE22" s="91">
        <f>'1'!AE22+'2'!AE22+'3'!AE22</f>
        <v>0</v>
      </c>
      <c r="AF22" s="91">
        <f>'1'!AF22+'2'!AF22+'3'!AF22</f>
        <v>0</v>
      </c>
      <c r="AG22" s="91">
        <f>'1'!AG22+'2'!AG22+'3'!AG22</f>
        <v>0</v>
      </c>
      <c r="AH22" s="91">
        <f>'1'!AH22+'2'!AH22+'3'!AH22</f>
        <v>0</v>
      </c>
      <c r="AI22" s="91">
        <f>'1'!AI22+'2'!AI22+'3'!AI22</f>
        <v>0</v>
      </c>
      <c r="AJ22" s="91">
        <f>'1'!AJ22+'2'!AJ22+'3'!AJ22</f>
        <v>0</v>
      </c>
      <c r="AK22" s="91">
        <f>'1'!AK22+'2'!AK22+'3'!AK22</f>
        <v>0</v>
      </c>
      <c r="AL22" s="91">
        <f>'1'!AL22+'2'!AL22+'3'!AL22</f>
        <v>0</v>
      </c>
      <c r="AM22" s="91">
        <f>'1'!AM22+'2'!AM22+'3'!AM22</f>
        <v>0</v>
      </c>
      <c r="AN22" s="91">
        <f>'1'!AN22+'2'!AN22+'3'!AN22</f>
        <v>0</v>
      </c>
      <c r="AO22" s="91">
        <f>'1'!AO22+'2'!AO22+'3'!AO22</f>
        <v>0</v>
      </c>
      <c r="AP22" s="91">
        <f>'1'!AP22+'2'!AP22+'3'!AP22</f>
        <v>0</v>
      </c>
      <c r="AQ22" s="16">
        <f t="shared" si="34"/>
        <v>0</v>
      </c>
      <c r="AR22" s="17">
        <f t="shared" si="42"/>
        <v>0</v>
      </c>
      <c r="AS22" s="15"/>
      <c r="AT22" s="15"/>
      <c r="AU22" s="92">
        <f t="shared" si="35"/>
        <v>0</v>
      </c>
      <c r="AV22" s="92">
        <f t="shared" si="36"/>
        <v>0</v>
      </c>
      <c r="AW22" s="92">
        <f t="shared" si="37"/>
        <v>0</v>
      </c>
      <c r="AX22" s="92">
        <f t="shared" si="38"/>
        <v>0</v>
      </c>
      <c r="AY22" s="18">
        <f t="shared" si="41"/>
        <v>0</v>
      </c>
      <c r="AZ22" s="18">
        <f t="shared" si="41"/>
        <v>0</v>
      </c>
      <c r="BA22" s="74">
        <f t="shared" si="43"/>
        <v>0</v>
      </c>
      <c r="BB22" s="139"/>
      <c r="BC22"/>
    </row>
    <row r="23" spans="1:55" ht="15" customHeight="1" thickBot="1" x14ac:dyDescent="0.3">
      <c r="A23" s="90" t="s">
        <v>27</v>
      </c>
      <c r="B23" s="123" t="s">
        <v>148</v>
      </c>
      <c r="C23" s="114">
        <v>17</v>
      </c>
      <c r="D23" s="121">
        <f>AT23*AU23*AW23</f>
        <v>0</v>
      </c>
      <c r="E23" s="16">
        <f>ROUND(AT23*AV23*AX23,4)</f>
        <v>0</v>
      </c>
      <c r="F23" s="91">
        <f>'1'!F23+'2'!F23+'3'!F23</f>
        <v>0</v>
      </c>
      <c r="G23" s="91">
        <f>'1'!G23+'2'!G23+'3'!G23</f>
        <v>0</v>
      </c>
      <c r="H23" s="135">
        <f>'1'!H23+'2'!H23+'3'!H23</f>
        <v>0</v>
      </c>
      <c r="I23" s="135">
        <f>'1'!I23+'2'!I23+'3'!I23</f>
        <v>0</v>
      </c>
      <c r="J23" s="93" t="s">
        <v>55</v>
      </c>
      <c r="K23" s="133">
        <f>'1'!K23+'2'!K23+'3'!K23</f>
        <v>0</v>
      </c>
      <c r="L23" s="133">
        <f>'1'!L23+'2'!L23+'3'!L23</f>
        <v>0</v>
      </c>
      <c r="M23" s="91">
        <f>'1'!M23+'2'!M23+'3'!M23</f>
        <v>0</v>
      </c>
      <c r="N23" s="91">
        <f>'1'!N23+'2'!N23+'3'!N23</f>
        <v>0</v>
      </c>
      <c r="O23" s="91">
        <f>'1'!O23+'2'!O23+'3'!O23</f>
        <v>0</v>
      </c>
      <c r="P23" s="91">
        <f>'1'!P23+'2'!P23+'3'!P23</f>
        <v>0</v>
      </c>
      <c r="Q23" s="91">
        <f>'1'!Q23+'2'!Q23+'3'!Q23</f>
        <v>0</v>
      </c>
      <c r="R23" s="91">
        <f>'1'!R23+'2'!R23+'3'!R23</f>
        <v>0</v>
      </c>
      <c r="S23" s="91">
        <f>'1'!S23+'2'!S23+'3'!S23</f>
        <v>0</v>
      </c>
      <c r="T23" s="91">
        <f>'1'!T23+'2'!T23+'3'!T23</f>
        <v>0</v>
      </c>
      <c r="U23" s="91">
        <f>'1'!U23+'2'!U23+'3'!U23</f>
        <v>0</v>
      </c>
      <c r="V23" s="91">
        <f>'1'!V23+'2'!V23+'3'!V23</f>
        <v>0</v>
      </c>
      <c r="W23" s="91">
        <f>'1'!W23+'2'!W23+'3'!W23</f>
        <v>0</v>
      </c>
      <c r="X23" s="91">
        <f>'1'!X23+'2'!X23+'3'!X23</f>
        <v>0</v>
      </c>
      <c r="Y23" s="91">
        <f>'1'!Y23+'2'!Y23+'3'!Y23</f>
        <v>0</v>
      </c>
      <c r="Z23" s="91">
        <f>'1'!Z23+'2'!Z23+'3'!Z23</f>
        <v>0</v>
      </c>
      <c r="AA23" s="91">
        <f>'1'!AA23+'2'!AA23+'3'!AA23</f>
        <v>0</v>
      </c>
      <c r="AB23" s="91">
        <f>'1'!AB23+'2'!AB23+'3'!AB23</f>
        <v>0</v>
      </c>
      <c r="AC23" s="91">
        <f>'1'!AC23+'2'!AC23+'3'!AC23</f>
        <v>0</v>
      </c>
      <c r="AD23" s="91">
        <f>'1'!AD23+'2'!AD23+'3'!AD23</f>
        <v>0</v>
      </c>
      <c r="AE23" s="91">
        <f>'1'!AE23+'2'!AE23+'3'!AE23</f>
        <v>0</v>
      </c>
      <c r="AF23" s="91">
        <f>'1'!AF23+'2'!AF23+'3'!AF23</f>
        <v>0</v>
      </c>
      <c r="AG23" s="91">
        <f>'1'!AG23+'2'!AG23+'3'!AG23</f>
        <v>0</v>
      </c>
      <c r="AH23" s="91">
        <f>'1'!AH23+'2'!AH23+'3'!AH23</f>
        <v>0</v>
      </c>
      <c r="AI23" s="91">
        <f>'1'!AI23+'2'!AI23+'3'!AI23</f>
        <v>0</v>
      </c>
      <c r="AJ23" s="91">
        <f>'1'!AJ23+'2'!AJ23+'3'!AJ23</f>
        <v>0</v>
      </c>
      <c r="AK23" s="91">
        <f>'1'!AK23+'2'!AK23+'3'!AK23</f>
        <v>0</v>
      </c>
      <c r="AL23" s="91">
        <f>'1'!AL23+'2'!AL23+'3'!AL23</f>
        <v>0</v>
      </c>
      <c r="AM23" s="91">
        <f>'1'!AM23+'2'!AM23+'3'!AM23</f>
        <v>0</v>
      </c>
      <c r="AN23" s="91">
        <f>'1'!AN23+'2'!AN23+'3'!AN23</f>
        <v>0</v>
      </c>
      <c r="AO23" s="91">
        <f>'1'!AO23+'2'!AO23+'3'!AO23</f>
        <v>0</v>
      </c>
      <c r="AP23" s="91">
        <f>'1'!AP23+'2'!AP23+'3'!AP23</f>
        <v>0</v>
      </c>
      <c r="AQ23" s="16">
        <f t="shared" si="34"/>
        <v>0</v>
      </c>
      <c r="AR23" s="17">
        <f t="shared" si="42"/>
        <v>0</v>
      </c>
      <c r="AS23" s="91">
        <f>AT23</f>
        <v>0</v>
      </c>
      <c r="AT23" s="91">
        <f>'1'!AT23+'2'!AT23+'3'!AT23</f>
        <v>0</v>
      </c>
      <c r="AU23" s="92">
        <f>IF(AT23-AQ23=0,0,(AT23-M23-O23-Q23)/AT23)</f>
        <v>0</v>
      </c>
      <c r="AV23" s="92">
        <f>IF(AT23=0,0,(AT23-N23-P23-R23-AC23-AD23-AE23-AF23-AG23-AH23-AI23-AJ23-AL23)/AT23)</f>
        <v>0</v>
      </c>
      <c r="AW23" s="92">
        <f>IF(OR(AT23=0,AU23=0),0,((AT23*AU23)-S23-U23-W23-AA23-Y23)/(AT23*AU23))</f>
        <v>0</v>
      </c>
      <c r="AX23" s="92">
        <f>IF(OR(AT23=0,AV23=0),0,((AT23*AV23)-AK23-AM23-AN23-AO23-AP23-T23-V23-X23-Z23-AB23)/(AT23*AV23))</f>
        <v>0</v>
      </c>
      <c r="AY23" s="92">
        <f>IF(D23=0,0,K23/D23/24)</f>
        <v>0</v>
      </c>
      <c r="AZ23" s="92">
        <f>IF(E23=0,0,L23/E23/24)</f>
        <v>0</v>
      </c>
      <c r="BA23" s="95">
        <f>ROUND(AT23-E23-AR23,4)</f>
        <v>0</v>
      </c>
      <c r="BB23" s="140"/>
      <c r="BC23"/>
    </row>
    <row r="24" spans="1:55" ht="15" customHeight="1" thickBot="1" x14ac:dyDescent="0.3">
      <c r="A24" s="87" t="s">
        <v>80</v>
      </c>
      <c r="B24" s="124"/>
      <c r="C24" s="87"/>
      <c r="D24" s="129">
        <f t="shared" ref="D24" si="44">SUM(D25:D41)</f>
        <v>0</v>
      </c>
      <c r="E24" s="129">
        <f>SUM(E25:E41)</f>
        <v>0</v>
      </c>
      <c r="F24" s="129">
        <f>SUM(F25:F41)</f>
        <v>0</v>
      </c>
      <c r="G24" s="129">
        <f t="shared" ref="G24:AP24" si="45">SUM(G25:G41)</f>
        <v>0</v>
      </c>
      <c r="H24" s="131">
        <f t="shared" si="45"/>
        <v>0</v>
      </c>
      <c r="I24" s="131">
        <f t="shared" si="45"/>
        <v>0</v>
      </c>
      <c r="J24" s="129">
        <f t="shared" si="45"/>
        <v>0</v>
      </c>
      <c r="K24" s="130">
        <f t="shared" si="45"/>
        <v>0</v>
      </c>
      <c r="L24" s="130">
        <f t="shared" si="45"/>
        <v>0</v>
      </c>
      <c r="M24" s="129">
        <f t="shared" si="45"/>
        <v>0</v>
      </c>
      <c r="N24" s="129">
        <f t="shared" si="45"/>
        <v>0</v>
      </c>
      <c r="O24" s="129">
        <f t="shared" si="45"/>
        <v>0</v>
      </c>
      <c r="P24" s="129">
        <f t="shared" si="45"/>
        <v>0</v>
      </c>
      <c r="Q24" s="129">
        <f t="shared" si="45"/>
        <v>0</v>
      </c>
      <c r="R24" s="129">
        <f t="shared" si="45"/>
        <v>0</v>
      </c>
      <c r="S24" s="129">
        <f t="shared" si="45"/>
        <v>0</v>
      </c>
      <c r="T24" s="129">
        <f t="shared" si="45"/>
        <v>0</v>
      </c>
      <c r="U24" s="129">
        <f t="shared" si="45"/>
        <v>0</v>
      </c>
      <c r="V24" s="129">
        <f t="shared" si="45"/>
        <v>0</v>
      </c>
      <c r="W24" s="129">
        <f t="shared" si="45"/>
        <v>0</v>
      </c>
      <c r="X24" s="129">
        <f t="shared" si="45"/>
        <v>0</v>
      </c>
      <c r="Y24" s="129">
        <f t="shared" si="45"/>
        <v>0</v>
      </c>
      <c r="Z24" s="129">
        <f t="shared" si="45"/>
        <v>0</v>
      </c>
      <c r="AA24" s="129">
        <f t="shared" si="45"/>
        <v>0</v>
      </c>
      <c r="AB24" s="129">
        <f t="shared" si="45"/>
        <v>0</v>
      </c>
      <c r="AC24" s="129">
        <f t="shared" si="45"/>
        <v>0</v>
      </c>
      <c r="AD24" s="129">
        <f t="shared" si="45"/>
        <v>0</v>
      </c>
      <c r="AE24" s="129">
        <f t="shared" si="45"/>
        <v>0</v>
      </c>
      <c r="AF24" s="129">
        <f t="shared" si="45"/>
        <v>0</v>
      </c>
      <c r="AG24" s="129">
        <f t="shared" si="45"/>
        <v>0</v>
      </c>
      <c r="AH24" s="129">
        <f t="shared" si="45"/>
        <v>0</v>
      </c>
      <c r="AI24" s="129">
        <f t="shared" si="45"/>
        <v>0</v>
      </c>
      <c r="AJ24" s="129">
        <f t="shared" si="45"/>
        <v>0</v>
      </c>
      <c r="AK24" s="129">
        <f t="shared" si="45"/>
        <v>0</v>
      </c>
      <c r="AL24" s="129">
        <f>SUM(AL25:AL41)</f>
        <v>0</v>
      </c>
      <c r="AM24" s="129">
        <f t="shared" si="45"/>
        <v>0</v>
      </c>
      <c r="AN24" s="129">
        <f t="shared" si="45"/>
        <v>0</v>
      </c>
      <c r="AO24" s="129">
        <f t="shared" si="45"/>
        <v>0</v>
      </c>
      <c r="AP24" s="129">
        <f t="shared" si="45"/>
        <v>0</v>
      </c>
      <c r="AQ24" s="129">
        <f t="shared" si="34"/>
        <v>0</v>
      </c>
      <c r="AR24" s="129">
        <f t="shared" si="42"/>
        <v>0</v>
      </c>
      <c r="AS24" s="129">
        <f t="shared" ref="AS24:AS59" si="46">AT24</f>
        <v>0</v>
      </c>
      <c r="AT24" s="129">
        <f>SUM(AT25:AT41)</f>
        <v>0</v>
      </c>
      <c r="AU24" s="131">
        <f t="shared" ref="AU24:AU59" si="47">IF(AT24-AQ24=0,0,(AT24-M24-O24-Q24)/AT24)</f>
        <v>0</v>
      </c>
      <c r="AV24" s="131">
        <f t="shared" si="36"/>
        <v>0</v>
      </c>
      <c r="AW24" s="131">
        <f t="shared" ref="AW24:AW59" si="48">IF(OR(AT24=0,AU24=0),0,((AT24*AU24)-S24-U24-W24-AA24-Y24)/(AT24*AU24))</f>
        <v>0</v>
      </c>
      <c r="AX24" s="131">
        <f t="shared" ref="AX24:AX59" si="49">IF(OR(AT24=0,AV24=0),0,((AT24*AV24)-AK24-AM24-AN24-AO24-AP24-T24-V24-X24-Z24-AB24)/(AT24*AV24))</f>
        <v>0</v>
      </c>
      <c r="AY24" s="131">
        <f>SUM(AY25:AY41)</f>
        <v>0</v>
      </c>
      <c r="AZ24" s="131">
        <f>SUM(AZ25:AZ41)</f>
        <v>0</v>
      </c>
      <c r="BA24" s="129">
        <f t="shared" ref="BA24:BA59" si="50">ROUND(AT24-E24-AR24,4)</f>
        <v>0</v>
      </c>
      <c r="BB24" s="141"/>
      <c r="BC24"/>
    </row>
    <row r="25" spans="1:55" ht="15" hidden="1" customHeight="1" x14ac:dyDescent="0.25">
      <c r="A25" s="97" t="s">
        <v>28</v>
      </c>
      <c r="B25" s="115"/>
      <c r="C25" s="115">
        <v>30</v>
      </c>
      <c r="D25" s="121">
        <f>AT25*AU25*AW25</f>
        <v>0</v>
      </c>
      <c r="E25" s="16">
        <f>ROUND(AT25*AV25*AX25,4)</f>
        <v>0</v>
      </c>
      <c r="F25" s="91">
        <f>'1'!F25+'2'!F25+'3'!F25</f>
        <v>0</v>
      </c>
      <c r="G25" s="91">
        <f>'1'!G25+'2'!G25+'3'!G25</f>
        <v>0</v>
      </c>
      <c r="H25" s="135">
        <f>'1'!H25+'2'!H25+'3'!H25</f>
        <v>0</v>
      </c>
      <c r="I25" s="135">
        <f>'1'!I25+'2'!I25+'3'!I25</f>
        <v>0</v>
      </c>
      <c r="J25" s="98" t="s">
        <v>68</v>
      </c>
      <c r="K25" s="133">
        <f>'1'!K25+'2'!K25+'3'!K25</f>
        <v>0</v>
      </c>
      <c r="L25" s="133">
        <f>'1'!L25+'2'!L25+'3'!L25</f>
        <v>0</v>
      </c>
      <c r="M25" s="91">
        <f>'1'!M25+'2'!M25+'3'!M25</f>
        <v>0</v>
      </c>
      <c r="N25" s="91">
        <f>'1'!N25+'2'!N25+'3'!N25</f>
        <v>0</v>
      </c>
      <c r="O25" s="91">
        <f>'1'!O25+'2'!O25+'3'!O25</f>
        <v>0</v>
      </c>
      <c r="P25" s="91">
        <f>'1'!P25+'2'!P25+'3'!P25</f>
        <v>0</v>
      </c>
      <c r="Q25" s="91">
        <f>'1'!Q25+'2'!Q25+'3'!Q25</f>
        <v>0</v>
      </c>
      <c r="R25" s="91">
        <f>'1'!R25+'2'!R25+'3'!R25</f>
        <v>0</v>
      </c>
      <c r="S25" s="91">
        <f>'1'!S25+'2'!S25+'3'!S25</f>
        <v>0</v>
      </c>
      <c r="T25" s="91">
        <f>'1'!T25+'2'!T25+'3'!T25</f>
        <v>0</v>
      </c>
      <c r="U25" s="91">
        <f>'1'!U25+'2'!U25+'3'!U25</f>
        <v>0</v>
      </c>
      <c r="V25" s="91">
        <f>'1'!V25+'2'!V25+'3'!V25</f>
        <v>0</v>
      </c>
      <c r="W25" s="91">
        <f>'1'!W25+'2'!W25+'3'!W25</f>
        <v>0</v>
      </c>
      <c r="X25" s="91">
        <f>'1'!X25+'2'!X25+'3'!X25</f>
        <v>0</v>
      </c>
      <c r="Y25" s="91">
        <f>'1'!Y25+'2'!Y25+'3'!Y25</f>
        <v>0</v>
      </c>
      <c r="Z25" s="91">
        <f>'1'!Z25+'2'!Z25+'3'!Z25</f>
        <v>0</v>
      </c>
      <c r="AA25" s="91">
        <f>'1'!AA25+'2'!AA25+'3'!AA25</f>
        <v>0</v>
      </c>
      <c r="AB25" s="91">
        <f>'1'!AB25+'2'!AB25+'3'!AB25</f>
        <v>0</v>
      </c>
      <c r="AC25" s="91">
        <f>'1'!AC25+'2'!AC25+'3'!AC25</f>
        <v>0</v>
      </c>
      <c r="AD25" s="91">
        <f>'1'!AD25+'2'!AD25+'3'!AD25</f>
        <v>0</v>
      </c>
      <c r="AE25" s="91">
        <f>'1'!AE25+'2'!AE25+'3'!AE25</f>
        <v>0</v>
      </c>
      <c r="AF25" s="91">
        <f>'1'!AF25+'2'!AF25+'3'!AF25</f>
        <v>0</v>
      </c>
      <c r="AG25" s="91">
        <f>'1'!AG25+'2'!AG25+'3'!AG25</f>
        <v>0</v>
      </c>
      <c r="AH25" s="91">
        <f>'1'!AH25+'2'!AH25+'3'!AH25</f>
        <v>0</v>
      </c>
      <c r="AI25" s="91">
        <f>'1'!AI25+'2'!AI25+'3'!AI25</f>
        <v>0</v>
      </c>
      <c r="AJ25" s="91">
        <f>'1'!AJ25+'2'!AJ25+'3'!AJ25</f>
        <v>0</v>
      </c>
      <c r="AK25" s="91">
        <f>'1'!AK25+'2'!AK25+'3'!AK25</f>
        <v>0</v>
      </c>
      <c r="AL25" s="91">
        <f>'1'!AL25+'2'!AL25+'3'!AL25</f>
        <v>0</v>
      </c>
      <c r="AM25" s="91">
        <f>'1'!AM25+'2'!AM25+'3'!AM25</f>
        <v>0</v>
      </c>
      <c r="AN25" s="91">
        <f>'1'!AN25+'2'!AN25+'3'!AN25</f>
        <v>0</v>
      </c>
      <c r="AO25" s="91">
        <f>'1'!AO25+'2'!AO25+'3'!AO25</f>
        <v>0</v>
      </c>
      <c r="AP25" s="91">
        <f>'1'!AP25+'2'!AP25+'3'!AP25</f>
        <v>0</v>
      </c>
      <c r="AQ25" s="16">
        <f t="shared" si="34"/>
        <v>0</v>
      </c>
      <c r="AR25" s="17">
        <f t="shared" si="42"/>
        <v>0</v>
      </c>
      <c r="AS25" s="91">
        <f t="shared" si="46"/>
        <v>0</v>
      </c>
      <c r="AT25" s="17"/>
      <c r="AU25" s="92">
        <f t="shared" si="47"/>
        <v>0</v>
      </c>
      <c r="AV25" s="92">
        <f t="shared" si="36"/>
        <v>0</v>
      </c>
      <c r="AW25" s="92">
        <f t="shared" si="48"/>
        <v>0</v>
      </c>
      <c r="AX25" s="92">
        <f t="shared" si="49"/>
        <v>0</v>
      </c>
      <c r="AY25" s="82">
        <f t="shared" ref="AY25:AZ25" si="51">IF(D25=0,0,K25/D25/24)</f>
        <v>0</v>
      </c>
      <c r="AZ25" s="82">
        <f t="shared" si="51"/>
        <v>0</v>
      </c>
      <c r="BA25" s="95">
        <f t="shared" si="50"/>
        <v>0</v>
      </c>
      <c r="BB25" s="138"/>
      <c r="BC25"/>
    </row>
    <row r="26" spans="1:55" ht="15" customHeight="1" x14ac:dyDescent="0.25">
      <c r="A26" s="71" t="s">
        <v>29</v>
      </c>
      <c r="B26" s="123" t="s">
        <v>137</v>
      </c>
      <c r="C26" s="112">
        <v>32</v>
      </c>
      <c r="D26" s="121">
        <f>AT26*AU26*AW26</f>
        <v>0</v>
      </c>
      <c r="E26" s="16">
        <f>ROUND(AT26*AV26*AX26,4)</f>
        <v>0</v>
      </c>
      <c r="F26" s="91">
        <f>'1'!F26+'2'!F26+'3'!F26</f>
        <v>0</v>
      </c>
      <c r="G26" s="91">
        <f>'1'!G26+'2'!G26+'3'!G26</f>
        <v>0</v>
      </c>
      <c r="H26" s="135">
        <f>'1'!H26+'2'!H26+'3'!H26</f>
        <v>0</v>
      </c>
      <c r="I26" s="135">
        <f>'1'!I26+'2'!I26+'3'!I26</f>
        <v>0</v>
      </c>
      <c r="J26" s="9" t="s">
        <v>68</v>
      </c>
      <c r="K26" s="133">
        <f>'1'!K26+'2'!K26+'3'!K26</f>
        <v>0</v>
      </c>
      <c r="L26" s="133">
        <f>'1'!L26+'2'!L26+'3'!L26</f>
        <v>0</v>
      </c>
      <c r="M26" s="91">
        <f>'1'!M26+'2'!M26+'3'!M26</f>
        <v>0</v>
      </c>
      <c r="N26" s="91">
        <f>'1'!N26+'2'!N26+'3'!N26</f>
        <v>0</v>
      </c>
      <c r="O26" s="91">
        <f>'1'!O26+'2'!O26+'3'!O26</f>
        <v>0</v>
      </c>
      <c r="P26" s="91">
        <f>'1'!P26+'2'!P26+'3'!P26</f>
        <v>0</v>
      </c>
      <c r="Q26" s="91">
        <f>'1'!Q26+'2'!Q26+'3'!Q26</f>
        <v>0</v>
      </c>
      <c r="R26" s="91">
        <f>'1'!R26+'2'!R26+'3'!R26</f>
        <v>0</v>
      </c>
      <c r="S26" s="91">
        <f>'1'!S26+'2'!S26+'3'!S26</f>
        <v>0</v>
      </c>
      <c r="T26" s="91">
        <f>'1'!T26+'2'!T26+'3'!T26</f>
        <v>0</v>
      </c>
      <c r="U26" s="91">
        <f>'1'!U26+'2'!U26+'3'!U26</f>
        <v>0</v>
      </c>
      <c r="V26" s="91">
        <f>'1'!V26+'2'!V26+'3'!V26</f>
        <v>0</v>
      </c>
      <c r="W26" s="91">
        <f>'1'!W26+'2'!W26+'3'!W26</f>
        <v>0</v>
      </c>
      <c r="X26" s="91">
        <f>'1'!X26+'2'!X26+'3'!X26</f>
        <v>0</v>
      </c>
      <c r="Y26" s="91">
        <f>'1'!Y26+'2'!Y26+'3'!Y26</f>
        <v>0</v>
      </c>
      <c r="Z26" s="91">
        <f>'1'!Z26+'2'!Z26+'3'!Z26</f>
        <v>0</v>
      </c>
      <c r="AA26" s="91">
        <f>'1'!AA26+'2'!AA26+'3'!AA26</f>
        <v>0</v>
      </c>
      <c r="AB26" s="91">
        <f>'1'!AB26+'2'!AB26+'3'!AB26</f>
        <v>0</v>
      </c>
      <c r="AC26" s="91">
        <f>'1'!AC26+'2'!AC26+'3'!AC26</f>
        <v>0</v>
      </c>
      <c r="AD26" s="91">
        <f>'1'!AD26+'2'!AD26+'3'!AD26</f>
        <v>0</v>
      </c>
      <c r="AE26" s="91">
        <f>'1'!AE26+'2'!AE26+'3'!AE26</f>
        <v>0</v>
      </c>
      <c r="AF26" s="91">
        <f>'1'!AF26+'2'!AF26+'3'!AF26</f>
        <v>0</v>
      </c>
      <c r="AG26" s="91">
        <f>'1'!AG26+'2'!AG26+'3'!AG26</f>
        <v>0</v>
      </c>
      <c r="AH26" s="91">
        <f>'1'!AH26+'2'!AH26+'3'!AH26</f>
        <v>0</v>
      </c>
      <c r="AI26" s="91">
        <f>'1'!AI26+'2'!AI26+'3'!AI26</f>
        <v>0</v>
      </c>
      <c r="AJ26" s="91">
        <f>'1'!AJ26+'2'!AJ26+'3'!AJ26</f>
        <v>0</v>
      </c>
      <c r="AK26" s="91">
        <f>'1'!AK26+'2'!AK26+'3'!AK26</f>
        <v>0</v>
      </c>
      <c r="AL26" s="91">
        <f>'1'!AL26+'2'!AL26+'3'!AL26</f>
        <v>0</v>
      </c>
      <c r="AM26" s="91">
        <f>'1'!AM26+'2'!AM26+'3'!AM26</f>
        <v>0</v>
      </c>
      <c r="AN26" s="91">
        <f>'1'!AN26+'2'!AN26+'3'!AN26</f>
        <v>0</v>
      </c>
      <c r="AO26" s="91">
        <f>'1'!AO26+'2'!AO26+'3'!AO26</f>
        <v>0</v>
      </c>
      <c r="AP26" s="91">
        <f>'1'!AP26+'2'!AP26+'3'!AP26</f>
        <v>0</v>
      </c>
      <c r="AQ26" s="16">
        <f t="shared" si="34"/>
        <v>0</v>
      </c>
      <c r="AR26" s="17">
        <f t="shared" si="42"/>
        <v>0</v>
      </c>
      <c r="AS26" s="91">
        <f t="shared" si="46"/>
        <v>0</v>
      </c>
      <c r="AT26" s="91">
        <f>'1'!AT26+'2'!AT26+'3'!AT26</f>
        <v>0</v>
      </c>
      <c r="AU26" s="92">
        <f t="shared" si="47"/>
        <v>0</v>
      </c>
      <c r="AV26" s="92">
        <f t="shared" si="36"/>
        <v>0</v>
      </c>
      <c r="AW26" s="92">
        <f t="shared" si="48"/>
        <v>0</v>
      </c>
      <c r="AX26" s="92">
        <f t="shared" si="49"/>
        <v>0</v>
      </c>
      <c r="AY26" s="82">
        <f t="shared" ref="AY26:AY41" si="52">IF(D26=0,0,K26/D26/24)</f>
        <v>0</v>
      </c>
      <c r="AZ26" s="82">
        <f t="shared" ref="AZ26:AZ41" si="53">IF(E26=0,0,L26/E26/24)</f>
        <v>0</v>
      </c>
      <c r="BA26" s="95">
        <f t="shared" si="50"/>
        <v>0</v>
      </c>
      <c r="BB26" s="139"/>
      <c r="BC26"/>
    </row>
    <row r="27" spans="1:55" ht="15" customHeight="1" thickBot="1" x14ac:dyDescent="0.3">
      <c r="A27" s="71" t="s">
        <v>30</v>
      </c>
      <c r="B27" s="123" t="s">
        <v>138</v>
      </c>
      <c r="C27" s="112">
        <v>35</v>
      </c>
      <c r="D27" s="121">
        <f>AT27*AU27*AW27</f>
        <v>0</v>
      </c>
      <c r="E27" s="16">
        <f>ROUND(AT27*AV27*AX27,4)</f>
        <v>0</v>
      </c>
      <c r="F27" s="91">
        <f>'1'!F27+'2'!F27+'3'!F27</f>
        <v>0</v>
      </c>
      <c r="G27" s="91">
        <f>'1'!G27+'2'!G27+'3'!G27</f>
        <v>0</v>
      </c>
      <c r="H27" s="135">
        <f>'1'!H27+'2'!H27+'3'!H27</f>
        <v>0</v>
      </c>
      <c r="I27" s="135">
        <f>'1'!I27+'2'!I27+'3'!I27</f>
        <v>0</v>
      </c>
      <c r="J27" s="9" t="s">
        <v>68</v>
      </c>
      <c r="K27" s="133">
        <f>'1'!K27+'2'!K27+'3'!K27</f>
        <v>0</v>
      </c>
      <c r="L27" s="133">
        <f>'1'!L27+'2'!L27+'3'!L27</f>
        <v>0</v>
      </c>
      <c r="M27" s="91">
        <f>'1'!M27+'2'!M27+'3'!M27</f>
        <v>0</v>
      </c>
      <c r="N27" s="91">
        <f>'1'!N27+'2'!N27+'3'!N27</f>
        <v>0</v>
      </c>
      <c r="O27" s="91">
        <f>'1'!O27+'2'!O27+'3'!O27</f>
        <v>0</v>
      </c>
      <c r="P27" s="91">
        <f>'1'!P27+'2'!P27+'3'!P27</f>
        <v>0</v>
      </c>
      <c r="Q27" s="91">
        <f>'1'!Q27+'2'!Q27+'3'!Q27</f>
        <v>0</v>
      </c>
      <c r="R27" s="91">
        <f>'1'!R27+'2'!R27+'3'!R27</f>
        <v>0</v>
      </c>
      <c r="S27" s="91">
        <f>'1'!S27+'2'!S27+'3'!S27</f>
        <v>0</v>
      </c>
      <c r="T27" s="91">
        <f>'1'!T27+'2'!T27+'3'!T27</f>
        <v>0</v>
      </c>
      <c r="U27" s="91">
        <f>'1'!U27+'2'!U27+'3'!U27</f>
        <v>0</v>
      </c>
      <c r="V27" s="91">
        <f>'1'!V27+'2'!V27+'3'!V27</f>
        <v>0</v>
      </c>
      <c r="W27" s="91">
        <f>'1'!W27+'2'!W27+'3'!W27</f>
        <v>0</v>
      </c>
      <c r="X27" s="91">
        <f>'1'!X27+'2'!X27+'3'!X27</f>
        <v>0</v>
      </c>
      <c r="Y27" s="91">
        <f>'1'!Y27+'2'!Y27+'3'!Y27</f>
        <v>0</v>
      </c>
      <c r="Z27" s="91">
        <f>'1'!Z27+'2'!Z27+'3'!Z27</f>
        <v>0</v>
      </c>
      <c r="AA27" s="91">
        <f>'1'!AA27+'2'!AA27+'3'!AA27</f>
        <v>0</v>
      </c>
      <c r="AB27" s="91">
        <f>'1'!AB27+'2'!AB27+'3'!AB27</f>
        <v>0</v>
      </c>
      <c r="AC27" s="91">
        <f>'1'!AC27+'2'!AC27+'3'!AC27</f>
        <v>0</v>
      </c>
      <c r="AD27" s="91">
        <f>'1'!AD27+'2'!AD27+'3'!AD27</f>
        <v>0</v>
      </c>
      <c r="AE27" s="91">
        <f>'1'!AE27+'2'!AE27+'3'!AE27</f>
        <v>0</v>
      </c>
      <c r="AF27" s="91">
        <f>'1'!AF27+'2'!AF27+'3'!AF27</f>
        <v>0</v>
      </c>
      <c r="AG27" s="91">
        <f>'1'!AG27+'2'!AG27+'3'!AG27</f>
        <v>0</v>
      </c>
      <c r="AH27" s="91">
        <f>'1'!AH27+'2'!AH27+'3'!AH27</f>
        <v>0</v>
      </c>
      <c r="AI27" s="91">
        <f>'1'!AI27+'2'!AI27+'3'!AI27</f>
        <v>0</v>
      </c>
      <c r="AJ27" s="91">
        <f>'1'!AJ27+'2'!AJ27+'3'!AJ27</f>
        <v>0</v>
      </c>
      <c r="AK27" s="91">
        <f>'1'!AK27+'2'!AK27+'3'!AK27</f>
        <v>0</v>
      </c>
      <c r="AL27" s="91">
        <f>'1'!AL27+'2'!AL27+'3'!AL27</f>
        <v>0</v>
      </c>
      <c r="AM27" s="91">
        <f>'1'!AM27+'2'!AM27+'3'!AM27</f>
        <v>0</v>
      </c>
      <c r="AN27" s="91">
        <f>'1'!AN27+'2'!AN27+'3'!AN27</f>
        <v>0</v>
      </c>
      <c r="AO27" s="91">
        <f>'1'!AO27+'2'!AO27+'3'!AO27</f>
        <v>0</v>
      </c>
      <c r="AP27" s="91">
        <f>'1'!AP27+'2'!AP27+'3'!AP27</f>
        <v>0</v>
      </c>
      <c r="AQ27" s="16">
        <f t="shared" si="34"/>
        <v>0</v>
      </c>
      <c r="AR27" s="17">
        <f t="shared" si="42"/>
        <v>0</v>
      </c>
      <c r="AS27" s="91">
        <f t="shared" si="46"/>
        <v>0</v>
      </c>
      <c r="AT27" s="91">
        <f>'1'!AT27+'2'!AT27+'3'!AT27</f>
        <v>0</v>
      </c>
      <c r="AU27" s="92">
        <f t="shared" si="47"/>
        <v>0</v>
      </c>
      <c r="AV27" s="92">
        <f t="shared" si="36"/>
        <v>0</v>
      </c>
      <c r="AW27" s="92">
        <f t="shared" si="48"/>
        <v>0</v>
      </c>
      <c r="AX27" s="92">
        <f t="shared" si="49"/>
        <v>0</v>
      </c>
      <c r="AY27" s="82">
        <f t="shared" si="52"/>
        <v>0</v>
      </c>
      <c r="AZ27" s="82">
        <f t="shared" si="53"/>
        <v>0</v>
      </c>
      <c r="BA27" s="95">
        <f t="shared" si="50"/>
        <v>0</v>
      </c>
      <c r="BB27" s="139"/>
      <c r="BC27"/>
    </row>
    <row r="28" spans="1:55" ht="15" hidden="1" customHeight="1" x14ac:dyDescent="0.3">
      <c r="A28" s="72" t="s">
        <v>31</v>
      </c>
      <c r="B28" s="111"/>
      <c r="C28" s="111">
        <v>39</v>
      </c>
      <c r="D28" s="121">
        <f t="shared" ref="D28:D41" si="54">AT28*AU28*AW28</f>
        <v>0</v>
      </c>
      <c r="E28" s="16">
        <f t="shared" ref="E28:E41" si="55">ROUND(AT28*AV28*AX28,4)</f>
        <v>0</v>
      </c>
      <c r="F28" s="91">
        <f>'1'!F28+'2'!F28+'3'!F28</f>
        <v>0</v>
      </c>
      <c r="G28" s="91">
        <f>'1'!G28+'2'!G28+'3'!G28</f>
        <v>0</v>
      </c>
      <c r="H28" s="135">
        <f>'1'!H28+'2'!H28+'3'!H28</f>
        <v>0</v>
      </c>
      <c r="I28" s="135">
        <f>'1'!I28+'2'!I28+'3'!I28</f>
        <v>0</v>
      </c>
      <c r="J28" s="9" t="s">
        <v>68</v>
      </c>
      <c r="K28" s="133">
        <f>'1'!K28+'2'!K28+'3'!K28</f>
        <v>0</v>
      </c>
      <c r="L28" s="133">
        <f>'1'!L28+'2'!L28+'3'!L28</f>
        <v>0</v>
      </c>
      <c r="M28" s="91">
        <f>'1'!M28+'2'!M28+'3'!M28</f>
        <v>0</v>
      </c>
      <c r="N28" s="91">
        <f>'1'!N28+'2'!N28+'3'!N28</f>
        <v>0</v>
      </c>
      <c r="O28" s="91">
        <f>'1'!O28+'2'!O28+'3'!O28</f>
        <v>0</v>
      </c>
      <c r="P28" s="91">
        <f>'1'!P28+'2'!P28+'3'!P28</f>
        <v>0</v>
      </c>
      <c r="Q28" s="91">
        <f>'1'!Q28+'2'!Q28+'3'!Q28</f>
        <v>0</v>
      </c>
      <c r="R28" s="91">
        <f>'1'!R28+'2'!R28+'3'!R28</f>
        <v>0</v>
      </c>
      <c r="S28" s="91">
        <f>'1'!S28+'2'!S28+'3'!S28</f>
        <v>0</v>
      </c>
      <c r="T28" s="91">
        <f>'1'!T28+'2'!T28+'3'!T28</f>
        <v>0</v>
      </c>
      <c r="U28" s="91">
        <f>'1'!U28+'2'!U28+'3'!U28</f>
        <v>0</v>
      </c>
      <c r="V28" s="91">
        <f>'1'!V28+'2'!V28+'3'!V28</f>
        <v>0</v>
      </c>
      <c r="W28" s="91">
        <f>'1'!W28+'2'!W28+'3'!W28</f>
        <v>0</v>
      </c>
      <c r="X28" s="91">
        <f>'1'!X28+'2'!X28+'3'!X28</f>
        <v>0</v>
      </c>
      <c r="Y28" s="91">
        <f>'1'!Y28+'2'!Y28+'3'!Y28</f>
        <v>0</v>
      </c>
      <c r="Z28" s="91">
        <f>'1'!Z28+'2'!Z28+'3'!Z28</f>
        <v>0</v>
      </c>
      <c r="AA28" s="91">
        <f>'1'!AA28+'2'!AA28+'3'!AA28</f>
        <v>0</v>
      </c>
      <c r="AB28" s="91">
        <f>'1'!AB28+'2'!AB28+'3'!AB28</f>
        <v>0</v>
      </c>
      <c r="AC28" s="91">
        <f>'1'!AC28+'2'!AC28+'3'!AC28</f>
        <v>0</v>
      </c>
      <c r="AD28" s="91">
        <f>'1'!AD28+'2'!AD28+'3'!AD28</f>
        <v>0</v>
      </c>
      <c r="AE28" s="91">
        <f>'1'!AE28+'2'!AE28+'3'!AE28</f>
        <v>0</v>
      </c>
      <c r="AF28" s="91">
        <f>'1'!AF28+'2'!AF28+'3'!AF28</f>
        <v>0</v>
      </c>
      <c r="AG28" s="91">
        <f>'1'!AG28+'2'!AG28+'3'!AG28</f>
        <v>0</v>
      </c>
      <c r="AH28" s="91">
        <f>'1'!AH28+'2'!AH28+'3'!AH28</f>
        <v>0</v>
      </c>
      <c r="AI28" s="91">
        <f>'1'!AI28+'2'!AI28+'3'!AI28</f>
        <v>0</v>
      </c>
      <c r="AJ28" s="91">
        <f>'1'!AJ28+'2'!AJ28+'3'!AJ28</f>
        <v>0</v>
      </c>
      <c r="AK28" s="91">
        <f>'1'!AK28+'2'!AK28+'3'!AK28</f>
        <v>0</v>
      </c>
      <c r="AL28" s="91">
        <f>'1'!AL28+'2'!AL28+'3'!AL28</f>
        <v>0</v>
      </c>
      <c r="AM28" s="91">
        <f>'1'!AM28+'2'!AM28+'3'!AM28</f>
        <v>0</v>
      </c>
      <c r="AN28" s="91">
        <f>'1'!AN28+'2'!AN28+'3'!AN28</f>
        <v>0</v>
      </c>
      <c r="AO28" s="91">
        <f>'1'!AO28+'2'!AO28+'3'!AO28</f>
        <v>0</v>
      </c>
      <c r="AP28" s="91">
        <f>'1'!AP28+'2'!AP28+'3'!AP28</f>
        <v>0</v>
      </c>
      <c r="AQ28" s="16">
        <f t="shared" si="34"/>
        <v>0</v>
      </c>
      <c r="AR28" s="17">
        <f t="shared" si="42"/>
        <v>0</v>
      </c>
      <c r="AS28" s="91">
        <f t="shared" si="46"/>
        <v>0</v>
      </c>
      <c r="AT28" s="15"/>
      <c r="AU28" s="92">
        <f t="shared" si="47"/>
        <v>0</v>
      </c>
      <c r="AV28" s="92">
        <f t="shared" si="36"/>
        <v>0</v>
      </c>
      <c r="AW28" s="92">
        <f t="shared" si="48"/>
        <v>0</v>
      </c>
      <c r="AX28" s="92">
        <f t="shared" si="49"/>
        <v>0</v>
      </c>
      <c r="AY28" s="82">
        <f t="shared" si="52"/>
        <v>0</v>
      </c>
      <c r="AZ28" s="82">
        <f t="shared" si="53"/>
        <v>0</v>
      </c>
      <c r="BA28" s="95">
        <f t="shared" si="50"/>
        <v>0</v>
      </c>
      <c r="BB28" s="139"/>
      <c r="BC28"/>
    </row>
    <row r="29" spans="1:55" ht="15" hidden="1" customHeight="1" x14ac:dyDescent="0.3">
      <c r="A29" s="72" t="s">
        <v>32</v>
      </c>
      <c r="B29" s="111"/>
      <c r="C29" s="111">
        <v>40</v>
      </c>
      <c r="D29" s="121">
        <f t="shared" si="54"/>
        <v>0</v>
      </c>
      <c r="E29" s="16">
        <f t="shared" si="55"/>
        <v>0</v>
      </c>
      <c r="F29" s="91">
        <f>'1'!F29+'2'!F29+'3'!F29</f>
        <v>0</v>
      </c>
      <c r="G29" s="91">
        <f>'1'!G29+'2'!G29+'3'!G29</f>
        <v>0</v>
      </c>
      <c r="H29" s="135">
        <f>'1'!H29+'2'!H29+'3'!H29</f>
        <v>0</v>
      </c>
      <c r="I29" s="135">
        <f>'1'!I29+'2'!I29+'3'!I29</f>
        <v>0</v>
      </c>
      <c r="J29" s="9" t="s">
        <v>68</v>
      </c>
      <c r="K29" s="133">
        <f>'1'!K29+'2'!K29+'3'!K29</f>
        <v>0</v>
      </c>
      <c r="L29" s="133">
        <f>'1'!L29+'2'!L29+'3'!L29</f>
        <v>0</v>
      </c>
      <c r="M29" s="91">
        <f>'1'!M29+'2'!M29+'3'!M29</f>
        <v>0</v>
      </c>
      <c r="N29" s="91">
        <f>'1'!N29+'2'!N29+'3'!N29</f>
        <v>0</v>
      </c>
      <c r="O29" s="91">
        <f>'1'!O29+'2'!O29+'3'!O29</f>
        <v>0</v>
      </c>
      <c r="P29" s="91">
        <f>'1'!P29+'2'!P29+'3'!P29</f>
        <v>0</v>
      </c>
      <c r="Q29" s="91">
        <f>'1'!Q29+'2'!Q29+'3'!Q29</f>
        <v>0</v>
      </c>
      <c r="R29" s="91">
        <f>'1'!R29+'2'!R29+'3'!R29</f>
        <v>0</v>
      </c>
      <c r="S29" s="91">
        <f>'1'!S29+'2'!S29+'3'!S29</f>
        <v>0</v>
      </c>
      <c r="T29" s="91">
        <f>'1'!T29+'2'!T29+'3'!T29</f>
        <v>0</v>
      </c>
      <c r="U29" s="91">
        <f>'1'!U29+'2'!U29+'3'!U29</f>
        <v>0</v>
      </c>
      <c r="V29" s="91">
        <f>'1'!V29+'2'!V29+'3'!V29</f>
        <v>0</v>
      </c>
      <c r="W29" s="91">
        <f>'1'!W29+'2'!W29+'3'!W29</f>
        <v>0</v>
      </c>
      <c r="X29" s="91">
        <f>'1'!X29+'2'!X29+'3'!X29</f>
        <v>0</v>
      </c>
      <c r="Y29" s="91">
        <f>'1'!Y29+'2'!Y29+'3'!Y29</f>
        <v>0</v>
      </c>
      <c r="Z29" s="91">
        <f>'1'!Z29+'2'!Z29+'3'!Z29</f>
        <v>0</v>
      </c>
      <c r="AA29" s="91">
        <f>'1'!AA29+'2'!AA29+'3'!AA29</f>
        <v>0</v>
      </c>
      <c r="AB29" s="91">
        <f>'1'!AB29+'2'!AB29+'3'!AB29</f>
        <v>0</v>
      </c>
      <c r="AC29" s="91">
        <f>'1'!AC29+'2'!AC29+'3'!AC29</f>
        <v>0</v>
      </c>
      <c r="AD29" s="91">
        <f>'1'!AD29+'2'!AD29+'3'!AD29</f>
        <v>0</v>
      </c>
      <c r="AE29" s="91">
        <f>'1'!AE29+'2'!AE29+'3'!AE29</f>
        <v>0</v>
      </c>
      <c r="AF29" s="91">
        <f>'1'!AF29+'2'!AF29+'3'!AF29</f>
        <v>0</v>
      </c>
      <c r="AG29" s="91">
        <f>'1'!AG29+'2'!AG29+'3'!AG29</f>
        <v>0</v>
      </c>
      <c r="AH29" s="91">
        <f>'1'!AH29+'2'!AH29+'3'!AH29</f>
        <v>0</v>
      </c>
      <c r="AI29" s="91">
        <f>'1'!AI29+'2'!AI29+'3'!AI29</f>
        <v>0</v>
      </c>
      <c r="AJ29" s="91">
        <f>'1'!AJ29+'2'!AJ29+'3'!AJ29</f>
        <v>0</v>
      </c>
      <c r="AK29" s="91">
        <f>'1'!AK29+'2'!AK29+'3'!AK29</f>
        <v>0</v>
      </c>
      <c r="AL29" s="91">
        <f>'1'!AL29+'2'!AL29+'3'!AL29</f>
        <v>0</v>
      </c>
      <c r="AM29" s="91">
        <f>'1'!AM29+'2'!AM29+'3'!AM29</f>
        <v>0</v>
      </c>
      <c r="AN29" s="91">
        <f>'1'!AN29+'2'!AN29+'3'!AN29</f>
        <v>0</v>
      </c>
      <c r="AO29" s="91">
        <f>'1'!AO29+'2'!AO29+'3'!AO29</f>
        <v>0</v>
      </c>
      <c r="AP29" s="91">
        <f>'1'!AP29+'2'!AP29+'3'!AP29</f>
        <v>0</v>
      </c>
      <c r="AQ29" s="16">
        <f t="shared" si="34"/>
        <v>0</v>
      </c>
      <c r="AR29" s="17">
        <f t="shared" si="42"/>
        <v>0</v>
      </c>
      <c r="AS29" s="91">
        <f t="shared" si="46"/>
        <v>0</v>
      </c>
      <c r="AT29" s="15"/>
      <c r="AU29" s="92">
        <f t="shared" si="47"/>
        <v>0</v>
      </c>
      <c r="AV29" s="92">
        <f t="shared" si="36"/>
        <v>0</v>
      </c>
      <c r="AW29" s="92">
        <f t="shared" si="48"/>
        <v>0</v>
      </c>
      <c r="AX29" s="92">
        <f t="shared" si="49"/>
        <v>0</v>
      </c>
      <c r="AY29" s="82">
        <f t="shared" si="52"/>
        <v>0</v>
      </c>
      <c r="AZ29" s="82">
        <f t="shared" si="53"/>
        <v>0</v>
      </c>
      <c r="BA29" s="95">
        <f t="shared" si="50"/>
        <v>0</v>
      </c>
      <c r="BB29" s="139"/>
      <c r="BC29"/>
    </row>
    <row r="30" spans="1:55" ht="15" hidden="1" customHeight="1" x14ac:dyDescent="0.3">
      <c r="A30" s="72" t="s">
        <v>33</v>
      </c>
      <c r="B30" s="111"/>
      <c r="C30" s="111">
        <v>41</v>
      </c>
      <c r="D30" s="121">
        <f t="shared" si="54"/>
        <v>0</v>
      </c>
      <c r="E30" s="16">
        <f t="shared" si="55"/>
        <v>0</v>
      </c>
      <c r="F30" s="91">
        <f>'1'!F30+'2'!F30+'3'!F30</f>
        <v>0</v>
      </c>
      <c r="G30" s="91">
        <f>'1'!G30+'2'!G30+'3'!G30</f>
        <v>0</v>
      </c>
      <c r="H30" s="135">
        <f>'1'!H30+'2'!H30+'3'!H30</f>
        <v>0</v>
      </c>
      <c r="I30" s="135">
        <f>'1'!I30+'2'!I30+'3'!I30</f>
        <v>0</v>
      </c>
      <c r="J30" s="9" t="s">
        <v>68</v>
      </c>
      <c r="K30" s="133">
        <f>'1'!K30+'2'!K30+'3'!K30</f>
        <v>0</v>
      </c>
      <c r="L30" s="133">
        <f>'1'!L30+'2'!L30+'3'!L30</f>
        <v>0</v>
      </c>
      <c r="M30" s="91">
        <f>'1'!M30+'2'!M30+'3'!M30</f>
        <v>0</v>
      </c>
      <c r="N30" s="91">
        <f>'1'!N30+'2'!N30+'3'!N30</f>
        <v>0</v>
      </c>
      <c r="O30" s="91">
        <f>'1'!O30+'2'!O30+'3'!O30</f>
        <v>0</v>
      </c>
      <c r="P30" s="91">
        <f>'1'!P30+'2'!P30+'3'!P30</f>
        <v>0</v>
      </c>
      <c r="Q30" s="91">
        <f>'1'!Q30+'2'!Q30+'3'!Q30</f>
        <v>0</v>
      </c>
      <c r="R30" s="91">
        <f>'1'!R30+'2'!R30+'3'!R30</f>
        <v>0</v>
      </c>
      <c r="S30" s="91">
        <f>'1'!S30+'2'!S30+'3'!S30</f>
        <v>0</v>
      </c>
      <c r="T30" s="91">
        <f>'1'!T30+'2'!T30+'3'!T30</f>
        <v>0</v>
      </c>
      <c r="U30" s="91">
        <f>'1'!U30+'2'!U30+'3'!U30</f>
        <v>0</v>
      </c>
      <c r="V30" s="91">
        <f>'1'!V30+'2'!V30+'3'!V30</f>
        <v>0</v>
      </c>
      <c r="W30" s="91">
        <f>'1'!W30+'2'!W30+'3'!W30</f>
        <v>0</v>
      </c>
      <c r="X30" s="91">
        <f>'1'!X30+'2'!X30+'3'!X30</f>
        <v>0</v>
      </c>
      <c r="Y30" s="91">
        <f>'1'!Y30+'2'!Y30+'3'!Y30</f>
        <v>0</v>
      </c>
      <c r="Z30" s="91">
        <f>'1'!Z30+'2'!Z30+'3'!Z30</f>
        <v>0</v>
      </c>
      <c r="AA30" s="91">
        <f>'1'!AA30+'2'!AA30+'3'!AA30</f>
        <v>0</v>
      </c>
      <c r="AB30" s="91">
        <f>'1'!AB30+'2'!AB30+'3'!AB30</f>
        <v>0</v>
      </c>
      <c r="AC30" s="91">
        <f>'1'!AC30+'2'!AC30+'3'!AC30</f>
        <v>0</v>
      </c>
      <c r="AD30" s="91">
        <f>'1'!AD30+'2'!AD30+'3'!AD30</f>
        <v>0</v>
      </c>
      <c r="AE30" s="91">
        <f>'1'!AE30+'2'!AE30+'3'!AE30</f>
        <v>0</v>
      </c>
      <c r="AF30" s="91">
        <f>'1'!AF30+'2'!AF30+'3'!AF30</f>
        <v>0</v>
      </c>
      <c r="AG30" s="91">
        <f>'1'!AG30+'2'!AG30+'3'!AG30</f>
        <v>0</v>
      </c>
      <c r="AH30" s="91">
        <f>'1'!AH30+'2'!AH30+'3'!AH30</f>
        <v>0</v>
      </c>
      <c r="AI30" s="91">
        <f>'1'!AI30+'2'!AI30+'3'!AI30</f>
        <v>0</v>
      </c>
      <c r="AJ30" s="91">
        <f>'1'!AJ30+'2'!AJ30+'3'!AJ30</f>
        <v>0</v>
      </c>
      <c r="AK30" s="91">
        <f>'1'!AK30+'2'!AK30+'3'!AK30</f>
        <v>0</v>
      </c>
      <c r="AL30" s="91">
        <f>'1'!AL30+'2'!AL30+'3'!AL30</f>
        <v>0</v>
      </c>
      <c r="AM30" s="91">
        <f>'1'!AM30+'2'!AM30+'3'!AM30</f>
        <v>0</v>
      </c>
      <c r="AN30" s="91">
        <f>'1'!AN30+'2'!AN30+'3'!AN30</f>
        <v>0</v>
      </c>
      <c r="AO30" s="91">
        <f>'1'!AO30+'2'!AO30+'3'!AO30</f>
        <v>0</v>
      </c>
      <c r="AP30" s="91">
        <f>'1'!AP30+'2'!AP30+'3'!AP30</f>
        <v>0</v>
      </c>
      <c r="AQ30" s="16">
        <f t="shared" si="34"/>
        <v>0</v>
      </c>
      <c r="AR30" s="17">
        <f t="shared" si="42"/>
        <v>0</v>
      </c>
      <c r="AS30" s="91">
        <f t="shared" si="46"/>
        <v>0</v>
      </c>
      <c r="AT30" s="15"/>
      <c r="AU30" s="92">
        <f t="shared" si="47"/>
        <v>0</v>
      </c>
      <c r="AV30" s="92">
        <f t="shared" si="36"/>
        <v>0</v>
      </c>
      <c r="AW30" s="92">
        <f t="shared" si="48"/>
        <v>0</v>
      </c>
      <c r="AX30" s="92">
        <f t="shared" si="49"/>
        <v>0</v>
      </c>
      <c r="AY30" s="82">
        <f t="shared" si="52"/>
        <v>0</v>
      </c>
      <c r="AZ30" s="82">
        <f t="shared" si="53"/>
        <v>0</v>
      </c>
      <c r="BA30" s="95">
        <f t="shared" si="50"/>
        <v>0</v>
      </c>
      <c r="BB30" s="139"/>
      <c r="BC30"/>
    </row>
    <row r="31" spans="1:55" ht="15" hidden="1" customHeight="1" x14ac:dyDescent="0.3">
      <c r="A31" s="72" t="s">
        <v>34</v>
      </c>
      <c r="B31" s="111"/>
      <c r="C31" s="111">
        <v>42</v>
      </c>
      <c r="D31" s="121">
        <f t="shared" si="54"/>
        <v>0</v>
      </c>
      <c r="E31" s="16">
        <f t="shared" si="55"/>
        <v>0</v>
      </c>
      <c r="F31" s="91">
        <f>'1'!F31+'2'!F31+'3'!F31</f>
        <v>0</v>
      </c>
      <c r="G31" s="91">
        <f>'1'!G31+'2'!G31+'3'!G31</f>
        <v>0</v>
      </c>
      <c r="H31" s="135">
        <f>'1'!H31+'2'!H31+'3'!H31</f>
        <v>0</v>
      </c>
      <c r="I31" s="135">
        <f>'1'!I31+'2'!I31+'3'!I31</f>
        <v>0</v>
      </c>
      <c r="J31" s="9" t="s">
        <v>68</v>
      </c>
      <c r="K31" s="133">
        <f>'1'!K31+'2'!K31+'3'!K31</f>
        <v>0</v>
      </c>
      <c r="L31" s="133">
        <f>'1'!L31+'2'!L31+'3'!L31</f>
        <v>0</v>
      </c>
      <c r="M31" s="91">
        <f>'1'!M31+'2'!M31+'3'!M31</f>
        <v>0</v>
      </c>
      <c r="N31" s="91">
        <f>'1'!N31+'2'!N31+'3'!N31</f>
        <v>0</v>
      </c>
      <c r="O31" s="91">
        <f>'1'!O31+'2'!O31+'3'!O31</f>
        <v>0</v>
      </c>
      <c r="P31" s="91">
        <f>'1'!P31+'2'!P31+'3'!P31</f>
        <v>0</v>
      </c>
      <c r="Q31" s="91">
        <f>'1'!Q31+'2'!Q31+'3'!Q31</f>
        <v>0</v>
      </c>
      <c r="R31" s="91">
        <f>'1'!R31+'2'!R31+'3'!R31</f>
        <v>0</v>
      </c>
      <c r="S31" s="91">
        <f>'1'!S31+'2'!S31+'3'!S31</f>
        <v>0</v>
      </c>
      <c r="T31" s="91">
        <f>'1'!T31+'2'!T31+'3'!T31</f>
        <v>0</v>
      </c>
      <c r="U31" s="91">
        <f>'1'!U31+'2'!U31+'3'!U31</f>
        <v>0</v>
      </c>
      <c r="V31" s="91">
        <f>'1'!V31+'2'!V31+'3'!V31</f>
        <v>0</v>
      </c>
      <c r="W31" s="91">
        <f>'1'!W31+'2'!W31+'3'!W31</f>
        <v>0</v>
      </c>
      <c r="X31" s="91">
        <f>'1'!X31+'2'!X31+'3'!X31</f>
        <v>0</v>
      </c>
      <c r="Y31" s="91">
        <f>'1'!Y31+'2'!Y31+'3'!Y31</f>
        <v>0</v>
      </c>
      <c r="Z31" s="91">
        <f>'1'!Z31+'2'!Z31+'3'!Z31</f>
        <v>0</v>
      </c>
      <c r="AA31" s="91">
        <f>'1'!AA31+'2'!AA31+'3'!AA31</f>
        <v>0</v>
      </c>
      <c r="AB31" s="91">
        <f>'1'!AB31+'2'!AB31+'3'!AB31</f>
        <v>0</v>
      </c>
      <c r="AC31" s="91">
        <f>'1'!AC31+'2'!AC31+'3'!AC31</f>
        <v>0</v>
      </c>
      <c r="AD31" s="91">
        <f>'1'!AD31+'2'!AD31+'3'!AD31</f>
        <v>0</v>
      </c>
      <c r="AE31" s="91">
        <f>'1'!AE31+'2'!AE31+'3'!AE31</f>
        <v>0</v>
      </c>
      <c r="AF31" s="91">
        <f>'1'!AF31+'2'!AF31+'3'!AF31</f>
        <v>0</v>
      </c>
      <c r="AG31" s="91">
        <f>'1'!AG31+'2'!AG31+'3'!AG31</f>
        <v>0</v>
      </c>
      <c r="AH31" s="91">
        <f>'1'!AH31+'2'!AH31+'3'!AH31</f>
        <v>0</v>
      </c>
      <c r="AI31" s="91">
        <f>'1'!AI31+'2'!AI31+'3'!AI31</f>
        <v>0</v>
      </c>
      <c r="AJ31" s="91">
        <f>'1'!AJ31+'2'!AJ31+'3'!AJ31</f>
        <v>0</v>
      </c>
      <c r="AK31" s="91">
        <f>'1'!AK31+'2'!AK31+'3'!AK31</f>
        <v>0</v>
      </c>
      <c r="AL31" s="91">
        <f>'1'!AL31+'2'!AL31+'3'!AL31</f>
        <v>0</v>
      </c>
      <c r="AM31" s="91">
        <f>'1'!AM31+'2'!AM31+'3'!AM31</f>
        <v>0</v>
      </c>
      <c r="AN31" s="91">
        <f>'1'!AN31+'2'!AN31+'3'!AN31</f>
        <v>0</v>
      </c>
      <c r="AO31" s="91">
        <f>'1'!AO31+'2'!AO31+'3'!AO31</f>
        <v>0</v>
      </c>
      <c r="AP31" s="91">
        <f>'1'!AP31+'2'!AP31+'3'!AP31</f>
        <v>0</v>
      </c>
      <c r="AQ31" s="16">
        <f t="shared" si="34"/>
        <v>0</v>
      </c>
      <c r="AR31" s="17">
        <f t="shared" si="42"/>
        <v>0</v>
      </c>
      <c r="AS31" s="91">
        <f t="shared" si="46"/>
        <v>0</v>
      </c>
      <c r="AT31" s="15"/>
      <c r="AU31" s="92">
        <f t="shared" si="47"/>
        <v>0</v>
      </c>
      <c r="AV31" s="92">
        <f t="shared" si="36"/>
        <v>0</v>
      </c>
      <c r="AW31" s="92">
        <f t="shared" si="48"/>
        <v>0</v>
      </c>
      <c r="AX31" s="92">
        <f t="shared" si="49"/>
        <v>0</v>
      </c>
      <c r="AY31" s="82">
        <f t="shared" si="52"/>
        <v>0</v>
      </c>
      <c r="AZ31" s="82">
        <f t="shared" si="53"/>
        <v>0</v>
      </c>
      <c r="BA31" s="95">
        <f t="shared" si="50"/>
        <v>0</v>
      </c>
      <c r="BB31" s="139"/>
      <c r="BC31"/>
    </row>
    <row r="32" spans="1:55" ht="15" hidden="1" customHeight="1" x14ac:dyDescent="0.3">
      <c r="A32" s="72" t="s">
        <v>35</v>
      </c>
      <c r="B32" s="111"/>
      <c r="C32" s="111">
        <v>43</v>
      </c>
      <c r="D32" s="121">
        <f t="shared" si="54"/>
        <v>0</v>
      </c>
      <c r="E32" s="16">
        <f t="shared" si="55"/>
        <v>0</v>
      </c>
      <c r="F32" s="91">
        <f>'1'!F32+'2'!F32+'3'!F32</f>
        <v>0</v>
      </c>
      <c r="G32" s="91">
        <f>'1'!G32+'2'!G32+'3'!G32</f>
        <v>0</v>
      </c>
      <c r="H32" s="135">
        <f>'1'!H32+'2'!H32+'3'!H32</f>
        <v>0</v>
      </c>
      <c r="I32" s="135">
        <f>'1'!I32+'2'!I32+'3'!I32</f>
        <v>0</v>
      </c>
      <c r="J32" s="9" t="s">
        <v>68</v>
      </c>
      <c r="K32" s="133">
        <f>'1'!K32+'2'!K32+'3'!K32</f>
        <v>0</v>
      </c>
      <c r="L32" s="133">
        <f>'1'!L32+'2'!L32+'3'!L32</f>
        <v>0</v>
      </c>
      <c r="M32" s="91">
        <f>'1'!M32+'2'!M32+'3'!M32</f>
        <v>0</v>
      </c>
      <c r="N32" s="91">
        <f>'1'!N32+'2'!N32+'3'!N32</f>
        <v>0</v>
      </c>
      <c r="O32" s="91">
        <f>'1'!O32+'2'!O32+'3'!O32</f>
        <v>0</v>
      </c>
      <c r="P32" s="91">
        <f>'1'!P32+'2'!P32+'3'!P32</f>
        <v>0</v>
      </c>
      <c r="Q32" s="91">
        <f>'1'!Q32+'2'!Q32+'3'!Q32</f>
        <v>0</v>
      </c>
      <c r="R32" s="91">
        <f>'1'!R32+'2'!R32+'3'!R32</f>
        <v>0</v>
      </c>
      <c r="S32" s="91">
        <f>'1'!S32+'2'!S32+'3'!S32</f>
        <v>0</v>
      </c>
      <c r="T32" s="91">
        <f>'1'!T32+'2'!T32+'3'!T32</f>
        <v>0</v>
      </c>
      <c r="U32" s="91">
        <f>'1'!U32+'2'!U32+'3'!U32</f>
        <v>0</v>
      </c>
      <c r="V32" s="91">
        <f>'1'!V32+'2'!V32+'3'!V32</f>
        <v>0</v>
      </c>
      <c r="W32" s="91">
        <f>'1'!W32+'2'!W32+'3'!W32</f>
        <v>0</v>
      </c>
      <c r="X32" s="91">
        <f>'1'!X32+'2'!X32+'3'!X32</f>
        <v>0</v>
      </c>
      <c r="Y32" s="91">
        <f>'1'!Y32+'2'!Y32+'3'!Y32</f>
        <v>0</v>
      </c>
      <c r="Z32" s="91">
        <f>'1'!Z32+'2'!Z32+'3'!Z32</f>
        <v>0</v>
      </c>
      <c r="AA32" s="91">
        <f>'1'!AA32+'2'!AA32+'3'!AA32</f>
        <v>0</v>
      </c>
      <c r="AB32" s="91">
        <f>'1'!AB32+'2'!AB32+'3'!AB32</f>
        <v>0</v>
      </c>
      <c r="AC32" s="91">
        <f>'1'!AC32+'2'!AC32+'3'!AC32</f>
        <v>0</v>
      </c>
      <c r="AD32" s="91">
        <f>'1'!AD32+'2'!AD32+'3'!AD32</f>
        <v>0</v>
      </c>
      <c r="AE32" s="91">
        <f>'1'!AE32+'2'!AE32+'3'!AE32</f>
        <v>0</v>
      </c>
      <c r="AF32" s="91">
        <f>'1'!AF32+'2'!AF32+'3'!AF32</f>
        <v>0</v>
      </c>
      <c r="AG32" s="91">
        <f>'1'!AG32+'2'!AG32+'3'!AG32</f>
        <v>0</v>
      </c>
      <c r="AH32" s="91">
        <f>'1'!AH32+'2'!AH32+'3'!AH32</f>
        <v>0</v>
      </c>
      <c r="AI32" s="91">
        <f>'1'!AI32+'2'!AI32+'3'!AI32</f>
        <v>0</v>
      </c>
      <c r="AJ32" s="91">
        <f>'1'!AJ32+'2'!AJ32+'3'!AJ32</f>
        <v>0</v>
      </c>
      <c r="AK32" s="91">
        <f>'1'!AK32+'2'!AK32+'3'!AK32</f>
        <v>0</v>
      </c>
      <c r="AL32" s="91">
        <f>'1'!AL32+'2'!AL32+'3'!AL32</f>
        <v>0</v>
      </c>
      <c r="AM32" s="91">
        <f>'1'!AM32+'2'!AM32+'3'!AM32</f>
        <v>0</v>
      </c>
      <c r="AN32" s="91">
        <f>'1'!AN32+'2'!AN32+'3'!AN32</f>
        <v>0</v>
      </c>
      <c r="AO32" s="91">
        <f>'1'!AO32+'2'!AO32+'3'!AO32</f>
        <v>0</v>
      </c>
      <c r="AP32" s="91">
        <f>'1'!AP32+'2'!AP32+'3'!AP32</f>
        <v>0</v>
      </c>
      <c r="AQ32" s="16">
        <f t="shared" si="34"/>
        <v>0</v>
      </c>
      <c r="AR32" s="17">
        <f t="shared" si="42"/>
        <v>0</v>
      </c>
      <c r="AS32" s="91">
        <f t="shared" si="46"/>
        <v>0</v>
      </c>
      <c r="AT32" s="15"/>
      <c r="AU32" s="92">
        <f t="shared" si="47"/>
        <v>0</v>
      </c>
      <c r="AV32" s="92">
        <f t="shared" si="36"/>
        <v>0</v>
      </c>
      <c r="AW32" s="92">
        <f t="shared" si="48"/>
        <v>0</v>
      </c>
      <c r="AX32" s="92">
        <f t="shared" si="49"/>
        <v>0</v>
      </c>
      <c r="AY32" s="82">
        <f t="shared" si="52"/>
        <v>0</v>
      </c>
      <c r="AZ32" s="82">
        <f t="shared" si="53"/>
        <v>0</v>
      </c>
      <c r="BA32" s="95">
        <f t="shared" si="50"/>
        <v>0</v>
      </c>
      <c r="BB32" s="139"/>
      <c r="BC32"/>
    </row>
    <row r="33" spans="1:55" ht="15" hidden="1" customHeight="1" x14ac:dyDescent="0.3">
      <c r="A33" s="72" t="s">
        <v>36</v>
      </c>
      <c r="B33" s="111"/>
      <c r="C33" s="111">
        <v>44</v>
      </c>
      <c r="D33" s="121">
        <f t="shared" si="54"/>
        <v>0</v>
      </c>
      <c r="E33" s="16">
        <f t="shared" si="55"/>
        <v>0</v>
      </c>
      <c r="F33" s="91">
        <f>'1'!F33+'2'!F33+'3'!F33</f>
        <v>0</v>
      </c>
      <c r="G33" s="91">
        <f>'1'!G33+'2'!G33+'3'!G33</f>
        <v>0</v>
      </c>
      <c r="H33" s="135">
        <f>'1'!H33+'2'!H33+'3'!H33</f>
        <v>0</v>
      </c>
      <c r="I33" s="135">
        <f>'1'!I33+'2'!I33+'3'!I33</f>
        <v>0</v>
      </c>
      <c r="J33" s="9" t="s">
        <v>68</v>
      </c>
      <c r="K33" s="133">
        <f>'1'!K33+'2'!K33+'3'!K33</f>
        <v>0</v>
      </c>
      <c r="L33" s="133">
        <f>'1'!L33+'2'!L33+'3'!L33</f>
        <v>0</v>
      </c>
      <c r="M33" s="91">
        <f>'1'!M33+'2'!M33+'3'!M33</f>
        <v>0</v>
      </c>
      <c r="N33" s="91">
        <f>'1'!N33+'2'!N33+'3'!N33</f>
        <v>0</v>
      </c>
      <c r="O33" s="91">
        <f>'1'!O33+'2'!O33+'3'!O33</f>
        <v>0</v>
      </c>
      <c r="P33" s="91">
        <f>'1'!P33+'2'!P33+'3'!P33</f>
        <v>0</v>
      </c>
      <c r="Q33" s="91">
        <f>'1'!Q33+'2'!Q33+'3'!Q33</f>
        <v>0</v>
      </c>
      <c r="R33" s="91">
        <f>'1'!R33+'2'!R33+'3'!R33</f>
        <v>0</v>
      </c>
      <c r="S33" s="91">
        <f>'1'!S33+'2'!S33+'3'!S33</f>
        <v>0</v>
      </c>
      <c r="T33" s="91">
        <f>'1'!T33+'2'!T33+'3'!T33</f>
        <v>0</v>
      </c>
      <c r="U33" s="91">
        <f>'1'!U33+'2'!U33+'3'!U33</f>
        <v>0</v>
      </c>
      <c r="V33" s="91">
        <f>'1'!V33+'2'!V33+'3'!V33</f>
        <v>0</v>
      </c>
      <c r="W33" s="91">
        <f>'1'!W33+'2'!W33+'3'!W33</f>
        <v>0</v>
      </c>
      <c r="X33" s="91">
        <f>'1'!X33+'2'!X33+'3'!X33</f>
        <v>0</v>
      </c>
      <c r="Y33" s="91">
        <f>'1'!Y33+'2'!Y33+'3'!Y33</f>
        <v>0</v>
      </c>
      <c r="Z33" s="91">
        <f>'1'!Z33+'2'!Z33+'3'!Z33</f>
        <v>0</v>
      </c>
      <c r="AA33" s="91">
        <f>'1'!AA33+'2'!AA33+'3'!AA33</f>
        <v>0</v>
      </c>
      <c r="AB33" s="91">
        <f>'1'!AB33+'2'!AB33+'3'!AB33</f>
        <v>0</v>
      </c>
      <c r="AC33" s="91">
        <f>'1'!AC33+'2'!AC33+'3'!AC33</f>
        <v>0</v>
      </c>
      <c r="AD33" s="91">
        <f>'1'!AD33+'2'!AD33+'3'!AD33</f>
        <v>0</v>
      </c>
      <c r="AE33" s="91">
        <f>'1'!AE33+'2'!AE33+'3'!AE33</f>
        <v>0</v>
      </c>
      <c r="AF33" s="91">
        <f>'1'!AF33+'2'!AF33+'3'!AF33</f>
        <v>0</v>
      </c>
      <c r="AG33" s="91">
        <f>'1'!AG33+'2'!AG33+'3'!AG33</f>
        <v>0</v>
      </c>
      <c r="AH33" s="91">
        <f>'1'!AH33+'2'!AH33+'3'!AH33</f>
        <v>0</v>
      </c>
      <c r="AI33" s="91">
        <f>'1'!AI33+'2'!AI33+'3'!AI33</f>
        <v>0</v>
      </c>
      <c r="AJ33" s="91">
        <f>'1'!AJ33+'2'!AJ33+'3'!AJ33</f>
        <v>0</v>
      </c>
      <c r="AK33" s="91">
        <f>'1'!AK33+'2'!AK33+'3'!AK33</f>
        <v>0</v>
      </c>
      <c r="AL33" s="91">
        <f>'1'!AL33+'2'!AL33+'3'!AL33</f>
        <v>0</v>
      </c>
      <c r="AM33" s="91">
        <f>'1'!AM33+'2'!AM33+'3'!AM33</f>
        <v>0</v>
      </c>
      <c r="AN33" s="91">
        <f>'1'!AN33+'2'!AN33+'3'!AN33</f>
        <v>0</v>
      </c>
      <c r="AO33" s="91">
        <f>'1'!AO33+'2'!AO33+'3'!AO33</f>
        <v>0</v>
      </c>
      <c r="AP33" s="91">
        <f>'1'!AP33+'2'!AP33+'3'!AP33</f>
        <v>0</v>
      </c>
      <c r="AQ33" s="16">
        <f t="shared" si="34"/>
        <v>0</v>
      </c>
      <c r="AR33" s="17">
        <f t="shared" si="42"/>
        <v>0</v>
      </c>
      <c r="AS33" s="91">
        <f t="shared" si="46"/>
        <v>0</v>
      </c>
      <c r="AT33" s="15"/>
      <c r="AU33" s="92">
        <f t="shared" si="47"/>
        <v>0</v>
      </c>
      <c r="AV33" s="92">
        <f t="shared" si="36"/>
        <v>0</v>
      </c>
      <c r="AW33" s="92">
        <f t="shared" si="48"/>
        <v>0</v>
      </c>
      <c r="AX33" s="92">
        <f t="shared" si="49"/>
        <v>0</v>
      </c>
      <c r="AY33" s="82">
        <f t="shared" si="52"/>
        <v>0</v>
      </c>
      <c r="AZ33" s="82">
        <f t="shared" si="53"/>
        <v>0</v>
      </c>
      <c r="BA33" s="95">
        <f t="shared" si="50"/>
        <v>0</v>
      </c>
      <c r="BB33" s="139"/>
      <c r="BC33"/>
    </row>
    <row r="34" spans="1:55" ht="15" hidden="1" customHeight="1" x14ac:dyDescent="0.3">
      <c r="A34" s="72" t="s">
        <v>37</v>
      </c>
      <c r="B34" s="111"/>
      <c r="C34" s="111">
        <v>45</v>
      </c>
      <c r="D34" s="121">
        <f t="shared" si="54"/>
        <v>0</v>
      </c>
      <c r="E34" s="16">
        <f t="shared" si="55"/>
        <v>0</v>
      </c>
      <c r="F34" s="91">
        <f>'1'!F34+'2'!F34+'3'!F34</f>
        <v>0</v>
      </c>
      <c r="G34" s="91">
        <f>'1'!G34+'2'!G34+'3'!G34</f>
        <v>0</v>
      </c>
      <c r="H34" s="135">
        <f>'1'!H34+'2'!H34+'3'!H34</f>
        <v>0</v>
      </c>
      <c r="I34" s="135">
        <f>'1'!I34+'2'!I34+'3'!I34</f>
        <v>0</v>
      </c>
      <c r="J34" s="9" t="s">
        <v>68</v>
      </c>
      <c r="K34" s="133">
        <f>'1'!K34+'2'!K34+'3'!K34</f>
        <v>0</v>
      </c>
      <c r="L34" s="133">
        <f>'1'!L34+'2'!L34+'3'!L34</f>
        <v>0</v>
      </c>
      <c r="M34" s="91">
        <f>'1'!M34+'2'!M34+'3'!M34</f>
        <v>0</v>
      </c>
      <c r="N34" s="91">
        <f>'1'!N34+'2'!N34+'3'!N34</f>
        <v>0</v>
      </c>
      <c r="O34" s="91">
        <f>'1'!O34+'2'!O34+'3'!O34</f>
        <v>0</v>
      </c>
      <c r="P34" s="91">
        <f>'1'!P34+'2'!P34+'3'!P34</f>
        <v>0</v>
      </c>
      <c r="Q34" s="91">
        <f>'1'!Q34+'2'!Q34+'3'!Q34</f>
        <v>0</v>
      </c>
      <c r="R34" s="91">
        <f>'1'!R34+'2'!R34+'3'!R34</f>
        <v>0</v>
      </c>
      <c r="S34" s="91">
        <f>'1'!S34+'2'!S34+'3'!S34</f>
        <v>0</v>
      </c>
      <c r="T34" s="91">
        <f>'1'!T34+'2'!T34+'3'!T34</f>
        <v>0</v>
      </c>
      <c r="U34" s="91">
        <f>'1'!U34+'2'!U34+'3'!U34</f>
        <v>0</v>
      </c>
      <c r="V34" s="91">
        <f>'1'!V34+'2'!V34+'3'!V34</f>
        <v>0</v>
      </c>
      <c r="W34" s="91">
        <f>'1'!W34+'2'!W34+'3'!W34</f>
        <v>0</v>
      </c>
      <c r="X34" s="91">
        <f>'1'!X34+'2'!X34+'3'!X34</f>
        <v>0</v>
      </c>
      <c r="Y34" s="91">
        <f>'1'!Y34+'2'!Y34+'3'!Y34</f>
        <v>0</v>
      </c>
      <c r="Z34" s="91">
        <f>'1'!Z34+'2'!Z34+'3'!Z34</f>
        <v>0</v>
      </c>
      <c r="AA34" s="91">
        <f>'1'!AA34+'2'!AA34+'3'!AA34</f>
        <v>0</v>
      </c>
      <c r="AB34" s="91">
        <f>'1'!AB34+'2'!AB34+'3'!AB34</f>
        <v>0</v>
      </c>
      <c r="AC34" s="91">
        <f>'1'!AC34+'2'!AC34+'3'!AC34</f>
        <v>0</v>
      </c>
      <c r="AD34" s="91">
        <f>'1'!AD34+'2'!AD34+'3'!AD34</f>
        <v>0</v>
      </c>
      <c r="AE34" s="91">
        <f>'1'!AE34+'2'!AE34+'3'!AE34</f>
        <v>0</v>
      </c>
      <c r="AF34" s="91">
        <f>'1'!AF34+'2'!AF34+'3'!AF34</f>
        <v>0</v>
      </c>
      <c r="AG34" s="91">
        <f>'1'!AG34+'2'!AG34+'3'!AG34</f>
        <v>0</v>
      </c>
      <c r="AH34" s="91">
        <f>'1'!AH34+'2'!AH34+'3'!AH34</f>
        <v>0</v>
      </c>
      <c r="AI34" s="91">
        <f>'1'!AI34+'2'!AI34+'3'!AI34</f>
        <v>0</v>
      </c>
      <c r="AJ34" s="91">
        <f>'1'!AJ34+'2'!AJ34+'3'!AJ34</f>
        <v>0</v>
      </c>
      <c r="AK34" s="91">
        <f>'1'!AK34+'2'!AK34+'3'!AK34</f>
        <v>0</v>
      </c>
      <c r="AL34" s="91">
        <f>'1'!AL34+'2'!AL34+'3'!AL34</f>
        <v>0</v>
      </c>
      <c r="AM34" s="91">
        <f>'1'!AM34+'2'!AM34+'3'!AM34</f>
        <v>0</v>
      </c>
      <c r="AN34" s="91">
        <f>'1'!AN34+'2'!AN34+'3'!AN34</f>
        <v>0</v>
      </c>
      <c r="AO34" s="91">
        <f>'1'!AO34+'2'!AO34+'3'!AO34</f>
        <v>0</v>
      </c>
      <c r="AP34" s="91">
        <f>'1'!AP34+'2'!AP34+'3'!AP34</f>
        <v>0</v>
      </c>
      <c r="AQ34" s="16">
        <f t="shared" si="34"/>
        <v>0</v>
      </c>
      <c r="AR34" s="17">
        <f t="shared" si="42"/>
        <v>0</v>
      </c>
      <c r="AS34" s="91">
        <f t="shared" si="46"/>
        <v>0</v>
      </c>
      <c r="AT34" s="15"/>
      <c r="AU34" s="92">
        <f t="shared" si="47"/>
        <v>0</v>
      </c>
      <c r="AV34" s="92">
        <f t="shared" si="36"/>
        <v>0</v>
      </c>
      <c r="AW34" s="92">
        <f t="shared" si="48"/>
        <v>0</v>
      </c>
      <c r="AX34" s="92">
        <f t="shared" si="49"/>
        <v>0</v>
      </c>
      <c r="AY34" s="82">
        <f t="shared" si="52"/>
        <v>0</v>
      </c>
      <c r="AZ34" s="82">
        <f t="shared" si="53"/>
        <v>0</v>
      </c>
      <c r="BA34" s="95">
        <f t="shared" si="50"/>
        <v>0</v>
      </c>
      <c r="BB34" s="139"/>
      <c r="BC34"/>
    </row>
    <row r="35" spans="1:55" ht="15" hidden="1" customHeight="1" x14ac:dyDescent="0.3">
      <c r="A35" s="72" t="s">
        <v>38</v>
      </c>
      <c r="B35" s="111"/>
      <c r="C35" s="111">
        <v>46</v>
      </c>
      <c r="D35" s="121">
        <f t="shared" si="54"/>
        <v>0</v>
      </c>
      <c r="E35" s="16">
        <f t="shared" si="55"/>
        <v>0</v>
      </c>
      <c r="F35" s="91">
        <f>'1'!F35+'2'!F35+'3'!F35</f>
        <v>0</v>
      </c>
      <c r="G35" s="91">
        <f>'1'!G35+'2'!G35+'3'!G35</f>
        <v>0</v>
      </c>
      <c r="H35" s="135">
        <f>'1'!H35+'2'!H35+'3'!H35</f>
        <v>0</v>
      </c>
      <c r="I35" s="135">
        <f>'1'!I35+'2'!I35+'3'!I35</f>
        <v>0</v>
      </c>
      <c r="J35" s="9" t="s">
        <v>68</v>
      </c>
      <c r="K35" s="133">
        <f>'1'!K35+'2'!K35+'3'!K35</f>
        <v>0</v>
      </c>
      <c r="L35" s="133">
        <f>'1'!L35+'2'!L35+'3'!L35</f>
        <v>0</v>
      </c>
      <c r="M35" s="91">
        <f>'1'!M35+'2'!M35+'3'!M35</f>
        <v>0</v>
      </c>
      <c r="N35" s="91">
        <f>'1'!N35+'2'!N35+'3'!N35</f>
        <v>0</v>
      </c>
      <c r="O35" s="91">
        <f>'1'!O35+'2'!O35+'3'!O35</f>
        <v>0</v>
      </c>
      <c r="P35" s="91">
        <f>'1'!P35+'2'!P35+'3'!P35</f>
        <v>0</v>
      </c>
      <c r="Q35" s="91">
        <f>'1'!Q35+'2'!Q35+'3'!Q35</f>
        <v>0</v>
      </c>
      <c r="R35" s="91">
        <f>'1'!R35+'2'!R35+'3'!R35</f>
        <v>0</v>
      </c>
      <c r="S35" s="91">
        <f>'1'!S35+'2'!S35+'3'!S35</f>
        <v>0</v>
      </c>
      <c r="T35" s="91">
        <f>'1'!T35+'2'!T35+'3'!T35</f>
        <v>0</v>
      </c>
      <c r="U35" s="91">
        <f>'1'!U35+'2'!U35+'3'!U35</f>
        <v>0</v>
      </c>
      <c r="V35" s="91">
        <f>'1'!V35+'2'!V35+'3'!V35</f>
        <v>0</v>
      </c>
      <c r="W35" s="91">
        <f>'1'!W35+'2'!W35+'3'!W35</f>
        <v>0</v>
      </c>
      <c r="X35" s="91">
        <f>'1'!X35+'2'!X35+'3'!X35</f>
        <v>0</v>
      </c>
      <c r="Y35" s="91">
        <f>'1'!Y35+'2'!Y35+'3'!Y35</f>
        <v>0</v>
      </c>
      <c r="Z35" s="91">
        <f>'1'!Z35+'2'!Z35+'3'!Z35</f>
        <v>0</v>
      </c>
      <c r="AA35" s="91">
        <f>'1'!AA35+'2'!AA35+'3'!AA35</f>
        <v>0</v>
      </c>
      <c r="AB35" s="91">
        <f>'1'!AB35+'2'!AB35+'3'!AB35</f>
        <v>0</v>
      </c>
      <c r="AC35" s="91">
        <f>'1'!AC35+'2'!AC35+'3'!AC35</f>
        <v>0</v>
      </c>
      <c r="AD35" s="91">
        <f>'1'!AD35+'2'!AD35+'3'!AD35</f>
        <v>0</v>
      </c>
      <c r="AE35" s="91">
        <f>'1'!AE35+'2'!AE35+'3'!AE35</f>
        <v>0</v>
      </c>
      <c r="AF35" s="91">
        <f>'1'!AF35+'2'!AF35+'3'!AF35</f>
        <v>0</v>
      </c>
      <c r="AG35" s="91">
        <f>'1'!AG35+'2'!AG35+'3'!AG35</f>
        <v>0</v>
      </c>
      <c r="AH35" s="91">
        <f>'1'!AH35+'2'!AH35+'3'!AH35</f>
        <v>0</v>
      </c>
      <c r="AI35" s="91">
        <f>'1'!AI35+'2'!AI35+'3'!AI35</f>
        <v>0</v>
      </c>
      <c r="AJ35" s="91">
        <f>'1'!AJ35+'2'!AJ35+'3'!AJ35</f>
        <v>0</v>
      </c>
      <c r="AK35" s="91">
        <f>'1'!AK35+'2'!AK35+'3'!AK35</f>
        <v>0</v>
      </c>
      <c r="AL35" s="91">
        <f>'1'!AL35+'2'!AL35+'3'!AL35</f>
        <v>0</v>
      </c>
      <c r="AM35" s="91">
        <f>'1'!AM35+'2'!AM35+'3'!AM35</f>
        <v>0</v>
      </c>
      <c r="AN35" s="91">
        <f>'1'!AN35+'2'!AN35+'3'!AN35</f>
        <v>0</v>
      </c>
      <c r="AO35" s="91">
        <f>'1'!AO35+'2'!AO35+'3'!AO35</f>
        <v>0</v>
      </c>
      <c r="AP35" s="91">
        <f>'1'!AP35+'2'!AP35+'3'!AP35</f>
        <v>0</v>
      </c>
      <c r="AQ35" s="16">
        <f t="shared" si="34"/>
        <v>0</v>
      </c>
      <c r="AR35" s="17">
        <f t="shared" si="42"/>
        <v>0</v>
      </c>
      <c r="AS35" s="91">
        <f t="shared" si="46"/>
        <v>0</v>
      </c>
      <c r="AT35" s="15"/>
      <c r="AU35" s="92">
        <f t="shared" si="47"/>
        <v>0</v>
      </c>
      <c r="AV35" s="92">
        <f t="shared" si="36"/>
        <v>0</v>
      </c>
      <c r="AW35" s="92">
        <f t="shared" si="48"/>
        <v>0</v>
      </c>
      <c r="AX35" s="92">
        <f t="shared" si="49"/>
        <v>0</v>
      </c>
      <c r="AY35" s="82">
        <f t="shared" si="52"/>
        <v>0</v>
      </c>
      <c r="AZ35" s="82">
        <f t="shared" si="53"/>
        <v>0</v>
      </c>
      <c r="BA35" s="95">
        <f t="shared" si="50"/>
        <v>0</v>
      </c>
      <c r="BB35" s="139"/>
      <c r="BC35"/>
    </row>
    <row r="36" spans="1:55" ht="15" hidden="1" customHeight="1" x14ac:dyDescent="0.3">
      <c r="A36" s="72" t="s">
        <v>39</v>
      </c>
      <c r="B36" s="111"/>
      <c r="C36" s="111">
        <v>47</v>
      </c>
      <c r="D36" s="121">
        <f t="shared" si="54"/>
        <v>0</v>
      </c>
      <c r="E36" s="16">
        <f t="shared" si="55"/>
        <v>0</v>
      </c>
      <c r="F36" s="91">
        <f>'1'!F36+'2'!F36+'3'!F36</f>
        <v>0</v>
      </c>
      <c r="G36" s="91">
        <f>'1'!G36+'2'!G36+'3'!G36</f>
        <v>0</v>
      </c>
      <c r="H36" s="135">
        <f>'1'!H36+'2'!H36+'3'!H36</f>
        <v>0</v>
      </c>
      <c r="I36" s="135">
        <f>'1'!I36+'2'!I36+'3'!I36</f>
        <v>0</v>
      </c>
      <c r="J36" s="9" t="s">
        <v>68</v>
      </c>
      <c r="K36" s="133">
        <f>'1'!K36+'2'!K36+'3'!K36</f>
        <v>0</v>
      </c>
      <c r="L36" s="133">
        <f>'1'!L36+'2'!L36+'3'!L36</f>
        <v>0</v>
      </c>
      <c r="M36" s="91">
        <f>'1'!M36+'2'!M36+'3'!M36</f>
        <v>0</v>
      </c>
      <c r="N36" s="91">
        <f>'1'!N36+'2'!N36+'3'!N36</f>
        <v>0</v>
      </c>
      <c r="O36" s="91">
        <f>'1'!O36+'2'!O36+'3'!O36</f>
        <v>0</v>
      </c>
      <c r="P36" s="91">
        <f>'1'!P36+'2'!P36+'3'!P36</f>
        <v>0</v>
      </c>
      <c r="Q36" s="91">
        <f>'1'!Q36+'2'!Q36+'3'!Q36</f>
        <v>0</v>
      </c>
      <c r="R36" s="91">
        <f>'1'!R36+'2'!R36+'3'!R36</f>
        <v>0</v>
      </c>
      <c r="S36" s="91">
        <f>'1'!S36+'2'!S36+'3'!S36</f>
        <v>0</v>
      </c>
      <c r="T36" s="91">
        <f>'1'!T36+'2'!T36+'3'!T36</f>
        <v>0</v>
      </c>
      <c r="U36" s="91">
        <f>'1'!U36+'2'!U36+'3'!U36</f>
        <v>0</v>
      </c>
      <c r="V36" s="91">
        <f>'1'!V36+'2'!V36+'3'!V36</f>
        <v>0</v>
      </c>
      <c r="W36" s="91">
        <f>'1'!W36+'2'!W36+'3'!W36</f>
        <v>0</v>
      </c>
      <c r="X36" s="91">
        <f>'1'!X36+'2'!X36+'3'!X36</f>
        <v>0</v>
      </c>
      <c r="Y36" s="91">
        <f>'1'!Y36+'2'!Y36+'3'!Y36</f>
        <v>0</v>
      </c>
      <c r="Z36" s="91">
        <f>'1'!Z36+'2'!Z36+'3'!Z36</f>
        <v>0</v>
      </c>
      <c r="AA36" s="91">
        <f>'1'!AA36+'2'!AA36+'3'!AA36</f>
        <v>0</v>
      </c>
      <c r="AB36" s="91">
        <f>'1'!AB36+'2'!AB36+'3'!AB36</f>
        <v>0</v>
      </c>
      <c r="AC36" s="91">
        <f>'1'!AC36+'2'!AC36+'3'!AC36</f>
        <v>0</v>
      </c>
      <c r="AD36" s="91">
        <f>'1'!AD36+'2'!AD36+'3'!AD36</f>
        <v>0</v>
      </c>
      <c r="AE36" s="91">
        <f>'1'!AE36+'2'!AE36+'3'!AE36</f>
        <v>0</v>
      </c>
      <c r="AF36" s="91">
        <f>'1'!AF36+'2'!AF36+'3'!AF36</f>
        <v>0</v>
      </c>
      <c r="AG36" s="91">
        <f>'1'!AG36+'2'!AG36+'3'!AG36</f>
        <v>0</v>
      </c>
      <c r="AH36" s="91">
        <f>'1'!AH36+'2'!AH36+'3'!AH36</f>
        <v>0</v>
      </c>
      <c r="AI36" s="91">
        <f>'1'!AI36+'2'!AI36+'3'!AI36</f>
        <v>0</v>
      </c>
      <c r="AJ36" s="91">
        <f>'1'!AJ36+'2'!AJ36+'3'!AJ36</f>
        <v>0</v>
      </c>
      <c r="AK36" s="91">
        <f>'1'!AK36+'2'!AK36+'3'!AK36</f>
        <v>0</v>
      </c>
      <c r="AL36" s="91">
        <f>'1'!AL36+'2'!AL36+'3'!AL36</f>
        <v>0</v>
      </c>
      <c r="AM36" s="91">
        <f>'1'!AM36+'2'!AM36+'3'!AM36</f>
        <v>0</v>
      </c>
      <c r="AN36" s="91">
        <f>'1'!AN36+'2'!AN36+'3'!AN36</f>
        <v>0</v>
      </c>
      <c r="AO36" s="91">
        <f>'1'!AO36+'2'!AO36+'3'!AO36</f>
        <v>0</v>
      </c>
      <c r="AP36" s="91">
        <f>'1'!AP36+'2'!AP36+'3'!AP36</f>
        <v>0</v>
      </c>
      <c r="AQ36" s="16">
        <f t="shared" si="34"/>
        <v>0</v>
      </c>
      <c r="AR36" s="17">
        <f t="shared" si="42"/>
        <v>0</v>
      </c>
      <c r="AS36" s="91">
        <f t="shared" si="46"/>
        <v>0</v>
      </c>
      <c r="AT36" s="15"/>
      <c r="AU36" s="92">
        <f t="shared" si="47"/>
        <v>0</v>
      </c>
      <c r="AV36" s="92">
        <f t="shared" si="36"/>
        <v>0</v>
      </c>
      <c r="AW36" s="92">
        <f t="shared" si="48"/>
        <v>0</v>
      </c>
      <c r="AX36" s="92">
        <f t="shared" si="49"/>
        <v>0</v>
      </c>
      <c r="AY36" s="82">
        <f t="shared" si="52"/>
        <v>0</v>
      </c>
      <c r="AZ36" s="82">
        <f t="shared" si="53"/>
        <v>0</v>
      </c>
      <c r="BA36" s="95">
        <f t="shared" si="50"/>
        <v>0</v>
      </c>
      <c r="BB36" s="139"/>
      <c r="BC36"/>
    </row>
    <row r="37" spans="1:55" ht="15" hidden="1" customHeight="1" x14ac:dyDescent="0.3">
      <c r="A37" s="72" t="s">
        <v>40</v>
      </c>
      <c r="B37" s="111"/>
      <c r="C37" s="111">
        <v>48</v>
      </c>
      <c r="D37" s="121">
        <f t="shared" si="54"/>
        <v>0</v>
      </c>
      <c r="E37" s="16">
        <f t="shared" si="55"/>
        <v>0</v>
      </c>
      <c r="F37" s="91">
        <f>'1'!F37+'2'!F37+'3'!F37</f>
        <v>0</v>
      </c>
      <c r="G37" s="91">
        <f>'1'!G37+'2'!G37+'3'!G37</f>
        <v>0</v>
      </c>
      <c r="H37" s="135">
        <f>'1'!H37+'2'!H37+'3'!H37</f>
        <v>0</v>
      </c>
      <c r="I37" s="135">
        <f>'1'!I37+'2'!I37+'3'!I37</f>
        <v>0</v>
      </c>
      <c r="J37" s="9" t="s">
        <v>68</v>
      </c>
      <c r="K37" s="133">
        <f>'1'!K37+'2'!K37+'3'!K37</f>
        <v>0</v>
      </c>
      <c r="L37" s="133">
        <f>'1'!L37+'2'!L37+'3'!L37</f>
        <v>0</v>
      </c>
      <c r="M37" s="91">
        <f>'1'!M37+'2'!M37+'3'!M37</f>
        <v>0</v>
      </c>
      <c r="N37" s="91">
        <f>'1'!N37+'2'!N37+'3'!N37</f>
        <v>0</v>
      </c>
      <c r="O37" s="91">
        <f>'1'!O37+'2'!O37+'3'!O37</f>
        <v>0</v>
      </c>
      <c r="P37" s="91">
        <f>'1'!P37+'2'!P37+'3'!P37</f>
        <v>0</v>
      </c>
      <c r="Q37" s="91">
        <f>'1'!Q37+'2'!Q37+'3'!Q37</f>
        <v>0</v>
      </c>
      <c r="R37" s="91">
        <f>'1'!R37+'2'!R37+'3'!R37</f>
        <v>0</v>
      </c>
      <c r="S37" s="91">
        <f>'1'!S37+'2'!S37+'3'!S37</f>
        <v>0</v>
      </c>
      <c r="T37" s="91">
        <f>'1'!T37+'2'!T37+'3'!T37</f>
        <v>0</v>
      </c>
      <c r="U37" s="91">
        <f>'1'!U37+'2'!U37+'3'!U37</f>
        <v>0</v>
      </c>
      <c r="V37" s="91">
        <f>'1'!V37+'2'!V37+'3'!V37</f>
        <v>0</v>
      </c>
      <c r="W37" s="91">
        <f>'1'!W37+'2'!W37+'3'!W37</f>
        <v>0</v>
      </c>
      <c r="X37" s="91">
        <f>'1'!X37+'2'!X37+'3'!X37</f>
        <v>0</v>
      </c>
      <c r="Y37" s="91">
        <f>'1'!Y37+'2'!Y37+'3'!Y37</f>
        <v>0</v>
      </c>
      <c r="Z37" s="91">
        <f>'1'!Z37+'2'!Z37+'3'!Z37</f>
        <v>0</v>
      </c>
      <c r="AA37" s="91">
        <f>'1'!AA37+'2'!AA37+'3'!AA37</f>
        <v>0</v>
      </c>
      <c r="AB37" s="91">
        <f>'1'!AB37+'2'!AB37+'3'!AB37</f>
        <v>0</v>
      </c>
      <c r="AC37" s="91">
        <f>'1'!AC37+'2'!AC37+'3'!AC37</f>
        <v>0</v>
      </c>
      <c r="AD37" s="91">
        <f>'1'!AD37+'2'!AD37+'3'!AD37</f>
        <v>0</v>
      </c>
      <c r="AE37" s="91">
        <f>'1'!AE37+'2'!AE37+'3'!AE37</f>
        <v>0</v>
      </c>
      <c r="AF37" s="91">
        <f>'1'!AF37+'2'!AF37+'3'!AF37</f>
        <v>0</v>
      </c>
      <c r="AG37" s="91">
        <f>'1'!AG37+'2'!AG37+'3'!AG37</f>
        <v>0</v>
      </c>
      <c r="AH37" s="91">
        <f>'1'!AH37+'2'!AH37+'3'!AH37</f>
        <v>0</v>
      </c>
      <c r="AI37" s="91">
        <f>'1'!AI37+'2'!AI37+'3'!AI37</f>
        <v>0</v>
      </c>
      <c r="AJ37" s="91">
        <f>'1'!AJ37+'2'!AJ37+'3'!AJ37</f>
        <v>0</v>
      </c>
      <c r="AK37" s="91">
        <f>'1'!AK37+'2'!AK37+'3'!AK37</f>
        <v>0</v>
      </c>
      <c r="AL37" s="91">
        <f>'1'!AL37+'2'!AL37+'3'!AL37</f>
        <v>0</v>
      </c>
      <c r="AM37" s="91">
        <f>'1'!AM37+'2'!AM37+'3'!AM37</f>
        <v>0</v>
      </c>
      <c r="AN37" s="91">
        <f>'1'!AN37+'2'!AN37+'3'!AN37</f>
        <v>0</v>
      </c>
      <c r="AO37" s="91">
        <f>'1'!AO37+'2'!AO37+'3'!AO37</f>
        <v>0</v>
      </c>
      <c r="AP37" s="91">
        <f>'1'!AP37+'2'!AP37+'3'!AP37</f>
        <v>0</v>
      </c>
      <c r="AQ37" s="16">
        <f t="shared" si="34"/>
        <v>0</v>
      </c>
      <c r="AR37" s="17">
        <f t="shared" si="42"/>
        <v>0</v>
      </c>
      <c r="AS37" s="91">
        <f t="shared" si="46"/>
        <v>0</v>
      </c>
      <c r="AT37" s="15"/>
      <c r="AU37" s="92">
        <f t="shared" si="47"/>
        <v>0</v>
      </c>
      <c r="AV37" s="92">
        <f t="shared" si="36"/>
        <v>0</v>
      </c>
      <c r="AW37" s="92">
        <f t="shared" si="48"/>
        <v>0</v>
      </c>
      <c r="AX37" s="92">
        <f t="shared" si="49"/>
        <v>0</v>
      </c>
      <c r="AY37" s="82">
        <f t="shared" si="52"/>
        <v>0</v>
      </c>
      <c r="AZ37" s="82">
        <f t="shared" si="53"/>
        <v>0</v>
      </c>
      <c r="BA37" s="95">
        <f t="shared" si="50"/>
        <v>0</v>
      </c>
      <c r="BB37" s="139"/>
      <c r="BC37"/>
    </row>
    <row r="38" spans="1:55" ht="15" hidden="1" customHeight="1" x14ac:dyDescent="0.3">
      <c r="A38" s="72" t="s">
        <v>41</v>
      </c>
      <c r="B38" s="111"/>
      <c r="C38" s="111">
        <v>49</v>
      </c>
      <c r="D38" s="121">
        <f t="shared" si="54"/>
        <v>0</v>
      </c>
      <c r="E38" s="16">
        <f t="shared" si="55"/>
        <v>0</v>
      </c>
      <c r="F38" s="91">
        <f>'1'!F38+'2'!F38+'3'!F38</f>
        <v>0</v>
      </c>
      <c r="G38" s="91">
        <f>'1'!G38+'2'!G38+'3'!G38</f>
        <v>0</v>
      </c>
      <c r="H38" s="135">
        <f>'1'!H38+'2'!H38+'3'!H38</f>
        <v>0</v>
      </c>
      <c r="I38" s="135">
        <f>'1'!I38+'2'!I38+'3'!I38</f>
        <v>0</v>
      </c>
      <c r="J38" s="9" t="s">
        <v>68</v>
      </c>
      <c r="K38" s="133">
        <f>'1'!K38+'2'!K38+'3'!K38</f>
        <v>0</v>
      </c>
      <c r="L38" s="133">
        <f>'1'!L38+'2'!L38+'3'!L38</f>
        <v>0</v>
      </c>
      <c r="M38" s="91">
        <f>'1'!M38+'2'!M38+'3'!M38</f>
        <v>0</v>
      </c>
      <c r="N38" s="91">
        <f>'1'!N38+'2'!N38+'3'!N38</f>
        <v>0</v>
      </c>
      <c r="O38" s="91">
        <f>'1'!O38+'2'!O38+'3'!O38</f>
        <v>0</v>
      </c>
      <c r="P38" s="91">
        <f>'1'!P38+'2'!P38+'3'!P38</f>
        <v>0</v>
      </c>
      <c r="Q38" s="91">
        <f>'1'!Q38+'2'!Q38+'3'!Q38</f>
        <v>0</v>
      </c>
      <c r="R38" s="91">
        <f>'1'!R38+'2'!R38+'3'!R38</f>
        <v>0</v>
      </c>
      <c r="S38" s="91">
        <f>'1'!S38+'2'!S38+'3'!S38</f>
        <v>0</v>
      </c>
      <c r="T38" s="91">
        <f>'1'!T38+'2'!T38+'3'!T38</f>
        <v>0</v>
      </c>
      <c r="U38" s="91">
        <f>'1'!U38+'2'!U38+'3'!U38</f>
        <v>0</v>
      </c>
      <c r="V38" s="91">
        <f>'1'!V38+'2'!V38+'3'!V38</f>
        <v>0</v>
      </c>
      <c r="W38" s="91">
        <f>'1'!W38+'2'!W38+'3'!W38</f>
        <v>0</v>
      </c>
      <c r="X38" s="91">
        <f>'1'!X38+'2'!X38+'3'!X38</f>
        <v>0</v>
      </c>
      <c r="Y38" s="91">
        <f>'1'!Y38+'2'!Y38+'3'!Y38</f>
        <v>0</v>
      </c>
      <c r="Z38" s="91">
        <f>'1'!Z38+'2'!Z38+'3'!Z38</f>
        <v>0</v>
      </c>
      <c r="AA38" s="91">
        <f>'1'!AA38+'2'!AA38+'3'!AA38</f>
        <v>0</v>
      </c>
      <c r="AB38" s="91">
        <f>'1'!AB38+'2'!AB38+'3'!AB38</f>
        <v>0</v>
      </c>
      <c r="AC38" s="91">
        <f>'1'!AC38+'2'!AC38+'3'!AC38</f>
        <v>0</v>
      </c>
      <c r="AD38" s="91">
        <f>'1'!AD38+'2'!AD38+'3'!AD38</f>
        <v>0</v>
      </c>
      <c r="AE38" s="91">
        <f>'1'!AE38+'2'!AE38+'3'!AE38</f>
        <v>0</v>
      </c>
      <c r="AF38" s="91">
        <f>'1'!AF38+'2'!AF38+'3'!AF38</f>
        <v>0</v>
      </c>
      <c r="AG38" s="91">
        <f>'1'!AG38+'2'!AG38+'3'!AG38</f>
        <v>0</v>
      </c>
      <c r="AH38" s="91">
        <f>'1'!AH38+'2'!AH38+'3'!AH38</f>
        <v>0</v>
      </c>
      <c r="AI38" s="91">
        <f>'1'!AI38+'2'!AI38+'3'!AI38</f>
        <v>0</v>
      </c>
      <c r="AJ38" s="91">
        <f>'1'!AJ38+'2'!AJ38+'3'!AJ38</f>
        <v>0</v>
      </c>
      <c r="AK38" s="91">
        <f>'1'!AK38+'2'!AK38+'3'!AK38</f>
        <v>0</v>
      </c>
      <c r="AL38" s="91">
        <f>'1'!AL38+'2'!AL38+'3'!AL38</f>
        <v>0</v>
      </c>
      <c r="AM38" s="91">
        <f>'1'!AM38+'2'!AM38+'3'!AM38</f>
        <v>0</v>
      </c>
      <c r="AN38" s="91">
        <f>'1'!AN38+'2'!AN38+'3'!AN38</f>
        <v>0</v>
      </c>
      <c r="AO38" s="91">
        <f>'1'!AO38+'2'!AO38+'3'!AO38</f>
        <v>0</v>
      </c>
      <c r="AP38" s="91">
        <f>'1'!AP38+'2'!AP38+'3'!AP38</f>
        <v>0</v>
      </c>
      <c r="AQ38" s="16">
        <f t="shared" si="34"/>
        <v>0</v>
      </c>
      <c r="AR38" s="17">
        <f t="shared" si="42"/>
        <v>0</v>
      </c>
      <c r="AS38" s="91">
        <f t="shared" si="46"/>
        <v>0</v>
      </c>
      <c r="AT38" s="15"/>
      <c r="AU38" s="92">
        <f t="shared" si="47"/>
        <v>0</v>
      </c>
      <c r="AV38" s="92">
        <f t="shared" si="36"/>
        <v>0</v>
      </c>
      <c r="AW38" s="92">
        <f t="shared" si="48"/>
        <v>0</v>
      </c>
      <c r="AX38" s="92">
        <f t="shared" si="49"/>
        <v>0</v>
      </c>
      <c r="AY38" s="82">
        <f t="shared" si="52"/>
        <v>0</v>
      </c>
      <c r="AZ38" s="82">
        <f t="shared" si="53"/>
        <v>0</v>
      </c>
      <c r="BA38" s="95">
        <f t="shared" si="50"/>
        <v>0</v>
      </c>
      <c r="BB38" s="139"/>
      <c r="BC38"/>
    </row>
    <row r="39" spans="1:55" ht="15" hidden="1" customHeight="1" x14ac:dyDescent="0.3">
      <c r="A39" s="72" t="s">
        <v>42</v>
      </c>
      <c r="B39" s="111"/>
      <c r="C39" s="111">
        <v>50</v>
      </c>
      <c r="D39" s="121">
        <f t="shared" si="54"/>
        <v>0</v>
      </c>
      <c r="E39" s="16">
        <f t="shared" si="55"/>
        <v>0</v>
      </c>
      <c r="F39" s="91">
        <f>'1'!F39+'2'!F39+'3'!F39</f>
        <v>0</v>
      </c>
      <c r="G39" s="91">
        <f>'1'!G39+'2'!G39+'3'!G39</f>
        <v>0</v>
      </c>
      <c r="H39" s="135">
        <f>'1'!H39+'2'!H39+'3'!H39</f>
        <v>0</v>
      </c>
      <c r="I39" s="135">
        <f>'1'!I39+'2'!I39+'3'!I39</f>
        <v>0</v>
      </c>
      <c r="J39" s="9" t="s">
        <v>68</v>
      </c>
      <c r="K39" s="133">
        <f>'1'!K39+'2'!K39+'3'!K39</f>
        <v>0</v>
      </c>
      <c r="L39" s="133">
        <f>'1'!L39+'2'!L39+'3'!L39</f>
        <v>0</v>
      </c>
      <c r="M39" s="91">
        <f>'1'!M39+'2'!M39+'3'!M39</f>
        <v>0</v>
      </c>
      <c r="N39" s="91">
        <f>'1'!N39+'2'!N39+'3'!N39</f>
        <v>0</v>
      </c>
      <c r="O39" s="91">
        <f>'1'!O39+'2'!O39+'3'!O39</f>
        <v>0</v>
      </c>
      <c r="P39" s="91">
        <f>'1'!P39+'2'!P39+'3'!P39</f>
        <v>0</v>
      </c>
      <c r="Q39" s="91">
        <f>'1'!Q39+'2'!Q39+'3'!Q39</f>
        <v>0</v>
      </c>
      <c r="R39" s="91">
        <f>'1'!R39+'2'!R39+'3'!R39</f>
        <v>0</v>
      </c>
      <c r="S39" s="91">
        <f>'1'!S39+'2'!S39+'3'!S39</f>
        <v>0</v>
      </c>
      <c r="T39" s="91">
        <f>'1'!T39+'2'!T39+'3'!T39</f>
        <v>0</v>
      </c>
      <c r="U39" s="91">
        <f>'1'!U39+'2'!U39+'3'!U39</f>
        <v>0</v>
      </c>
      <c r="V39" s="91">
        <f>'1'!V39+'2'!V39+'3'!V39</f>
        <v>0</v>
      </c>
      <c r="W39" s="91">
        <f>'1'!W39+'2'!W39+'3'!W39</f>
        <v>0</v>
      </c>
      <c r="X39" s="91">
        <f>'1'!X39+'2'!X39+'3'!X39</f>
        <v>0</v>
      </c>
      <c r="Y39" s="91">
        <f>'1'!Y39+'2'!Y39+'3'!Y39</f>
        <v>0</v>
      </c>
      <c r="Z39" s="91">
        <f>'1'!Z39+'2'!Z39+'3'!Z39</f>
        <v>0</v>
      </c>
      <c r="AA39" s="91">
        <f>'1'!AA39+'2'!AA39+'3'!AA39</f>
        <v>0</v>
      </c>
      <c r="AB39" s="91">
        <f>'1'!AB39+'2'!AB39+'3'!AB39</f>
        <v>0</v>
      </c>
      <c r="AC39" s="91">
        <f>'1'!AC39+'2'!AC39+'3'!AC39</f>
        <v>0</v>
      </c>
      <c r="AD39" s="91">
        <f>'1'!AD39+'2'!AD39+'3'!AD39</f>
        <v>0</v>
      </c>
      <c r="AE39" s="91">
        <f>'1'!AE39+'2'!AE39+'3'!AE39</f>
        <v>0</v>
      </c>
      <c r="AF39" s="91">
        <f>'1'!AF39+'2'!AF39+'3'!AF39</f>
        <v>0</v>
      </c>
      <c r="AG39" s="91">
        <f>'1'!AG39+'2'!AG39+'3'!AG39</f>
        <v>0</v>
      </c>
      <c r="AH39" s="91">
        <f>'1'!AH39+'2'!AH39+'3'!AH39</f>
        <v>0</v>
      </c>
      <c r="AI39" s="91">
        <f>'1'!AI39+'2'!AI39+'3'!AI39</f>
        <v>0</v>
      </c>
      <c r="AJ39" s="91">
        <f>'1'!AJ39+'2'!AJ39+'3'!AJ39</f>
        <v>0</v>
      </c>
      <c r="AK39" s="91">
        <f>'1'!AK39+'2'!AK39+'3'!AK39</f>
        <v>0</v>
      </c>
      <c r="AL39" s="91">
        <f>'1'!AL39+'2'!AL39+'3'!AL39</f>
        <v>0</v>
      </c>
      <c r="AM39" s="91">
        <f>'1'!AM39+'2'!AM39+'3'!AM39</f>
        <v>0</v>
      </c>
      <c r="AN39" s="91">
        <f>'1'!AN39+'2'!AN39+'3'!AN39</f>
        <v>0</v>
      </c>
      <c r="AO39" s="91">
        <f>'1'!AO39+'2'!AO39+'3'!AO39</f>
        <v>0</v>
      </c>
      <c r="AP39" s="91">
        <f>'1'!AP39+'2'!AP39+'3'!AP39</f>
        <v>0</v>
      </c>
      <c r="AQ39" s="16">
        <f t="shared" si="34"/>
        <v>0</v>
      </c>
      <c r="AR39" s="17">
        <f t="shared" si="42"/>
        <v>0</v>
      </c>
      <c r="AS39" s="91">
        <f t="shared" si="46"/>
        <v>0</v>
      </c>
      <c r="AT39" s="15"/>
      <c r="AU39" s="92">
        <f t="shared" si="47"/>
        <v>0</v>
      </c>
      <c r="AV39" s="92">
        <f t="shared" si="36"/>
        <v>0</v>
      </c>
      <c r="AW39" s="92">
        <f t="shared" si="48"/>
        <v>0</v>
      </c>
      <c r="AX39" s="92">
        <f t="shared" si="49"/>
        <v>0</v>
      </c>
      <c r="AY39" s="82">
        <f t="shared" si="52"/>
        <v>0</v>
      </c>
      <c r="AZ39" s="82">
        <f t="shared" si="53"/>
        <v>0</v>
      </c>
      <c r="BA39" s="95">
        <f t="shared" si="50"/>
        <v>0</v>
      </c>
      <c r="BB39" s="139"/>
      <c r="BC39"/>
    </row>
    <row r="40" spans="1:55" ht="15" hidden="1" customHeight="1" x14ac:dyDescent="0.3">
      <c r="A40" s="72" t="s">
        <v>43</v>
      </c>
      <c r="B40" s="111"/>
      <c r="C40" s="111">
        <v>51</v>
      </c>
      <c r="D40" s="121">
        <f t="shared" si="54"/>
        <v>0</v>
      </c>
      <c r="E40" s="16">
        <f t="shared" si="55"/>
        <v>0</v>
      </c>
      <c r="F40" s="91">
        <f>'1'!F40+'2'!F40+'3'!F40</f>
        <v>0</v>
      </c>
      <c r="G40" s="91">
        <f>'1'!G40+'2'!G40+'3'!G40</f>
        <v>0</v>
      </c>
      <c r="H40" s="135">
        <f>'1'!H40+'2'!H40+'3'!H40</f>
        <v>0</v>
      </c>
      <c r="I40" s="135">
        <f>'1'!I40+'2'!I40+'3'!I40</f>
        <v>0</v>
      </c>
      <c r="J40" s="9" t="s">
        <v>68</v>
      </c>
      <c r="K40" s="133">
        <f>'1'!K40+'2'!K40+'3'!K40</f>
        <v>0</v>
      </c>
      <c r="L40" s="133">
        <f>'1'!L40+'2'!L40+'3'!L40</f>
        <v>0</v>
      </c>
      <c r="M40" s="91">
        <f>'1'!M40+'2'!M40+'3'!M40</f>
        <v>0</v>
      </c>
      <c r="N40" s="91">
        <f>'1'!N40+'2'!N40+'3'!N40</f>
        <v>0</v>
      </c>
      <c r="O40" s="91">
        <f>'1'!O40+'2'!O40+'3'!O40</f>
        <v>0</v>
      </c>
      <c r="P40" s="91">
        <f>'1'!P40+'2'!P40+'3'!P40</f>
        <v>0</v>
      </c>
      <c r="Q40" s="91">
        <f>'1'!Q40+'2'!Q40+'3'!Q40</f>
        <v>0</v>
      </c>
      <c r="R40" s="91">
        <f>'1'!R40+'2'!R40+'3'!R40</f>
        <v>0</v>
      </c>
      <c r="S40" s="91">
        <f>'1'!S40+'2'!S40+'3'!S40</f>
        <v>0</v>
      </c>
      <c r="T40" s="91">
        <f>'1'!T40+'2'!T40+'3'!T40</f>
        <v>0</v>
      </c>
      <c r="U40" s="91">
        <f>'1'!U40+'2'!U40+'3'!U40</f>
        <v>0</v>
      </c>
      <c r="V40" s="91">
        <f>'1'!V40+'2'!V40+'3'!V40</f>
        <v>0</v>
      </c>
      <c r="W40" s="91">
        <f>'1'!W40+'2'!W40+'3'!W40</f>
        <v>0</v>
      </c>
      <c r="X40" s="91">
        <f>'1'!X40+'2'!X40+'3'!X40</f>
        <v>0</v>
      </c>
      <c r="Y40" s="91">
        <f>'1'!Y40+'2'!Y40+'3'!Y40</f>
        <v>0</v>
      </c>
      <c r="Z40" s="91">
        <f>'1'!Z40+'2'!Z40+'3'!Z40</f>
        <v>0</v>
      </c>
      <c r="AA40" s="91">
        <f>'1'!AA40+'2'!AA40+'3'!AA40</f>
        <v>0</v>
      </c>
      <c r="AB40" s="91">
        <f>'1'!AB40+'2'!AB40+'3'!AB40</f>
        <v>0</v>
      </c>
      <c r="AC40" s="91">
        <f>'1'!AC40+'2'!AC40+'3'!AC40</f>
        <v>0</v>
      </c>
      <c r="AD40" s="91">
        <f>'1'!AD40+'2'!AD40+'3'!AD40</f>
        <v>0</v>
      </c>
      <c r="AE40" s="91">
        <f>'1'!AE40+'2'!AE40+'3'!AE40</f>
        <v>0</v>
      </c>
      <c r="AF40" s="91">
        <f>'1'!AF40+'2'!AF40+'3'!AF40</f>
        <v>0</v>
      </c>
      <c r="AG40" s="91">
        <f>'1'!AG40+'2'!AG40+'3'!AG40</f>
        <v>0</v>
      </c>
      <c r="AH40" s="91">
        <f>'1'!AH40+'2'!AH40+'3'!AH40</f>
        <v>0</v>
      </c>
      <c r="AI40" s="91">
        <f>'1'!AI40+'2'!AI40+'3'!AI40</f>
        <v>0</v>
      </c>
      <c r="AJ40" s="91">
        <f>'1'!AJ40+'2'!AJ40+'3'!AJ40</f>
        <v>0</v>
      </c>
      <c r="AK40" s="91">
        <f>'1'!AK40+'2'!AK40+'3'!AK40</f>
        <v>0</v>
      </c>
      <c r="AL40" s="91">
        <f>'1'!AL40+'2'!AL40+'3'!AL40</f>
        <v>0</v>
      </c>
      <c r="AM40" s="91">
        <f>'1'!AM40+'2'!AM40+'3'!AM40</f>
        <v>0</v>
      </c>
      <c r="AN40" s="91">
        <f>'1'!AN40+'2'!AN40+'3'!AN40</f>
        <v>0</v>
      </c>
      <c r="AO40" s="91">
        <f>'1'!AO40+'2'!AO40+'3'!AO40</f>
        <v>0</v>
      </c>
      <c r="AP40" s="91">
        <f>'1'!AP40+'2'!AP40+'3'!AP40</f>
        <v>0</v>
      </c>
      <c r="AQ40" s="16">
        <f t="shared" si="34"/>
        <v>0</v>
      </c>
      <c r="AR40" s="17">
        <f t="shared" si="42"/>
        <v>0</v>
      </c>
      <c r="AS40" s="91">
        <f t="shared" si="46"/>
        <v>0</v>
      </c>
      <c r="AT40" s="15"/>
      <c r="AU40" s="92">
        <f t="shared" si="47"/>
        <v>0</v>
      </c>
      <c r="AV40" s="92">
        <f t="shared" si="36"/>
        <v>0</v>
      </c>
      <c r="AW40" s="92">
        <f t="shared" si="48"/>
        <v>0</v>
      </c>
      <c r="AX40" s="92">
        <f t="shared" si="49"/>
        <v>0</v>
      </c>
      <c r="AY40" s="82">
        <f t="shared" si="52"/>
        <v>0</v>
      </c>
      <c r="AZ40" s="82">
        <f t="shared" si="53"/>
        <v>0</v>
      </c>
      <c r="BA40" s="95">
        <f t="shared" si="50"/>
        <v>0</v>
      </c>
      <c r="BB40" s="139"/>
      <c r="BC40"/>
    </row>
    <row r="41" spans="1:55" ht="15" hidden="1" customHeight="1" thickBot="1" x14ac:dyDescent="0.3">
      <c r="A41" s="100" t="s">
        <v>44</v>
      </c>
      <c r="B41" s="116"/>
      <c r="C41" s="116">
        <v>52</v>
      </c>
      <c r="D41" s="121">
        <f t="shared" si="54"/>
        <v>0</v>
      </c>
      <c r="E41" s="16">
        <f t="shared" si="55"/>
        <v>0</v>
      </c>
      <c r="F41" s="91">
        <f>'1'!F41+'2'!F41+'3'!F41</f>
        <v>0</v>
      </c>
      <c r="G41" s="91">
        <f>'1'!G41+'2'!G41+'3'!G41</f>
        <v>0</v>
      </c>
      <c r="H41" s="135">
        <f>'1'!H41+'2'!H41+'3'!H41</f>
        <v>0</v>
      </c>
      <c r="I41" s="135">
        <f>'1'!I41+'2'!I41+'3'!I41</f>
        <v>0</v>
      </c>
      <c r="J41" s="101" t="s">
        <v>68</v>
      </c>
      <c r="K41" s="133">
        <f>'1'!K41+'2'!K41+'3'!K41</f>
        <v>0</v>
      </c>
      <c r="L41" s="133">
        <f>'1'!L41+'2'!L41+'3'!L41</f>
        <v>0</v>
      </c>
      <c r="M41" s="91">
        <f>'1'!M41+'2'!M41+'3'!M41</f>
        <v>0</v>
      </c>
      <c r="N41" s="91">
        <f>'1'!N41+'2'!N41+'3'!N41</f>
        <v>0</v>
      </c>
      <c r="O41" s="91">
        <f>'1'!O41+'2'!O41+'3'!O41</f>
        <v>0</v>
      </c>
      <c r="P41" s="91">
        <f>'1'!P41+'2'!P41+'3'!P41</f>
        <v>0</v>
      </c>
      <c r="Q41" s="91">
        <f>'1'!Q41+'2'!Q41+'3'!Q41</f>
        <v>0</v>
      </c>
      <c r="R41" s="91">
        <f>'1'!R41+'2'!R41+'3'!R41</f>
        <v>0</v>
      </c>
      <c r="S41" s="91">
        <f>'1'!S41+'2'!S41+'3'!S41</f>
        <v>0</v>
      </c>
      <c r="T41" s="91">
        <f>'1'!T41+'2'!T41+'3'!T41</f>
        <v>0</v>
      </c>
      <c r="U41" s="91">
        <f>'1'!U41+'2'!U41+'3'!U41</f>
        <v>0</v>
      </c>
      <c r="V41" s="91">
        <f>'1'!V41+'2'!V41+'3'!V41</f>
        <v>0</v>
      </c>
      <c r="W41" s="91">
        <f>'1'!W41+'2'!W41+'3'!W41</f>
        <v>0</v>
      </c>
      <c r="X41" s="91">
        <f>'1'!X41+'2'!X41+'3'!X41</f>
        <v>0</v>
      </c>
      <c r="Y41" s="91">
        <f>'1'!Y41+'2'!Y41+'3'!Y41</f>
        <v>0</v>
      </c>
      <c r="Z41" s="91">
        <f>'1'!Z41+'2'!Z41+'3'!Z41</f>
        <v>0</v>
      </c>
      <c r="AA41" s="91">
        <f>'1'!AA41+'2'!AA41+'3'!AA41</f>
        <v>0</v>
      </c>
      <c r="AB41" s="91">
        <f>'1'!AB41+'2'!AB41+'3'!AB41</f>
        <v>0</v>
      </c>
      <c r="AC41" s="91">
        <f>'1'!AC41+'2'!AC41+'3'!AC41</f>
        <v>0</v>
      </c>
      <c r="AD41" s="91">
        <f>'1'!AD41+'2'!AD41+'3'!AD41</f>
        <v>0</v>
      </c>
      <c r="AE41" s="91">
        <f>'1'!AE41+'2'!AE41+'3'!AE41</f>
        <v>0</v>
      </c>
      <c r="AF41" s="91">
        <f>'1'!AF41+'2'!AF41+'3'!AF41</f>
        <v>0</v>
      </c>
      <c r="AG41" s="91">
        <f>'1'!AG41+'2'!AG41+'3'!AG41</f>
        <v>0</v>
      </c>
      <c r="AH41" s="91">
        <f>'1'!AH41+'2'!AH41+'3'!AH41</f>
        <v>0</v>
      </c>
      <c r="AI41" s="91">
        <f>'1'!AI41+'2'!AI41+'3'!AI41</f>
        <v>0</v>
      </c>
      <c r="AJ41" s="91">
        <f>'1'!AJ41+'2'!AJ41+'3'!AJ41</f>
        <v>0</v>
      </c>
      <c r="AK41" s="91">
        <f>'1'!AK41+'2'!AK41+'3'!AK41</f>
        <v>0</v>
      </c>
      <c r="AL41" s="91">
        <f>'1'!AL41+'2'!AL41+'3'!AL41</f>
        <v>0</v>
      </c>
      <c r="AM41" s="91">
        <f>'1'!AM41+'2'!AM41+'3'!AM41</f>
        <v>0</v>
      </c>
      <c r="AN41" s="91">
        <f>'1'!AN41+'2'!AN41+'3'!AN41</f>
        <v>0</v>
      </c>
      <c r="AO41" s="91">
        <f>'1'!AO41+'2'!AO41+'3'!AO41</f>
        <v>0</v>
      </c>
      <c r="AP41" s="91">
        <f>'1'!AP41+'2'!AP41+'3'!AP41</f>
        <v>0</v>
      </c>
      <c r="AQ41" s="16">
        <f t="shared" si="34"/>
        <v>0</v>
      </c>
      <c r="AR41" s="17">
        <f t="shared" si="42"/>
        <v>0</v>
      </c>
      <c r="AS41" s="91">
        <f t="shared" si="46"/>
        <v>0</v>
      </c>
      <c r="AT41" s="16"/>
      <c r="AU41" s="92">
        <f t="shared" si="47"/>
        <v>0</v>
      </c>
      <c r="AV41" s="92">
        <f t="shared" si="36"/>
        <v>0</v>
      </c>
      <c r="AW41" s="92">
        <f t="shared" si="48"/>
        <v>0</v>
      </c>
      <c r="AX41" s="92">
        <f t="shared" si="49"/>
        <v>0</v>
      </c>
      <c r="AY41" s="82">
        <f t="shared" si="52"/>
        <v>0</v>
      </c>
      <c r="AZ41" s="82">
        <f t="shared" si="53"/>
        <v>0</v>
      </c>
      <c r="BA41" s="95">
        <f t="shared" si="50"/>
        <v>0</v>
      </c>
      <c r="BB41" s="140"/>
      <c r="BC41"/>
    </row>
    <row r="42" spans="1:55" ht="15" customHeight="1" thickBot="1" x14ac:dyDescent="0.3">
      <c r="A42" s="102" t="s">
        <v>81</v>
      </c>
      <c r="B42" s="124"/>
      <c r="C42" s="87"/>
      <c r="D42" s="129">
        <f t="shared" ref="D42:E42" si="56">SUM(D43:D45)</f>
        <v>0</v>
      </c>
      <c r="E42" s="129">
        <f t="shared" si="56"/>
        <v>0</v>
      </c>
      <c r="F42" s="129">
        <f t="shared" ref="F42" si="57">SUM(F43:F45)</f>
        <v>0</v>
      </c>
      <c r="G42" s="129">
        <f t="shared" ref="G42" si="58">SUM(G43:G45)</f>
        <v>0</v>
      </c>
      <c r="H42" s="131">
        <f t="shared" ref="H42" si="59">SUM(H43:H45)</f>
        <v>0</v>
      </c>
      <c r="I42" s="131">
        <f t="shared" ref="I42" si="60">SUM(I43:I45)</f>
        <v>0</v>
      </c>
      <c r="J42" s="129">
        <f t="shared" ref="J42" si="61">SUM(J43:J45)</f>
        <v>0</v>
      </c>
      <c r="K42" s="130">
        <f t="shared" ref="K42" si="62">SUM(K43:K45)</f>
        <v>0</v>
      </c>
      <c r="L42" s="130">
        <f t="shared" ref="L42" si="63">SUM(L43:L45)</f>
        <v>0</v>
      </c>
      <c r="M42" s="129">
        <f t="shared" ref="M42" si="64">SUM(M43:M45)</f>
        <v>0</v>
      </c>
      <c r="N42" s="129">
        <f t="shared" ref="N42" si="65">SUM(N43:N45)</f>
        <v>0</v>
      </c>
      <c r="O42" s="129">
        <f t="shared" ref="O42" si="66">SUM(O43:O45)</f>
        <v>0</v>
      </c>
      <c r="P42" s="129">
        <f t="shared" ref="P42" si="67">SUM(P43:P45)</f>
        <v>0</v>
      </c>
      <c r="Q42" s="129">
        <f t="shared" ref="Q42" si="68">SUM(Q43:Q45)</f>
        <v>0</v>
      </c>
      <c r="R42" s="129">
        <f t="shared" ref="R42" si="69">SUM(R43:R45)</f>
        <v>0</v>
      </c>
      <c r="S42" s="129">
        <f t="shared" ref="S42" si="70">SUM(S43:S45)</f>
        <v>0</v>
      </c>
      <c r="T42" s="129">
        <f t="shared" ref="T42" si="71">SUM(T43:T45)</f>
        <v>0</v>
      </c>
      <c r="U42" s="129">
        <f t="shared" ref="U42" si="72">SUM(U43:U45)</f>
        <v>0</v>
      </c>
      <c r="V42" s="129">
        <f t="shared" ref="V42" si="73">SUM(V43:V45)</f>
        <v>0</v>
      </c>
      <c r="W42" s="129">
        <f t="shared" ref="W42" si="74">SUM(W43:W45)</f>
        <v>0</v>
      </c>
      <c r="X42" s="129">
        <f t="shared" ref="X42" si="75">SUM(X43:X45)</f>
        <v>0</v>
      </c>
      <c r="Y42" s="129">
        <f t="shared" ref="Y42" si="76">SUM(Y43:Y45)</f>
        <v>0</v>
      </c>
      <c r="Z42" s="129">
        <f t="shared" ref="Z42" si="77">SUM(Z43:Z45)</f>
        <v>0</v>
      </c>
      <c r="AA42" s="129">
        <f t="shared" ref="AA42" si="78">SUM(AA43:AA45)</f>
        <v>0</v>
      </c>
      <c r="AB42" s="129">
        <f t="shared" ref="AB42" si="79">SUM(AB43:AB45)</f>
        <v>0</v>
      </c>
      <c r="AC42" s="129">
        <f t="shared" ref="AC42" si="80">SUM(AC43:AC45)</f>
        <v>0</v>
      </c>
      <c r="AD42" s="129">
        <f t="shared" ref="AD42" si="81">SUM(AD43:AD45)</f>
        <v>0</v>
      </c>
      <c r="AE42" s="129">
        <f t="shared" ref="AE42" si="82">SUM(AE43:AE45)</f>
        <v>0</v>
      </c>
      <c r="AF42" s="129">
        <f t="shared" ref="AF42" si="83">SUM(AF43:AF45)</f>
        <v>0</v>
      </c>
      <c r="AG42" s="129">
        <f t="shared" ref="AG42" si="84">SUM(AG43:AG45)</f>
        <v>0</v>
      </c>
      <c r="AH42" s="129">
        <f t="shared" ref="AH42" si="85">SUM(AH43:AH45)</f>
        <v>0</v>
      </c>
      <c r="AI42" s="129">
        <f t="shared" ref="AI42" si="86">SUM(AI43:AI45)</f>
        <v>0</v>
      </c>
      <c r="AJ42" s="129">
        <f t="shared" ref="AJ42" si="87">SUM(AJ43:AJ45)</f>
        <v>0</v>
      </c>
      <c r="AK42" s="129">
        <f t="shared" ref="AK42" si="88">SUM(AK43:AK45)</f>
        <v>0</v>
      </c>
      <c r="AL42" s="129">
        <f t="shared" ref="AL42" si="89">SUM(AL43:AL45)</f>
        <v>0</v>
      </c>
      <c r="AM42" s="129">
        <f t="shared" ref="AM42" si="90">SUM(AM43:AM45)</f>
        <v>0</v>
      </c>
      <c r="AN42" s="129">
        <f t="shared" ref="AN42" si="91">SUM(AN43:AN45)</f>
        <v>0</v>
      </c>
      <c r="AO42" s="129">
        <f t="shared" ref="AO42" si="92">SUM(AO43:AO45)</f>
        <v>0</v>
      </c>
      <c r="AP42" s="129">
        <f t="shared" ref="AP42" si="93">SUM(AP43:AP45)</f>
        <v>0</v>
      </c>
      <c r="AQ42" s="129">
        <f t="shared" si="34"/>
        <v>0</v>
      </c>
      <c r="AR42" s="129">
        <f t="shared" si="42"/>
        <v>0</v>
      </c>
      <c r="AS42" s="129">
        <f t="shared" si="46"/>
        <v>0</v>
      </c>
      <c r="AT42" s="129">
        <f>SUM(AT43:AT45)</f>
        <v>0</v>
      </c>
      <c r="AU42" s="131">
        <f t="shared" si="47"/>
        <v>0</v>
      </c>
      <c r="AV42" s="131">
        <f t="shared" si="36"/>
        <v>0</v>
      </c>
      <c r="AW42" s="131">
        <f t="shared" si="48"/>
        <v>0</v>
      </c>
      <c r="AX42" s="131">
        <f t="shared" si="49"/>
        <v>0</v>
      </c>
      <c r="AY42" s="131">
        <f>SUM(AY43:AY45)</f>
        <v>0</v>
      </c>
      <c r="AZ42" s="131">
        <f>SUM(AZ43:AZ45)</f>
        <v>0</v>
      </c>
      <c r="BA42" s="129">
        <f t="shared" si="50"/>
        <v>0</v>
      </c>
      <c r="BB42" s="141"/>
      <c r="BC42"/>
    </row>
    <row r="43" spans="1:55" ht="15" customHeight="1" x14ac:dyDescent="0.25">
      <c r="A43" s="97" t="s">
        <v>66</v>
      </c>
      <c r="B43" s="123" t="s">
        <v>139</v>
      </c>
      <c r="C43" s="115">
        <v>25</v>
      </c>
      <c r="D43" s="121">
        <f>AT43*AU43*AW43</f>
        <v>0</v>
      </c>
      <c r="E43" s="16">
        <f>ROUND(AT43*AV43*AX43,4)</f>
        <v>0</v>
      </c>
      <c r="F43" s="91">
        <f>'1'!F43+'2'!F43+'3'!F43</f>
        <v>0</v>
      </c>
      <c r="G43" s="91">
        <f>'1'!G43+'2'!G43+'3'!G43</f>
        <v>0</v>
      </c>
      <c r="H43" s="135">
        <f>'1'!H43+'2'!H43+'3'!H43</f>
        <v>0</v>
      </c>
      <c r="I43" s="135">
        <f>'1'!I43+'2'!I43+'3'!I43</f>
        <v>0</v>
      </c>
      <c r="J43" s="14" t="s">
        <v>55</v>
      </c>
      <c r="K43" s="133">
        <f>'1'!K43+'2'!K43+'3'!K43</f>
        <v>0</v>
      </c>
      <c r="L43" s="133">
        <f>'1'!L43+'2'!L43+'3'!L43</f>
        <v>0</v>
      </c>
      <c r="M43" s="91">
        <f>'1'!M43+'2'!M43+'3'!M43</f>
        <v>0</v>
      </c>
      <c r="N43" s="91">
        <f>'1'!N43+'2'!N43+'3'!N43</f>
        <v>0</v>
      </c>
      <c r="O43" s="91">
        <f>'1'!O43+'2'!O43+'3'!O43</f>
        <v>0</v>
      </c>
      <c r="P43" s="91">
        <f>'1'!P43+'2'!P43+'3'!P43</f>
        <v>0</v>
      </c>
      <c r="Q43" s="91">
        <f>'1'!Q43+'2'!Q43+'3'!Q43</f>
        <v>0</v>
      </c>
      <c r="R43" s="91">
        <f>'1'!R43+'2'!R43+'3'!R43</f>
        <v>0</v>
      </c>
      <c r="S43" s="91">
        <f>'1'!S43+'2'!S43+'3'!S43</f>
        <v>0</v>
      </c>
      <c r="T43" s="91">
        <f>'1'!T43+'2'!T43+'3'!T43</f>
        <v>0</v>
      </c>
      <c r="U43" s="91">
        <f>'1'!U43+'2'!U43+'3'!U43</f>
        <v>0</v>
      </c>
      <c r="V43" s="91">
        <f>'1'!V43+'2'!V43+'3'!V43</f>
        <v>0</v>
      </c>
      <c r="W43" s="91">
        <f>'1'!W43+'2'!W43+'3'!W43</f>
        <v>0</v>
      </c>
      <c r="X43" s="91">
        <f>'1'!X43+'2'!X43+'3'!X43</f>
        <v>0</v>
      </c>
      <c r="Y43" s="91">
        <f>'1'!Y43+'2'!Y43+'3'!Y43</f>
        <v>0</v>
      </c>
      <c r="Z43" s="91">
        <f>'1'!Z43+'2'!Z43+'3'!Z43</f>
        <v>0</v>
      </c>
      <c r="AA43" s="91">
        <f>'1'!AA43+'2'!AA43+'3'!AA43</f>
        <v>0</v>
      </c>
      <c r="AB43" s="91">
        <f>'1'!AB43+'2'!AB43+'3'!AB43</f>
        <v>0</v>
      </c>
      <c r="AC43" s="91">
        <f>'1'!AC43+'2'!AC43+'3'!AC43</f>
        <v>0</v>
      </c>
      <c r="AD43" s="91">
        <f>'1'!AD43+'2'!AD43+'3'!AD43</f>
        <v>0</v>
      </c>
      <c r="AE43" s="91">
        <f>'1'!AE43+'2'!AE43+'3'!AE43</f>
        <v>0</v>
      </c>
      <c r="AF43" s="91">
        <f>'1'!AF43+'2'!AF43+'3'!AF43</f>
        <v>0</v>
      </c>
      <c r="AG43" s="91">
        <f>'1'!AG43+'2'!AG43+'3'!AG43</f>
        <v>0</v>
      </c>
      <c r="AH43" s="91">
        <f>'1'!AH43+'2'!AH43+'3'!AH43</f>
        <v>0</v>
      </c>
      <c r="AI43" s="91">
        <f>'1'!AI43+'2'!AI43+'3'!AI43</f>
        <v>0</v>
      </c>
      <c r="AJ43" s="91">
        <f>'1'!AJ43+'2'!AJ43+'3'!AJ43</f>
        <v>0</v>
      </c>
      <c r="AK43" s="91">
        <f>'1'!AK43+'2'!AK43+'3'!AK43</f>
        <v>0</v>
      </c>
      <c r="AL43" s="91">
        <f>'1'!AL43+'2'!AL43+'3'!AL43</f>
        <v>0</v>
      </c>
      <c r="AM43" s="91">
        <f>'1'!AM43+'2'!AM43+'3'!AM43</f>
        <v>0</v>
      </c>
      <c r="AN43" s="91">
        <f>'1'!AN43+'2'!AN43+'3'!AN43</f>
        <v>0</v>
      </c>
      <c r="AO43" s="91">
        <f>'1'!AO43+'2'!AO43+'3'!AO43</f>
        <v>0</v>
      </c>
      <c r="AP43" s="91">
        <f>'1'!AP43+'2'!AP43+'3'!AP43</f>
        <v>0</v>
      </c>
      <c r="AQ43" s="16">
        <f t="shared" si="34"/>
        <v>0</v>
      </c>
      <c r="AR43" s="17">
        <f t="shared" si="42"/>
        <v>0</v>
      </c>
      <c r="AS43" s="91">
        <f t="shared" si="46"/>
        <v>0</v>
      </c>
      <c r="AT43" s="91">
        <f>'1'!AT43+'2'!AT43+'3'!AT43</f>
        <v>0</v>
      </c>
      <c r="AU43" s="92">
        <f t="shared" si="47"/>
        <v>0</v>
      </c>
      <c r="AV43" s="92">
        <f t="shared" si="36"/>
        <v>0</v>
      </c>
      <c r="AW43" s="92">
        <f t="shared" si="48"/>
        <v>0</v>
      </c>
      <c r="AX43" s="92">
        <f t="shared" si="49"/>
        <v>0</v>
      </c>
      <c r="AY43" s="92">
        <f>IF(D43=0,0,K43/D43/24)</f>
        <v>0</v>
      </c>
      <c r="AZ43" s="92">
        <f>IF(E43=0,0,L43/E43/24)</f>
        <v>0</v>
      </c>
      <c r="BA43" s="95">
        <f t="shared" si="50"/>
        <v>0</v>
      </c>
      <c r="BB43" s="138"/>
      <c r="BC43"/>
    </row>
    <row r="44" spans="1:55" ht="15" hidden="1" customHeight="1" x14ac:dyDescent="0.25">
      <c r="A44" s="72" t="s">
        <v>67</v>
      </c>
      <c r="B44" s="123"/>
      <c r="C44" s="111">
        <v>31</v>
      </c>
      <c r="D44" s="121">
        <f t="shared" ref="D44:D45" si="94">AT44*AU44*AW44</f>
        <v>0</v>
      </c>
      <c r="E44" s="16">
        <f t="shared" ref="E44:E45" si="95">ROUND(AT44*AV44*AX44,4)</f>
        <v>0</v>
      </c>
      <c r="F44" s="91">
        <f>'1'!F44+'2'!F44+'3'!F44</f>
        <v>0</v>
      </c>
      <c r="G44" s="91">
        <f>'1'!G44+'2'!G44+'3'!G44</f>
        <v>0</v>
      </c>
      <c r="H44" s="135">
        <f>'1'!H44+'2'!H44+'3'!H44</f>
        <v>0</v>
      </c>
      <c r="I44" s="135">
        <f>'1'!I44+'2'!I44+'3'!I44</f>
        <v>0</v>
      </c>
      <c r="J44" s="14" t="s">
        <v>55</v>
      </c>
      <c r="K44" s="133">
        <f>'1'!K44+'2'!K44+'3'!K44</f>
        <v>0</v>
      </c>
      <c r="L44" s="133">
        <f>'1'!L44+'2'!L44+'3'!L44</f>
        <v>0</v>
      </c>
      <c r="M44" s="91">
        <f>'1'!M44+'2'!M44+'3'!M44</f>
        <v>0</v>
      </c>
      <c r="N44" s="91">
        <f>'1'!N44+'2'!N44+'3'!N44</f>
        <v>0</v>
      </c>
      <c r="O44" s="91">
        <f>'1'!O44+'2'!O44+'3'!O44</f>
        <v>0</v>
      </c>
      <c r="P44" s="91">
        <f>'1'!P44+'2'!P44+'3'!P44</f>
        <v>0</v>
      </c>
      <c r="Q44" s="91">
        <f>'1'!Q44+'2'!Q44+'3'!Q44</f>
        <v>0</v>
      </c>
      <c r="R44" s="91">
        <f>'1'!R44+'2'!R44+'3'!R44</f>
        <v>0</v>
      </c>
      <c r="S44" s="91">
        <f>'1'!S44+'2'!S44+'3'!S44</f>
        <v>0</v>
      </c>
      <c r="T44" s="91">
        <f>'1'!T44+'2'!T44+'3'!T44</f>
        <v>0</v>
      </c>
      <c r="U44" s="91">
        <f>'1'!U44+'2'!U44+'3'!U44</f>
        <v>0</v>
      </c>
      <c r="V44" s="91">
        <f>'1'!V44+'2'!V44+'3'!V44</f>
        <v>0</v>
      </c>
      <c r="W44" s="91">
        <f>'1'!W44+'2'!W44+'3'!W44</f>
        <v>0</v>
      </c>
      <c r="X44" s="91">
        <f>'1'!X44+'2'!X44+'3'!X44</f>
        <v>0</v>
      </c>
      <c r="Y44" s="91">
        <f>'1'!Y44+'2'!Y44+'3'!Y44</f>
        <v>0</v>
      </c>
      <c r="Z44" s="91">
        <f>'1'!Z44+'2'!Z44+'3'!Z44</f>
        <v>0</v>
      </c>
      <c r="AA44" s="91">
        <f>'1'!AA44+'2'!AA44+'3'!AA44</f>
        <v>0</v>
      </c>
      <c r="AB44" s="91">
        <f>'1'!AB44+'2'!AB44+'3'!AB44</f>
        <v>0</v>
      </c>
      <c r="AC44" s="91">
        <f>'1'!AC44+'2'!AC44+'3'!AC44</f>
        <v>0</v>
      </c>
      <c r="AD44" s="91">
        <f>'1'!AD44+'2'!AD44+'3'!AD44</f>
        <v>0</v>
      </c>
      <c r="AE44" s="91">
        <f>'1'!AE44+'2'!AE44+'3'!AE44</f>
        <v>0</v>
      </c>
      <c r="AF44" s="91">
        <f>'1'!AF44+'2'!AF44+'3'!AF44</f>
        <v>0</v>
      </c>
      <c r="AG44" s="91">
        <f>'1'!AG44+'2'!AG44+'3'!AG44</f>
        <v>0</v>
      </c>
      <c r="AH44" s="91">
        <f>'1'!AH44+'2'!AH44+'3'!AH44</f>
        <v>0</v>
      </c>
      <c r="AI44" s="91">
        <f>'1'!AI44+'2'!AI44+'3'!AI44</f>
        <v>0</v>
      </c>
      <c r="AJ44" s="91">
        <f>'1'!AJ44+'2'!AJ44+'3'!AJ44</f>
        <v>0</v>
      </c>
      <c r="AK44" s="91">
        <f>'1'!AK44+'2'!AK44+'3'!AK44</f>
        <v>0</v>
      </c>
      <c r="AL44" s="91">
        <f>'1'!AL44+'2'!AL44+'3'!AL44</f>
        <v>0</v>
      </c>
      <c r="AM44" s="91">
        <f>'1'!AM44+'2'!AM44+'3'!AM44</f>
        <v>0</v>
      </c>
      <c r="AN44" s="91">
        <f>'1'!AN44+'2'!AN44+'3'!AN44</f>
        <v>0</v>
      </c>
      <c r="AO44" s="91">
        <f>'1'!AO44+'2'!AO44+'3'!AO44</f>
        <v>0</v>
      </c>
      <c r="AP44" s="91">
        <f>'1'!AP44+'2'!AP44+'3'!AP44</f>
        <v>0</v>
      </c>
      <c r="AQ44" s="16">
        <f t="shared" si="34"/>
        <v>0</v>
      </c>
      <c r="AR44" s="17">
        <f t="shared" si="42"/>
        <v>0</v>
      </c>
      <c r="AS44" s="91">
        <f t="shared" si="46"/>
        <v>0</v>
      </c>
      <c r="AT44" s="15"/>
      <c r="AU44" s="92">
        <f t="shared" si="47"/>
        <v>0</v>
      </c>
      <c r="AV44" s="92">
        <f t="shared" si="36"/>
        <v>0</v>
      </c>
      <c r="AW44" s="92">
        <f t="shared" si="48"/>
        <v>0</v>
      </c>
      <c r="AX44" s="92">
        <f t="shared" si="49"/>
        <v>0</v>
      </c>
      <c r="AY44" s="92">
        <f t="shared" ref="AY44:AY45" si="96">IF(D44=0,0,K44/D44/24)</f>
        <v>0</v>
      </c>
      <c r="AZ44" s="92">
        <f t="shared" ref="AZ44:AZ45" si="97">IF(E44=0,0,L44/E44/24)</f>
        <v>0</v>
      </c>
      <c r="BA44" s="95">
        <f t="shared" si="50"/>
        <v>0</v>
      </c>
      <c r="BB44" s="139"/>
      <c r="BC44"/>
    </row>
    <row r="45" spans="1:55" ht="15" customHeight="1" thickBot="1" x14ac:dyDescent="0.3">
      <c r="A45" s="103" t="s">
        <v>67</v>
      </c>
      <c r="B45" s="123" t="s">
        <v>140</v>
      </c>
      <c r="C45" s="114">
        <v>38</v>
      </c>
      <c r="D45" s="121">
        <f t="shared" si="94"/>
        <v>0</v>
      </c>
      <c r="E45" s="16">
        <f t="shared" si="95"/>
        <v>0</v>
      </c>
      <c r="F45" s="91">
        <f>'1'!F45+'2'!F45+'3'!F45</f>
        <v>0</v>
      </c>
      <c r="G45" s="91">
        <f>'1'!G45+'2'!G45+'3'!G45</f>
        <v>0</v>
      </c>
      <c r="H45" s="135">
        <f>'1'!H45+'2'!H45+'3'!H45</f>
        <v>0</v>
      </c>
      <c r="I45" s="135">
        <f>'1'!I45+'2'!I45+'3'!I45</f>
        <v>0</v>
      </c>
      <c r="J45" s="14" t="s">
        <v>55</v>
      </c>
      <c r="K45" s="133">
        <f>'1'!K45+'2'!K45+'3'!K45</f>
        <v>0</v>
      </c>
      <c r="L45" s="133">
        <f>'1'!L45+'2'!L45+'3'!L45</f>
        <v>0</v>
      </c>
      <c r="M45" s="91">
        <f>'1'!M45+'2'!M45+'3'!M45</f>
        <v>0</v>
      </c>
      <c r="N45" s="91">
        <f>'1'!N45+'2'!N45+'3'!N45</f>
        <v>0</v>
      </c>
      <c r="O45" s="91">
        <f>'1'!O45+'2'!O45+'3'!O45</f>
        <v>0</v>
      </c>
      <c r="P45" s="91">
        <f>'1'!P45+'2'!P45+'3'!P45</f>
        <v>0</v>
      </c>
      <c r="Q45" s="91">
        <f>'1'!Q45+'2'!Q45+'3'!Q45</f>
        <v>0</v>
      </c>
      <c r="R45" s="91">
        <f>'1'!R45+'2'!R45+'3'!R45</f>
        <v>0</v>
      </c>
      <c r="S45" s="91">
        <f>'1'!S45+'2'!S45+'3'!S45</f>
        <v>0</v>
      </c>
      <c r="T45" s="91">
        <f>'1'!T45+'2'!T45+'3'!T45</f>
        <v>0</v>
      </c>
      <c r="U45" s="91">
        <f>'1'!U45+'2'!U45+'3'!U45</f>
        <v>0</v>
      </c>
      <c r="V45" s="91">
        <f>'1'!V45+'2'!V45+'3'!V45</f>
        <v>0</v>
      </c>
      <c r="W45" s="91">
        <f>'1'!W45+'2'!W45+'3'!W45</f>
        <v>0</v>
      </c>
      <c r="X45" s="91">
        <f>'1'!X45+'2'!X45+'3'!X45</f>
        <v>0</v>
      </c>
      <c r="Y45" s="91">
        <f>'1'!Y45+'2'!Y45+'3'!Y45</f>
        <v>0</v>
      </c>
      <c r="Z45" s="91">
        <f>'1'!Z45+'2'!Z45+'3'!Z45</f>
        <v>0</v>
      </c>
      <c r="AA45" s="91">
        <f>'1'!AA45+'2'!AA45+'3'!AA45</f>
        <v>0</v>
      </c>
      <c r="AB45" s="91">
        <f>'1'!AB45+'2'!AB45+'3'!AB45</f>
        <v>0</v>
      </c>
      <c r="AC45" s="91">
        <f>'1'!AC45+'2'!AC45+'3'!AC45</f>
        <v>0</v>
      </c>
      <c r="AD45" s="91">
        <f>'1'!AD45+'2'!AD45+'3'!AD45</f>
        <v>0</v>
      </c>
      <c r="AE45" s="91">
        <f>'1'!AE45+'2'!AE45+'3'!AE45</f>
        <v>0</v>
      </c>
      <c r="AF45" s="91">
        <f>'1'!AF45+'2'!AF45+'3'!AF45</f>
        <v>0</v>
      </c>
      <c r="AG45" s="91">
        <f>'1'!AG45+'2'!AG45+'3'!AG45</f>
        <v>0</v>
      </c>
      <c r="AH45" s="91">
        <f>'1'!AH45+'2'!AH45+'3'!AH45</f>
        <v>0</v>
      </c>
      <c r="AI45" s="91">
        <f>'1'!AI45+'2'!AI45+'3'!AI45</f>
        <v>0</v>
      </c>
      <c r="AJ45" s="91">
        <f>'1'!AJ45+'2'!AJ45+'3'!AJ45</f>
        <v>0</v>
      </c>
      <c r="AK45" s="91">
        <f>'1'!AK45+'2'!AK45+'3'!AK45</f>
        <v>0</v>
      </c>
      <c r="AL45" s="91">
        <f>'1'!AL45+'2'!AL45+'3'!AL45</f>
        <v>0</v>
      </c>
      <c r="AM45" s="91">
        <f>'1'!AM45+'2'!AM45+'3'!AM45</f>
        <v>0</v>
      </c>
      <c r="AN45" s="91">
        <f>'1'!AN45+'2'!AN45+'3'!AN45</f>
        <v>0</v>
      </c>
      <c r="AO45" s="91">
        <f>'1'!AO45+'2'!AO45+'3'!AO45</f>
        <v>0</v>
      </c>
      <c r="AP45" s="91">
        <f>'1'!AP45+'2'!AP45+'3'!AP45</f>
        <v>0</v>
      </c>
      <c r="AQ45" s="16">
        <f t="shared" si="34"/>
        <v>0</v>
      </c>
      <c r="AR45" s="17">
        <f t="shared" si="42"/>
        <v>0</v>
      </c>
      <c r="AS45" s="91">
        <f t="shared" si="46"/>
        <v>0</v>
      </c>
      <c r="AT45" s="91">
        <f>'1'!AT45+'2'!AT45+'3'!AT45</f>
        <v>0</v>
      </c>
      <c r="AU45" s="92">
        <f t="shared" si="47"/>
        <v>0</v>
      </c>
      <c r="AV45" s="92">
        <f t="shared" si="36"/>
        <v>0</v>
      </c>
      <c r="AW45" s="92">
        <f t="shared" si="48"/>
        <v>0</v>
      </c>
      <c r="AX45" s="92">
        <f t="shared" si="49"/>
        <v>0</v>
      </c>
      <c r="AY45" s="92">
        <f t="shared" si="96"/>
        <v>0</v>
      </c>
      <c r="AZ45" s="92">
        <f t="shared" si="97"/>
        <v>0</v>
      </c>
      <c r="BA45" s="95">
        <f t="shared" si="50"/>
        <v>0</v>
      </c>
      <c r="BB45" s="140"/>
      <c r="BC45"/>
    </row>
    <row r="46" spans="1:55" ht="15" customHeight="1" thickBot="1" x14ac:dyDescent="0.3">
      <c r="A46" s="102" t="s">
        <v>82</v>
      </c>
      <c r="B46" s="124"/>
      <c r="C46" s="87"/>
      <c r="D46" s="129">
        <f t="shared" ref="D46:E46" si="98">SUM(D47:D51)</f>
        <v>0</v>
      </c>
      <c r="E46" s="129">
        <f t="shared" si="98"/>
        <v>0</v>
      </c>
      <c r="F46" s="129">
        <f>SUM(F47:F51)</f>
        <v>0</v>
      </c>
      <c r="G46" s="129">
        <f t="shared" ref="G46:AP46" si="99">SUM(G47:G51)</f>
        <v>0</v>
      </c>
      <c r="H46" s="131">
        <f t="shared" si="99"/>
        <v>0</v>
      </c>
      <c r="I46" s="131">
        <f t="shared" si="99"/>
        <v>0</v>
      </c>
      <c r="J46" s="129">
        <f t="shared" si="99"/>
        <v>0</v>
      </c>
      <c r="K46" s="130">
        <f t="shared" si="99"/>
        <v>0</v>
      </c>
      <c r="L46" s="130">
        <f t="shared" si="99"/>
        <v>0</v>
      </c>
      <c r="M46" s="129">
        <f t="shared" si="99"/>
        <v>0</v>
      </c>
      <c r="N46" s="129">
        <f t="shared" si="99"/>
        <v>0</v>
      </c>
      <c r="O46" s="129">
        <f t="shared" si="99"/>
        <v>0</v>
      </c>
      <c r="P46" s="129">
        <f t="shared" si="99"/>
        <v>0</v>
      </c>
      <c r="Q46" s="129">
        <f t="shared" si="99"/>
        <v>0</v>
      </c>
      <c r="R46" s="129">
        <f t="shared" si="99"/>
        <v>0</v>
      </c>
      <c r="S46" s="129">
        <f t="shared" si="99"/>
        <v>0</v>
      </c>
      <c r="T46" s="129">
        <f t="shared" si="99"/>
        <v>0</v>
      </c>
      <c r="U46" s="129">
        <f t="shared" si="99"/>
        <v>0</v>
      </c>
      <c r="V46" s="129">
        <f t="shared" si="99"/>
        <v>0</v>
      </c>
      <c r="W46" s="129">
        <f t="shared" si="99"/>
        <v>0</v>
      </c>
      <c r="X46" s="129">
        <f t="shared" si="99"/>
        <v>0</v>
      </c>
      <c r="Y46" s="129">
        <f t="shared" si="99"/>
        <v>0</v>
      </c>
      <c r="Z46" s="129">
        <f t="shared" si="99"/>
        <v>0</v>
      </c>
      <c r="AA46" s="129">
        <f t="shared" si="99"/>
        <v>0</v>
      </c>
      <c r="AB46" s="129">
        <f t="shared" si="99"/>
        <v>0</v>
      </c>
      <c r="AC46" s="129">
        <f t="shared" si="99"/>
        <v>0</v>
      </c>
      <c r="AD46" s="129">
        <f t="shared" si="99"/>
        <v>0</v>
      </c>
      <c r="AE46" s="129">
        <f t="shared" si="99"/>
        <v>0</v>
      </c>
      <c r="AF46" s="129">
        <f t="shared" si="99"/>
        <v>0</v>
      </c>
      <c r="AG46" s="129">
        <f t="shared" si="99"/>
        <v>0</v>
      </c>
      <c r="AH46" s="129">
        <f t="shared" si="99"/>
        <v>0</v>
      </c>
      <c r="AI46" s="129">
        <f t="shared" si="99"/>
        <v>0</v>
      </c>
      <c r="AJ46" s="129">
        <f t="shared" si="99"/>
        <v>0</v>
      </c>
      <c r="AK46" s="129">
        <f t="shared" si="99"/>
        <v>0</v>
      </c>
      <c r="AL46" s="129">
        <f t="shared" si="99"/>
        <v>0</v>
      </c>
      <c r="AM46" s="129">
        <f t="shared" si="99"/>
        <v>0</v>
      </c>
      <c r="AN46" s="129">
        <f t="shared" si="99"/>
        <v>0</v>
      </c>
      <c r="AO46" s="129">
        <f t="shared" si="99"/>
        <v>0</v>
      </c>
      <c r="AP46" s="129">
        <f t="shared" si="99"/>
        <v>0</v>
      </c>
      <c r="AQ46" s="129">
        <f t="shared" si="34"/>
        <v>0</v>
      </c>
      <c r="AR46" s="129">
        <f t="shared" si="42"/>
        <v>0</v>
      </c>
      <c r="AS46" s="129">
        <f t="shared" si="46"/>
        <v>0</v>
      </c>
      <c r="AT46" s="129">
        <f>SUM(AT47:AT51)</f>
        <v>0</v>
      </c>
      <c r="AU46" s="131">
        <f t="shared" si="47"/>
        <v>0</v>
      </c>
      <c r="AV46" s="131">
        <f t="shared" si="36"/>
        <v>0</v>
      </c>
      <c r="AW46" s="131">
        <f t="shared" si="48"/>
        <v>0</v>
      </c>
      <c r="AX46" s="131">
        <f t="shared" si="49"/>
        <v>0</v>
      </c>
      <c r="AY46" s="131">
        <f>SUM(AY47:AY51)</f>
        <v>0</v>
      </c>
      <c r="AZ46" s="131">
        <f>SUM(AZ47:AZ51)</f>
        <v>0</v>
      </c>
      <c r="BA46" s="129">
        <f t="shared" si="50"/>
        <v>0</v>
      </c>
      <c r="BB46" s="141"/>
      <c r="BC46"/>
    </row>
    <row r="47" spans="1:55" ht="15" customHeight="1" x14ac:dyDescent="0.25">
      <c r="A47" s="97" t="s">
        <v>46</v>
      </c>
      <c r="B47" s="123" t="s">
        <v>141</v>
      </c>
      <c r="C47" s="115">
        <v>28</v>
      </c>
      <c r="D47" s="121">
        <f>AT47*AU47*AW47</f>
        <v>0</v>
      </c>
      <c r="E47" s="16">
        <f>ROUND(AT47*AV47*AX47,4)</f>
        <v>0</v>
      </c>
      <c r="F47" s="91">
        <f>'1'!F47+'2'!F47+'3'!F47</f>
        <v>0</v>
      </c>
      <c r="G47" s="91">
        <f>'1'!G47+'2'!G47+'3'!G47</f>
        <v>0</v>
      </c>
      <c r="H47" s="135">
        <f>'1'!H47+'2'!H47+'3'!H47</f>
        <v>0</v>
      </c>
      <c r="I47" s="135">
        <f>'1'!I47+'2'!I47+'3'!I47</f>
        <v>0</v>
      </c>
      <c r="J47" s="14" t="s">
        <v>55</v>
      </c>
      <c r="K47" s="133">
        <f>'1'!K47+'2'!K47+'3'!K47</f>
        <v>0</v>
      </c>
      <c r="L47" s="133">
        <f>'1'!L47+'2'!L47+'3'!L47</f>
        <v>0</v>
      </c>
      <c r="M47" s="91">
        <f>'1'!M47+'2'!M47+'3'!M47</f>
        <v>0</v>
      </c>
      <c r="N47" s="91">
        <f>'1'!N47+'2'!N47+'3'!N47</f>
        <v>0</v>
      </c>
      <c r="O47" s="91">
        <f>'1'!O47+'2'!O47+'3'!O47</f>
        <v>0</v>
      </c>
      <c r="P47" s="91">
        <f>'1'!P47+'2'!P47+'3'!P47</f>
        <v>0</v>
      </c>
      <c r="Q47" s="91">
        <f>'1'!Q47+'2'!Q47+'3'!Q47</f>
        <v>0</v>
      </c>
      <c r="R47" s="91">
        <f>'1'!R47+'2'!R47+'3'!R47</f>
        <v>0</v>
      </c>
      <c r="S47" s="91">
        <f>'1'!S47+'2'!S47+'3'!S47</f>
        <v>0</v>
      </c>
      <c r="T47" s="91">
        <f>'1'!T47+'2'!T47+'3'!T47</f>
        <v>0</v>
      </c>
      <c r="U47" s="91">
        <f>'1'!U47+'2'!U47+'3'!U47</f>
        <v>0</v>
      </c>
      <c r="V47" s="91">
        <f>'1'!V47+'2'!V47+'3'!V47</f>
        <v>0</v>
      </c>
      <c r="W47" s="91">
        <f>'1'!W47+'2'!W47+'3'!W47</f>
        <v>0</v>
      </c>
      <c r="X47" s="91">
        <f>'1'!X47+'2'!X47+'3'!X47</f>
        <v>0</v>
      </c>
      <c r="Y47" s="91">
        <f>'1'!Y47+'2'!Y47+'3'!Y47</f>
        <v>0</v>
      </c>
      <c r="Z47" s="91">
        <f>'1'!Z47+'2'!Z47+'3'!Z47</f>
        <v>0</v>
      </c>
      <c r="AA47" s="91">
        <f>'1'!AA47+'2'!AA47+'3'!AA47</f>
        <v>0</v>
      </c>
      <c r="AB47" s="91">
        <f>'1'!AB47+'2'!AB47+'3'!AB47</f>
        <v>0</v>
      </c>
      <c r="AC47" s="91">
        <f>'1'!AC47+'2'!AC47+'3'!AC47</f>
        <v>0</v>
      </c>
      <c r="AD47" s="91">
        <f>'1'!AD47+'2'!AD47+'3'!AD47</f>
        <v>0</v>
      </c>
      <c r="AE47" s="91">
        <f>'1'!AE47+'2'!AE47+'3'!AE47</f>
        <v>0</v>
      </c>
      <c r="AF47" s="91">
        <f>'1'!AF47+'2'!AF47+'3'!AF47</f>
        <v>0</v>
      </c>
      <c r="AG47" s="91">
        <f>'1'!AG47+'2'!AG47+'3'!AG47</f>
        <v>0</v>
      </c>
      <c r="AH47" s="91">
        <f>'1'!AH47+'2'!AH47+'3'!AH47</f>
        <v>0</v>
      </c>
      <c r="AI47" s="91">
        <f>'1'!AI47+'2'!AI47+'3'!AI47</f>
        <v>0</v>
      </c>
      <c r="AJ47" s="91">
        <f>'1'!AJ47+'2'!AJ47+'3'!AJ47</f>
        <v>0</v>
      </c>
      <c r="AK47" s="91">
        <f>'1'!AK47+'2'!AK47+'3'!AK47</f>
        <v>0</v>
      </c>
      <c r="AL47" s="91">
        <f>'1'!AL47+'2'!AL47+'3'!AL47</f>
        <v>0</v>
      </c>
      <c r="AM47" s="91">
        <f>'1'!AM47+'2'!AM47+'3'!AM47</f>
        <v>0</v>
      </c>
      <c r="AN47" s="91">
        <f>'1'!AN47+'2'!AN47+'3'!AN47</f>
        <v>0</v>
      </c>
      <c r="AO47" s="91">
        <f>'1'!AO47+'2'!AO47+'3'!AO47</f>
        <v>0</v>
      </c>
      <c r="AP47" s="91">
        <f>'1'!AP47+'2'!AP47+'3'!AP47</f>
        <v>0</v>
      </c>
      <c r="AQ47" s="16">
        <f t="shared" si="34"/>
        <v>0</v>
      </c>
      <c r="AR47" s="17">
        <f t="shared" si="42"/>
        <v>0</v>
      </c>
      <c r="AS47" s="91">
        <f t="shared" si="46"/>
        <v>0</v>
      </c>
      <c r="AT47" s="91">
        <f>'1'!AT47+'2'!AT47+'3'!AT47</f>
        <v>0</v>
      </c>
      <c r="AU47" s="92">
        <f t="shared" si="47"/>
        <v>0</v>
      </c>
      <c r="AV47" s="92">
        <f t="shared" si="36"/>
        <v>0</v>
      </c>
      <c r="AW47" s="92">
        <f t="shared" si="48"/>
        <v>0</v>
      </c>
      <c r="AX47" s="92">
        <f t="shared" si="49"/>
        <v>0</v>
      </c>
      <c r="AY47" s="92">
        <f>IF(D47=0,0,K47/D47/24)</f>
        <v>0</v>
      </c>
      <c r="AZ47" s="92">
        <f>IF(E47=0,0,L47/E47/24)</f>
        <v>0</v>
      </c>
      <c r="BA47" s="95">
        <f t="shared" si="50"/>
        <v>0</v>
      </c>
      <c r="BB47" s="138"/>
      <c r="BC47"/>
    </row>
    <row r="48" spans="1:55" ht="15" customHeight="1" thickBot="1" x14ac:dyDescent="0.3">
      <c r="A48" s="71" t="s">
        <v>45</v>
      </c>
      <c r="B48" s="123" t="s">
        <v>142</v>
      </c>
      <c r="C48" s="112">
        <v>33</v>
      </c>
      <c r="D48" s="121">
        <f t="shared" ref="D48:D51" si="100">AT48*AU48*AW48</f>
        <v>0</v>
      </c>
      <c r="E48" s="16">
        <f t="shared" ref="E48:E51" si="101">ROUND(AT48*AV48*AX48,4)</f>
        <v>0</v>
      </c>
      <c r="F48" s="91">
        <f>'1'!F48+'2'!F48+'3'!F48</f>
        <v>0</v>
      </c>
      <c r="G48" s="91">
        <f>'1'!G48+'2'!G48+'3'!G48</f>
        <v>0</v>
      </c>
      <c r="H48" s="135">
        <f>'1'!H48+'2'!H48+'3'!H48</f>
        <v>0</v>
      </c>
      <c r="I48" s="135">
        <f>'1'!I48+'2'!I48+'3'!I48</f>
        <v>0</v>
      </c>
      <c r="J48" s="14" t="s">
        <v>55</v>
      </c>
      <c r="K48" s="133">
        <f>'1'!K48+'2'!K48+'3'!K48</f>
        <v>0</v>
      </c>
      <c r="L48" s="133">
        <f>'1'!L48+'2'!L48+'3'!L48</f>
        <v>0</v>
      </c>
      <c r="M48" s="91">
        <f>'1'!M48+'2'!M48+'3'!M48</f>
        <v>0</v>
      </c>
      <c r="N48" s="91">
        <f>'1'!N48+'2'!N48+'3'!N48</f>
        <v>0</v>
      </c>
      <c r="O48" s="91">
        <f>'1'!O48+'2'!O48+'3'!O48</f>
        <v>0</v>
      </c>
      <c r="P48" s="91">
        <f>'1'!P48+'2'!P48+'3'!P48</f>
        <v>0</v>
      </c>
      <c r="Q48" s="91">
        <f>'1'!Q48+'2'!Q48+'3'!Q48</f>
        <v>0</v>
      </c>
      <c r="R48" s="91">
        <f>'1'!R48+'2'!R48+'3'!R48</f>
        <v>0</v>
      </c>
      <c r="S48" s="91">
        <f>'1'!S48+'2'!S48+'3'!S48</f>
        <v>0</v>
      </c>
      <c r="T48" s="91">
        <f>'1'!T48+'2'!T48+'3'!T48</f>
        <v>0</v>
      </c>
      <c r="U48" s="91">
        <f>'1'!U48+'2'!U48+'3'!U48</f>
        <v>0</v>
      </c>
      <c r="V48" s="91">
        <f>'1'!V48+'2'!V48+'3'!V48</f>
        <v>0</v>
      </c>
      <c r="W48" s="91">
        <f>'1'!W48+'2'!W48+'3'!W48</f>
        <v>0</v>
      </c>
      <c r="X48" s="91">
        <f>'1'!X48+'2'!X48+'3'!X48</f>
        <v>0</v>
      </c>
      <c r="Y48" s="91">
        <f>'1'!Y48+'2'!Y48+'3'!Y48</f>
        <v>0</v>
      </c>
      <c r="Z48" s="91">
        <f>'1'!Z48+'2'!Z48+'3'!Z48</f>
        <v>0</v>
      </c>
      <c r="AA48" s="91">
        <f>'1'!AA48+'2'!AA48+'3'!AA48</f>
        <v>0</v>
      </c>
      <c r="AB48" s="91">
        <f>'1'!AB48+'2'!AB48+'3'!AB48</f>
        <v>0</v>
      </c>
      <c r="AC48" s="91">
        <f>'1'!AC48+'2'!AC48+'3'!AC48</f>
        <v>0</v>
      </c>
      <c r="AD48" s="91">
        <f>'1'!AD48+'2'!AD48+'3'!AD48</f>
        <v>0</v>
      </c>
      <c r="AE48" s="91">
        <f>'1'!AE48+'2'!AE48+'3'!AE48</f>
        <v>0</v>
      </c>
      <c r="AF48" s="91">
        <f>'1'!AF48+'2'!AF48+'3'!AF48</f>
        <v>0</v>
      </c>
      <c r="AG48" s="91">
        <f>'1'!AG48+'2'!AG48+'3'!AG48</f>
        <v>0</v>
      </c>
      <c r="AH48" s="91">
        <f>'1'!AH48+'2'!AH48+'3'!AH48</f>
        <v>0</v>
      </c>
      <c r="AI48" s="91">
        <f>'1'!AI48+'2'!AI48+'3'!AI48</f>
        <v>0</v>
      </c>
      <c r="AJ48" s="91">
        <f>'1'!AJ48+'2'!AJ48+'3'!AJ48</f>
        <v>0</v>
      </c>
      <c r="AK48" s="91">
        <f>'1'!AK48+'2'!AK48+'3'!AK48</f>
        <v>0</v>
      </c>
      <c r="AL48" s="91">
        <f>'1'!AL48+'2'!AL48+'3'!AL48</f>
        <v>0</v>
      </c>
      <c r="AM48" s="91">
        <f>'1'!AM48+'2'!AM48+'3'!AM48</f>
        <v>0</v>
      </c>
      <c r="AN48" s="91">
        <f>'1'!AN48+'2'!AN48+'3'!AN48</f>
        <v>0</v>
      </c>
      <c r="AO48" s="91">
        <f>'1'!AO48+'2'!AO48+'3'!AO48</f>
        <v>0</v>
      </c>
      <c r="AP48" s="91">
        <f>'1'!AP48+'2'!AP48+'3'!AP48</f>
        <v>0</v>
      </c>
      <c r="AQ48" s="16">
        <f t="shared" si="34"/>
        <v>0</v>
      </c>
      <c r="AR48" s="17">
        <f t="shared" si="42"/>
        <v>0</v>
      </c>
      <c r="AS48" s="91">
        <f t="shared" si="46"/>
        <v>0</v>
      </c>
      <c r="AT48" s="91">
        <f>'1'!AT48+'2'!AT48+'3'!AT48</f>
        <v>0</v>
      </c>
      <c r="AU48" s="92">
        <f t="shared" si="47"/>
        <v>0</v>
      </c>
      <c r="AV48" s="92">
        <f t="shared" si="36"/>
        <v>0</v>
      </c>
      <c r="AW48" s="92">
        <f t="shared" si="48"/>
        <v>0</v>
      </c>
      <c r="AX48" s="92">
        <f t="shared" si="49"/>
        <v>0</v>
      </c>
      <c r="AY48" s="92">
        <f>IF(D48=0,0,K48/D48/24)</f>
        <v>0</v>
      </c>
      <c r="AZ48" s="92">
        <f>IF(E48=0,0,L48/E48/24)</f>
        <v>0</v>
      </c>
      <c r="BA48" s="95">
        <f t="shared" si="50"/>
        <v>0</v>
      </c>
      <c r="BB48" s="139"/>
      <c r="BC48"/>
    </row>
    <row r="49" spans="1:55" ht="15" hidden="1" customHeight="1" x14ac:dyDescent="0.3">
      <c r="A49" s="72" t="s">
        <v>48</v>
      </c>
      <c r="B49" s="111"/>
      <c r="C49" s="111">
        <v>35</v>
      </c>
      <c r="D49" s="121">
        <f t="shared" si="100"/>
        <v>0</v>
      </c>
      <c r="E49" s="16">
        <f t="shared" si="101"/>
        <v>0</v>
      </c>
      <c r="F49" s="91">
        <f>'1'!F49+'2'!F49+'3'!F49</f>
        <v>0</v>
      </c>
      <c r="G49" s="91">
        <f>'1'!G49+'2'!G49+'3'!G49</f>
        <v>0</v>
      </c>
      <c r="H49" s="135">
        <f>'1'!H49+'2'!H49+'3'!H49</f>
        <v>0</v>
      </c>
      <c r="I49" s="135">
        <f>'1'!I49+'2'!I49+'3'!I49</f>
        <v>0</v>
      </c>
      <c r="J49" s="14" t="s">
        <v>55</v>
      </c>
      <c r="K49" s="133">
        <f>'1'!K49+'2'!K49+'3'!K49</f>
        <v>0</v>
      </c>
      <c r="L49" s="133">
        <f>'1'!L49+'2'!L49+'3'!L49</f>
        <v>0</v>
      </c>
      <c r="M49" s="91">
        <f>'1'!M49+'2'!M49+'3'!M49</f>
        <v>0</v>
      </c>
      <c r="N49" s="91">
        <f>'1'!N49+'2'!N49+'3'!N49</f>
        <v>0</v>
      </c>
      <c r="O49" s="91">
        <f>'1'!O49+'2'!O49+'3'!O49</f>
        <v>0</v>
      </c>
      <c r="P49" s="91">
        <f>'1'!P49+'2'!P49+'3'!P49</f>
        <v>0</v>
      </c>
      <c r="Q49" s="91">
        <f>'1'!Q49+'2'!Q49+'3'!Q49</f>
        <v>0</v>
      </c>
      <c r="R49" s="91">
        <f>'1'!R49+'2'!R49+'3'!R49</f>
        <v>0</v>
      </c>
      <c r="S49" s="91">
        <f>'1'!S49+'2'!S49+'3'!S49</f>
        <v>0</v>
      </c>
      <c r="T49" s="91">
        <f>'1'!T49+'2'!T49+'3'!T49</f>
        <v>0</v>
      </c>
      <c r="U49" s="91">
        <f>'1'!U49+'2'!U49+'3'!U49</f>
        <v>0</v>
      </c>
      <c r="V49" s="91">
        <f>'1'!V49+'2'!V49+'3'!V49</f>
        <v>0</v>
      </c>
      <c r="W49" s="91">
        <f>'1'!W49+'2'!W49+'3'!W49</f>
        <v>0</v>
      </c>
      <c r="X49" s="91">
        <f>'1'!X49+'2'!X49+'3'!X49</f>
        <v>0</v>
      </c>
      <c r="Y49" s="91">
        <f>'1'!Y49+'2'!Y49+'3'!Y49</f>
        <v>0</v>
      </c>
      <c r="Z49" s="91">
        <f>'1'!Z49+'2'!Z49+'3'!Z49</f>
        <v>0</v>
      </c>
      <c r="AA49" s="91">
        <f>'1'!AA49+'2'!AA49+'3'!AA49</f>
        <v>0</v>
      </c>
      <c r="AB49" s="91">
        <f>'1'!AB49+'2'!AB49+'3'!AB49</f>
        <v>0</v>
      </c>
      <c r="AC49" s="91">
        <f>'1'!AC49+'2'!AC49+'3'!AC49</f>
        <v>0</v>
      </c>
      <c r="AD49" s="91">
        <f>'1'!AD49+'2'!AD49+'3'!AD49</f>
        <v>0</v>
      </c>
      <c r="AE49" s="91">
        <f>'1'!AE49+'2'!AE49+'3'!AE49</f>
        <v>0</v>
      </c>
      <c r="AF49" s="91">
        <f>'1'!AF49+'2'!AF49+'3'!AF49</f>
        <v>0</v>
      </c>
      <c r="AG49" s="91">
        <f>'1'!AG49+'2'!AG49+'3'!AG49</f>
        <v>0</v>
      </c>
      <c r="AH49" s="91">
        <f>'1'!AH49+'2'!AH49+'3'!AH49</f>
        <v>0</v>
      </c>
      <c r="AI49" s="91">
        <f>'1'!AI49+'2'!AI49+'3'!AI49</f>
        <v>0</v>
      </c>
      <c r="AJ49" s="91">
        <f>'1'!AJ49+'2'!AJ49+'3'!AJ49</f>
        <v>0</v>
      </c>
      <c r="AK49" s="91">
        <f>'1'!AK49+'2'!AK49+'3'!AK49</f>
        <v>0</v>
      </c>
      <c r="AL49" s="91">
        <f>'1'!AL49+'2'!AL49+'3'!AL49</f>
        <v>0</v>
      </c>
      <c r="AM49" s="91">
        <f>'1'!AM49+'2'!AM49+'3'!AM49</f>
        <v>0</v>
      </c>
      <c r="AN49" s="91">
        <f>'1'!AN49+'2'!AN49+'3'!AN49</f>
        <v>0</v>
      </c>
      <c r="AO49" s="91">
        <f>'1'!AO49+'2'!AO49+'3'!AO49</f>
        <v>0</v>
      </c>
      <c r="AP49" s="91">
        <f>'1'!AP49+'2'!AP49+'3'!AP49</f>
        <v>0</v>
      </c>
      <c r="AQ49" s="16">
        <f t="shared" si="34"/>
        <v>0</v>
      </c>
      <c r="AR49" s="17">
        <f t="shared" si="42"/>
        <v>0</v>
      </c>
      <c r="AS49" s="91">
        <f t="shared" si="46"/>
        <v>0</v>
      </c>
      <c r="AT49" s="15"/>
      <c r="AU49" s="92">
        <f t="shared" si="47"/>
        <v>0</v>
      </c>
      <c r="AV49" s="92">
        <f t="shared" si="36"/>
        <v>0</v>
      </c>
      <c r="AW49" s="92">
        <f t="shared" si="48"/>
        <v>0</v>
      </c>
      <c r="AX49" s="92">
        <f t="shared" si="49"/>
        <v>0</v>
      </c>
      <c r="AY49" s="18">
        <f t="shared" ref="AY49:AZ51" si="102">IF(D49=0,0,K49/D49/24)</f>
        <v>0</v>
      </c>
      <c r="AZ49" s="18">
        <f t="shared" si="102"/>
        <v>0</v>
      </c>
      <c r="BA49" s="95">
        <f t="shared" si="50"/>
        <v>0</v>
      </c>
      <c r="BB49" s="139"/>
      <c r="BC49"/>
    </row>
    <row r="50" spans="1:55" ht="15" hidden="1" customHeight="1" x14ac:dyDescent="0.3">
      <c r="A50" s="72" t="s">
        <v>47</v>
      </c>
      <c r="B50" s="111"/>
      <c r="C50" s="111">
        <v>36</v>
      </c>
      <c r="D50" s="121">
        <f t="shared" si="100"/>
        <v>0</v>
      </c>
      <c r="E50" s="16">
        <f t="shared" si="101"/>
        <v>0</v>
      </c>
      <c r="F50" s="91">
        <f>'1'!F50+'2'!F50+'3'!F50</f>
        <v>0</v>
      </c>
      <c r="G50" s="91">
        <f>'1'!G50+'2'!G50+'3'!G50</f>
        <v>0</v>
      </c>
      <c r="H50" s="135">
        <f>'1'!H50+'2'!H50+'3'!H50</f>
        <v>0</v>
      </c>
      <c r="I50" s="135">
        <f>'1'!I50+'2'!I50+'3'!I50</f>
        <v>0</v>
      </c>
      <c r="J50" s="14" t="s">
        <v>55</v>
      </c>
      <c r="K50" s="133">
        <f>'1'!K50+'2'!K50+'3'!K50</f>
        <v>0</v>
      </c>
      <c r="L50" s="133">
        <f>'1'!L50+'2'!L50+'3'!L50</f>
        <v>0</v>
      </c>
      <c r="M50" s="91">
        <f>'1'!M50+'2'!M50+'3'!M50</f>
        <v>0</v>
      </c>
      <c r="N50" s="91">
        <f>'1'!N50+'2'!N50+'3'!N50</f>
        <v>0</v>
      </c>
      <c r="O50" s="91">
        <f>'1'!O50+'2'!O50+'3'!O50</f>
        <v>0</v>
      </c>
      <c r="P50" s="91">
        <f>'1'!P50+'2'!P50+'3'!P50</f>
        <v>0</v>
      </c>
      <c r="Q50" s="91">
        <f>'1'!Q50+'2'!Q50+'3'!Q50</f>
        <v>0</v>
      </c>
      <c r="R50" s="91">
        <f>'1'!R50+'2'!R50+'3'!R50</f>
        <v>0</v>
      </c>
      <c r="S50" s="91">
        <f>'1'!S50+'2'!S50+'3'!S50</f>
        <v>0</v>
      </c>
      <c r="T50" s="91">
        <f>'1'!T50+'2'!T50+'3'!T50</f>
        <v>0</v>
      </c>
      <c r="U50" s="91">
        <f>'1'!U50+'2'!U50+'3'!U50</f>
        <v>0</v>
      </c>
      <c r="V50" s="91">
        <f>'1'!V50+'2'!V50+'3'!V50</f>
        <v>0</v>
      </c>
      <c r="W50" s="91">
        <f>'1'!W50+'2'!W50+'3'!W50</f>
        <v>0</v>
      </c>
      <c r="X50" s="91">
        <f>'1'!X50+'2'!X50+'3'!X50</f>
        <v>0</v>
      </c>
      <c r="Y50" s="91">
        <f>'1'!Y50+'2'!Y50+'3'!Y50</f>
        <v>0</v>
      </c>
      <c r="Z50" s="91">
        <f>'1'!Z50+'2'!Z50+'3'!Z50</f>
        <v>0</v>
      </c>
      <c r="AA50" s="91">
        <f>'1'!AA50+'2'!AA50+'3'!AA50</f>
        <v>0</v>
      </c>
      <c r="AB50" s="91">
        <f>'1'!AB50+'2'!AB50+'3'!AB50</f>
        <v>0</v>
      </c>
      <c r="AC50" s="91">
        <f>'1'!AC50+'2'!AC50+'3'!AC50</f>
        <v>0</v>
      </c>
      <c r="AD50" s="91">
        <f>'1'!AD50+'2'!AD50+'3'!AD50</f>
        <v>0</v>
      </c>
      <c r="AE50" s="91">
        <f>'1'!AE50+'2'!AE50+'3'!AE50</f>
        <v>0</v>
      </c>
      <c r="AF50" s="91">
        <f>'1'!AF50+'2'!AF50+'3'!AF50</f>
        <v>0</v>
      </c>
      <c r="AG50" s="91">
        <f>'1'!AG50+'2'!AG50+'3'!AG50</f>
        <v>0</v>
      </c>
      <c r="AH50" s="91">
        <f>'1'!AH50+'2'!AH50+'3'!AH50</f>
        <v>0</v>
      </c>
      <c r="AI50" s="91">
        <f>'1'!AI50+'2'!AI50+'3'!AI50</f>
        <v>0</v>
      </c>
      <c r="AJ50" s="91">
        <f>'1'!AJ50+'2'!AJ50+'3'!AJ50</f>
        <v>0</v>
      </c>
      <c r="AK50" s="91">
        <f>'1'!AK50+'2'!AK50+'3'!AK50</f>
        <v>0</v>
      </c>
      <c r="AL50" s="91">
        <f>'1'!AL50+'2'!AL50+'3'!AL50</f>
        <v>0</v>
      </c>
      <c r="AM50" s="91">
        <f>'1'!AM50+'2'!AM50+'3'!AM50</f>
        <v>0</v>
      </c>
      <c r="AN50" s="91">
        <f>'1'!AN50+'2'!AN50+'3'!AN50</f>
        <v>0</v>
      </c>
      <c r="AO50" s="91">
        <f>'1'!AO50+'2'!AO50+'3'!AO50</f>
        <v>0</v>
      </c>
      <c r="AP50" s="91">
        <f>'1'!AP50+'2'!AP50+'3'!AP50</f>
        <v>0</v>
      </c>
      <c r="AQ50" s="16">
        <f t="shared" si="34"/>
        <v>0</v>
      </c>
      <c r="AR50" s="17">
        <f t="shared" si="42"/>
        <v>0</v>
      </c>
      <c r="AS50" s="91">
        <f t="shared" si="46"/>
        <v>0</v>
      </c>
      <c r="AT50" s="15"/>
      <c r="AU50" s="92">
        <f t="shared" si="47"/>
        <v>0</v>
      </c>
      <c r="AV50" s="92">
        <f t="shared" si="36"/>
        <v>0</v>
      </c>
      <c r="AW50" s="92">
        <f t="shared" si="48"/>
        <v>0</v>
      </c>
      <c r="AX50" s="92">
        <f t="shared" si="49"/>
        <v>0</v>
      </c>
      <c r="AY50" s="18">
        <f t="shared" si="102"/>
        <v>0</v>
      </c>
      <c r="AZ50" s="18">
        <f t="shared" si="102"/>
        <v>0</v>
      </c>
      <c r="BA50" s="95">
        <f t="shared" si="50"/>
        <v>0</v>
      </c>
      <c r="BB50" s="139"/>
      <c r="BC50"/>
    </row>
    <row r="51" spans="1:55" ht="15" hidden="1" customHeight="1" thickBot="1" x14ac:dyDescent="0.3">
      <c r="A51" s="100" t="s">
        <v>64</v>
      </c>
      <c r="B51" s="116"/>
      <c r="C51" s="116">
        <v>37</v>
      </c>
      <c r="D51" s="121">
        <f t="shared" si="100"/>
        <v>0</v>
      </c>
      <c r="E51" s="16">
        <f t="shared" si="101"/>
        <v>0</v>
      </c>
      <c r="F51" s="91">
        <f>'1'!F51+'2'!F51+'3'!F51</f>
        <v>0</v>
      </c>
      <c r="G51" s="91">
        <f>'1'!G51+'2'!G51+'3'!G51</f>
        <v>0</v>
      </c>
      <c r="H51" s="135">
        <f>'1'!H51+'2'!H51+'3'!H51</f>
        <v>0</v>
      </c>
      <c r="I51" s="135">
        <f>'1'!I51+'2'!I51+'3'!I51</f>
        <v>0</v>
      </c>
      <c r="J51" s="14" t="s">
        <v>55</v>
      </c>
      <c r="K51" s="133">
        <f>'1'!K51+'2'!K51+'3'!K51</f>
        <v>0</v>
      </c>
      <c r="L51" s="133">
        <f>'1'!L51+'2'!L51+'3'!L51</f>
        <v>0</v>
      </c>
      <c r="M51" s="91">
        <f>'1'!M51+'2'!M51+'3'!M51</f>
        <v>0</v>
      </c>
      <c r="N51" s="91">
        <f>'1'!N51+'2'!N51+'3'!N51</f>
        <v>0</v>
      </c>
      <c r="O51" s="91">
        <f>'1'!O51+'2'!O51+'3'!O51</f>
        <v>0</v>
      </c>
      <c r="P51" s="91">
        <f>'1'!P51+'2'!P51+'3'!P51</f>
        <v>0</v>
      </c>
      <c r="Q51" s="91">
        <f>'1'!Q51+'2'!Q51+'3'!Q51</f>
        <v>0</v>
      </c>
      <c r="R51" s="91">
        <f>'1'!R51+'2'!R51+'3'!R51</f>
        <v>0</v>
      </c>
      <c r="S51" s="91">
        <f>'1'!S51+'2'!S51+'3'!S51</f>
        <v>0</v>
      </c>
      <c r="T51" s="91">
        <f>'1'!T51+'2'!T51+'3'!T51</f>
        <v>0</v>
      </c>
      <c r="U51" s="91">
        <f>'1'!U51+'2'!U51+'3'!U51</f>
        <v>0</v>
      </c>
      <c r="V51" s="91">
        <f>'1'!V51+'2'!V51+'3'!V51</f>
        <v>0</v>
      </c>
      <c r="W51" s="91">
        <f>'1'!W51+'2'!W51+'3'!W51</f>
        <v>0</v>
      </c>
      <c r="X51" s="91">
        <f>'1'!X51+'2'!X51+'3'!X51</f>
        <v>0</v>
      </c>
      <c r="Y51" s="91">
        <f>'1'!Y51+'2'!Y51+'3'!Y51</f>
        <v>0</v>
      </c>
      <c r="Z51" s="91">
        <f>'1'!Z51+'2'!Z51+'3'!Z51</f>
        <v>0</v>
      </c>
      <c r="AA51" s="91">
        <f>'1'!AA51+'2'!AA51+'3'!AA51</f>
        <v>0</v>
      </c>
      <c r="AB51" s="91">
        <f>'1'!AB51+'2'!AB51+'3'!AB51</f>
        <v>0</v>
      </c>
      <c r="AC51" s="91">
        <f>'1'!AC51+'2'!AC51+'3'!AC51</f>
        <v>0</v>
      </c>
      <c r="AD51" s="91">
        <f>'1'!AD51+'2'!AD51+'3'!AD51</f>
        <v>0</v>
      </c>
      <c r="AE51" s="91">
        <f>'1'!AE51+'2'!AE51+'3'!AE51</f>
        <v>0</v>
      </c>
      <c r="AF51" s="91">
        <f>'1'!AF51+'2'!AF51+'3'!AF51</f>
        <v>0</v>
      </c>
      <c r="AG51" s="91">
        <f>'1'!AG51+'2'!AG51+'3'!AG51</f>
        <v>0</v>
      </c>
      <c r="AH51" s="91">
        <f>'1'!AH51+'2'!AH51+'3'!AH51</f>
        <v>0</v>
      </c>
      <c r="AI51" s="91">
        <f>'1'!AI51+'2'!AI51+'3'!AI51</f>
        <v>0</v>
      </c>
      <c r="AJ51" s="91">
        <f>'1'!AJ51+'2'!AJ51+'3'!AJ51</f>
        <v>0</v>
      </c>
      <c r="AK51" s="91">
        <f>'1'!AK51+'2'!AK51+'3'!AK51</f>
        <v>0</v>
      </c>
      <c r="AL51" s="91">
        <f>'1'!AL51+'2'!AL51+'3'!AL51</f>
        <v>0</v>
      </c>
      <c r="AM51" s="91">
        <f>'1'!AM51+'2'!AM51+'3'!AM51</f>
        <v>0</v>
      </c>
      <c r="AN51" s="91">
        <f>'1'!AN51+'2'!AN51+'3'!AN51</f>
        <v>0</v>
      </c>
      <c r="AO51" s="91">
        <f>'1'!AO51+'2'!AO51+'3'!AO51</f>
        <v>0</v>
      </c>
      <c r="AP51" s="91">
        <f>'1'!AP51+'2'!AP51+'3'!AP51</f>
        <v>0</v>
      </c>
      <c r="AQ51" s="16">
        <f t="shared" si="34"/>
        <v>0</v>
      </c>
      <c r="AR51" s="17">
        <f t="shared" si="42"/>
        <v>0</v>
      </c>
      <c r="AS51" s="91">
        <f t="shared" si="46"/>
        <v>0</v>
      </c>
      <c r="AT51" s="16"/>
      <c r="AU51" s="92">
        <f t="shared" si="47"/>
        <v>0</v>
      </c>
      <c r="AV51" s="92">
        <f t="shared" si="36"/>
        <v>0</v>
      </c>
      <c r="AW51" s="92">
        <f t="shared" si="48"/>
        <v>0</v>
      </c>
      <c r="AX51" s="92">
        <f t="shared" si="49"/>
        <v>0</v>
      </c>
      <c r="AY51" s="92">
        <f t="shared" si="102"/>
        <v>0</v>
      </c>
      <c r="AZ51" s="92">
        <f t="shared" si="102"/>
        <v>0</v>
      </c>
      <c r="BA51" s="95">
        <f t="shared" si="50"/>
        <v>0</v>
      </c>
      <c r="BB51" s="140"/>
      <c r="BC51"/>
    </row>
    <row r="52" spans="1:55" ht="15" customHeight="1" thickBot="1" x14ac:dyDescent="0.3">
      <c r="A52" s="102" t="s">
        <v>49</v>
      </c>
      <c r="B52" s="124"/>
      <c r="C52" s="87"/>
      <c r="D52" s="129">
        <f t="shared" ref="D52:E52" si="103">SUM(D53:D54)</f>
        <v>0</v>
      </c>
      <c r="E52" s="129">
        <f t="shared" si="103"/>
        <v>0</v>
      </c>
      <c r="F52" s="129">
        <f>SUM(F53:F54)</f>
        <v>0</v>
      </c>
      <c r="G52" s="129">
        <f t="shared" ref="G52" si="104">SUM(G53:G54)</f>
        <v>0</v>
      </c>
      <c r="H52" s="131">
        <f t="shared" ref="H52:I52" si="105">SUM(H53:H54)</f>
        <v>0</v>
      </c>
      <c r="I52" s="131">
        <f t="shared" si="105"/>
        <v>0</v>
      </c>
      <c r="J52" s="129">
        <f t="shared" ref="J52" si="106">SUM(J53:J54)</f>
        <v>0</v>
      </c>
      <c r="K52" s="130">
        <f t="shared" ref="K52:L52" si="107">SUM(K53:K54)</f>
        <v>0</v>
      </c>
      <c r="L52" s="130">
        <f t="shared" si="107"/>
        <v>0</v>
      </c>
      <c r="M52" s="129">
        <f t="shared" ref="M52" si="108">SUM(M53:M54)</f>
        <v>0</v>
      </c>
      <c r="N52" s="129">
        <f t="shared" ref="N52:O52" si="109">SUM(N53:N54)</f>
        <v>0</v>
      </c>
      <c r="O52" s="129">
        <f t="shared" si="109"/>
        <v>0</v>
      </c>
      <c r="P52" s="129">
        <f t="shared" ref="P52" si="110">SUM(P53:P54)</f>
        <v>0</v>
      </c>
      <c r="Q52" s="129">
        <f t="shared" ref="Q52:R52" si="111">SUM(Q53:Q54)</f>
        <v>0</v>
      </c>
      <c r="R52" s="129">
        <f t="shared" si="111"/>
        <v>0</v>
      </c>
      <c r="S52" s="129">
        <f t="shared" ref="S52" si="112">SUM(S53:S54)</f>
        <v>0</v>
      </c>
      <c r="T52" s="129">
        <f t="shared" ref="T52:U52" si="113">SUM(T53:T54)</f>
        <v>0</v>
      </c>
      <c r="U52" s="129">
        <f t="shared" si="113"/>
        <v>0</v>
      </c>
      <c r="V52" s="129">
        <f t="shared" ref="V52" si="114">SUM(V53:V54)</f>
        <v>0</v>
      </c>
      <c r="W52" s="129">
        <f t="shared" ref="W52:X52" si="115">SUM(W53:W54)</f>
        <v>0</v>
      </c>
      <c r="X52" s="129">
        <f t="shared" si="115"/>
        <v>0</v>
      </c>
      <c r="Y52" s="129">
        <f t="shared" ref="Y52" si="116">SUM(Y53:Y54)</f>
        <v>0</v>
      </c>
      <c r="Z52" s="129">
        <f t="shared" ref="Z52:AA52" si="117">SUM(Z53:Z54)</f>
        <v>0</v>
      </c>
      <c r="AA52" s="129">
        <f t="shared" si="117"/>
        <v>0</v>
      </c>
      <c r="AB52" s="129">
        <f t="shared" ref="AB52" si="118">SUM(AB53:AB54)</f>
        <v>0</v>
      </c>
      <c r="AC52" s="129">
        <f t="shared" ref="AC52:AD52" si="119">SUM(AC53:AC54)</f>
        <v>0</v>
      </c>
      <c r="AD52" s="129">
        <f t="shared" si="119"/>
        <v>0</v>
      </c>
      <c r="AE52" s="129">
        <f t="shared" ref="AE52" si="120">SUM(AE53:AE54)</f>
        <v>0</v>
      </c>
      <c r="AF52" s="129">
        <f t="shared" ref="AF52:AG52" si="121">SUM(AF53:AF54)</f>
        <v>0</v>
      </c>
      <c r="AG52" s="129">
        <f t="shared" si="121"/>
        <v>0</v>
      </c>
      <c r="AH52" s="129">
        <f t="shared" ref="AH52" si="122">SUM(AH53:AH54)</f>
        <v>0</v>
      </c>
      <c r="AI52" s="129">
        <f t="shared" ref="AI52:AJ52" si="123">SUM(AI53:AI54)</f>
        <v>0</v>
      </c>
      <c r="AJ52" s="129">
        <f t="shared" si="123"/>
        <v>0</v>
      </c>
      <c r="AK52" s="129">
        <f t="shared" ref="AK52" si="124">SUM(AK53:AK54)</f>
        <v>0</v>
      </c>
      <c r="AL52" s="129">
        <f t="shared" ref="AL52:AM52" si="125">SUM(AL53:AL54)</f>
        <v>0</v>
      </c>
      <c r="AM52" s="129">
        <f t="shared" si="125"/>
        <v>0</v>
      </c>
      <c r="AN52" s="129">
        <f t="shared" ref="AN52" si="126">SUM(AN53:AN54)</f>
        <v>0</v>
      </c>
      <c r="AO52" s="129">
        <f t="shared" ref="AO52:AP52" si="127">SUM(AO53:AO54)</f>
        <v>0</v>
      </c>
      <c r="AP52" s="129">
        <f t="shared" si="127"/>
        <v>0</v>
      </c>
      <c r="AQ52" s="129">
        <f t="shared" si="34"/>
        <v>0</v>
      </c>
      <c r="AR52" s="129">
        <f t="shared" si="42"/>
        <v>0</v>
      </c>
      <c r="AS52" s="129">
        <f t="shared" si="46"/>
        <v>0</v>
      </c>
      <c r="AT52" s="129">
        <f>SUM(AT53:AT54)</f>
        <v>0</v>
      </c>
      <c r="AU52" s="131">
        <f t="shared" si="47"/>
        <v>0</v>
      </c>
      <c r="AV52" s="131">
        <f t="shared" si="36"/>
        <v>0</v>
      </c>
      <c r="AW52" s="131">
        <f t="shared" si="48"/>
        <v>0</v>
      </c>
      <c r="AX52" s="131">
        <f t="shared" si="49"/>
        <v>0</v>
      </c>
      <c r="AY52" s="131">
        <f>SUM(AY53:AY54)</f>
        <v>0</v>
      </c>
      <c r="AZ52" s="131">
        <f>SUM(AZ53:AZ54)</f>
        <v>0</v>
      </c>
      <c r="BA52" s="129">
        <f t="shared" si="50"/>
        <v>0</v>
      </c>
      <c r="BB52" s="141"/>
      <c r="BC52"/>
    </row>
    <row r="53" spans="1:55" ht="15" customHeight="1" x14ac:dyDescent="0.25">
      <c r="A53" s="97" t="s">
        <v>51</v>
      </c>
      <c r="B53" s="123" t="s">
        <v>143</v>
      </c>
      <c r="C53" s="115">
        <v>4</v>
      </c>
      <c r="D53" s="121">
        <f>AT53*AU53*AW53</f>
        <v>0</v>
      </c>
      <c r="E53" s="16">
        <f>ROUND(AT53*AV53*AX53,4)</f>
        <v>0</v>
      </c>
      <c r="F53" s="91">
        <f>'1'!F53+'2'!F53+'3'!F53</f>
        <v>0</v>
      </c>
      <c r="G53" s="91">
        <f>'1'!G53+'2'!G53+'3'!G53</f>
        <v>0</v>
      </c>
      <c r="H53" s="135">
        <f>'1'!H53+'2'!H53+'3'!H53</f>
        <v>0</v>
      </c>
      <c r="I53" s="135">
        <f>'1'!I53+'2'!I53+'3'!I53</f>
        <v>0</v>
      </c>
      <c r="J53" s="14" t="s">
        <v>83</v>
      </c>
      <c r="K53" s="133">
        <f>'1'!K53+'2'!K53+'3'!K53</f>
        <v>0</v>
      </c>
      <c r="L53" s="133">
        <f>'1'!L53+'2'!L53+'3'!L53</f>
        <v>0</v>
      </c>
      <c r="M53" s="91">
        <f>'1'!M53+'2'!M53+'3'!M53</f>
        <v>0</v>
      </c>
      <c r="N53" s="91">
        <f>'1'!N53+'2'!N53+'3'!N53</f>
        <v>0</v>
      </c>
      <c r="O53" s="91">
        <f>'1'!O53+'2'!O53+'3'!O53</f>
        <v>0</v>
      </c>
      <c r="P53" s="91">
        <f>'1'!P53+'2'!P53+'3'!P53</f>
        <v>0</v>
      </c>
      <c r="Q53" s="91">
        <f>'1'!Q53+'2'!Q53+'3'!Q53</f>
        <v>0</v>
      </c>
      <c r="R53" s="91">
        <f>'1'!R53+'2'!R53+'3'!R53</f>
        <v>0</v>
      </c>
      <c r="S53" s="91">
        <f>'1'!S53+'2'!S53+'3'!S53</f>
        <v>0</v>
      </c>
      <c r="T53" s="91">
        <f>'1'!T53+'2'!T53+'3'!T53</f>
        <v>0</v>
      </c>
      <c r="U53" s="91">
        <f>'1'!U53+'2'!U53+'3'!U53</f>
        <v>0</v>
      </c>
      <c r="V53" s="91">
        <f>'1'!V53+'2'!V53+'3'!V53</f>
        <v>0</v>
      </c>
      <c r="W53" s="91">
        <f>'1'!W53+'2'!W53+'3'!W53</f>
        <v>0</v>
      </c>
      <c r="X53" s="91">
        <f>'1'!X53+'2'!X53+'3'!X53</f>
        <v>0</v>
      </c>
      <c r="Y53" s="91">
        <f>'1'!Y53+'2'!Y53+'3'!Y53</f>
        <v>0</v>
      </c>
      <c r="Z53" s="91">
        <f>'1'!Z53+'2'!Z53+'3'!Z53</f>
        <v>0</v>
      </c>
      <c r="AA53" s="91">
        <f>'1'!AA53+'2'!AA53+'3'!AA53</f>
        <v>0</v>
      </c>
      <c r="AB53" s="91">
        <f>'1'!AB53+'2'!AB53+'3'!AB53</f>
        <v>0</v>
      </c>
      <c r="AC53" s="91">
        <f>'1'!AC53+'2'!AC53+'3'!AC53</f>
        <v>0</v>
      </c>
      <c r="AD53" s="91">
        <f>'1'!AD53+'2'!AD53+'3'!AD53</f>
        <v>0</v>
      </c>
      <c r="AE53" s="91">
        <f>'1'!AE53+'2'!AE53+'3'!AE53</f>
        <v>0</v>
      </c>
      <c r="AF53" s="91">
        <f>'1'!AF53+'2'!AF53+'3'!AF53</f>
        <v>0</v>
      </c>
      <c r="AG53" s="91">
        <f>'1'!AG53+'2'!AG53+'3'!AG53</f>
        <v>0</v>
      </c>
      <c r="AH53" s="91">
        <f>'1'!AH53+'2'!AH53+'3'!AH53</f>
        <v>0</v>
      </c>
      <c r="AI53" s="91">
        <f>'1'!AI53+'2'!AI53+'3'!AI53</f>
        <v>0</v>
      </c>
      <c r="AJ53" s="91">
        <f>'1'!AJ53+'2'!AJ53+'3'!AJ53</f>
        <v>0</v>
      </c>
      <c r="AK53" s="91">
        <f>'1'!AK53+'2'!AK53+'3'!AK53</f>
        <v>0</v>
      </c>
      <c r="AL53" s="91">
        <f>'1'!AL53+'2'!AL53+'3'!AL53</f>
        <v>0</v>
      </c>
      <c r="AM53" s="91">
        <f>'1'!AM53+'2'!AM53+'3'!AM53</f>
        <v>0</v>
      </c>
      <c r="AN53" s="91">
        <f>'1'!AN53+'2'!AN53+'3'!AN53</f>
        <v>0</v>
      </c>
      <c r="AO53" s="91">
        <f>'1'!AO53+'2'!AO53+'3'!AO53</f>
        <v>0</v>
      </c>
      <c r="AP53" s="91">
        <f>'1'!AP53+'2'!AP53+'3'!AP53</f>
        <v>0</v>
      </c>
      <c r="AQ53" s="16">
        <f t="shared" si="34"/>
        <v>0</v>
      </c>
      <c r="AR53" s="17">
        <f t="shared" si="42"/>
        <v>0</v>
      </c>
      <c r="AS53" s="91">
        <f t="shared" si="46"/>
        <v>0</v>
      </c>
      <c r="AT53" s="91">
        <f>'1'!AT53+'2'!AT53+'3'!AT53</f>
        <v>0</v>
      </c>
      <c r="AU53" s="92">
        <f t="shared" si="47"/>
        <v>0</v>
      </c>
      <c r="AV53" s="92">
        <f t="shared" si="36"/>
        <v>0</v>
      </c>
      <c r="AW53" s="92">
        <f t="shared" si="48"/>
        <v>0</v>
      </c>
      <c r="AX53" s="92">
        <f t="shared" si="49"/>
        <v>0</v>
      </c>
      <c r="AY53" s="92">
        <f>IF(D53=0,0,K53/D53/24)</f>
        <v>0</v>
      </c>
      <c r="AZ53" s="92">
        <f>IF(E53=0,0,L53/E53/24)</f>
        <v>0</v>
      </c>
      <c r="BA53" s="95">
        <f t="shared" si="50"/>
        <v>0</v>
      </c>
      <c r="BB53" s="138"/>
      <c r="BC53"/>
    </row>
    <row r="54" spans="1:55" ht="15" customHeight="1" thickBot="1" x14ac:dyDescent="0.3">
      <c r="A54" s="104" t="s">
        <v>50</v>
      </c>
      <c r="B54" s="123" t="s">
        <v>153</v>
      </c>
      <c r="C54" s="117">
        <v>5</v>
      </c>
      <c r="D54" s="121">
        <f>AT54*AU54*AW54</f>
        <v>0</v>
      </c>
      <c r="E54" s="16">
        <f>ROUND(AT54*AV54*AX54,4)</f>
        <v>0</v>
      </c>
      <c r="F54" s="91">
        <f>'1'!F54+'2'!F54+'3'!F54</f>
        <v>0</v>
      </c>
      <c r="G54" s="91">
        <f>'1'!G54+'2'!G54+'3'!G54</f>
        <v>0</v>
      </c>
      <c r="H54" s="135">
        <f>'1'!H54+'2'!H54+'3'!H54</f>
        <v>0</v>
      </c>
      <c r="I54" s="135">
        <f>'1'!I54+'2'!I54+'3'!I54</f>
        <v>0</v>
      </c>
      <c r="J54" s="13" t="s">
        <v>83</v>
      </c>
      <c r="K54" s="133">
        <f>'1'!K54+'2'!K54+'3'!K54</f>
        <v>0</v>
      </c>
      <c r="L54" s="133">
        <f>'1'!L54+'2'!L54+'3'!L54</f>
        <v>0</v>
      </c>
      <c r="M54" s="91">
        <f>'1'!M54+'2'!M54+'3'!M54</f>
        <v>0</v>
      </c>
      <c r="N54" s="91">
        <f>'1'!N54+'2'!N54+'3'!N54</f>
        <v>0</v>
      </c>
      <c r="O54" s="91">
        <f>'1'!O54+'2'!O54+'3'!O54</f>
        <v>0</v>
      </c>
      <c r="P54" s="91">
        <f>'1'!P54+'2'!P54+'3'!P54</f>
        <v>0</v>
      </c>
      <c r="Q54" s="91">
        <f>'1'!Q54+'2'!Q54+'3'!Q54</f>
        <v>0</v>
      </c>
      <c r="R54" s="91">
        <f>'1'!R54+'2'!R54+'3'!R54</f>
        <v>0</v>
      </c>
      <c r="S54" s="91">
        <f>'1'!S54+'2'!S54+'3'!S54</f>
        <v>0</v>
      </c>
      <c r="T54" s="91">
        <f>'1'!T54+'2'!T54+'3'!T54</f>
        <v>0</v>
      </c>
      <c r="U54" s="91">
        <f>'1'!U54+'2'!U54+'3'!U54</f>
        <v>0</v>
      </c>
      <c r="V54" s="91">
        <f>'1'!V54+'2'!V54+'3'!V54</f>
        <v>0</v>
      </c>
      <c r="W54" s="91">
        <f>'1'!W54+'2'!W54+'3'!W54</f>
        <v>0</v>
      </c>
      <c r="X54" s="91">
        <f>'1'!X54+'2'!X54+'3'!X54</f>
        <v>0</v>
      </c>
      <c r="Y54" s="91">
        <f>'1'!Y54+'2'!Y54+'3'!Y54</f>
        <v>0</v>
      </c>
      <c r="Z54" s="91">
        <f>'1'!Z54+'2'!Z54+'3'!Z54</f>
        <v>0</v>
      </c>
      <c r="AA54" s="91">
        <f>'1'!AA54+'2'!AA54+'3'!AA54</f>
        <v>0</v>
      </c>
      <c r="AB54" s="91">
        <f>'1'!AB54+'2'!AB54+'3'!AB54</f>
        <v>0</v>
      </c>
      <c r="AC54" s="91">
        <f>'1'!AC54+'2'!AC54+'3'!AC54</f>
        <v>0</v>
      </c>
      <c r="AD54" s="91">
        <f>'1'!AD54+'2'!AD54+'3'!AD54</f>
        <v>0</v>
      </c>
      <c r="AE54" s="91">
        <f>'1'!AE54+'2'!AE54+'3'!AE54</f>
        <v>0</v>
      </c>
      <c r="AF54" s="91">
        <f>'1'!AF54+'2'!AF54+'3'!AF54</f>
        <v>0</v>
      </c>
      <c r="AG54" s="91">
        <f>'1'!AG54+'2'!AG54+'3'!AG54</f>
        <v>0</v>
      </c>
      <c r="AH54" s="91">
        <f>'1'!AH54+'2'!AH54+'3'!AH54</f>
        <v>0</v>
      </c>
      <c r="AI54" s="91">
        <f>'1'!AI54+'2'!AI54+'3'!AI54</f>
        <v>0</v>
      </c>
      <c r="AJ54" s="91">
        <f>'1'!AJ54+'2'!AJ54+'3'!AJ54</f>
        <v>0</v>
      </c>
      <c r="AK54" s="91">
        <f>'1'!AK54+'2'!AK54+'3'!AK54</f>
        <v>0</v>
      </c>
      <c r="AL54" s="91">
        <f>'1'!AL54+'2'!AL54+'3'!AL54</f>
        <v>0</v>
      </c>
      <c r="AM54" s="91">
        <f>'1'!AM54+'2'!AM54+'3'!AM54</f>
        <v>0</v>
      </c>
      <c r="AN54" s="91">
        <f>'1'!AN54+'2'!AN54+'3'!AN54</f>
        <v>0</v>
      </c>
      <c r="AO54" s="91">
        <f>'1'!AO54+'2'!AO54+'3'!AO54</f>
        <v>0</v>
      </c>
      <c r="AP54" s="91">
        <f>'1'!AP54+'2'!AP54+'3'!AP54</f>
        <v>0</v>
      </c>
      <c r="AQ54" s="16">
        <f t="shared" si="34"/>
        <v>0</v>
      </c>
      <c r="AR54" s="17">
        <f t="shared" si="42"/>
        <v>0</v>
      </c>
      <c r="AS54" s="91">
        <f t="shared" si="46"/>
        <v>0</v>
      </c>
      <c r="AT54" s="91">
        <f>'1'!AT54+'2'!AT54+'3'!AT54</f>
        <v>0</v>
      </c>
      <c r="AU54" s="92">
        <f t="shared" si="47"/>
        <v>0</v>
      </c>
      <c r="AV54" s="92">
        <f t="shared" si="36"/>
        <v>0</v>
      </c>
      <c r="AW54" s="92">
        <f t="shared" si="48"/>
        <v>0</v>
      </c>
      <c r="AX54" s="92">
        <f t="shared" si="49"/>
        <v>0</v>
      </c>
      <c r="AY54" s="92">
        <f>IF(D54=0,0,K54/D54/24)</f>
        <v>0</v>
      </c>
      <c r="AZ54" s="92">
        <f>IF(E54=0,0,L54/E54/24)</f>
        <v>0</v>
      </c>
      <c r="BA54" s="95">
        <f t="shared" si="50"/>
        <v>0</v>
      </c>
      <c r="BB54" s="140"/>
      <c r="BC54"/>
    </row>
    <row r="55" spans="1:55" ht="15" customHeight="1" thickBot="1" x14ac:dyDescent="0.3">
      <c r="A55" s="87" t="s">
        <v>52</v>
      </c>
      <c r="B55" s="124"/>
      <c r="C55" s="87"/>
      <c r="D55" s="129">
        <f t="shared" ref="D55:E55" si="128">SUM(D56:D61)</f>
        <v>0</v>
      </c>
      <c r="E55" s="129">
        <f t="shared" si="128"/>
        <v>0</v>
      </c>
      <c r="F55" s="129">
        <f>SUM(F56:F61)</f>
        <v>0</v>
      </c>
      <c r="G55" s="129">
        <f t="shared" ref="G55" si="129">SUM(G56:G61)</f>
        <v>0</v>
      </c>
      <c r="H55" s="131">
        <f t="shared" ref="H55" si="130">SUM(H56:H61)</f>
        <v>0</v>
      </c>
      <c r="I55" s="131">
        <f t="shared" ref="I55" si="131">SUM(I56:I61)</f>
        <v>0</v>
      </c>
      <c r="J55" s="129">
        <f t="shared" ref="J55" si="132">SUM(J56:J61)</f>
        <v>0</v>
      </c>
      <c r="K55" s="130">
        <f t="shared" ref="K55" si="133">SUM(K56:K61)</f>
        <v>0</v>
      </c>
      <c r="L55" s="130">
        <f t="shared" ref="L55" si="134">SUM(L56:L61)</f>
        <v>0</v>
      </c>
      <c r="M55" s="129">
        <f t="shared" ref="M55" si="135">SUM(M56:M61)</f>
        <v>0</v>
      </c>
      <c r="N55" s="129">
        <f t="shared" ref="N55" si="136">SUM(N56:N61)</f>
        <v>0</v>
      </c>
      <c r="O55" s="129">
        <f t="shared" ref="O55" si="137">SUM(O56:O61)</f>
        <v>0</v>
      </c>
      <c r="P55" s="129">
        <f t="shared" ref="P55" si="138">SUM(P56:P61)</f>
        <v>0</v>
      </c>
      <c r="Q55" s="129">
        <f t="shared" ref="Q55" si="139">SUM(Q56:Q61)</f>
        <v>0</v>
      </c>
      <c r="R55" s="129">
        <f t="shared" ref="R55" si="140">SUM(R56:R61)</f>
        <v>0</v>
      </c>
      <c r="S55" s="129">
        <f t="shared" ref="S55" si="141">SUM(S56:S61)</f>
        <v>0</v>
      </c>
      <c r="T55" s="129">
        <f t="shared" ref="T55" si="142">SUM(T56:T61)</f>
        <v>0</v>
      </c>
      <c r="U55" s="129">
        <f t="shared" ref="U55" si="143">SUM(U56:U61)</f>
        <v>0</v>
      </c>
      <c r="V55" s="129">
        <f t="shared" ref="V55" si="144">SUM(V56:V61)</f>
        <v>0</v>
      </c>
      <c r="W55" s="129">
        <f t="shared" ref="W55" si="145">SUM(W56:W61)</f>
        <v>0</v>
      </c>
      <c r="X55" s="129">
        <f t="shared" ref="X55" si="146">SUM(X56:X61)</f>
        <v>0</v>
      </c>
      <c r="Y55" s="129">
        <f t="shared" ref="Y55" si="147">SUM(Y56:Y61)</f>
        <v>0</v>
      </c>
      <c r="Z55" s="129">
        <f t="shared" ref="Z55" si="148">SUM(Z56:Z61)</f>
        <v>0</v>
      </c>
      <c r="AA55" s="129">
        <f t="shared" ref="AA55" si="149">SUM(AA56:AA61)</f>
        <v>0</v>
      </c>
      <c r="AB55" s="129">
        <f t="shared" ref="AB55" si="150">SUM(AB56:AB61)</f>
        <v>0</v>
      </c>
      <c r="AC55" s="129">
        <f t="shared" ref="AC55" si="151">SUM(AC56:AC61)</f>
        <v>0</v>
      </c>
      <c r="AD55" s="129">
        <f t="shared" ref="AD55" si="152">SUM(AD56:AD61)</f>
        <v>0</v>
      </c>
      <c r="AE55" s="129">
        <f t="shared" ref="AE55" si="153">SUM(AE56:AE61)</f>
        <v>0</v>
      </c>
      <c r="AF55" s="129">
        <f t="shared" ref="AF55" si="154">SUM(AF56:AF61)</f>
        <v>0</v>
      </c>
      <c r="AG55" s="129">
        <f t="shared" ref="AG55" si="155">SUM(AG56:AG61)</f>
        <v>0</v>
      </c>
      <c r="AH55" s="129">
        <f t="shared" ref="AH55" si="156">SUM(AH56:AH61)</f>
        <v>0</v>
      </c>
      <c r="AI55" s="129">
        <f t="shared" ref="AI55" si="157">SUM(AI56:AI61)</f>
        <v>0</v>
      </c>
      <c r="AJ55" s="129">
        <f t="shared" ref="AJ55" si="158">SUM(AJ56:AJ61)</f>
        <v>0</v>
      </c>
      <c r="AK55" s="129">
        <f t="shared" ref="AK55" si="159">SUM(AK56:AK61)</f>
        <v>0</v>
      </c>
      <c r="AL55" s="129">
        <f t="shared" ref="AL55" si="160">SUM(AL56:AL61)</f>
        <v>0</v>
      </c>
      <c r="AM55" s="129">
        <f t="shared" ref="AM55" si="161">SUM(AM56:AM61)</f>
        <v>0</v>
      </c>
      <c r="AN55" s="129">
        <f t="shared" ref="AN55" si="162">SUM(AN56:AN61)</f>
        <v>0</v>
      </c>
      <c r="AO55" s="129">
        <f t="shared" ref="AO55" si="163">SUM(AO56:AO61)</f>
        <v>0</v>
      </c>
      <c r="AP55" s="129">
        <f t="shared" ref="AP55" si="164">SUM(AP56:AP61)</f>
        <v>0</v>
      </c>
      <c r="AQ55" s="129">
        <f t="shared" si="34"/>
        <v>0</v>
      </c>
      <c r="AR55" s="129">
        <f t="shared" si="42"/>
        <v>0</v>
      </c>
      <c r="AS55" s="129">
        <f t="shared" si="46"/>
        <v>0</v>
      </c>
      <c r="AT55" s="129">
        <f>SUM(AT56:AT61)</f>
        <v>0</v>
      </c>
      <c r="AU55" s="131">
        <f t="shared" si="47"/>
        <v>0</v>
      </c>
      <c r="AV55" s="131">
        <f>IF(AT55=0,0,(AT55-N55-P55-R55-AC55-AD55-AE55-AF55-AG55-AH55-AI55-AJ55-AL55)/AT55)</f>
        <v>0</v>
      </c>
      <c r="AW55" s="131">
        <f t="shared" si="48"/>
        <v>0</v>
      </c>
      <c r="AX55" s="131">
        <f t="shared" si="49"/>
        <v>0</v>
      </c>
      <c r="AY55" s="131">
        <f>SUM(AY56:AY61)</f>
        <v>0</v>
      </c>
      <c r="AZ55" s="131">
        <f>SUM(AZ56:AZ61)</f>
        <v>0</v>
      </c>
      <c r="BA55" s="129">
        <f t="shared" si="50"/>
        <v>0</v>
      </c>
      <c r="BB55" s="141"/>
      <c r="BC55"/>
    </row>
    <row r="56" spans="1:55" ht="15" customHeight="1" x14ac:dyDescent="0.25">
      <c r="A56" s="97" t="s">
        <v>53</v>
      </c>
      <c r="B56" s="123" t="s">
        <v>144</v>
      </c>
      <c r="C56" s="115">
        <v>15</v>
      </c>
      <c r="D56" s="121">
        <f>AT56*AU56*AW56</f>
        <v>0</v>
      </c>
      <c r="E56" s="16">
        <f>ROUND(AT56*AV56*AX56,4)</f>
        <v>0</v>
      </c>
      <c r="F56" s="91">
        <f>'1'!F56+'2'!F56+'3'!F56</f>
        <v>0</v>
      </c>
      <c r="G56" s="91">
        <f>'1'!G56+'2'!G56+'3'!G56</f>
        <v>0</v>
      </c>
      <c r="H56" s="135">
        <f>'1'!H56+'2'!H56+'3'!H56</f>
        <v>0</v>
      </c>
      <c r="I56" s="135">
        <f>'1'!I56+'2'!I56+'3'!I56</f>
        <v>0</v>
      </c>
      <c r="J56" s="14" t="s">
        <v>55</v>
      </c>
      <c r="K56" s="133">
        <f>'1'!K56+'2'!K56+'3'!K56</f>
        <v>0</v>
      </c>
      <c r="L56" s="133">
        <f>'1'!L56+'2'!L56+'3'!L56</f>
        <v>0</v>
      </c>
      <c r="M56" s="91">
        <f>'1'!M56+'2'!M56+'3'!M56</f>
        <v>0</v>
      </c>
      <c r="N56" s="91">
        <f>'1'!N56+'2'!N56+'3'!N56</f>
        <v>0</v>
      </c>
      <c r="O56" s="91">
        <f>'1'!O56+'2'!O56+'3'!O56</f>
        <v>0</v>
      </c>
      <c r="P56" s="91">
        <f>'1'!P56+'2'!P56+'3'!P56</f>
        <v>0</v>
      </c>
      <c r="Q56" s="91">
        <f>'1'!Q56+'2'!Q56+'3'!Q56</f>
        <v>0</v>
      </c>
      <c r="R56" s="91">
        <f>'1'!R56+'2'!R56+'3'!R56</f>
        <v>0</v>
      </c>
      <c r="S56" s="91">
        <f>'1'!S56+'2'!S56+'3'!S56</f>
        <v>0</v>
      </c>
      <c r="T56" s="91">
        <f>'1'!T56+'2'!T56+'3'!T56</f>
        <v>0</v>
      </c>
      <c r="U56" s="91">
        <f>'1'!U56+'2'!U56+'3'!U56</f>
        <v>0</v>
      </c>
      <c r="V56" s="91">
        <f>'1'!V56+'2'!V56+'3'!V56</f>
        <v>0</v>
      </c>
      <c r="W56" s="91">
        <f>'1'!W56+'2'!W56+'3'!W56</f>
        <v>0</v>
      </c>
      <c r="X56" s="91">
        <f>'1'!X56+'2'!X56+'3'!X56</f>
        <v>0</v>
      </c>
      <c r="Y56" s="91">
        <f>'1'!Y56+'2'!Y56+'3'!Y56</f>
        <v>0</v>
      </c>
      <c r="Z56" s="91">
        <f>'1'!Z56+'2'!Z56+'3'!Z56</f>
        <v>0</v>
      </c>
      <c r="AA56" s="91">
        <f>'1'!AA56+'2'!AA56+'3'!AA56</f>
        <v>0</v>
      </c>
      <c r="AB56" s="91">
        <f>'1'!AB56+'2'!AB56+'3'!AB56</f>
        <v>0</v>
      </c>
      <c r="AC56" s="91">
        <f>'1'!AC56+'2'!AC56+'3'!AC56</f>
        <v>0</v>
      </c>
      <c r="AD56" s="91">
        <f>'1'!AD56+'2'!AD56+'3'!AD56</f>
        <v>0</v>
      </c>
      <c r="AE56" s="91">
        <f>'1'!AE56+'2'!AE56+'3'!AE56</f>
        <v>0</v>
      </c>
      <c r="AF56" s="91">
        <f>'1'!AF56+'2'!AF56+'3'!AF56</f>
        <v>0</v>
      </c>
      <c r="AG56" s="91">
        <f>'1'!AG56+'2'!AG56+'3'!AG56</f>
        <v>0</v>
      </c>
      <c r="AH56" s="91">
        <f>'1'!AH56+'2'!AH56+'3'!AH56</f>
        <v>0</v>
      </c>
      <c r="AI56" s="91">
        <f>'1'!AI56+'2'!AI56+'3'!AI56</f>
        <v>0</v>
      </c>
      <c r="AJ56" s="91">
        <f>'1'!AJ56+'2'!AJ56+'3'!AJ56</f>
        <v>0</v>
      </c>
      <c r="AK56" s="91">
        <f>'1'!AK56+'2'!AK56+'3'!AK56</f>
        <v>0</v>
      </c>
      <c r="AL56" s="91">
        <f>'1'!AL56+'2'!AL56+'3'!AL56</f>
        <v>0</v>
      </c>
      <c r="AM56" s="91">
        <f>'1'!AM56+'2'!AM56+'3'!AM56</f>
        <v>0</v>
      </c>
      <c r="AN56" s="91">
        <f>'1'!AN56+'2'!AN56+'3'!AN56</f>
        <v>0</v>
      </c>
      <c r="AO56" s="91">
        <f>'1'!AO56+'2'!AO56+'3'!AO56</f>
        <v>0</v>
      </c>
      <c r="AP56" s="91">
        <f>'1'!AP56+'2'!AP56+'3'!AP56</f>
        <v>0</v>
      </c>
      <c r="AQ56" s="16">
        <f t="shared" si="34"/>
        <v>0</v>
      </c>
      <c r="AR56" s="17">
        <f t="shared" si="42"/>
        <v>0</v>
      </c>
      <c r="AS56" s="91">
        <f t="shared" si="46"/>
        <v>0</v>
      </c>
      <c r="AT56" s="91">
        <f>'1'!AT56+'2'!AT56+'3'!AT56</f>
        <v>0</v>
      </c>
      <c r="AU56" s="92">
        <f t="shared" si="47"/>
        <v>0</v>
      </c>
      <c r="AV56" s="92">
        <f t="shared" si="36"/>
        <v>0</v>
      </c>
      <c r="AW56" s="92">
        <f t="shared" si="48"/>
        <v>0</v>
      </c>
      <c r="AX56" s="92">
        <f t="shared" si="49"/>
        <v>0</v>
      </c>
      <c r="AY56" s="92">
        <f t="shared" ref="AY56:AZ59" si="165">IF(D56=0,0,K56/D56/24)</f>
        <v>0</v>
      </c>
      <c r="AZ56" s="92">
        <f t="shared" si="165"/>
        <v>0</v>
      </c>
      <c r="BA56" s="95">
        <f t="shared" si="50"/>
        <v>0</v>
      </c>
      <c r="BB56" s="138"/>
      <c r="BC56"/>
    </row>
    <row r="57" spans="1:55" ht="15" customHeight="1" x14ac:dyDescent="0.25">
      <c r="A57" s="71" t="s">
        <v>54</v>
      </c>
      <c r="B57" s="123" t="s">
        <v>145</v>
      </c>
      <c r="C57" s="112">
        <v>16</v>
      </c>
      <c r="D57" s="121">
        <f>AT57*AU57*AW57</f>
        <v>0</v>
      </c>
      <c r="E57" s="16">
        <f>ROUND(AT57*AV57*AX57,4)</f>
        <v>0</v>
      </c>
      <c r="F57" s="91">
        <f>'1'!F57+'2'!F57+'3'!F57</f>
        <v>0</v>
      </c>
      <c r="G57" s="91">
        <f>'1'!G57+'2'!G57+'3'!G57</f>
        <v>0</v>
      </c>
      <c r="H57" s="135">
        <f>'1'!H57+'2'!H57+'3'!H57</f>
        <v>0</v>
      </c>
      <c r="I57" s="135">
        <f>'1'!I57+'2'!I57+'3'!I57</f>
        <v>0</v>
      </c>
      <c r="J57" s="7" t="s">
        <v>55</v>
      </c>
      <c r="K57" s="133">
        <f>'1'!K57+'2'!K57+'3'!K57</f>
        <v>0</v>
      </c>
      <c r="L57" s="133">
        <f>'1'!L57+'2'!L57+'3'!L57</f>
        <v>0</v>
      </c>
      <c r="M57" s="91">
        <f>'1'!M57+'2'!M57+'3'!M57</f>
        <v>0</v>
      </c>
      <c r="N57" s="91">
        <f>'1'!N57+'2'!N57+'3'!N57</f>
        <v>0</v>
      </c>
      <c r="O57" s="91">
        <f>'1'!O57+'2'!O57+'3'!O57</f>
        <v>0</v>
      </c>
      <c r="P57" s="91">
        <f>'1'!P57+'2'!P57+'3'!P57</f>
        <v>0</v>
      </c>
      <c r="Q57" s="91">
        <f>'1'!Q57+'2'!Q57+'3'!Q57</f>
        <v>0</v>
      </c>
      <c r="R57" s="91">
        <f>'1'!R57+'2'!R57+'3'!R57</f>
        <v>0</v>
      </c>
      <c r="S57" s="91">
        <f>'1'!S57+'2'!S57+'3'!S57</f>
        <v>0</v>
      </c>
      <c r="T57" s="91">
        <f>'1'!T57+'2'!T57+'3'!T57</f>
        <v>0</v>
      </c>
      <c r="U57" s="91">
        <f>'1'!U57+'2'!U57+'3'!U57</f>
        <v>0</v>
      </c>
      <c r="V57" s="91">
        <f>'1'!V57+'2'!V57+'3'!V57</f>
        <v>0</v>
      </c>
      <c r="W57" s="91">
        <f>'1'!W57+'2'!W57+'3'!W57</f>
        <v>0</v>
      </c>
      <c r="X57" s="91">
        <f>'1'!X57+'2'!X57+'3'!X57</f>
        <v>0</v>
      </c>
      <c r="Y57" s="91">
        <f>'1'!Y57+'2'!Y57+'3'!Y57</f>
        <v>0</v>
      </c>
      <c r="Z57" s="91">
        <f>'1'!Z57+'2'!Z57+'3'!Z57</f>
        <v>0</v>
      </c>
      <c r="AA57" s="91">
        <f>'1'!AA57+'2'!AA57+'3'!AA57</f>
        <v>0</v>
      </c>
      <c r="AB57" s="91">
        <f>'1'!AB57+'2'!AB57+'3'!AB57</f>
        <v>0</v>
      </c>
      <c r="AC57" s="91">
        <f>'1'!AC57+'2'!AC57+'3'!AC57</f>
        <v>0</v>
      </c>
      <c r="AD57" s="91">
        <f>'1'!AD57+'2'!AD57+'3'!AD57</f>
        <v>0</v>
      </c>
      <c r="AE57" s="91">
        <f>'1'!AE57+'2'!AE57+'3'!AE57</f>
        <v>0</v>
      </c>
      <c r="AF57" s="91">
        <f>'1'!AF57+'2'!AF57+'3'!AF57</f>
        <v>0</v>
      </c>
      <c r="AG57" s="91">
        <f>'1'!AG57+'2'!AG57+'3'!AG57</f>
        <v>0</v>
      </c>
      <c r="AH57" s="91">
        <f>'1'!AH57+'2'!AH57+'3'!AH57</f>
        <v>0</v>
      </c>
      <c r="AI57" s="91">
        <f>'1'!AI57+'2'!AI57+'3'!AI57</f>
        <v>0</v>
      </c>
      <c r="AJ57" s="91">
        <f>'1'!AJ57+'2'!AJ57+'3'!AJ57</f>
        <v>0</v>
      </c>
      <c r="AK57" s="91">
        <f>'1'!AK57+'2'!AK57+'3'!AK57</f>
        <v>0</v>
      </c>
      <c r="AL57" s="91">
        <f>'1'!AL57+'2'!AL57+'3'!AL57</f>
        <v>0</v>
      </c>
      <c r="AM57" s="91">
        <f>'1'!AM57+'2'!AM57+'3'!AM57</f>
        <v>0</v>
      </c>
      <c r="AN57" s="91">
        <f>'1'!AN57+'2'!AN57+'3'!AN57</f>
        <v>0</v>
      </c>
      <c r="AO57" s="91">
        <f>'1'!AO57+'2'!AO57+'3'!AO57</f>
        <v>0</v>
      </c>
      <c r="AP57" s="91">
        <f>'1'!AP57+'2'!AP57+'3'!AP57</f>
        <v>0</v>
      </c>
      <c r="AQ57" s="16">
        <f t="shared" si="34"/>
        <v>0</v>
      </c>
      <c r="AR57" s="17">
        <f t="shared" si="42"/>
        <v>0</v>
      </c>
      <c r="AS57" s="91">
        <f t="shared" si="46"/>
        <v>0</v>
      </c>
      <c r="AT57" s="91">
        <f>'1'!AT57+'2'!AT57+'3'!AT57</f>
        <v>0</v>
      </c>
      <c r="AU57" s="92">
        <f t="shared" si="47"/>
        <v>0</v>
      </c>
      <c r="AV57" s="92">
        <f t="shared" si="36"/>
        <v>0</v>
      </c>
      <c r="AW57" s="92">
        <f t="shared" si="48"/>
        <v>0</v>
      </c>
      <c r="AX57" s="92">
        <f t="shared" si="49"/>
        <v>0</v>
      </c>
      <c r="AY57" s="92">
        <f t="shared" si="165"/>
        <v>0</v>
      </c>
      <c r="AZ57" s="92">
        <f t="shared" si="165"/>
        <v>0</v>
      </c>
      <c r="BA57" s="95">
        <f t="shared" si="50"/>
        <v>0</v>
      </c>
      <c r="BB57" s="139"/>
      <c r="BC57"/>
    </row>
    <row r="58" spans="1:55" ht="15" customHeight="1" x14ac:dyDescent="0.25">
      <c r="A58" s="73" t="s">
        <v>124</v>
      </c>
      <c r="B58" s="123" t="s">
        <v>146</v>
      </c>
      <c r="C58" s="113">
        <v>26</v>
      </c>
      <c r="D58" s="121">
        <f>AT58*AU58*AW58</f>
        <v>0</v>
      </c>
      <c r="E58" s="16">
        <f>ROUND(AT58*AV58*AX58,4)</f>
        <v>0</v>
      </c>
      <c r="F58" s="91">
        <f>'1'!F58+'2'!F58+'3'!F58</f>
        <v>0</v>
      </c>
      <c r="G58" s="91">
        <f>'1'!G58+'2'!G58+'3'!G58</f>
        <v>0</v>
      </c>
      <c r="H58" s="135">
        <f>'1'!H58+'2'!H58+'3'!H58</f>
        <v>0</v>
      </c>
      <c r="I58" s="135">
        <f>'1'!I58+'2'!I58+'3'!I58</f>
        <v>0</v>
      </c>
      <c r="J58" s="7" t="s">
        <v>55</v>
      </c>
      <c r="K58" s="133">
        <f>'1'!K58+'2'!K58+'3'!K58</f>
        <v>0</v>
      </c>
      <c r="L58" s="133">
        <f>'1'!L58+'2'!L58+'3'!L58</f>
        <v>0</v>
      </c>
      <c r="M58" s="91">
        <f>'1'!M58+'2'!M58+'3'!M58</f>
        <v>0</v>
      </c>
      <c r="N58" s="91">
        <f>'1'!N58+'2'!N58+'3'!N58</f>
        <v>0</v>
      </c>
      <c r="O58" s="91">
        <f>'1'!O58+'2'!O58+'3'!O58</f>
        <v>0</v>
      </c>
      <c r="P58" s="91">
        <f>'1'!P58+'2'!P58+'3'!P58</f>
        <v>0</v>
      </c>
      <c r="Q58" s="91">
        <f>'1'!Q58+'2'!Q58+'3'!Q58</f>
        <v>0</v>
      </c>
      <c r="R58" s="91">
        <f>'1'!R58+'2'!R58+'3'!R58</f>
        <v>0</v>
      </c>
      <c r="S58" s="91">
        <f>'1'!S58+'2'!S58+'3'!S58</f>
        <v>0</v>
      </c>
      <c r="T58" s="91">
        <f>'1'!T58+'2'!T58+'3'!T58</f>
        <v>0</v>
      </c>
      <c r="U58" s="91">
        <f>'1'!U58+'2'!U58+'3'!U58</f>
        <v>0</v>
      </c>
      <c r="V58" s="91">
        <f>'1'!V58+'2'!V58+'3'!V58</f>
        <v>0</v>
      </c>
      <c r="W58" s="91">
        <f>'1'!W58+'2'!W58+'3'!W58</f>
        <v>0</v>
      </c>
      <c r="X58" s="91">
        <f>'1'!X58+'2'!X58+'3'!X58</f>
        <v>0</v>
      </c>
      <c r="Y58" s="91">
        <f>'1'!Y58+'2'!Y58+'3'!Y58</f>
        <v>0</v>
      </c>
      <c r="Z58" s="91">
        <f>'1'!Z58+'2'!Z58+'3'!Z58</f>
        <v>0</v>
      </c>
      <c r="AA58" s="91">
        <f>'1'!AA58+'2'!AA58+'3'!AA58</f>
        <v>0</v>
      </c>
      <c r="AB58" s="91">
        <f>'1'!AB58+'2'!AB58+'3'!AB58</f>
        <v>0</v>
      </c>
      <c r="AC58" s="91">
        <f>'1'!AC58+'2'!AC58+'3'!AC58</f>
        <v>0</v>
      </c>
      <c r="AD58" s="91">
        <f>'1'!AD58+'2'!AD58+'3'!AD58</f>
        <v>0</v>
      </c>
      <c r="AE58" s="91">
        <f>'1'!AE58+'2'!AE58+'3'!AE58</f>
        <v>0</v>
      </c>
      <c r="AF58" s="91">
        <f>'1'!AF58+'2'!AF58+'3'!AF58</f>
        <v>0</v>
      </c>
      <c r="AG58" s="91">
        <f>'1'!AG58+'2'!AG58+'3'!AG58</f>
        <v>0</v>
      </c>
      <c r="AH58" s="91">
        <f>'1'!AH58+'2'!AH58+'3'!AH58</f>
        <v>0</v>
      </c>
      <c r="AI58" s="91">
        <f>'1'!AI58+'2'!AI58+'3'!AI58</f>
        <v>0</v>
      </c>
      <c r="AJ58" s="91">
        <f>'1'!AJ58+'2'!AJ58+'3'!AJ58</f>
        <v>0</v>
      </c>
      <c r="AK58" s="91">
        <f>'1'!AK58+'2'!AK58+'3'!AK58</f>
        <v>0</v>
      </c>
      <c r="AL58" s="91">
        <f>'1'!AL58+'2'!AL58+'3'!AL58</f>
        <v>0</v>
      </c>
      <c r="AM58" s="91">
        <f>'1'!AM58+'2'!AM58+'3'!AM58</f>
        <v>0</v>
      </c>
      <c r="AN58" s="91">
        <f>'1'!AN58+'2'!AN58+'3'!AN58</f>
        <v>0</v>
      </c>
      <c r="AO58" s="91">
        <f>'1'!AO58+'2'!AO58+'3'!AO58</f>
        <v>0</v>
      </c>
      <c r="AP58" s="91">
        <f>'1'!AP58+'2'!AP58+'3'!AP58</f>
        <v>0</v>
      </c>
      <c r="AQ58" s="16">
        <f t="shared" si="34"/>
        <v>0</v>
      </c>
      <c r="AR58" s="17">
        <f t="shared" si="42"/>
        <v>0</v>
      </c>
      <c r="AS58" s="91">
        <f t="shared" si="46"/>
        <v>0</v>
      </c>
      <c r="AT58" s="91">
        <f>'1'!AT58+'2'!AT58+'3'!AT58</f>
        <v>0</v>
      </c>
      <c r="AU58" s="92">
        <f t="shared" si="47"/>
        <v>0</v>
      </c>
      <c r="AV58" s="92">
        <f t="shared" si="36"/>
        <v>0</v>
      </c>
      <c r="AW58" s="92">
        <f t="shared" si="48"/>
        <v>0</v>
      </c>
      <c r="AX58" s="92">
        <f t="shared" si="49"/>
        <v>0</v>
      </c>
      <c r="AY58" s="92">
        <f t="shared" si="165"/>
        <v>0</v>
      </c>
      <c r="AZ58" s="92">
        <f t="shared" si="165"/>
        <v>0</v>
      </c>
      <c r="BA58" s="95">
        <f t="shared" si="50"/>
        <v>0</v>
      </c>
      <c r="BB58" s="139"/>
      <c r="BC58"/>
    </row>
    <row r="59" spans="1:55" ht="15" customHeight="1" x14ac:dyDescent="0.25">
      <c r="A59" s="73" t="s">
        <v>125</v>
      </c>
      <c r="B59" s="123" t="s">
        <v>147</v>
      </c>
      <c r="C59" s="112">
        <v>30</v>
      </c>
      <c r="D59" s="121">
        <f>AT59*AU59*AW59</f>
        <v>0</v>
      </c>
      <c r="E59" s="16">
        <f>ROUND(AT59*AV59*AX59,4)</f>
        <v>0</v>
      </c>
      <c r="F59" s="91">
        <f>'1'!F59+'2'!F59+'3'!F59</f>
        <v>0</v>
      </c>
      <c r="G59" s="91">
        <f>'1'!G59+'2'!G59+'3'!G59</f>
        <v>0</v>
      </c>
      <c r="H59" s="135">
        <f>'1'!H59+'2'!H59+'3'!H59</f>
        <v>0</v>
      </c>
      <c r="I59" s="135">
        <f>'1'!I59+'2'!I59+'3'!I59</f>
        <v>0</v>
      </c>
      <c r="J59" s="7" t="s">
        <v>55</v>
      </c>
      <c r="K59" s="133">
        <f>'1'!K59+'2'!K59+'3'!K59</f>
        <v>0</v>
      </c>
      <c r="L59" s="133">
        <f>'1'!L59+'2'!L59+'3'!L59</f>
        <v>0</v>
      </c>
      <c r="M59" s="91">
        <f>'1'!M59+'2'!M59+'3'!M59</f>
        <v>0</v>
      </c>
      <c r="N59" s="91">
        <f>'1'!N59+'2'!N59+'3'!N59</f>
        <v>0</v>
      </c>
      <c r="O59" s="91">
        <f>'1'!O59+'2'!O59+'3'!O59</f>
        <v>0</v>
      </c>
      <c r="P59" s="91">
        <f>'1'!P59+'2'!P59+'3'!P59</f>
        <v>0</v>
      </c>
      <c r="Q59" s="91">
        <f>'1'!Q59+'2'!Q59+'3'!Q59</f>
        <v>0</v>
      </c>
      <c r="R59" s="91">
        <f>'1'!R59+'2'!R59+'3'!R59</f>
        <v>0</v>
      </c>
      <c r="S59" s="91">
        <f>'1'!S59+'2'!S59+'3'!S59</f>
        <v>0</v>
      </c>
      <c r="T59" s="91">
        <f>'1'!T59+'2'!T59+'3'!T59</f>
        <v>0</v>
      </c>
      <c r="U59" s="91">
        <f>'1'!U59+'2'!U59+'3'!U59</f>
        <v>0</v>
      </c>
      <c r="V59" s="91">
        <f>'1'!V59+'2'!V59+'3'!V59</f>
        <v>0</v>
      </c>
      <c r="W59" s="91">
        <f>'1'!W59+'2'!W59+'3'!W59</f>
        <v>0</v>
      </c>
      <c r="X59" s="91">
        <f>'1'!X59+'2'!X59+'3'!X59</f>
        <v>0</v>
      </c>
      <c r="Y59" s="91">
        <f>'1'!Y59+'2'!Y59+'3'!Y59</f>
        <v>0</v>
      </c>
      <c r="Z59" s="91">
        <f>'1'!Z59+'2'!Z59+'3'!Z59</f>
        <v>0</v>
      </c>
      <c r="AA59" s="91">
        <f>'1'!AA59+'2'!AA59+'3'!AA59</f>
        <v>0</v>
      </c>
      <c r="AB59" s="91">
        <f>'1'!AB59+'2'!AB59+'3'!AB59</f>
        <v>0</v>
      </c>
      <c r="AC59" s="91">
        <f>'1'!AC59+'2'!AC59+'3'!AC59</f>
        <v>0</v>
      </c>
      <c r="AD59" s="91">
        <f>'1'!AD59+'2'!AD59+'3'!AD59</f>
        <v>0</v>
      </c>
      <c r="AE59" s="91">
        <f>'1'!AE59+'2'!AE59+'3'!AE59</f>
        <v>0</v>
      </c>
      <c r="AF59" s="91">
        <f>'1'!AF59+'2'!AF59+'3'!AF59</f>
        <v>0</v>
      </c>
      <c r="AG59" s="91">
        <f>'1'!AG59+'2'!AG59+'3'!AG59</f>
        <v>0</v>
      </c>
      <c r="AH59" s="91">
        <f>'1'!AH59+'2'!AH59+'3'!AH59</f>
        <v>0</v>
      </c>
      <c r="AI59" s="91">
        <f>'1'!AI59+'2'!AI59+'3'!AI59</f>
        <v>0</v>
      </c>
      <c r="AJ59" s="91">
        <f>'1'!AJ59+'2'!AJ59+'3'!AJ59</f>
        <v>0</v>
      </c>
      <c r="AK59" s="91">
        <f>'1'!AK59+'2'!AK59+'3'!AK59</f>
        <v>0</v>
      </c>
      <c r="AL59" s="91">
        <f>'1'!AL59+'2'!AL59+'3'!AL59</f>
        <v>0</v>
      </c>
      <c r="AM59" s="91">
        <f>'1'!AM59+'2'!AM59+'3'!AM59</f>
        <v>0</v>
      </c>
      <c r="AN59" s="91">
        <f>'1'!AN59+'2'!AN59+'3'!AN59</f>
        <v>0</v>
      </c>
      <c r="AO59" s="91">
        <f>'1'!AO59+'2'!AO59+'3'!AO59</f>
        <v>0</v>
      </c>
      <c r="AP59" s="91">
        <f>'1'!AP59+'2'!AP59+'3'!AP59</f>
        <v>0</v>
      </c>
      <c r="AQ59" s="16">
        <f t="shared" si="34"/>
        <v>0</v>
      </c>
      <c r="AR59" s="17">
        <f t="shared" si="42"/>
        <v>0</v>
      </c>
      <c r="AS59" s="91">
        <f t="shared" si="46"/>
        <v>0</v>
      </c>
      <c r="AT59" s="91">
        <f>'1'!AT59+'2'!AT59+'3'!AT59</f>
        <v>0</v>
      </c>
      <c r="AU59" s="92">
        <f t="shared" si="47"/>
        <v>0</v>
      </c>
      <c r="AV59" s="92">
        <f t="shared" si="36"/>
        <v>0</v>
      </c>
      <c r="AW59" s="92">
        <f t="shared" si="48"/>
        <v>0</v>
      </c>
      <c r="AX59" s="92">
        <f t="shared" si="49"/>
        <v>0</v>
      </c>
      <c r="AY59" s="92">
        <f t="shared" si="165"/>
        <v>0</v>
      </c>
      <c r="AZ59" s="92">
        <f t="shared" si="165"/>
        <v>0</v>
      </c>
      <c r="BA59" s="95">
        <f t="shared" si="50"/>
        <v>0</v>
      </c>
      <c r="BB59" s="139"/>
      <c r="BC59"/>
    </row>
    <row r="60" spans="1:55" ht="15" customHeight="1" x14ac:dyDescent="0.25">
      <c r="A60" s="73" t="s">
        <v>151</v>
      </c>
      <c r="B60" s="148" t="s">
        <v>150</v>
      </c>
      <c r="C60" s="112">
        <v>32</v>
      </c>
      <c r="D60" s="121">
        <f t="shared" ref="D60:D61" si="166">AT60*AU60*AW60</f>
        <v>0</v>
      </c>
      <c r="E60" s="16">
        <f t="shared" ref="E60:E61" si="167">ROUND(AT60*AV60*AX60,4)</f>
        <v>0</v>
      </c>
      <c r="F60" s="91">
        <f>'1'!F60+'2'!F60+'3'!F60</f>
        <v>0</v>
      </c>
      <c r="G60" s="91">
        <f>'1'!G60+'2'!G60+'3'!G60</f>
        <v>0</v>
      </c>
      <c r="H60" s="135">
        <f>'1'!H60+'2'!H60+'3'!H60</f>
        <v>0</v>
      </c>
      <c r="I60" s="135">
        <f>'1'!I60+'2'!I60+'3'!I60</f>
        <v>0</v>
      </c>
      <c r="J60" s="7" t="s">
        <v>55</v>
      </c>
      <c r="K60" s="133">
        <f>'1'!K60+'2'!K60+'3'!K60</f>
        <v>0</v>
      </c>
      <c r="L60" s="133">
        <f>'1'!L60+'2'!L60+'3'!L60</f>
        <v>0</v>
      </c>
      <c r="M60" s="91">
        <f>'1'!M60+'2'!M60+'3'!M60</f>
        <v>0</v>
      </c>
      <c r="N60" s="91">
        <f>'1'!N60+'2'!N60+'3'!N60</f>
        <v>0</v>
      </c>
      <c r="O60" s="91">
        <f>'1'!O60+'2'!O60+'3'!O60</f>
        <v>0</v>
      </c>
      <c r="P60" s="91">
        <f>'1'!P60+'2'!P60+'3'!P60</f>
        <v>0</v>
      </c>
      <c r="Q60" s="91">
        <f>'1'!Q60+'2'!Q60+'3'!Q60</f>
        <v>0</v>
      </c>
      <c r="R60" s="91">
        <f>'1'!R60+'2'!R60+'3'!R60</f>
        <v>0</v>
      </c>
      <c r="S60" s="91">
        <f>'1'!S60+'2'!S60+'3'!S60</f>
        <v>0</v>
      </c>
      <c r="T60" s="91">
        <f>'1'!T60+'2'!T60+'3'!T60</f>
        <v>0</v>
      </c>
      <c r="U60" s="91">
        <f>'1'!U60+'2'!U60+'3'!U60</f>
        <v>0</v>
      </c>
      <c r="V60" s="91">
        <f>'1'!V60+'2'!V60+'3'!V60</f>
        <v>0</v>
      </c>
      <c r="W60" s="91">
        <f>'1'!W60+'2'!W60+'3'!W60</f>
        <v>0</v>
      </c>
      <c r="X60" s="91">
        <f>'1'!X60+'2'!X60+'3'!X60</f>
        <v>0</v>
      </c>
      <c r="Y60" s="91">
        <f>'1'!Y60+'2'!Y60+'3'!Y60</f>
        <v>0</v>
      </c>
      <c r="Z60" s="91">
        <f>'1'!Z60+'2'!Z60+'3'!Z60</f>
        <v>0</v>
      </c>
      <c r="AA60" s="91">
        <f>'1'!AA60+'2'!AA60+'3'!AA60</f>
        <v>0</v>
      </c>
      <c r="AB60" s="91">
        <f>'1'!AB60+'2'!AB60+'3'!AB60</f>
        <v>0</v>
      </c>
      <c r="AC60" s="91">
        <f>'1'!AC60+'2'!AC60+'3'!AC60</f>
        <v>0</v>
      </c>
      <c r="AD60" s="91">
        <f>'1'!AD60+'2'!AD60+'3'!AD60</f>
        <v>0</v>
      </c>
      <c r="AE60" s="91">
        <f>'1'!AE60+'2'!AE60+'3'!AE60</f>
        <v>0</v>
      </c>
      <c r="AF60" s="91">
        <f>'1'!AF60+'2'!AF60+'3'!AF60</f>
        <v>0</v>
      </c>
      <c r="AG60" s="91">
        <f>'1'!AG60+'2'!AG60+'3'!AG60</f>
        <v>0</v>
      </c>
      <c r="AH60" s="91">
        <f>'1'!AH60+'2'!AH60+'3'!AH60</f>
        <v>0</v>
      </c>
      <c r="AI60" s="91">
        <f>'1'!AI60+'2'!AI60+'3'!AI60</f>
        <v>0</v>
      </c>
      <c r="AJ60" s="91">
        <f>'1'!AJ60+'2'!AJ60+'3'!AJ60</f>
        <v>0</v>
      </c>
      <c r="AK60" s="91">
        <f>'1'!AK60+'2'!AK60+'3'!AK60</f>
        <v>0</v>
      </c>
      <c r="AL60" s="91">
        <f>'1'!AL60+'2'!AL60+'3'!AL60</f>
        <v>0</v>
      </c>
      <c r="AM60" s="91">
        <f>'1'!AM60+'2'!AM60+'3'!AM60</f>
        <v>0</v>
      </c>
      <c r="AN60" s="91">
        <f>'1'!AN60+'2'!AN60+'3'!AN60</f>
        <v>0</v>
      </c>
      <c r="AO60" s="91">
        <f>'1'!AO60+'2'!AO60+'3'!AO60</f>
        <v>0</v>
      </c>
      <c r="AP60" s="91">
        <f>'1'!AP60+'2'!AP60+'3'!AP60</f>
        <v>0</v>
      </c>
      <c r="AQ60" s="16">
        <f t="shared" ref="AQ60:AQ61" si="168">M60+O60+S60+U60+W60+AA60+Q60+Y60</f>
        <v>0</v>
      </c>
      <c r="AR60" s="17">
        <f t="shared" ref="AR60:AR61" si="169">N60+P60+R60+AC60+AD60+AE60+AF60+AG60+AH60+AI60+AJ60+AK60+AL60+AM60+AN60+AO60+AP60+T60+V60+AB60</f>
        <v>0</v>
      </c>
      <c r="AS60" s="91">
        <f t="shared" ref="AS60:AS61" si="170">AT60</f>
        <v>0</v>
      </c>
      <c r="AT60" s="91">
        <f>'1'!AT60+'2'!AT60+'3'!AT60</f>
        <v>0</v>
      </c>
      <c r="AU60" s="92">
        <f t="shared" ref="AU60:AU61" si="171">IF(AT60-AQ60=0,0,(AT60-M60-O60-Q60)/AT60)</f>
        <v>0</v>
      </c>
      <c r="AV60" s="92">
        <f t="shared" ref="AV60:AV61" si="172">IF(AT60=0,0,(AT60-N60-P60-R60-AC60-AD60-AE60-AF60-AG60-AH60-AI60-AJ60-AL60)/AT60)</f>
        <v>0</v>
      </c>
      <c r="AW60" s="92">
        <f t="shared" ref="AW60:AW61" si="173">IF(OR(AT60=0,AU60=0),0,((AT60*AU60)-S60-U60-W60-AA60-Y60)/(AT60*AU60))</f>
        <v>0</v>
      </c>
      <c r="AX60" s="92">
        <f t="shared" ref="AX60:AX61" si="174">IF(OR(AT60=0,AV60=0),0,((AT60*AV60)-AK60-AM60-AN60-AO60-AP60-T60-V60-X60-Z60-AB60)/(AT60*AV60))</f>
        <v>0</v>
      </c>
      <c r="AY60" s="92">
        <f t="shared" ref="AY60:AY61" si="175">IF(D60=0,0,K60/D60/24)</f>
        <v>0</v>
      </c>
      <c r="AZ60" s="92">
        <f t="shared" ref="AZ60:AZ61" si="176">IF(E60=0,0,L60/E60/24)</f>
        <v>0</v>
      </c>
      <c r="BA60" s="95">
        <f t="shared" ref="BA60:BA61" si="177">ROUND(AT60-E60-AR60,4)</f>
        <v>0</v>
      </c>
      <c r="BB60" s="139"/>
      <c r="BC60"/>
    </row>
    <row r="61" spans="1:55" ht="15" customHeight="1" thickBot="1" x14ac:dyDescent="0.3">
      <c r="A61" s="143" t="s">
        <v>152</v>
      </c>
      <c r="B61" s="125" t="s">
        <v>154</v>
      </c>
      <c r="C61" s="144">
        <v>24</v>
      </c>
      <c r="D61" s="122">
        <f t="shared" si="166"/>
        <v>0</v>
      </c>
      <c r="E61" s="63">
        <f t="shared" si="167"/>
        <v>0</v>
      </c>
      <c r="F61" s="64">
        <f>'1'!F61+'2'!F61+'3'!F61</f>
        <v>0</v>
      </c>
      <c r="G61" s="64">
        <f>'1'!G61+'2'!G61+'3'!G61</f>
        <v>0</v>
      </c>
      <c r="H61" s="136">
        <f>'1'!H61+'2'!H61+'3'!H61</f>
        <v>0</v>
      </c>
      <c r="I61" s="136">
        <f>'1'!I61+'2'!I61+'3'!I61</f>
        <v>0</v>
      </c>
      <c r="J61" s="66" t="s">
        <v>55</v>
      </c>
      <c r="K61" s="134">
        <f>'1'!K61+'2'!K61+'3'!K61</f>
        <v>0</v>
      </c>
      <c r="L61" s="134">
        <f>'1'!L61+'2'!L61+'3'!L61</f>
        <v>0</v>
      </c>
      <c r="M61" s="64">
        <f>'1'!M61+'2'!M61+'3'!M61</f>
        <v>0</v>
      </c>
      <c r="N61" s="64">
        <f>'1'!N61+'2'!N61+'3'!N61</f>
        <v>0</v>
      </c>
      <c r="O61" s="64">
        <f>'1'!O61+'2'!O61+'3'!O61</f>
        <v>0</v>
      </c>
      <c r="P61" s="64">
        <f>'1'!P61+'2'!P61+'3'!P61</f>
        <v>0</v>
      </c>
      <c r="Q61" s="64">
        <f>'1'!Q61+'2'!Q61+'3'!Q61</f>
        <v>0</v>
      </c>
      <c r="R61" s="64">
        <f>'1'!R61+'2'!R61+'3'!R61</f>
        <v>0</v>
      </c>
      <c r="S61" s="64">
        <f>'1'!S61+'2'!S61+'3'!S61</f>
        <v>0</v>
      </c>
      <c r="T61" s="64">
        <f>'1'!T61+'2'!T61+'3'!T61</f>
        <v>0</v>
      </c>
      <c r="U61" s="64">
        <f>'1'!U61+'2'!U61+'3'!U61</f>
        <v>0</v>
      </c>
      <c r="V61" s="64">
        <f>'1'!V61+'2'!V61+'3'!V61</f>
        <v>0</v>
      </c>
      <c r="W61" s="64">
        <f>'1'!W61+'2'!W61+'3'!W61</f>
        <v>0</v>
      </c>
      <c r="X61" s="64">
        <f>'1'!X61+'2'!X61+'3'!X61</f>
        <v>0</v>
      </c>
      <c r="Y61" s="64">
        <f>'1'!Y61+'2'!Y61+'3'!Y61</f>
        <v>0</v>
      </c>
      <c r="Z61" s="64">
        <f>'1'!Z61+'2'!Z61+'3'!Z61</f>
        <v>0</v>
      </c>
      <c r="AA61" s="64">
        <f>'1'!AA61+'2'!AA61+'3'!AA61</f>
        <v>0</v>
      </c>
      <c r="AB61" s="64">
        <f>'1'!AB61+'2'!AB61+'3'!AB61</f>
        <v>0</v>
      </c>
      <c r="AC61" s="64">
        <f>'1'!AC61+'2'!AC61+'3'!AC61</f>
        <v>0</v>
      </c>
      <c r="AD61" s="64">
        <f>'1'!AD61+'2'!AD61+'3'!AD61</f>
        <v>0</v>
      </c>
      <c r="AE61" s="64">
        <f>'1'!AE61+'2'!AE61+'3'!AE61</f>
        <v>0</v>
      </c>
      <c r="AF61" s="64">
        <f>'1'!AF61+'2'!AF61+'3'!AF61</f>
        <v>0</v>
      </c>
      <c r="AG61" s="64">
        <f>'1'!AG61+'2'!AG61+'3'!AG61</f>
        <v>0</v>
      </c>
      <c r="AH61" s="64">
        <f>'1'!AH61+'2'!AH61+'3'!AH61</f>
        <v>0</v>
      </c>
      <c r="AI61" s="64">
        <f>'1'!AI61+'2'!AI61+'3'!AI61</f>
        <v>0</v>
      </c>
      <c r="AJ61" s="64">
        <f>'1'!AJ61+'2'!AJ61+'3'!AJ61</f>
        <v>0</v>
      </c>
      <c r="AK61" s="64">
        <f>'1'!AK61+'2'!AK61+'3'!AK61</f>
        <v>0</v>
      </c>
      <c r="AL61" s="64">
        <f>'1'!AL61+'2'!AL61+'3'!AL61</f>
        <v>0</v>
      </c>
      <c r="AM61" s="64">
        <f>'1'!AM61+'2'!AM61+'3'!AM61</f>
        <v>0</v>
      </c>
      <c r="AN61" s="64">
        <f>'1'!AN61+'2'!AN61+'3'!AN61</f>
        <v>0</v>
      </c>
      <c r="AO61" s="64">
        <f>'1'!AO61+'2'!AO61+'3'!AO61</f>
        <v>0</v>
      </c>
      <c r="AP61" s="64">
        <f>'1'!AP61+'2'!AP61+'3'!AP61</f>
        <v>0</v>
      </c>
      <c r="AQ61" s="63">
        <f t="shared" si="168"/>
        <v>0</v>
      </c>
      <c r="AR61" s="149">
        <f t="shared" si="169"/>
        <v>0</v>
      </c>
      <c r="AS61" s="64">
        <f t="shared" si="170"/>
        <v>0</v>
      </c>
      <c r="AT61" s="64">
        <f>'1'!AT61+'2'!AT61+'3'!AT61</f>
        <v>0</v>
      </c>
      <c r="AU61" s="65">
        <f t="shared" si="171"/>
        <v>0</v>
      </c>
      <c r="AV61" s="65">
        <f t="shared" si="172"/>
        <v>0</v>
      </c>
      <c r="AW61" s="65">
        <f t="shared" si="173"/>
        <v>0</v>
      </c>
      <c r="AX61" s="65">
        <f t="shared" si="174"/>
        <v>0</v>
      </c>
      <c r="AY61" s="65">
        <f t="shared" si="175"/>
        <v>0</v>
      </c>
      <c r="AZ61" s="65">
        <f t="shared" si="176"/>
        <v>0</v>
      </c>
      <c r="BA61" s="151">
        <f t="shared" si="177"/>
        <v>0</v>
      </c>
      <c r="BB61" s="142"/>
      <c r="BC61"/>
    </row>
    <row r="62" spans="1:55" x14ac:dyDescent="0.25">
      <c r="C62" s="2"/>
      <c r="D62" s="3"/>
      <c r="F62" s="2"/>
      <c r="G62" s="2"/>
      <c r="H62" s="1"/>
      <c r="I62" s="1"/>
      <c r="M62" s="5"/>
      <c r="O62" s="4"/>
      <c r="P62" s="5"/>
      <c r="Q62" s="5"/>
      <c r="U62" s="2"/>
      <c r="V62" s="2"/>
      <c r="W62" s="2"/>
      <c r="X62" s="2"/>
      <c r="Y62" s="1"/>
      <c r="Z62" s="1"/>
      <c r="AA62" s="1"/>
      <c r="AB62" s="1"/>
    </row>
    <row r="63" spans="1:55" x14ac:dyDescent="0.25">
      <c r="A63" s="10"/>
      <c r="B63" s="10"/>
      <c r="C63" s="10"/>
      <c r="D63" s="3"/>
      <c r="F63" s="2"/>
      <c r="G63" s="2"/>
      <c r="H63" s="1"/>
      <c r="I63" s="1"/>
      <c r="M63" s="5"/>
      <c r="O63" s="4"/>
      <c r="P63" s="5"/>
      <c r="Q63" s="5"/>
      <c r="U63" s="2"/>
      <c r="V63" s="2"/>
      <c r="W63" s="2"/>
      <c r="X63" s="2"/>
      <c r="Y63" s="1"/>
      <c r="Z63" s="1"/>
      <c r="AA63" s="1"/>
      <c r="AB63" s="1"/>
    </row>
    <row r="64" spans="1:55" x14ac:dyDescent="0.2">
      <c r="A64" s="6" t="s">
        <v>126</v>
      </c>
      <c r="B64" s="6"/>
      <c r="C64" s="6"/>
      <c r="D64" s="6"/>
      <c r="F64" s="2"/>
      <c r="G64" s="2"/>
      <c r="H64" s="1"/>
      <c r="I64" s="1"/>
      <c r="M64" s="5"/>
      <c r="O64" s="4"/>
      <c r="P64" s="5"/>
      <c r="Q64" s="5"/>
      <c r="U64" s="2"/>
      <c r="V64" s="2"/>
      <c r="W64" s="2"/>
      <c r="X64" s="2"/>
      <c r="Y64" s="1"/>
      <c r="Z64" s="1"/>
      <c r="AA64" s="1"/>
      <c r="AB64" s="1"/>
    </row>
    <row r="65" spans="1:28" x14ac:dyDescent="0.2">
      <c r="A65" s="6"/>
      <c r="B65" s="6"/>
      <c r="C65" s="6"/>
      <c r="D65" s="6"/>
      <c r="F65" s="2"/>
      <c r="G65" s="2"/>
      <c r="H65" s="1"/>
      <c r="I65" s="1"/>
      <c r="M65" s="5"/>
      <c r="O65" s="4"/>
      <c r="P65" s="5"/>
      <c r="Q65" s="5"/>
      <c r="U65" s="2"/>
      <c r="V65" s="2"/>
      <c r="W65" s="2"/>
      <c r="X65" s="2"/>
      <c r="Y65" s="1"/>
      <c r="Z65" s="1"/>
      <c r="AA65" s="1"/>
      <c r="AB65" s="1"/>
    </row>
    <row r="66" spans="1:28" x14ac:dyDescent="0.2">
      <c r="A66" s="6" t="s">
        <v>128</v>
      </c>
      <c r="B66" s="6"/>
      <c r="C66" s="6"/>
      <c r="D66" s="6"/>
      <c r="F66" s="2"/>
      <c r="G66" s="2"/>
      <c r="H66" s="1"/>
      <c r="I66" s="1"/>
      <c r="M66" s="5"/>
      <c r="O66" s="4"/>
      <c r="P66" s="5"/>
      <c r="Q66" s="5"/>
      <c r="U66" s="2"/>
      <c r="V66" s="2"/>
      <c r="W66" s="2"/>
      <c r="X66" s="2"/>
      <c r="Y66" s="1"/>
      <c r="Z66" s="1"/>
      <c r="AA66" s="1"/>
      <c r="AB66" s="1"/>
    </row>
    <row r="67" spans="1:28" x14ac:dyDescent="0.2">
      <c r="A67" s="6"/>
      <c r="B67" s="6"/>
      <c r="C67" s="6"/>
      <c r="D67" s="6"/>
      <c r="F67" s="2"/>
      <c r="G67" s="2"/>
      <c r="H67" s="1"/>
      <c r="I67" s="1"/>
      <c r="M67" s="5"/>
      <c r="O67" s="4"/>
      <c r="P67" s="5"/>
      <c r="Q67" s="5"/>
      <c r="U67" s="2"/>
      <c r="V67" s="2"/>
      <c r="W67" s="2"/>
      <c r="X67" s="2"/>
      <c r="Y67" s="1"/>
      <c r="Z67" s="1"/>
      <c r="AA67" s="1"/>
      <c r="AB67" s="1"/>
    </row>
    <row r="68" spans="1:28" x14ac:dyDescent="0.2">
      <c r="A68" s="6" t="s">
        <v>127</v>
      </c>
      <c r="B68" s="6"/>
      <c r="C68" s="6"/>
      <c r="D68" s="6"/>
      <c r="F68" s="2"/>
      <c r="G68" s="2"/>
      <c r="H68" s="1"/>
      <c r="I68" s="1"/>
      <c r="M68" s="5"/>
      <c r="O68" s="4"/>
      <c r="P68" s="5"/>
      <c r="Q68" s="5"/>
      <c r="U68" s="2"/>
      <c r="V68" s="2"/>
      <c r="W68" s="2"/>
      <c r="X68" s="2"/>
      <c r="Y68" s="1"/>
      <c r="Z68" s="1"/>
      <c r="AA68" s="1"/>
      <c r="AB68" s="1"/>
    </row>
    <row r="69" spans="1:28" x14ac:dyDescent="0.25">
      <c r="A69" s="10"/>
      <c r="B69" s="10"/>
    </row>
    <row r="72" spans="1:28" x14ac:dyDescent="0.25">
      <c r="A72" s="10"/>
      <c r="B72" s="10"/>
    </row>
    <row r="73" spans="1:28" x14ac:dyDescent="0.25">
      <c r="A73" s="10"/>
      <c r="B73" s="10"/>
    </row>
    <row r="74" spans="1:28" x14ac:dyDescent="0.25">
      <c r="A74" s="10"/>
      <c r="B74" s="10"/>
    </row>
    <row r="75" spans="1:28" x14ac:dyDescent="0.25">
      <c r="A75" s="10"/>
      <c r="B75" s="10"/>
    </row>
    <row r="76" spans="1:28" x14ac:dyDescent="0.25">
      <c r="A76" s="10"/>
      <c r="B76" s="10"/>
    </row>
    <row r="77" spans="1:28" x14ac:dyDescent="0.25">
      <c r="A77" s="10"/>
      <c r="B77" s="10"/>
    </row>
    <row r="78" spans="1:28" x14ac:dyDescent="0.25">
      <c r="A78" s="10"/>
      <c r="B78" s="10"/>
    </row>
    <row r="79" spans="1:28" x14ac:dyDescent="0.25">
      <c r="A79" s="10"/>
      <c r="B79" s="10"/>
    </row>
  </sheetData>
  <mergeCells count="32">
    <mergeCell ref="A7:BB7"/>
    <mergeCell ref="A9:BB9"/>
    <mergeCell ref="C12:C15"/>
    <mergeCell ref="D12:E14"/>
    <mergeCell ref="H12:I14"/>
    <mergeCell ref="J12:J15"/>
    <mergeCell ref="K12:L14"/>
    <mergeCell ref="M12:AP12"/>
    <mergeCell ref="AQ12:AR14"/>
    <mergeCell ref="AS12:AT14"/>
    <mergeCell ref="AU12:AV14"/>
    <mergeCell ref="AW12:AX14"/>
    <mergeCell ref="AY12:AZ14"/>
    <mergeCell ref="BA12:BA15"/>
    <mergeCell ref="BB12:BB15"/>
    <mergeCell ref="M13:AB13"/>
    <mergeCell ref="AC13:AP13"/>
    <mergeCell ref="AP14:AP15"/>
    <mergeCell ref="A12:A15"/>
    <mergeCell ref="B12:B15"/>
    <mergeCell ref="F12:G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J14"/>
    <mergeCell ref="AK14:AN14"/>
    <mergeCell ref="AO14:AO15"/>
  </mergeCells>
  <conditionalFormatting sqref="AQ18:AQ23 AQ25:AQ41 AQ43:AQ45 AQ47:AQ51 AQ53:AQ54 AQ56:AQ61">
    <cfRule type="expression" dxfId="55" priority="18" stopIfTrue="1">
      <formula>100*(1-AQ18/AP18)&gt;5</formula>
    </cfRule>
  </conditionalFormatting>
  <conditionalFormatting sqref="AS18 AS20:AS22 AS62">
    <cfRule type="expression" dxfId="54" priority="17" stopIfTrue="1">
      <formula>100*(1-AS18/AR18)&gt;5</formula>
    </cfRule>
  </conditionalFormatting>
  <conditionalFormatting sqref="AS19">
    <cfRule type="expression" dxfId="53" priority="10" stopIfTrue="1">
      <formula>100*(1-AS19/AR19)&gt;5</formula>
    </cfRule>
  </conditionalFormatting>
  <conditionalFormatting sqref="AQ24:AR24">
    <cfRule type="expression" dxfId="52" priority="5" stopIfTrue="1">
      <formula>100*(1-AQ24/AP24)&gt;5</formula>
    </cfRule>
  </conditionalFormatting>
  <conditionalFormatting sqref="AQ42:AR42">
    <cfRule type="expression" dxfId="51" priority="4" stopIfTrue="1">
      <formula>100*(1-AQ42/AP42)&gt;5</formula>
    </cfRule>
  </conditionalFormatting>
  <conditionalFormatting sqref="AQ46:AR46">
    <cfRule type="expression" dxfId="50" priority="3" stopIfTrue="1">
      <formula>100*(1-AQ46/AP46)&gt;5</formula>
    </cfRule>
  </conditionalFormatting>
  <conditionalFormatting sqref="AQ52:AR52">
    <cfRule type="expression" dxfId="49" priority="2" stopIfTrue="1">
      <formula>100*(1-AQ52/AP52)&gt;5</formula>
    </cfRule>
  </conditionalFormatting>
  <conditionalFormatting sqref="AQ55:AR55">
    <cfRule type="expression" dxfId="48" priority="1" stopIfTrue="1">
      <formula>100*(1-AQ55/AP55)&gt;5</formula>
    </cfRule>
  </conditionalFormatting>
  <pageMargins left="0.7" right="0.7" top="0.75" bottom="0.75" header="0.3" footer="0.3"/>
  <pageSetup paperSize="9" orientation="portrait" r:id="rId1"/>
  <ignoredErrors>
    <ignoredError sqref="AY24:AZ24 AY42:AZ42 AY46:AZ46 D24:E24 D42:E42 D46:E46 AY52:AZ55 D48:E55 D47" formula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9"/>
  <sheetViews>
    <sheetView showZeros="0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9" sqref="A9:BB9"/>
    </sheetView>
  </sheetViews>
  <sheetFormatPr defaultRowHeight="14.25" x14ac:dyDescent="0.25"/>
  <cols>
    <col min="1" max="1" width="30.7109375" style="2" customWidth="1"/>
    <col min="2" max="2" width="10.7109375" style="2" customWidth="1"/>
    <col min="3" max="3" width="9.7109375" style="3" customWidth="1"/>
    <col min="4" max="5" width="9.7109375" style="2" customWidth="1"/>
    <col min="6" max="7" width="9.7109375" style="1" customWidth="1"/>
    <col min="8" max="9" width="9.7109375" style="5" customWidth="1"/>
    <col min="10" max="10" width="8.7109375" style="5" customWidth="1"/>
    <col min="11" max="12" width="14.7109375" style="5" customWidth="1"/>
    <col min="13" max="13" width="9.7109375" style="4" customWidth="1"/>
    <col min="14" max="15" width="9.7109375" style="5" customWidth="1"/>
    <col min="16" max="20" width="9.7109375" style="2" customWidth="1"/>
    <col min="21" max="24" width="9.7109375" style="1" customWidth="1"/>
    <col min="25" max="54" width="9.7109375" style="2" customWidth="1"/>
    <col min="55" max="16384" width="9.140625" style="2"/>
  </cols>
  <sheetData>
    <row r="1" spans="1:55" ht="12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/>
      <c r="AJ1"/>
      <c r="AK1"/>
      <c r="AL1"/>
      <c r="AM1"/>
    </row>
    <row r="2" spans="1:55" ht="12.75" customHeight="1" x14ac:dyDescent="0.25">
      <c r="A2" s="11" t="s">
        <v>134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X2" s="11" t="s">
        <v>56</v>
      </c>
      <c r="AY2"/>
      <c r="AZ2"/>
      <c r="BA2"/>
      <c r="BB2"/>
      <c r="BC2"/>
    </row>
    <row r="3" spans="1:55" s="6" customFormat="1" ht="12.75" customHeight="1" x14ac:dyDescent="0.25">
      <c r="A3" s="11" t="s">
        <v>57</v>
      </c>
      <c r="AX3" s="11" t="s">
        <v>65</v>
      </c>
      <c r="AY3"/>
      <c r="AZ3"/>
      <c r="BA3"/>
      <c r="BB3"/>
      <c r="BC3"/>
    </row>
    <row r="4" spans="1:55" s="6" customFormat="1" ht="12.75" customHeight="1" x14ac:dyDescent="0.25">
      <c r="AX4" s="24" t="s">
        <v>123</v>
      </c>
      <c r="AY4"/>
      <c r="AZ4"/>
      <c r="BA4"/>
      <c r="BB4"/>
      <c r="BC4"/>
    </row>
    <row r="5" spans="1:55" s="6" customFormat="1" ht="12.75" customHeight="1" x14ac:dyDescent="0.25">
      <c r="AY5"/>
      <c r="AZ5"/>
      <c r="BA5"/>
      <c r="BB5"/>
      <c r="BC5"/>
    </row>
    <row r="6" spans="1:55" s="6" customFormat="1" ht="15" x14ac:dyDescent="0.25">
      <c r="AX6" s="25" t="s">
        <v>85</v>
      </c>
      <c r="AY6"/>
      <c r="AZ6"/>
      <c r="BA6"/>
      <c r="BB6"/>
      <c r="BC6"/>
    </row>
    <row r="7" spans="1:55" s="6" customFormat="1" ht="15.75" customHeight="1" x14ac:dyDescent="0.2">
      <c r="A7" s="184" t="s">
        <v>58</v>
      </c>
      <c r="B7" s="184"/>
      <c r="C7" s="184"/>
      <c r="D7" s="184"/>
      <c r="E7" s="184"/>
      <c r="F7" s="184"/>
      <c r="G7" s="184"/>
      <c r="H7" s="184"/>
      <c r="I7" s="184"/>
      <c r="J7" s="184"/>
      <c r="K7" s="184"/>
      <c r="L7" s="184"/>
      <c r="M7" s="184"/>
      <c r="N7" s="184"/>
      <c r="O7" s="184"/>
      <c r="P7" s="184"/>
      <c r="Q7" s="184"/>
      <c r="R7" s="184"/>
      <c r="S7" s="184"/>
      <c r="T7" s="184"/>
      <c r="U7" s="184"/>
      <c r="V7" s="184"/>
      <c r="W7" s="184"/>
      <c r="X7" s="184"/>
      <c r="Y7" s="184"/>
      <c r="Z7" s="184"/>
      <c r="AA7" s="184"/>
      <c r="AB7" s="184"/>
      <c r="AC7" s="184"/>
      <c r="AD7" s="184"/>
      <c r="AE7" s="184"/>
      <c r="AF7" s="184"/>
      <c r="AG7" s="184"/>
      <c r="AH7" s="184"/>
      <c r="AI7" s="184"/>
      <c r="AJ7" s="184"/>
      <c r="AK7" s="184"/>
      <c r="AL7" s="184"/>
      <c r="AM7" s="184"/>
      <c r="AN7" s="184"/>
      <c r="AO7" s="184"/>
      <c r="AP7" s="184"/>
      <c r="AQ7" s="184"/>
      <c r="AR7" s="184"/>
      <c r="AS7" s="184"/>
      <c r="AT7" s="184"/>
      <c r="AU7" s="184"/>
      <c r="AV7" s="184"/>
      <c r="AW7" s="184"/>
      <c r="AX7" s="184"/>
      <c r="AY7" s="184"/>
      <c r="AZ7" s="184"/>
      <c r="BA7" s="184"/>
      <c r="BB7" s="184"/>
      <c r="BC7" s="109"/>
    </row>
    <row r="8" spans="1:55" s="6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55" ht="15.75" x14ac:dyDescent="0.25">
      <c r="A9" s="185"/>
      <c r="B9" s="185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  <c r="Z9" s="185"/>
      <c r="AA9" s="185"/>
      <c r="AB9" s="185"/>
      <c r="AC9" s="185"/>
      <c r="AD9" s="185"/>
      <c r="AE9" s="185"/>
      <c r="AF9" s="185"/>
      <c r="AG9" s="185"/>
      <c r="AH9" s="185"/>
      <c r="AI9" s="185"/>
      <c r="AJ9" s="185"/>
      <c r="AK9" s="185"/>
      <c r="AL9" s="185"/>
      <c r="AM9" s="185"/>
      <c r="AN9" s="185"/>
      <c r="AO9" s="185"/>
      <c r="AP9" s="185"/>
      <c r="AQ9" s="185"/>
      <c r="AR9" s="185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08"/>
    </row>
    <row r="10" spans="1:55" s="6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55" ht="12.7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3"/>
      <c r="L11" s="2"/>
      <c r="M11" s="2"/>
      <c r="N11" s="2"/>
      <c r="O11" s="2"/>
      <c r="U11" s="2"/>
      <c r="V11" s="2"/>
      <c r="W11" s="2"/>
      <c r="X11" s="2"/>
    </row>
    <row r="12" spans="1:55" ht="14.25" customHeight="1" x14ac:dyDescent="0.25">
      <c r="A12" s="190" t="s">
        <v>2</v>
      </c>
      <c r="B12" s="163" t="s">
        <v>129</v>
      </c>
      <c r="C12" s="163" t="s">
        <v>3</v>
      </c>
      <c r="D12" s="177" t="s">
        <v>60</v>
      </c>
      <c r="E12" s="194"/>
      <c r="F12" s="154" t="s">
        <v>131</v>
      </c>
      <c r="G12" s="155"/>
      <c r="H12" s="194" t="s">
        <v>1</v>
      </c>
      <c r="I12" s="194"/>
      <c r="J12" s="186" t="s">
        <v>135</v>
      </c>
      <c r="K12" s="154" t="s">
        <v>4</v>
      </c>
      <c r="L12" s="155"/>
      <c r="M12" s="154" t="s">
        <v>62</v>
      </c>
      <c r="N12" s="195"/>
      <c r="O12" s="195"/>
      <c r="P12" s="195"/>
      <c r="Q12" s="195"/>
      <c r="R12" s="195"/>
      <c r="S12" s="195"/>
      <c r="T12" s="195"/>
      <c r="U12" s="195"/>
      <c r="V12" s="195"/>
      <c r="W12" s="195"/>
      <c r="X12" s="195"/>
      <c r="Y12" s="195"/>
      <c r="Z12" s="195"/>
      <c r="AA12" s="195"/>
      <c r="AB12" s="195"/>
      <c r="AC12" s="195"/>
      <c r="AD12" s="195"/>
      <c r="AE12" s="195"/>
      <c r="AF12" s="195"/>
      <c r="AG12" s="195"/>
      <c r="AH12" s="195"/>
      <c r="AI12" s="195"/>
      <c r="AJ12" s="195"/>
      <c r="AK12" s="195"/>
      <c r="AL12" s="195"/>
      <c r="AM12" s="195"/>
      <c r="AN12" s="195"/>
      <c r="AO12" s="195"/>
      <c r="AP12" s="155"/>
      <c r="AQ12" s="195" t="s">
        <v>69</v>
      </c>
      <c r="AR12" s="155"/>
      <c r="AS12" s="154" t="s">
        <v>59</v>
      </c>
      <c r="AT12" s="155"/>
      <c r="AU12" s="154" t="s">
        <v>70</v>
      </c>
      <c r="AV12" s="155"/>
      <c r="AW12" s="154" t="s">
        <v>71</v>
      </c>
      <c r="AX12" s="155"/>
      <c r="AY12" s="154" t="s">
        <v>72</v>
      </c>
      <c r="AZ12" s="155"/>
      <c r="BA12" s="154" t="s">
        <v>73</v>
      </c>
      <c r="BB12" s="198" t="s">
        <v>133</v>
      </c>
      <c r="BC12"/>
    </row>
    <row r="13" spans="1:55" ht="14.25" customHeight="1" x14ac:dyDescent="0.25">
      <c r="A13" s="191"/>
      <c r="B13" s="164"/>
      <c r="C13" s="164"/>
      <c r="D13" s="153"/>
      <c r="E13" s="189"/>
      <c r="F13" s="156"/>
      <c r="G13" s="157"/>
      <c r="H13" s="189"/>
      <c r="I13" s="189"/>
      <c r="J13" s="187"/>
      <c r="K13" s="156"/>
      <c r="L13" s="157"/>
      <c r="M13" s="152" t="s">
        <v>5</v>
      </c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  <c r="AA13" s="178"/>
      <c r="AB13" s="153"/>
      <c r="AC13" s="189" t="s">
        <v>6</v>
      </c>
      <c r="AD13" s="189"/>
      <c r="AE13" s="189"/>
      <c r="AF13" s="189"/>
      <c r="AG13" s="189"/>
      <c r="AH13" s="189"/>
      <c r="AI13" s="189"/>
      <c r="AJ13" s="189"/>
      <c r="AK13" s="189"/>
      <c r="AL13" s="189"/>
      <c r="AM13" s="189"/>
      <c r="AN13" s="189"/>
      <c r="AO13" s="189"/>
      <c r="AP13" s="189"/>
      <c r="AQ13" s="196"/>
      <c r="AR13" s="157"/>
      <c r="AS13" s="156"/>
      <c r="AT13" s="157"/>
      <c r="AU13" s="156"/>
      <c r="AV13" s="157"/>
      <c r="AW13" s="156"/>
      <c r="AX13" s="157"/>
      <c r="AY13" s="156"/>
      <c r="AZ13" s="157"/>
      <c r="BA13" s="156"/>
      <c r="BB13" s="199"/>
      <c r="BC13"/>
    </row>
    <row r="14" spans="1:55" ht="63.75" customHeight="1" x14ac:dyDescent="0.25">
      <c r="A14" s="191"/>
      <c r="B14" s="164"/>
      <c r="C14" s="164"/>
      <c r="D14" s="153"/>
      <c r="E14" s="189"/>
      <c r="F14" s="158"/>
      <c r="G14" s="159"/>
      <c r="H14" s="189"/>
      <c r="I14" s="189"/>
      <c r="J14" s="187"/>
      <c r="K14" s="158"/>
      <c r="L14" s="159"/>
      <c r="M14" s="152" t="s">
        <v>10</v>
      </c>
      <c r="N14" s="153"/>
      <c r="O14" s="152" t="s">
        <v>74</v>
      </c>
      <c r="P14" s="153"/>
      <c r="Q14" s="152" t="s">
        <v>75</v>
      </c>
      <c r="R14" s="153"/>
      <c r="S14" s="152" t="s">
        <v>86</v>
      </c>
      <c r="T14" s="153"/>
      <c r="U14" s="152" t="s">
        <v>136</v>
      </c>
      <c r="V14" s="153"/>
      <c r="W14" s="193" t="s">
        <v>132</v>
      </c>
      <c r="X14" s="193"/>
      <c r="Y14" s="152" t="s">
        <v>84</v>
      </c>
      <c r="Z14" s="153"/>
      <c r="AA14" s="152" t="s">
        <v>76</v>
      </c>
      <c r="AB14" s="153"/>
      <c r="AC14" s="152" t="s">
        <v>7</v>
      </c>
      <c r="AD14" s="178"/>
      <c r="AE14" s="178"/>
      <c r="AF14" s="178"/>
      <c r="AG14" s="178"/>
      <c r="AH14" s="178"/>
      <c r="AI14" s="178"/>
      <c r="AJ14" s="153"/>
      <c r="AK14" s="152" t="s">
        <v>8</v>
      </c>
      <c r="AL14" s="178"/>
      <c r="AM14" s="178"/>
      <c r="AN14" s="153"/>
      <c r="AO14" s="171" t="s">
        <v>77</v>
      </c>
      <c r="AP14" s="173" t="s">
        <v>18</v>
      </c>
      <c r="AQ14" s="196"/>
      <c r="AR14" s="157"/>
      <c r="AS14" s="156"/>
      <c r="AT14" s="157"/>
      <c r="AU14" s="156"/>
      <c r="AV14" s="157"/>
      <c r="AW14" s="156"/>
      <c r="AX14" s="157"/>
      <c r="AY14" s="156"/>
      <c r="AZ14" s="157"/>
      <c r="BA14" s="156"/>
      <c r="BB14" s="199"/>
      <c r="BC14"/>
    </row>
    <row r="15" spans="1:55" ht="38.25" customHeight="1" thickBot="1" x14ac:dyDescent="0.3">
      <c r="A15" s="192"/>
      <c r="B15" s="165"/>
      <c r="C15" s="165"/>
      <c r="D15" s="118" t="s">
        <v>61</v>
      </c>
      <c r="E15" s="77" t="s">
        <v>9</v>
      </c>
      <c r="F15" s="77" t="s">
        <v>11</v>
      </c>
      <c r="G15" s="77" t="s">
        <v>130</v>
      </c>
      <c r="H15" s="77" t="s">
        <v>0</v>
      </c>
      <c r="I15" s="77" t="s">
        <v>78</v>
      </c>
      <c r="J15" s="188"/>
      <c r="K15" s="77" t="s">
        <v>61</v>
      </c>
      <c r="L15" s="77" t="s">
        <v>9</v>
      </c>
      <c r="M15" s="77" t="s">
        <v>61</v>
      </c>
      <c r="N15" s="77" t="s">
        <v>9</v>
      </c>
      <c r="O15" s="77" t="s">
        <v>61</v>
      </c>
      <c r="P15" s="77" t="s">
        <v>9</v>
      </c>
      <c r="Q15" s="77" t="s">
        <v>61</v>
      </c>
      <c r="R15" s="77" t="s">
        <v>9</v>
      </c>
      <c r="S15" s="77" t="s">
        <v>61</v>
      </c>
      <c r="T15" s="77" t="s">
        <v>9</v>
      </c>
      <c r="U15" s="77" t="s">
        <v>61</v>
      </c>
      <c r="V15" s="77" t="s">
        <v>9</v>
      </c>
      <c r="W15" s="77" t="s">
        <v>61</v>
      </c>
      <c r="X15" s="77" t="s">
        <v>9</v>
      </c>
      <c r="Y15" s="77" t="s">
        <v>61</v>
      </c>
      <c r="Z15" s="77" t="s">
        <v>9</v>
      </c>
      <c r="AA15" s="77" t="s">
        <v>61</v>
      </c>
      <c r="AB15" s="77" t="s">
        <v>9</v>
      </c>
      <c r="AC15" s="77" t="s">
        <v>11</v>
      </c>
      <c r="AD15" s="77" t="s">
        <v>12</v>
      </c>
      <c r="AE15" s="77" t="s">
        <v>13</v>
      </c>
      <c r="AF15" s="77" t="s">
        <v>14</v>
      </c>
      <c r="AG15" s="77" t="s">
        <v>15</v>
      </c>
      <c r="AH15" s="77" t="s">
        <v>16</v>
      </c>
      <c r="AI15" s="107" t="s">
        <v>18</v>
      </c>
      <c r="AJ15" s="107" t="s">
        <v>17</v>
      </c>
      <c r="AK15" s="77" t="s">
        <v>19</v>
      </c>
      <c r="AL15" s="77" t="s">
        <v>20</v>
      </c>
      <c r="AM15" s="77" t="s">
        <v>21</v>
      </c>
      <c r="AN15" s="77" t="s">
        <v>22</v>
      </c>
      <c r="AO15" s="172"/>
      <c r="AP15" s="174"/>
      <c r="AQ15" s="77" t="s">
        <v>61</v>
      </c>
      <c r="AR15" s="77" t="s">
        <v>9</v>
      </c>
      <c r="AS15" s="77" t="s">
        <v>61</v>
      </c>
      <c r="AT15" s="77" t="s">
        <v>9</v>
      </c>
      <c r="AU15" s="77" t="s">
        <v>61</v>
      </c>
      <c r="AV15" s="77" t="s">
        <v>9</v>
      </c>
      <c r="AW15" s="77" t="s">
        <v>61</v>
      </c>
      <c r="AX15" s="77" t="s">
        <v>9</v>
      </c>
      <c r="AY15" s="77" t="s">
        <v>61</v>
      </c>
      <c r="AZ15" s="77" t="s">
        <v>9</v>
      </c>
      <c r="BA15" s="197"/>
      <c r="BB15" s="200"/>
      <c r="BC15"/>
    </row>
    <row r="16" spans="1:55" ht="15" customHeight="1" thickBot="1" x14ac:dyDescent="0.3">
      <c r="A16" s="106">
        <v>1</v>
      </c>
      <c r="B16" s="106">
        <v>2</v>
      </c>
      <c r="C16" s="106">
        <v>3</v>
      </c>
      <c r="D16" s="105">
        <v>4</v>
      </c>
      <c r="E16" s="78">
        <v>5</v>
      </c>
      <c r="F16" s="78">
        <v>6</v>
      </c>
      <c r="G16" s="78">
        <v>7</v>
      </c>
      <c r="H16" s="78">
        <v>8</v>
      </c>
      <c r="I16" s="78">
        <v>9</v>
      </c>
      <c r="J16" s="78">
        <v>10</v>
      </c>
      <c r="K16" s="78">
        <v>11</v>
      </c>
      <c r="L16" s="78">
        <v>12</v>
      </c>
      <c r="M16" s="78">
        <v>13</v>
      </c>
      <c r="N16" s="78">
        <v>14</v>
      </c>
      <c r="O16" s="78">
        <v>15</v>
      </c>
      <c r="P16" s="78">
        <v>16</v>
      </c>
      <c r="Q16" s="78">
        <v>17</v>
      </c>
      <c r="R16" s="78">
        <v>18</v>
      </c>
      <c r="S16" s="78">
        <v>19</v>
      </c>
      <c r="T16" s="78">
        <v>20</v>
      </c>
      <c r="U16" s="78">
        <v>21</v>
      </c>
      <c r="V16" s="78">
        <v>22</v>
      </c>
      <c r="W16" s="78">
        <v>23</v>
      </c>
      <c r="X16" s="78">
        <v>24</v>
      </c>
      <c r="Y16" s="78">
        <v>25</v>
      </c>
      <c r="Z16" s="78">
        <v>26</v>
      </c>
      <c r="AA16" s="78">
        <v>27</v>
      </c>
      <c r="AB16" s="78">
        <v>28</v>
      </c>
      <c r="AC16" s="78">
        <v>29</v>
      </c>
      <c r="AD16" s="78">
        <v>30</v>
      </c>
      <c r="AE16" s="78">
        <v>31</v>
      </c>
      <c r="AF16" s="78">
        <v>32</v>
      </c>
      <c r="AG16" s="78">
        <v>33</v>
      </c>
      <c r="AH16" s="78">
        <v>34</v>
      </c>
      <c r="AI16" s="78">
        <v>35</v>
      </c>
      <c r="AJ16" s="78">
        <v>36</v>
      </c>
      <c r="AK16" s="78">
        <v>37</v>
      </c>
      <c r="AL16" s="78">
        <v>38</v>
      </c>
      <c r="AM16" s="78">
        <v>39</v>
      </c>
      <c r="AN16" s="78">
        <v>40</v>
      </c>
      <c r="AO16" s="78">
        <v>41</v>
      </c>
      <c r="AP16" s="78">
        <v>42</v>
      </c>
      <c r="AQ16" s="78">
        <v>43</v>
      </c>
      <c r="AR16" s="78">
        <v>44</v>
      </c>
      <c r="AS16" s="78">
        <v>45</v>
      </c>
      <c r="AT16" s="78">
        <v>46</v>
      </c>
      <c r="AU16" s="78">
        <v>47</v>
      </c>
      <c r="AV16" s="78">
        <v>48</v>
      </c>
      <c r="AW16" s="78">
        <v>49</v>
      </c>
      <c r="AX16" s="78">
        <v>50</v>
      </c>
      <c r="AY16" s="78">
        <v>51</v>
      </c>
      <c r="AZ16" s="78">
        <v>52</v>
      </c>
      <c r="BA16" s="78">
        <v>53</v>
      </c>
      <c r="BB16" s="79">
        <v>54</v>
      </c>
      <c r="BC16"/>
    </row>
    <row r="17" spans="1:55" ht="15" customHeight="1" thickBot="1" x14ac:dyDescent="0.3">
      <c r="A17" s="87" t="s">
        <v>79</v>
      </c>
      <c r="B17" s="87"/>
      <c r="C17" s="87"/>
      <c r="D17" s="129">
        <f t="shared" ref="D17:E17" si="0">SUM(D18:D23)</f>
        <v>0</v>
      </c>
      <c r="E17" s="129">
        <f t="shared" si="0"/>
        <v>0</v>
      </c>
      <c r="F17" s="129">
        <f>SUM(F18:F23)</f>
        <v>0</v>
      </c>
      <c r="G17" s="129">
        <f t="shared" ref="G17:I17" si="1">SUM(G18:G23)</f>
        <v>0</v>
      </c>
      <c r="H17" s="131">
        <f t="shared" si="1"/>
        <v>0</v>
      </c>
      <c r="I17" s="131">
        <f t="shared" si="1"/>
        <v>0</v>
      </c>
      <c r="J17" s="129"/>
      <c r="K17" s="130">
        <f t="shared" ref="K17:AP17" si="2">SUM(K18:K23)</f>
        <v>0</v>
      </c>
      <c r="L17" s="130">
        <f t="shared" si="2"/>
        <v>0</v>
      </c>
      <c r="M17" s="129">
        <f t="shared" si="2"/>
        <v>0</v>
      </c>
      <c r="N17" s="129">
        <f t="shared" si="2"/>
        <v>0</v>
      </c>
      <c r="O17" s="129">
        <f t="shared" si="2"/>
        <v>0</v>
      </c>
      <c r="P17" s="129">
        <f t="shared" si="2"/>
        <v>0</v>
      </c>
      <c r="Q17" s="129">
        <f t="shared" si="2"/>
        <v>0</v>
      </c>
      <c r="R17" s="129">
        <f t="shared" si="2"/>
        <v>0</v>
      </c>
      <c r="S17" s="129">
        <f t="shared" si="2"/>
        <v>0</v>
      </c>
      <c r="T17" s="129">
        <f t="shared" si="2"/>
        <v>0</v>
      </c>
      <c r="U17" s="129">
        <f t="shared" si="2"/>
        <v>0</v>
      </c>
      <c r="V17" s="129">
        <f t="shared" si="2"/>
        <v>0</v>
      </c>
      <c r="W17" s="129">
        <f t="shared" si="2"/>
        <v>0</v>
      </c>
      <c r="X17" s="129">
        <f t="shared" si="2"/>
        <v>0</v>
      </c>
      <c r="Y17" s="129">
        <f t="shared" si="2"/>
        <v>0</v>
      </c>
      <c r="Z17" s="129">
        <f t="shared" si="2"/>
        <v>0</v>
      </c>
      <c r="AA17" s="129">
        <f t="shared" si="2"/>
        <v>0</v>
      </c>
      <c r="AB17" s="129">
        <f t="shared" si="2"/>
        <v>0</v>
      </c>
      <c r="AC17" s="129">
        <f t="shared" si="2"/>
        <v>0</v>
      </c>
      <c r="AD17" s="129">
        <f t="shared" si="2"/>
        <v>0</v>
      </c>
      <c r="AE17" s="129">
        <f t="shared" si="2"/>
        <v>0</v>
      </c>
      <c r="AF17" s="129">
        <f t="shared" si="2"/>
        <v>0</v>
      </c>
      <c r="AG17" s="129">
        <f t="shared" si="2"/>
        <v>0</v>
      </c>
      <c r="AH17" s="129">
        <f t="shared" si="2"/>
        <v>0</v>
      </c>
      <c r="AI17" s="129">
        <f t="shared" si="2"/>
        <v>0</v>
      </c>
      <c r="AJ17" s="129">
        <f t="shared" si="2"/>
        <v>0</v>
      </c>
      <c r="AK17" s="129">
        <f t="shared" si="2"/>
        <v>0</v>
      </c>
      <c r="AL17" s="129">
        <f t="shared" si="2"/>
        <v>0</v>
      </c>
      <c r="AM17" s="129">
        <f t="shared" si="2"/>
        <v>0</v>
      </c>
      <c r="AN17" s="129">
        <f t="shared" si="2"/>
        <v>0</v>
      </c>
      <c r="AO17" s="129">
        <f t="shared" si="2"/>
        <v>0</v>
      </c>
      <c r="AP17" s="129">
        <f t="shared" si="2"/>
        <v>0</v>
      </c>
      <c r="AQ17" s="129">
        <f t="shared" ref="AQ17:AQ59" si="3">M17+O17+S17+U17+W17+AA17+Q17+Y17</f>
        <v>0</v>
      </c>
      <c r="AR17" s="129">
        <f>N17+P17+R17+AC17+AD17+AE17+AF17+AG17+AH17+AI17+AJ17+AK17+AL17+AM17+AN17+AO17+AP17+T17+V17+AB17</f>
        <v>0</v>
      </c>
      <c r="AS17" s="129">
        <f>AT17</f>
        <v>0</v>
      </c>
      <c r="AT17" s="129">
        <f>SUM(AT18:AT23)</f>
        <v>0</v>
      </c>
      <c r="AU17" s="131">
        <f t="shared" ref="AU17:AU22" si="4">IF(AT17-AQ17=0,0,(AT17-M17-O17-Q17)/AT17)</f>
        <v>0</v>
      </c>
      <c r="AV17" s="131">
        <f t="shared" ref="AV17:AV59" si="5">IF(AT17=0,0,(AT17-N17-P17-R17-AC17-AD17-AE17-AF17-AG17-AH17-AI17-AJ17-AL17)/AT17)</f>
        <v>0</v>
      </c>
      <c r="AW17" s="131">
        <f t="shared" ref="AW17:AW22" si="6">IF(OR(AT17=0,AU17=0),0,((AT17*AU17)-S17-U17-W17-AA17-Y17)/(AT17*AU17))</f>
        <v>0</v>
      </c>
      <c r="AX17" s="131">
        <f t="shared" ref="AX17:AX22" si="7">IF(OR(AT17=0,AV17=0),0,((AT17*AV17)-AK17-AM17-AN17-AO17-AP17-T17-V17-X17-Z17-AB17)/(AT17*AV17))</f>
        <v>0</v>
      </c>
      <c r="AY17" s="131">
        <f>SUM(AY18:AY23)</f>
        <v>0</v>
      </c>
      <c r="AZ17" s="131">
        <f>SUM(AZ18:AZ23)</f>
        <v>0</v>
      </c>
      <c r="BA17" s="129">
        <f>ROUND(AS17-E17-AR17,4)</f>
        <v>0</v>
      </c>
      <c r="BB17" s="137"/>
      <c r="BC17"/>
    </row>
    <row r="18" spans="1:55" ht="15" hidden="1" customHeight="1" x14ac:dyDescent="0.25">
      <c r="A18" s="80" t="s">
        <v>23</v>
      </c>
      <c r="B18" s="110">
        <v>22</v>
      </c>
      <c r="C18" s="110">
        <v>22</v>
      </c>
      <c r="D18" s="121">
        <f t="shared" ref="D18:D22" si="8">AT18*AU18*AW18</f>
        <v>0</v>
      </c>
      <c r="E18" s="16">
        <f t="shared" ref="E18:E22" si="9">ROUND(AT18*AV18*AX18,4)</f>
        <v>0</v>
      </c>
      <c r="F18" s="91">
        <f>'4'!F18+'5'!F18+'6'!F18</f>
        <v>0</v>
      </c>
      <c r="G18" s="91">
        <f>'4'!G18+'5'!G18+'6'!G18</f>
        <v>0</v>
      </c>
      <c r="H18" s="135">
        <f>'4'!H18+'5'!H18+'6'!H18</f>
        <v>0</v>
      </c>
      <c r="I18" s="135">
        <f>'4'!I18+'5'!I18+'6'!I18</f>
        <v>0</v>
      </c>
      <c r="J18" s="83" t="s">
        <v>55</v>
      </c>
      <c r="K18" s="133">
        <f>'4'!K18+'5'!K18+'6'!K18</f>
        <v>0</v>
      </c>
      <c r="L18" s="133">
        <f>'4'!L18+'5'!L18+'6'!L18</f>
        <v>0</v>
      </c>
      <c r="M18" s="91">
        <f>'4'!M18+'5'!M18+'6'!M18</f>
        <v>0</v>
      </c>
      <c r="N18" s="91">
        <f>'4'!N18+'5'!N18+'6'!N18</f>
        <v>0</v>
      </c>
      <c r="O18" s="91">
        <f>'4'!O18+'5'!O18+'6'!O18</f>
        <v>0</v>
      </c>
      <c r="P18" s="91">
        <f>'4'!P18+'5'!P18+'6'!P18</f>
        <v>0</v>
      </c>
      <c r="Q18" s="91">
        <f>'4'!Q18+'5'!Q18+'6'!Q18</f>
        <v>0</v>
      </c>
      <c r="R18" s="91">
        <f>'4'!R18+'5'!R18+'6'!R18</f>
        <v>0</v>
      </c>
      <c r="S18" s="91">
        <f>'4'!S18+'5'!S18+'6'!S18</f>
        <v>0</v>
      </c>
      <c r="T18" s="91">
        <f>'4'!T18+'5'!T18+'6'!T18</f>
        <v>0</v>
      </c>
      <c r="U18" s="91">
        <f>'4'!U18+'5'!U18+'6'!U18</f>
        <v>0</v>
      </c>
      <c r="V18" s="91">
        <f>'4'!V18+'5'!V18+'6'!V18</f>
        <v>0</v>
      </c>
      <c r="W18" s="91">
        <f>'4'!W18+'5'!W18+'6'!W18</f>
        <v>0</v>
      </c>
      <c r="X18" s="91">
        <f>'4'!X18+'5'!X18+'6'!X18</f>
        <v>0</v>
      </c>
      <c r="Y18" s="91">
        <f>'4'!Y18+'5'!Y18+'6'!Y18</f>
        <v>0</v>
      </c>
      <c r="Z18" s="91">
        <f>'4'!Z18+'5'!Z18+'6'!Z18</f>
        <v>0</v>
      </c>
      <c r="AA18" s="91">
        <f>'4'!AA18+'5'!AA18+'6'!AA18</f>
        <v>0</v>
      </c>
      <c r="AB18" s="91">
        <f>'4'!AB18+'5'!AB18+'6'!AB18</f>
        <v>0</v>
      </c>
      <c r="AC18" s="91">
        <f>'4'!AC18+'5'!AC18+'6'!AC18</f>
        <v>0</v>
      </c>
      <c r="AD18" s="91">
        <f>'4'!AD18+'5'!AD18+'6'!AD18</f>
        <v>0</v>
      </c>
      <c r="AE18" s="91">
        <f>'4'!AE18+'5'!AE18+'6'!AE18</f>
        <v>0</v>
      </c>
      <c r="AF18" s="91">
        <f>'4'!AF18+'5'!AF18+'6'!AF18</f>
        <v>0</v>
      </c>
      <c r="AG18" s="91">
        <f>'4'!AG18+'5'!AG18+'6'!AG18</f>
        <v>0</v>
      </c>
      <c r="AH18" s="91">
        <f>'4'!AH18+'5'!AH18+'6'!AH18</f>
        <v>0</v>
      </c>
      <c r="AI18" s="91">
        <f>'4'!AI18+'5'!AI18+'6'!AI18</f>
        <v>0</v>
      </c>
      <c r="AJ18" s="91">
        <f>'4'!AJ18+'5'!AJ18+'6'!AJ18</f>
        <v>0</v>
      </c>
      <c r="AK18" s="91">
        <f>'4'!AK18+'5'!AK18+'6'!AK18</f>
        <v>0</v>
      </c>
      <c r="AL18" s="91">
        <f>'4'!AL18+'5'!AL18+'6'!AL18</f>
        <v>0</v>
      </c>
      <c r="AM18" s="91">
        <f>'4'!AM18+'5'!AM18+'6'!AM18</f>
        <v>0</v>
      </c>
      <c r="AN18" s="91">
        <f>'4'!AN18+'5'!AN18+'6'!AN18</f>
        <v>0</v>
      </c>
      <c r="AO18" s="91">
        <f>'4'!AO18+'5'!AO18+'6'!AO18</f>
        <v>0</v>
      </c>
      <c r="AP18" s="91">
        <f>'4'!AP18+'5'!AP18+'6'!AP18</f>
        <v>0</v>
      </c>
      <c r="AQ18" s="16">
        <f t="shared" si="3"/>
        <v>0</v>
      </c>
      <c r="AR18" s="17">
        <f>N18+P18+R18+AC18+AD18+AE18+AF18+AG18+AH18+AI18+AJ18+AK18+AL18+AM18+AN18+AO18+AP18+T18+V18+AB18</f>
        <v>0</v>
      </c>
      <c r="AS18" s="17"/>
      <c r="AT18" s="17"/>
      <c r="AU18" s="92">
        <f t="shared" si="4"/>
        <v>0</v>
      </c>
      <c r="AV18" s="92">
        <f t="shared" si="5"/>
        <v>0</v>
      </c>
      <c r="AW18" s="92">
        <f t="shared" si="6"/>
        <v>0</v>
      </c>
      <c r="AX18" s="92">
        <f t="shared" si="7"/>
        <v>0</v>
      </c>
      <c r="AY18" s="82">
        <f t="shared" ref="AY18:AZ22" si="10">IF(K18=0,0,K18/(D18-Y18)/24)</f>
        <v>0</v>
      </c>
      <c r="AZ18" s="82">
        <f t="shared" si="10"/>
        <v>0</v>
      </c>
      <c r="BA18" s="85">
        <f>ROUND(AS18-E18-AR18,4)</f>
        <v>0</v>
      </c>
      <c r="BB18" s="138"/>
      <c r="BC18"/>
    </row>
    <row r="19" spans="1:55" ht="15" hidden="1" customHeight="1" x14ac:dyDescent="0.25">
      <c r="A19" s="68" t="s">
        <v>24</v>
      </c>
      <c r="B19" s="111">
        <v>23</v>
      </c>
      <c r="C19" s="111">
        <v>23</v>
      </c>
      <c r="D19" s="121">
        <f t="shared" si="8"/>
        <v>0</v>
      </c>
      <c r="E19" s="16">
        <f t="shared" si="9"/>
        <v>0</v>
      </c>
      <c r="F19" s="91">
        <f>'4'!F19+'5'!F19+'6'!F19</f>
        <v>0</v>
      </c>
      <c r="G19" s="91">
        <f>'4'!G19+'5'!G19+'6'!G19</f>
        <v>0</v>
      </c>
      <c r="H19" s="135">
        <f>'4'!H19+'5'!H19+'6'!H19</f>
        <v>0</v>
      </c>
      <c r="I19" s="135">
        <f>'4'!I19+'5'!I19+'6'!I19</f>
        <v>0</v>
      </c>
      <c r="J19" s="8" t="s">
        <v>55</v>
      </c>
      <c r="K19" s="133">
        <f>'4'!K19+'5'!K19+'6'!K19</f>
        <v>0</v>
      </c>
      <c r="L19" s="133">
        <f>'4'!L19+'5'!L19+'6'!L19</f>
        <v>0</v>
      </c>
      <c r="M19" s="91">
        <f>'4'!M19+'5'!M19+'6'!M19</f>
        <v>0</v>
      </c>
      <c r="N19" s="91">
        <f>'4'!N19+'5'!N19+'6'!N19</f>
        <v>0</v>
      </c>
      <c r="O19" s="91">
        <f>'4'!O19+'5'!O19+'6'!O19</f>
        <v>0</v>
      </c>
      <c r="P19" s="91">
        <f>'4'!P19+'5'!P19+'6'!P19</f>
        <v>0</v>
      </c>
      <c r="Q19" s="91">
        <f>'4'!Q19+'5'!Q19+'6'!Q19</f>
        <v>0</v>
      </c>
      <c r="R19" s="91">
        <f>'4'!R19+'5'!R19+'6'!R19</f>
        <v>0</v>
      </c>
      <c r="S19" s="91">
        <f>'4'!S19+'5'!S19+'6'!S19</f>
        <v>0</v>
      </c>
      <c r="T19" s="91">
        <f>'4'!T19+'5'!T19+'6'!T19</f>
        <v>0</v>
      </c>
      <c r="U19" s="91">
        <f>'4'!U19+'5'!U19+'6'!U19</f>
        <v>0</v>
      </c>
      <c r="V19" s="91">
        <f>'4'!V19+'5'!V19+'6'!V19</f>
        <v>0</v>
      </c>
      <c r="W19" s="91">
        <f>'4'!W19+'5'!W19+'6'!W19</f>
        <v>0</v>
      </c>
      <c r="X19" s="91">
        <f>'4'!X19+'5'!X19+'6'!X19</f>
        <v>0</v>
      </c>
      <c r="Y19" s="91">
        <f>'4'!Y19+'5'!Y19+'6'!Y19</f>
        <v>0</v>
      </c>
      <c r="Z19" s="91">
        <f>'4'!Z19+'5'!Z19+'6'!Z19</f>
        <v>0</v>
      </c>
      <c r="AA19" s="91">
        <f>'4'!AA19+'5'!AA19+'6'!AA19</f>
        <v>0</v>
      </c>
      <c r="AB19" s="91">
        <f>'4'!AB19+'5'!AB19+'6'!AB19</f>
        <v>0</v>
      </c>
      <c r="AC19" s="91">
        <f>'4'!AC19+'5'!AC19+'6'!AC19</f>
        <v>0</v>
      </c>
      <c r="AD19" s="91">
        <f>'4'!AD19+'5'!AD19+'6'!AD19</f>
        <v>0</v>
      </c>
      <c r="AE19" s="91">
        <f>'4'!AE19+'5'!AE19+'6'!AE19</f>
        <v>0</v>
      </c>
      <c r="AF19" s="91">
        <f>'4'!AF19+'5'!AF19+'6'!AF19</f>
        <v>0</v>
      </c>
      <c r="AG19" s="91">
        <f>'4'!AG19+'5'!AG19+'6'!AG19</f>
        <v>0</v>
      </c>
      <c r="AH19" s="91">
        <f>'4'!AH19+'5'!AH19+'6'!AH19</f>
        <v>0</v>
      </c>
      <c r="AI19" s="91">
        <f>'4'!AI19+'5'!AI19+'6'!AI19</f>
        <v>0</v>
      </c>
      <c r="AJ19" s="91">
        <f>'4'!AJ19+'5'!AJ19+'6'!AJ19</f>
        <v>0</v>
      </c>
      <c r="AK19" s="91">
        <f>'4'!AK19+'5'!AK19+'6'!AK19</f>
        <v>0</v>
      </c>
      <c r="AL19" s="91">
        <f>'4'!AL19+'5'!AL19+'6'!AL19</f>
        <v>0</v>
      </c>
      <c r="AM19" s="91">
        <f>'4'!AM19+'5'!AM19+'6'!AM19</f>
        <v>0</v>
      </c>
      <c r="AN19" s="91">
        <f>'4'!AN19+'5'!AN19+'6'!AN19</f>
        <v>0</v>
      </c>
      <c r="AO19" s="91">
        <f>'4'!AO19+'5'!AO19+'6'!AO19</f>
        <v>0</v>
      </c>
      <c r="AP19" s="91">
        <f>'4'!AP19+'5'!AP19+'6'!AP19</f>
        <v>0</v>
      </c>
      <c r="AQ19" s="16">
        <f t="shared" si="3"/>
        <v>0</v>
      </c>
      <c r="AR19" s="17">
        <f t="shared" ref="AR19:AR59" si="11">N19+P19+R19+AC19+AD19+AE19+AF19+AG19+AH19+AI19+AJ19+AK19+AL19+AM19+AN19+AO19+AP19+T19+V19+AB19</f>
        <v>0</v>
      </c>
      <c r="AS19" s="15"/>
      <c r="AT19" s="15"/>
      <c r="AU19" s="92">
        <f t="shared" si="4"/>
        <v>0</v>
      </c>
      <c r="AV19" s="92">
        <f t="shared" si="5"/>
        <v>0</v>
      </c>
      <c r="AW19" s="92">
        <f t="shared" si="6"/>
        <v>0</v>
      </c>
      <c r="AX19" s="92">
        <f t="shared" si="7"/>
        <v>0</v>
      </c>
      <c r="AY19" s="18">
        <f t="shared" si="10"/>
        <v>0</v>
      </c>
      <c r="AZ19" s="18">
        <f t="shared" si="10"/>
        <v>0</v>
      </c>
      <c r="BA19" s="74">
        <f>ROUND(AS19-E19-AR19,4)</f>
        <v>0</v>
      </c>
      <c r="BB19" s="139"/>
      <c r="BC19"/>
    </row>
    <row r="20" spans="1:55" ht="15" hidden="1" customHeight="1" x14ac:dyDescent="0.25">
      <c r="A20" s="69" t="s">
        <v>25</v>
      </c>
      <c r="B20" s="112"/>
      <c r="C20" s="112">
        <v>24</v>
      </c>
      <c r="D20" s="121">
        <f t="shared" si="8"/>
        <v>0</v>
      </c>
      <c r="E20" s="16">
        <f t="shared" si="9"/>
        <v>0</v>
      </c>
      <c r="F20" s="91">
        <f>'4'!F20+'5'!F20+'6'!F20</f>
        <v>0</v>
      </c>
      <c r="G20" s="91">
        <f>'4'!G20+'5'!G20+'6'!G20</f>
        <v>0</v>
      </c>
      <c r="H20" s="135">
        <f>'4'!H20+'5'!H20+'6'!H20</f>
        <v>0</v>
      </c>
      <c r="I20" s="135">
        <f>'4'!I20+'5'!I20+'6'!I20</f>
        <v>0</v>
      </c>
      <c r="J20" s="8" t="s">
        <v>55</v>
      </c>
      <c r="K20" s="133">
        <f>'4'!K20+'5'!K20+'6'!K20</f>
        <v>0</v>
      </c>
      <c r="L20" s="133">
        <f>'4'!L20+'5'!L20+'6'!L20</f>
        <v>0</v>
      </c>
      <c r="M20" s="91">
        <f>'4'!M20+'5'!M20+'6'!M20</f>
        <v>0</v>
      </c>
      <c r="N20" s="91">
        <f>'4'!N20+'5'!N20+'6'!N20</f>
        <v>0</v>
      </c>
      <c r="O20" s="91">
        <f>'4'!O20+'5'!O20+'6'!O20</f>
        <v>0</v>
      </c>
      <c r="P20" s="91">
        <f>'4'!P20+'5'!P20+'6'!P20</f>
        <v>0</v>
      </c>
      <c r="Q20" s="91">
        <f>'4'!Q20+'5'!Q20+'6'!Q20</f>
        <v>0</v>
      </c>
      <c r="R20" s="91">
        <f>'4'!R20+'5'!R20+'6'!R20</f>
        <v>0</v>
      </c>
      <c r="S20" s="91">
        <f>'4'!S20+'5'!S20+'6'!S20</f>
        <v>0</v>
      </c>
      <c r="T20" s="91">
        <f>'4'!T20+'5'!T20+'6'!T20</f>
        <v>0</v>
      </c>
      <c r="U20" s="91">
        <f>'4'!U20+'5'!U20+'6'!U20</f>
        <v>0</v>
      </c>
      <c r="V20" s="91">
        <f>'4'!V20+'5'!V20+'6'!V20</f>
        <v>0</v>
      </c>
      <c r="W20" s="91">
        <f>'4'!W20+'5'!W20+'6'!W20</f>
        <v>0</v>
      </c>
      <c r="X20" s="91">
        <f>'4'!X20+'5'!X20+'6'!X20</f>
        <v>0</v>
      </c>
      <c r="Y20" s="91">
        <f>'4'!Y20+'5'!Y20+'6'!Y20</f>
        <v>0</v>
      </c>
      <c r="Z20" s="91">
        <f>'4'!Z20+'5'!Z20+'6'!Z20</f>
        <v>0</v>
      </c>
      <c r="AA20" s="91">
        <f>'4'!AA20+'5'!AA20+'6'!AA20</f>
        <v>0</v>
      </c>
      <c r="AB20" s="91">
        <f>'4'!AB20+'5'!AB20+'6'!AB20</f>
        <v>0</v>
      </c>
      <c r="AC20" s="91">
        <f>'4'!AC20+'5'!AC20+'6'!AC20</f>
        <v>0</v>
      </c>
      <c r="AD20" s="91">
        <f>'4'!AD20+'5'!AD20+'6'!AD20</f>
        <v>0</v>
      </c>
      <c r="AE20" s="91">
        <f>'4'!AE20+'5'!AE20+'6'!AE20</f>
        <v>0</v>
      </c>
      <c r="AF20" s="91">
        <f>'4'!AF20+'5'!AF20+'6'!AF20</f>
        <v>0</v>
      </c>
      <c r="AG20" s="91">
        <f>'4'!AG20+'5'!AG20+'6'!AG20</f>
        <v>0</v>
      </c>
      <c r="AH20" s="91">
        <f>'4'!AH20+'5'!AH20+'6'!AH20</f>
        <v>0</v>
      </c>
      <c r="AI20" s="91">
        <f>'4'!AI20+'5'!AI20+'6'!AI20</f>
        <v>0</v>
      </c>
      <c r="AJ20" s="91">
        <f>'4'!AJ20+'5'!AJ20+'6'!AJ20</f>
        <v>0</v>
      </c>
      <c r="AK20" s="91">
        <f>'4'!AK20+'5'!AK20+'6'!AK20</f>
        <v>0</v>
      </c>
      <c r="AL20" s="91">
        <f>'4'!AL20+'5'!AL20+'6'!AL20</f>
        <v>0</v>
      </c>
      <c r="AM20" s="91">
        <f>'4'!AM20+'5'!AM20+'6'!AM20</f>
        <v>0</v>
      </c>
      <c r="AN20" s="91">
        <f>'4'!AN20+'5'!AN20+'6'!AN20</f>
        <v>0</v>
      </c>
      <c r="AO20" s="91">
        <f>'4'!AO20+'5'!AO20+'6'!AO20</f>
        <v>0</v>
      </c>
      <c r="AP20" s="91">
        <f>'4'!AP20+'5'!AP20+'6'!AP20</f>
        <v>0</v>
      </c>
      <c r="AQ20" s="16">
        <f t="shared" si="3"/>
        <v>0</v>
      </c>
      <c r="AR20" s="17">
        <f t="shared" si="11"/>
        <v>0</v>
      </c>
      <c r="AS20" s="15"/>
      <c r="AT20" s="15"/>
      <c r="AU20" s="92">
        <f t="shared" si="4"/>
        <v>0</v>
      </c>
      <c r="AV20" s="92">
        <f t="shared" si="5"/>
        <v>0</v>
      </c>
      <c r="AW20" s="92">
        <f t="shared" si="6"/>
        <v>0</v>
      </c>
      <c r="AX20" s="92">
        <f t="shared" si="7"/>
        <v>0</v>
      </c>
      <c r="AY20" s="18">
        <f t="shared" si="10"/>
        <v>0</v>
      </c>
      <c r="AZ20" s="18">
        <f t="shared" si="10"/>
        <v>0</v>
      </c>
      <c r="BA20" s="74">
        <f t="shared" ref="BA20:BA22" si="12">ROUND(AS20-E20-AR20,4)</f>
        <v>0</v>
      </c>
      <c r="BB20" s="139"/>
      <c r="BC20"/>
    </row>
    <row r="21" spans="1:55" ht="15" hidden="1" customHeight="1" x14ac:dyDescent="0.25">
      <c r="A21" s="68" t="s">
        <v>26</v>
      </c>
      <c r="B21" s="111"/>
      <c r="C21" s="111">
        <v>24</v>
      </c>
      <c r="D21" s="121">
        <f t="shared" si="8"/>
        <v>0</v>
      </c>
      <c r="E21" s="16">
        <f t="shared" si="9"/>
        <v>0</v>
      </c>
      <c r="F21" s="91">
        <f>'4'!F21+'5'!F21+'6'!F21</f>
        <v>0</v>
      </c>
      <c r="G21" s="91">
        <f>'4'!G21+'5'!G21+'6'!G21</f>
        <v>0</v>
      </c>
      <c r="H21" s="135">
        <f>'4'!H21+'5'!H21+'6'!H21</f>
        <v>0</v>
      </c>
      <c r="I21" s="135">
        <f>'4'!I21+'5'!I21+'6'!I21</f>
        <v>0</v>
      </c>
      <c r="J21" s="8" t="s">
        <v>55</v>
      </c>
      <c r="K21" s="133">
        <f>'4'!K21+'5'!K21+'6'!K21</f>
        <v>0</v>
      </c>
      <c r="L21" s="133">
        <f>'4'!L21+'5'!L21+'6'!L21</f>
        <v>0</v>
      </c>
      <c r="M21" s="91">
        <f>'4'!M21+'5'!M21+'6'!M21</f>
        <v>0</v>
      </c>
      <c r="N21" s="91">
        <f>'4'!N21+'5'!N21+'6'!N21</f>
        <v>0</v>
      </c>
      <c r="O21" s="91">
        <f>'4'!O21+'5'!O21+'6'!O21</f>
        <v>0</v>
      </c>
      <c r="P21" s="91">
        <f>'4'!P21+'5'!P21+'6'!P21</f>
        <v>0</v>
      </c>
      <c r="Q21" s="91">
        <f>'4'!Q21+'5'!Q21+'6'!Q21</f>
        <v>0</v>
      </c>
      <c r="R21" s="91">
        <f>'4'!R21+'5'!R21+'6'!R21</f>
        <v>0</v>
      </c>
      <c r="S21" s="91">
        <f>'4'!S21+'5'!S21+'6'!S21</f>
        <v>0</v>
      </c>
      <c r="T21" s="91">
        <f>'4'!T21+'5'!T21+'6'!T21</f>
        <v>0</v>
      </c>
      <c r="U21" s="91">
        <f>'4'!U21+'5'!U21+'6'!U21</f>
        <v>0</v>
      </c>
      <c r="V21" s="91">
        <f>'4'!V21+'5'!V21+'6'!V21</f>
        <v>0</v>
      </c>
      <c r="W21" s="91">
        <f>'4'!W21+'5'!W21+'6'!W21</f>
        <v>0</v>
      </c>
      <c r="X21" s="91">
        <f>'4'!X21+'5'!X21+'6'!X21</f>
        <v>0</v>
      </c>
      <c r="Y21" s="91">
        <f>'4'!Y21+'5'!Y21+'6'!Y21</f>
        <v>0</v>
      </c>
      <c r="Z21" s="91">
        <f>'4'!Z21+'5'!Z21+'6'!Z21</f>
        <v>0</v>
      </c>
      <c r="AA21" s="91">
        <f>'4'!AA21+'5'!AA21+'6'!AA21</f>
        <v>0</v>
      </c>
      <c r="AB21" s="91">
        <f>'4'!AB21+'5'!AB21+'6'!AB21</f>
        <v>0</v>
      </c>
      <c r="AC21" s="91">
        <f>'4'!AC21+'5'!AC21+'6'!AC21</f>
        <v>0</v>
      </c>
      <c r="AD21" s="91">
        <f>'4'!AD21+'5'!AD21+'6'!AD21</f>
        <v>0</v>
      </c>
      <c r="AE21" s="91">
        <f>'4'!AE21+'5'!AE21+'6'!AE21</f>
        <v>0</v>
      </c>
      <c r="AF21" s="91">
        <f>'4'!AF21+'5'!AF21+'6'!AF21</f>
        <v>0</v>
      </c>
      <c r="AG21" s="91">
        <f>'4'!AG21+'5'!AG21+'6'!AG21</f>
        <v>0</v>
      </c>
      <c r="AH21" s="91">
        <f>'4'!AH21+'5'!AH21+'6'!AH21</f>
        <v>0</v>
      </c>
      <c r="AI21" s="91">
        <f>'4'!AI21+'5'!AI21+'6'!AI21</f>
        <v>0</v>
      </c>
      <c r="AJ21" s="91">
        <f>'4'!AJ21+'5'!AJ21+'6'!AJ21</f>
        <v>0</v>
      </c>
      <c r="AK21" s="91">
        <f>'4'!AK21+'5'!AK21+'6'!AK21</f>
        <v>0</v>
      </c>
      <c r="AL21" s="91">
        <f>'4'!AL21+'5'!AL21+'6'!AL21</f>
        <v>0</v>
      </c>
      <c r="AM21" s="91">
        <f>'4'!AM21+'5'!AM21+'6'!AM21</f>
        <v>0</v>
      </c>
      <c r="AN21" s="91">
        <f>'4'!AN21+'5'!AN21+'6'!AN21</f>
        <v>0</v>
      </c>
      <c r="AO21" s="91">
        <f>'4'!AO21+'5'!AO21+'6'!AO21</f>
        <v>0</v>
      </c>
      <c r="AP21" s="91">
        <f>'4'!AP21+'5'!AP21+'6'!AP21</f>
        <v>0</v>
      </c>
      <c r="AQ21" s="16">
        <f t="shared" si="3"/>
        <v>0</v>
      </c>
      <c r="AR21" s="17">
        <f t="shared" si="11"/>
        <v>0</v>
      </c>
      <c r="AS21" s="15"/>
      <c r="AT21" s="15"/>
      <c r="AU21" s="92">
        <f t="shared" si="4"/>
        <v>0</v>
      </c>
      <c r="AV21" s="92">
        <f t="shared" si="5"/>
        <v>0</v>
      </c>
      <c r="AW21" s="92">
        <f t="shared" si="6"/>
        <v>0</v>
      </c>
      <c r="AX21" s="92">
        <f t="shared" si="7"/>
        <v>0</v>
      </c>
      <c r="AY21" s="18">
        <f t="shared" si="10"/>
        <v>0</v>
      </c>
      <c r="AZ21" s="18">
        <f t="shared" si="10"/>
        <v>0</v>
      </c>
      <c r="BA21" s="74">
        <f t="shared" si="12"/>
        <v>0</v>
      </c>
      <c r="BB21" s="139"/>
      <c r="BC21"/>
    </row>
    <row r="22" spans="1:55" ht="15" hidden="1" customHeight="1" x14ac:dyDescent="0.25">
      <c r="A22" s="70" t="s">
        <v>63</v>
      </c>
      <c r="B22" s="113"/>
      <c r="C22" s="113">
        <v>25</v>
      </c>
      <c r="D22" s="121">
        <f t="shared" si="8"/>
        <v>0</v>
      </c>
      <c r="E22" s="16">
        <f t="shared" si="9"/>
        <v>0</v>
      </c>
      <c r="F22" s="91">
        <f>'4'!F22+'5'!F22+'6'!F22</f>
        <v>0</v>
      </c>
      <c r="G22" s="91">
        <f>'4'!G22+'5'!G22+'6'!G22</f>
        <v>0</v>
      </c>
      <c r="H22" s="135">
        <f>'4'!H22+'5'!H22+'6'!H22</f>
        <v>0</v>
      </c>
      <c r="I22" s="135">
        <f>'4'!I22+'5'!I22+'6'!I22</f>
        <v>0</v>
      </c>
      <c r="J22" s="8" t="s">
        <v>55</v>
      </c>
      <c r="K22" s="133">
        <f>'4'!K22+'5'!K22+'6'!K22</f>
        <v>0</v>
      </c>
      <c r="L22" s="133">
        <f>'4'!L22+'5'!L22+'6'!L22</f>
        <v>0</v>
      </c>
      <c r="M22" s="91">
        <f>'4'!M22+'5'!M22+'6'!M22</f>
        <v>0</v>
      </c>
      <c r="N22" s="91">
        <f>'4'!N22+'5'!N22+'6'!N22</f>
        <v>0</v>
      </c>
      <c r="O22" s="91">
        <f>'4'!O22+'5'!O22+'6'!O22</f>
        <v>0</v>
      </c>
      <c r="P22" s="91">
        <f>'4'!P22+'5'!P22+'6'!P22</f>
        <v>0</v>
      </c>
      <c r="Q22" s="91">
        <f>'4'!Q22+'5'!Q22+'6'!Q22</f>
        <v>0</v>
      </c>
      <c r="R22" s="91">
        <f>'4'!R22+'5'!R22+'6'!R22</f>
        <v>0</v>
      </c>
      <c r="S22" s="91">
        <f>'4'!S22+'5'!S22+'6'!S22</f>
        <v>0</v>
      </c>
      <c r="T22" s="91">
        <f>'4'!T22+'5'!T22+'6'!T22</f>
        <v>0</v>
      </c>
      <c r="U22" s="91">
        <f>'4'!U22+'5'!U22+'6'!U22</f>
        <v>0</v>
      </c>
      <c r="V22" s="91">
        <f>'4'!V22+'5'!V22+'6'!V22</f>
        <v>0</v>
      </c>
      <c r="W22" s="91">
        <f>'4'!W22+'5'!W22+'6'!W22</f>
        <v>0</v>
      </c>
      <c r="X22" s="91">
        <f>'4'!X22+'5'!X22+'6'!X22</f>
        <v>0</v>
      </c>
      <c r="Y22" s="91">
        <f>'4'!Y22+'5'!Y22+'6'!Y22</f>
        <v>0</v>
      </c>
      <c r="Z22" s="91">
        <f>'4'!Z22+'5'!Z22+'6'!Z22</f>
        <v>0</v>
      </c>
      <c r="AA22" s="91">
        <f>'4'!AA22+'5'!AA22+'6'!AA22</f>
        <v>0</v>
      </c>
      <c r="AB22" s="91">
        <f>'4'!AB22+'5'!AB22+'6'!AB22</f>
        <v>0</v>
      </c>
      <c r="AC22" s="91">
        <f>'4'!AC22+'5'!AC22+'6'!AC22</f>
        <v>0</v>
      </c>
      <c r="AD22" s="91">
        <f>'4'!AD22+'5'!AD22+'6'!AD22</f>
        <v>0</v>
      </c>
      <c r="AE22" s="91">
        <f>'4'!AE22+'5'!AE22+'6'!AE22</f>
        <v>0</v>
      </c>
      <c r="AF22" s="91">
        <f>'4'!AF22+'5'!AF22+'6'!AF22</f>
        <v>0</v>
      </c>
      <c r="AG22" s="91">
        <f>'4'!AG22+'5'!AG22+'6'!AG22</f>
        <v>0</v>
      </c>
      <c r="AH22" s="91">
        <f>'4'!AH22+'5'!AH22+'6'!AH22</f>
        <v>0</v>
      </c>
      <c r="AI22" s="91">
        <f>'4'!AI22+'5'!AI22+'6'!AI22</f>
        <v>0</v>
      </c>
      <c r="AJ22" s="91">
        <f>'4'!AJ22+'5'!AJ22+'6'!AJ22</f>
        <v>0</v>
      </c>
      <c r="AK22" s="91">
        <f>'4'!AK22+'5'!AK22+'6'!AK22</f>
        <v>0</v>
      </c>
      <c r="AL22" s="91">
        <f>'4'!AL22+'5'!AL22+'6'!AL22</f>
        <v>0</v>
      </c>
      <c r="AM22" s="91">
        <f>'4'!AM22+'5'!AM22+'6'!AM22</f>
        <v>0</v>
      </c>
      <c r="AN22" s="91">
        <f>'4'!AN22+'5'!AN22+'6'!AN22</f>
        <v>0</v>
      </c>
      <c r="AO22" s="91">
        <f>'4'!AO22+'5'!AO22+'6'!AO22</f>
        <v>0</v>
      </c>
      <c r="AP22" s="91">
        <f>'4'!AP22+'5'!AP22+'6'!AP22</f>
        <v>0</v>
      </c>
      <c r="AQ22" s="16">
        <f t="shared" si="3"/>
        <v>0</v>
      </c>
      <c r="AR22" s="17">
        <f t="shared" si="11"/>
        <v>0</v>
      </c>
      <c r="AS22" s="15"/>
      <c r="AT22" s="15"/>
      <c r="AU22" s="92">
        <f t="shared" si="4"/>
        <v>0</v>
      </c>
      <c r="AV22" s="92">
        <f t="shared" si="5"/>
        <v>0</v>
      </c>
      <c r="AW22" s="92">
        <f t="shared" si="6"/>
        <v>0</v>
      </c>
      <c r="AX22" s="92">
        <f t="shared" si="7"/>
        <v>0</v>
      </c>
      <c r="AY22" s="18">
        <f t="shared" si="10"/>
        <v>0</v>
      </c>
      <c r="AZ22" s="18">
        <f t="shared" si="10"/>
        <v>0</v>
      </c>
      <c r="BA22" s="74">
        <f t="shared" si="12"/>
        <v>0</v>
      </c>
      <c r="BB22" s="139"/>
      <c r="BC22"/>
    </row>
    <row r="23" spans="1:55" ht="15" customHeight="1" thickBot="1" x14ac:dyDescent="0.3">
      <c r="A23" s="90" t="s">
        <v>27</v>
      </c>
      <c r="B23" s="123" t="s">
        <v>148</v>
      </c>
      <c r="C23" s="114">
        <v>17</v>
      </c>
      <c r="D23" s="121">
        <f>AT23*AU23*AW23</f>
        <v>0</v>
      </c>
      <c r="E23" s="16">
        <f>ROUND(AT23*AV23*AX23,4)</f>
        <v>0</v>
      </c>
      <c r="F23" s="91">
        <f>'4'!F23+'5'!F23+'6'!F23</f>
        <v>0</v>
      </c>
      <c r="G23" s="91">
        <f>'4'!G23+'5'!G23+'6'!G23</f>
        <v>0</v>
      </c>
      <c r="H23" s="135">
        <f>'4'!H23+'5'!H23+'6'!H23</f>
        <v>0</v>
      </c>
      <c r="I23" s="135">
        <f>'4'!I23+'5'!I23+'6'!I23</f>
        <v>0</v>
      </c>
      <c r="J23" s="93" t="s">
        <v>55</v>
      </c>
      <c r="K23" s="133">
        <f>'4'!K23+'5'!K23+'6'!K23</f>
        <v>0</v>
      </c>
      <c r="L23" s="133">
        <f>'4'!L23+'5'!L23+'6'!L23</f>
        <v>0</v>
      </c>
      <c r="M23" s="91">
        <f>'4'!M23+'5'!M23+'6'!M23</f>
        <v>0</v>
      </c>
      <c r="N23" s="91">
        <f>'4'!N23+'5'!N23+'6'!N23</f>
        <v>0</v>
      </c>
      <c r="O23" s="91">
        <f>'4'!O23+'5'!O23+'6'!O23</f>
        <v>0</v>
      </c>
      <c r="P23" s="91">
        <f>'4'!P23+'5'!P23+'6'!P23</f>
        <v>0</v>
      </c>
      <c r="Q23" s="91">
        <f>'4'!Q23+'5'!Q23+'6'!Q23</f>
        <v>0</v>
      </c>
      <c r="R23" s="91">
        <f>'4'!R23+'5'!R23+'6'!R23</f>
        <v>0</v>
      </c>
      <c r="S23" s="91">
        <f>'4'!S23+'5'!S23+'6'!S23</f>
        <v>0</v>
      </c>
      <c r="T23" s="91">
        <f>'4'!T23+'5'!T23+'6'!T23</f>
        <v>0</v>
      </c>
      <c r="U23" s="91">
        <f>'4'!U23+'5'!U23+'6'!U23</f>
        <v>0</v>
      </c>
      <c r="V23" s="91">
        <f>'4'!V23+'5'!V23+'6'!V23</f>
        <v>0</v>
      </c>
      <c r="W23" s="91">
        <f>'4'!W23+'5'!W23+'6'!W23</f>
        <v>0</v>
      </c>
      <c r="X23" s="91">
        <f>'4'!X23+'5'!X23+'6'!X23</f>
        <v>0</v>
      </c>
      <c r="Y23" s="91">
        <f>'4'!Y23+'5'!Y23+'6'!Y23</f>
        <v>0</v>
      </c>
      <c r="Z23" s="91">
        <f>'4'!Z23+'5'!Z23+'6'!Z23</f>
        <v>0</v>
      </c>
      <c r="AA23" s="91">
        <f>'4'!AA23+'5'!AA23+'6'!AA23</f>
        <v>0</v>
      </c>
      <c r="AB23" s="91">
        <f>'4'!AB23+'5'!AB23+'6'!AB23</f>
        <v>0</v>
      </c>
      <c r="AC23" s="91">
        <f>'4'!AC23+'5'!AC23+'6'!AC23</f>
        <v>0</v>
      </c>
      <c r="AD23" s="91">
        <f>'4'!AD23+'5'!AD23+'6'!AD23</f>
        <v>0</v>
      </c>
      <c r="AE23" s="91">
        <f>'4'!AE23+'5'!AE23+'6'!AE23</f>
        <v>0</v>
      </c>
      <c r="AF23" s="91">
        <f>'4'!AF23+'5'!AF23+'6'!AF23</f>
        <v>0</v>
      </c>
      <c r="AG23" s="91">
        <f>'4'!AG23+'5'!AG23+'6'!AG23</f>
        <v>0</v>
      </c>
      <c r="AH23" s="91">
        <f>'4'!AH23+'5'!AH23+'6'!AH23</f>
        <v>0</v>
      </c>
      <c r="AI23" s="91">
        <f>'4'!AI23+'5'!AI23+'6'!AI23</f>
        <v>0</v>
      </c>
      <c r="AJ23" s="91">
        <f>'4'!AJ23+'5'!AJ23+'6'!AJ23</f>
        <v>0</v>
      </c>
      <c r="AK23" s="91">
        <f>'4'!AK23+'5'!AK23+'6'!AK23</f>
        <v>0</v>
      </c>
      <c r="AL23" s="91">
        <f>'4'!AL23+'5'!AL23+'6'!AL23</f>
        <v>0</v>
      </c>
      <c r="AM23" s="91">
        <f>'4'!AM23+'5'!AM23+'6'!AM23</f>
        <v>0</v>
      </c>
      <c r="AN23" s="91">
        <f>'4'!AN23+'5'!AN23+'6'!AN23</f>
        <v>0</v>
      </c>
      <c r="AO23" s="91">
        <f>'4'!AO23+'5'!AO23+'6'!AO23</f>
        <v>0</v>
      </c>
      <c r="AP23" s="91">
        <f>'4'!AP23+'5'!AP23+'6'!AP23</f>
        <v>0</v>
      </c>
      <c r="AQ23" s="16">
        <f t="shared" si="3"/>
        <v>0</v>
      </c>
      <c r="AR23" s="17">
        <f t="shared" si="11"/>
        <v>0</v>
      </c>
      <c r="AS23" s="91">
        <f>AT23</f>
        <v>0</v>
      </c>
      <c r="AT23" s="91">
        <f>'4'!AT23+'5'!AT23+'6'!AT23</f>
        <v>0</v>
      </c>
      <c r="AU23" s="92">
        <f>IF(AT23-AQ23=0,0,(AT23-M23-O23-Q23)/AT23)</f>
        <v>0</v>
      </c>
      <c r="AV23" s="92">
        <f>IF(AT23=0,0,(AT23-N23-P23-R23-AC23-AD23-AE23-AF23-AG23-AH23-AI23-AJ23-AL23)/AT23)</f>
        <v>0</v>
      </c>
      <c r="AW23" s="92">
        <f>IF(OR(AT23=0,AU23=0),0,((AT23*AU23)-S23-U23-W23-AA23-Y23)/(AT23*AU23))</f>
        <v>0</v>
      </c>
      <c r="AX23" s="92">
        <f>IF(OR(AT23=0,AV23=0),0,((AT23*AV23)-AK23-AM23-AN23-AO23-AP23-T23-V23-X23-Z23-AB23)/(AT23*AV23))</f>
        <v>0</v>
      </c>
      <c r="AY23" s="92">
        <f>IF(D23=0,0,K23/D23/24)</f>
        <v>0</v>
      </c>
      <c r="AZ23" s="92">
        <f>IF(E23=0,0,L23/E23/24)</f>
        <v>0</v>
      </c>
      <c r="BA23" s="95">
        <f>ROUND(AT23-E23-AR23,4)</f>
        <v>0</v>
      </c>
      <c r="BB23" s="140"/>
      <c r="BC23"/>
    </row>
    <row r="24" spans="1:55" ht="15" customHeight="1" thickBot="1" x14ac:dyDescent="0.3">
      <c r="A24" s="87" t="s">
        <v>80</v>
      </c>
      <c r="B24" s="124"/>
      <c r="C24" s="87"/>
      <c r="D24" s="129">
        <f t="shared" ref="D24" si="13">SUM(D25:D41)</f>
        <v>0</v>
      </c>
      <c r="E24" s="129">
        <f>SUM(E25:E41)</f>
        <v>0</v>
      </c>
      <c r="F24" s="129">
        <f>SUM(F25:F41)</f>
        <v>0</v>
      </c>
      <c r="G24" s="129">
        <f t="shared" ref="G24:AP24" si="14">SUM(G25:G41)</f>
        <v>0</v>
      </c>
      <c r="H24" s="131">
        <f t="shared" si="14"/>
        <v>0</v>
      </c>
      <c r="I24" s="131">
        <f t="shared" si="14"/>
        <v>0</v>
      </c>
      <c r="J24" s="129">
        <f t="shared" si="14"/>
        <v>0</v>
      </c>
      <c r="K24" s="130">
        <f t="shared" si="14"/>
        <v>0</v>
      </c>
      <c r="L24" s="130">
        <f t="shared" si="14"/>
        <v>0</v>
      </c>
      <c r="M24" s="129">
        <f t="shared" si="14"/>
        <v>0</v>
      </c>
      <c r="N24" s="129">
        <f t="shared" si="14"/>
        <v>0</v>
      </c>
      <c r="O24" s="129">
        <f t="shared" si="14"/>
        <v>0</v>
      </c>
      <c r="P24" s="129">
        <f t="shared" si="14"/>
        <v>0</v>
      </c>
      <c r="Q24" s="129">
        <f t="shared" si="14"/>
        <v>0</v>
      </c>
      <c r="R24" s="129">
        <f t="shared" si="14"/>
        <v>0</v>
      </c>
      <c r="S24" s="129">
        <f t="shared" si="14"/>
        <v>0</v>
      </c>
      <c r="T24" s="129">
        <f t="shared" si="14"/>
        <v>0</v>
      </c>
      <c r="U24" s="129">
        <f t="shared" si="14"/>
        <v>0</v>
      </c>
      <c r="V24" s="129">
        <f t="shared" si="14"/>
        <v>0</v>
      </c>
      <c r="W24" s="129">
        <f t="shared" si="14"/>
        <v>0</v>
      </c>
      <c r="X24" s="129">
        <f t="shared" si="14"/>
        <v>0</v>
      </c>
      <c r="Y24" s="129">
        <f t="shared" si="14"/>
        <v>0</v>
      </c>
      <c r="Z24" s="129">
        <f t="shared" si="14"/>
        <v>0</v>
      </c>
      <c r="AA24" s="129">
        <f t="shared" si="14"/>
        <v>0</v>
      </c>
      <c r="AB24" s="129">
        <f t="shared" si="14"/>
        <v>0</v>
      </c>
      <c r="AC24" s="129">
        <f t="shared" si="14"/>
        <v>0</v>
      </c>
      <c r="AD24" s="129">
        <f t="shared" si="14"/>
        <v>0</v>
      </c>
      <c r="AE24" s="129">
        <f t="shared" si="14"/>
        <v>0</v>
      </c>
      <c r="AF24" s="129">
        <f t="shared" si="14"/>
        <v>0</v>
      </c>
      <c r="AG24" s="129">
        <f t="shared" si="14"/>
        <v>0</v>
      </c>
      <c r="AH24" s="129">
        <f t="shared" si="14"/>
        <v>0</v>
      </c>
      <c r="AI24" s="129">
        <f t="shared" si="14"/>
        <v>0</v>
      </c>
      <c r="AJ24" s="129">
        <f t="shared" si="14"/>
        <v>0</v>
      </c>
      <c r="AK24" s="129">
        <f t="shared" si="14"/>
        <v>0</v>
      </c>
      <c r="AL24" s="129">
        <f>SUM(AL25:AL41)</f>
        <v>0</v>
      </c>
      <c r="AM24" s="129">
        <f t="shared" si="14"/>
        <v>0</v>
      </c>
      <c r="AN24" s="129">
        <f t="shared" si="14"/>
        <v>0</v>
      </c>
      <c r="AO24" s="129">
        <f t="shared" si="14"/>
        <v>0</v>
      </c>
      <c r="AP24" s="129">
        <f t="shared" si="14"/>
        <v>0</v>
      </c>
      <c r="AQ24" s="129">
        <f t="shared" si="3"/>
        <v>0</v>
      </c>
      <c r="AR24" s="129">
        <f t="shared" si="11"/>
        <v>0</v>
      </c>
      <c r="AS24" s="129">
        <f t="shared" ref="AS24:AS59" si="15">AT24</f>
        <v>0</v>
      </c>
      <c r="AT24" s="129">
        <f>SUM(AT25:AT41)</f>
        <v>0</v>
      </c>
      <c r="AU24" s="131">
        <f t="shared" ref="AU24:AU59" si="16">IF(AT24-AQ24=0,0,(AT24-M24-O24-Q24)/AT24)</f>
        <v>0</v>
      </c>
      <c r="AV24" s="131">
        <f t="shared" si="5"/>
        <v>0</v>
      </c>
      <c r="AW24" s="131">
        <f t="shared" ref="AW24:AW59" si="17">IF(OR(AT24=0,AU24=0),0,((AT24*AU24)-S24-U24-W24-AA24-Y24)/(AT24*AU24))</f>
        <v>0</v>
      </c>
      <c r="AX24" s="131">
        <f t="shared" ref="AX24:AX59" si="18">IF(OR(AT24=0,AV24=0),0,((AT24*AV24)-AK24-AM24-AN24-AO24-AP24-T24-V24-X24-Z24-AB24)/(AT24*AV24))</f>
        <v>0</v>
      </c>
      <c r="AY24" s="131">
        <f>SUM(AY25:AY41)</f>
        <v>0</v>
      </c>
      <c r="AZ24" s="131">
        <f>SUM(AZ25:AZ41)</f>
        <v>0</v>
      </c>
      <c r="BA24" s="129">
        <f t="shared" ref="BA24:BA59" si="19">ROUND(AT24-E24-AR24,4)</f>
        <v>0</v>
      </c>
      <c r="BB24" s="141"/>
      <c r="BC24"/>
    </row>
    <row r="25" spans="1:55" ht="15" hidden="1" customHeight="1" x14ac:dyDescent="0.25">
      <c r="A25" s="97" t="s">
        <v>28</v>
      </c>
      <c r="B25" s="115"/>
      <c r="C25" s="115">
        <v>30</v>
      </c>
      <c r="D25" s="121">
        <f>AT25*AU25*AW25</f>
        <v>0</v>
      </c>
      <c r="E25" s="16">
        <f>ROUND(AT25*AV25*AX25,4)</f>
        <v>0</v>
      </c>
      <c r="F25" s="91">
        <f>'4'!F25+'5'!F25+'6'!F25</f>
        <v>0</v>
      </c>
      <c r="G25" s="91">
        <f>'4'!G25+'5'!G25+'6'!G25</f>
        <v>0</v>
      </c>
      <c r="H25" s="135">
        <f>'4'!H25+'5'!H25+'6'!H25</f>
        <v>0</v>
      </c>
      <c r="I25" s="135">
        <f>'4'!I25+'5'!I25+'6'!I25</f>
        <v>0</v>
      </c>
      <c r="J25" s="98" t="s">
        <v>68</v>
      </c>
      <c r="K25" s="133">
        <f>'4'!K25+'5'!K25+'6'!K25</f>
        <v>0</v>
      </c>
      <c r="L25" s="133">
        <f>'4'!L25+'5'!L25+'6'!L25</f>
        <v>0</v>
      </c>
      <c r="M25" s="91">
        <f>'4'!M25+'5'!M25+'6'!M25</f>
        <v>0</v>
      </c>
      <c r="N25" s="91">
        <f>'4'!N25+'5'!N25+'6'!N25</f>
        <v>0</v>
      </c>
      <c r="O25" s="91">
        <f>'4'!O25+'5'!O25+'6'!O25</f>
        <v>0</v>
      </c>
      <c r="P25" s="91">
        <f>'4'!P25+'5'!P25+'6'!P25</f>
        <v>0</v>
      </c>
      <c r="Q25" s="91">
        <f>'4'!Q25+'5'!Q25+'6'!Q25</f>
        <v>0</v>
      </c>
      <c r="R25" s="91">
        <f>'4'!R25+'5'!R25+'6'!R25</f>
        <v>0</v>
      </c>
      <c r="S25" s="91">
        <f>'4'!S25+'5'!S25+'6'!S25</f>
        <v>0</v>
      </c>
      <c r="T25" s="91">
        <f>'4'!T25+'5'!T25+'6'!T25</f>
        <v>0</v>
      </c>
      <c r="U25" s="91">
        <f>'4'!U25+'5'!U25+'6'!U25</f>
        <v>0</v>
      </c>
      <c r="V25" s="91">
        <f>'4'!V25+'5'!V25+'6'!V25</f>
        <v>0</v>
      </c>
      <c r="W25" s="91">
        <f>'4'!W25+'5'!W25+'6'!W25</f>
        <v>0</v>
      </c>
      <c r="X25" s="91">
        <f>'4'!X25+'5'!X25+'6'!X25</f>
        <v>0</v>
      </c>
      <c r="Y25" s="91">
        <f>'4'!Y25+'5'!Y25+'6'!Y25</f>
        <v>0</v>
      </c>
      <c r="Z25" s="91">
        <f>'4'!Z25+'5'!Z25+'6'!Z25</f>
        <v>0</v>
      </c>
      <c r="AA25" s="91">
        <f>'4'!AA25+'5'!AA25+'6'!AA25</f>
        <v>0</v>
      </c>
      <c r="AB25" s="91">
        <f>'4'!AB25+'5'!AB25+'6'!AB25</f>
        <v>0</v>
      </c>
      <c r="AC25" s="91">
        <f>'4'!AC25+'5'!AC25+'6'!AC25</f>
        <v>0</v>
      </c>
      <c r="AD25" s="91">
        <f>'4'!AD25+'5'!AD25+'6'!AD25</f>
        <v>0</v>
      </c>
      <c r="AE25" s="91">
        <f>'4'!AE25+'5'!AE25+'6'!AE25</f>
        <v>0</v>
      </c>
      <c r="AF25" s="91">
        <f>'4'!AF25+'5'!AF25+'6'!AF25</f>
        <v>0</v>
      </c>
      <c r="AG25" s="91">
        <f>'4'!AG25+'5'!AG25+'6'!AG25</f>
        <v>0</v>
      </c>
      <c r="AH25" s="91">
        <f>'4'!AH25+'5'!AH25+'6'!AH25</f>
        <v>0</v>
      </c>
      <c r="AI25" s="91">
        <f>'4'!AI25+'5'!AI25+'6'!AI25</f>
        <v>0</v>
      </c>
      <c r="AJ25" s="91">
        <f>'4'!AJ25+'5'!AJ25+'6'!AJ25</f>
        <v>0</v>
      </c>
      <c r="AK25" s="91">
        <f>'4'!AK25+'5'!AK25+'6'!AK25</f>
        <v>0</v>
      </c>
      <c r="AL25" s="91">
        <f>'4'!AL25+'5'!AL25+'6'!AL25</f>
        <v>0</v>
      </c>
      <c r="AM25" s="91">
        <f>'4'!AM25+'5'!AM25+'6'!AM25</f>
        <v>0</v>
      </c>
      <c r="AN25" s="91">
        <f>'4'!AN25+'5'!AN25+'6'!AN25</f>
        <v>0</v>
      </c>
      <c r="AO25" s="91">
        <f>'4'!AO25+'5'!AO25+'6'!AO25</f>
        <v>0</v>
      </c>
      <c r="AP25" s="91">
        <f>'4'!AP25+'5'!AP25+'6'!AP25</f>
        <v>0</v>
      </c>
      <c r="AQ25" s="16">
        <f t="shared" si="3"/>
        <v>0</v>
      </c>
      <c r="AR25" s="17">
        <f t="shared" si="11"/>
        <v>0</v>
      </c>
      <c r="AS25" s="91">
        <f t="shared" si="15"/>
        <v>0</v>
      </c>
      <c r="AT25" s="17"/>
      <c r="AU25" s="92">
        <f t="shared" si="16"/>
        <v>0</v>
      </c>
      <c r="AV25" s="92">
        <f t="shared" si="5"/>
        <v>0</v>
      </c>
      <c r="AW25" s="92">
        <f t="shared" si="17"/>
        <v>0</v>
      </c>
      <c r="AX25" s="92">
        <f t="shared" si="18"/>
        <v>0</v>
      </c>
      <c r="AY25" s="82">
        <f t="shared" ref="AY25:AZ41" si="20">IF(D25=0,0,K25/D25/24)</f>
        <v>0</v>
      </c>
      <c r="AZ25" s="82">
        <f t="shared" si="20"/>
        <v>0</v>
      </c>
      <c r="BA25" s="95">
        <f t="shared" si="19"/>
        <v>0</v>
      </c>
      <c r="BB25" s="138"/>
      <c r="BC25"/>
    </row>
    <row r="26" spans="1:55" ht="15" customHeight="1" x14ac:dyDescent="0.25">
      <c r="A26" s="71" t="s">
        <v>29</v>
      </c>
      <c r="B26" s="123" t="s">
        <v>137</v>
      </c>
      <c r="C26" s="112">
        <v>32</v>
      </c>
      <c r="D26" s="121">
        <f>AT26*AU26*AW26</f>
        <v>0</v>
      </c>
      <c r="E26" s="16">
        <f>ROUND(AT26*AV26*AX26,4)</f>
        <v>0</v>
      </c>
      <c r="F26" s="91">
        <f>'4'!F26+'5'!F26+'6'!F26</f>
        <v>0</v>
      </c>
      <c r="G26" s="91">
        <f>'4'!G26+'5'!G26+'6'!G26</f>
        <v>0</v>
      </c>
      <c r="H26" s="135">
        <f>'4'!H26+'5'!H26+'6'!H26</f>
        <v>0</v>
      </c>
      <c r="I26" s="135">
        <f>'4'!I26+'5'!I26+'6'!I26</f>
        <v>0</v>
      </c>
      <c r="J26" s="9" t="s">
        <v>68</v>
      </c>
      <c r="K26" s="133">
        <f>'4'!K26+'5'!K26+'6'!K26</f>
        <v>0</v>
      </c>
      <c r="L26" s="133">
        <f>'4'!L26+'5'!L26+'6'!L26</f>
        <v>0</v>
      </c>
      <c r="M26" s="91">
        <f>'4'!M26+'5'!M26+'6'!M26</f>
        <v>0</v>
      </c>
      <c r="N26" s="91">
        <f>'4'!N26+'5'!N26+'6'!N26</f>
        <v>0</v>
      </c>
      <c r="O26" s="91">
        <f>'4'!O26+'5'!O26+'6'!O26</f>
        <v>0</v>
      </c>
      <c r="P26" s="91">
        <f>'4'!P26+'5'!P26+'6'!P26</f>
        <v>0</v>
      </c>
      <c r="Q26" s="91">
        <f>'4'!Q26+'5'!Q26+'6'!Q26</f>
        <v>0</v>
      </c>
      <c r="R26" s="91">
        <f>'4'!R26+'5'!R26+'6'!R26</f>
        <v>0</v>
      </c>
      <c r="S26" s="91">
        <f>'4'!S26+'5'!S26+'6'!S26</f>
        <v>0</v>
      </c>
      <c r="T26" s="91">
        <f>'4'!T26+'5'!T26+'6'!T26</f>
        <v>0</v>
      </c>
      <c r="U26" s="91">
        <f>'4'!U26+'5'!U26+'6'!U26</f>
        <v>0</v>
      </c>
      <c r="V26" s="91">
        <f>'4'!V26+'5'!V26+'6'!V26</f>
        <v>0</v>
      </c>
      <c r="W26" s="91">
        <f>'4'!W26+'5'!W26+'6'!W26</f>
        <v>0</v>
      </c>
      <c r="X26" s="91">
        <f>'4'!X26+'5'!X26+'6'!X26</f>
        <v>0</v>
      </c>
      <c r="Y26" s="91">
        <f>'4'!Y26+'5'!Y26+'6'!Y26</f>
        <v>0</v>
      </c>
      <c r="Z26" s="91">
        <f>'4'!Z26+'5'!Z26+'6'!Z26</f>
        <v>0</v>
      </c>
      <c r="AA26" s="91">
        <f>'4'!AA26+'5'!AA26+'6'!AA26</f>
        <v>0</v>
      </c>
      <c r="AB26" s="91">
        <f>'4'!AB26+'5'!AB26+'6'!AB26</f>
        <v>0</v>
      </c>
      <c r="AC26" s="91">
        <f>'4'!AC26+'5'!AC26+'6'!AC26</f>
        <v>0</v>
      </c>
      <c r="AD26" s="91">
        <f>'4'!AD26+'5'!AD26+'6'!AD26</f>
        <v>0</v>
      </c>
      <c r="AE26" s="91">
        <f>'4'!AE26+'5'!AE26+'6'!AE26</f>
        <v>0</v>
      </c>
      <c r="AF26" s="91">
        <f>'4'!AF26+'5'!AF26+'6'!AF26</f>
        <v>0</v>
      </c>
      <c r="AG26" s="91">
        <f>'4'!AG26+'5'!AG26+'6'!AG26</f>
        <v>0</v>
      </c>
      <c r="AH26" s="91">
        <f>'4'!AH26+'5'!AH26+'6'!AH26</f>
        <v>0</v>
      </c>
      <c r="AI26" s="91">
        <f>'4'!AI26+'5'!AI26+'6'!AI26</f>
        <v>0</v>
      </c>
      <c r="AJ26" s="91">
        <f>'4'!AJ26+'5'!AJ26+'6'!AJ26</f>
        <v>0</v>
      </c>
      <c r="AK26" s="91">
        <f>'4'!AK26+'5'!AK26+'6'!AK26</f>
        <v>0</v>
      </c>
      <c r="AL26" s="91">
        <f>'4'!AL26+'5'!AL26+'6'!AL26</f>
        <v>0</v>
      </c>
      <c r="AM26" s="91">
        <f>'4'!AM26+'5'!AM26+'6'!AM26</f>
        <v>0</v>
      </c>
      <c r="AN26" s="91">
        <f>'4'!AN26+'5'!AN26+'6'!AN26</f>
        <v>0</v>
      </c>
      <c r="AO26" s="91">
        <f>'4'!AO26+'5'!AO26+'6'!AO26</f>
        <v>0</v>
      </c>
      <c r="AP26" s="91">
        <f>'4'!AP26+'5'!AP26+'6'!AP26</f>
        <v>0</v>
      </c>
      <c r="AQ26" s="16">
        <f t="shared" si="3"/>
        <v>0</v>
      </c>
      <c r="AR26" s="17">
        <f t="shared" si="11"/>
        <v>0</v>
      </c>
      <c r="AS26" s="91">
        <f t="shared" si="15"/>
        <v>0</v>
      </c>
      <c r="AT26" s="91">
        <f>'4'!AT26+'5'!AT26+'6'!AT26</f>
        <v>0</v>
      </c>
      <c r="AU26" s="92">
        <f t="shared" si="16"/>
        <v>0</v>
      </c>
      <c r="AV26" s="92">
        <f t="shared" si="5"/>
        <v>0</v>
      </c>
      <c r="AW26" s="92">
        <f t="shared" si="17"/>
        <v>0</v>
      </c>
      <c r="AX26" s="92">
        <f t="shared" si="18"/>
        <v>0</v>
      </c>
      <c r="AY26" s="82">
        <f t="shared" si="20"/>
        <v>0</v>
      </c>
      <c r="AZ26" s="82">
        <f t="shared" si="20"/>
        <v>0</v>
      </c>
      <c r="BA26" s="95">
        <f t="shared" si="19"/>
        <v>0</v>
      </c>
      <c r="BB26" s="139"/>
      <c r="BC26"/>
    </row>
    <row r="27" spans="1:55" ht="15" customHeight="1" thickBot="1" x14ac:dyDescent="0.3">
      <c r="A27" s="71" t="s">
        <v>30</v>
      </c>
      <c r="B27" s="123" t="s">
        <v>138</v>
      </c>
      <c r="C27" s="112">
        <v>35</v>
      </c>
      <c r="D27" s="121">
        <f>AT27*AU27*AW27</f>
        <v>0</v>
      </c>
      <c r="E27" s="16">
        <f>ROUND(AT27*AV27*AX27,4)</f>
        <v>0</v>
      </c>
      <c r="F27" s="91">
        <f>'4'!F27+'5'!F27+'6'!F27</f>
        <v>0</v>
      </c>
      <c r="G27" s="91">
        <f>'4'!G27+'5'!G27+'6'!G27</f>
        <v>0</v>
      </c>
      <c r="H27" s="135">
        <f>'4'!H27+'5'!H27+'6'!H27</f>
        <v>0</v>
      </c>
      <c r="I27" s="135">
        <f>'4'!I27+'5'!I27+'6'!I27</f>
        <v>0</v>
      </c>
      <c r="J27" s="9" t="s">
        <v>68</v>
      </c>
      <c r="K27" s="133">
        <f>'4'!K27+'5'!K27+'6'!K27</f>
        <v>0</v>
      </c>
      <c r="L27" s="133">
        <f>'4'!L27+'5'!L27+'6'!L27</f>
        <v>0</v>
      </c>
      <c r="M27" s="91">
        <f>'4'!M27+'5'!M27+'6'!M27</f>
        <v>0</v>
      </c>
      <c r="N27" s="91">
        <f>'4'!N27+'5'!N27+'6'!N27</f>
        <v>0</v>
      </c>
      <c r="O27" s="91">
        <f>'4'!O27+'5'!O27+'6'!O27</f>
        <v>0</v>
      </c>
      <c r="P27" s="91">
        <f>'4'!P27+'5'!P27+'6'!P27</f>
        <v>0</v>
      </c>
      <c r="Q27" s="91">
        <f>'4'!Q27+'5'!Q27+'6'!Q27</f>
        <v>0</v>
      </c>
      <c r="R27" s="91">
        <f>'4'!R27+'5'!R27+'6'!R27</f>
        <v>0</v>
      </c>
      <c r="S27" s="91">
        <f>'4'!S27+'5'!S27+'6'!S27</f>
        <v>0</v>
      </c>
      <c r="T27" s="91">
        <f>'4'!T27+'5'!T27+'6'!T27</f>
        <v>0</v>
      </c>
      <c r="U27" s="91">
        <f>'4'!U27+'5'!U27+'6'!U27</f>
        <v>0</v>
      </c>
      <c r="V27" s="91">
        <f>'4'!V27+'5'!V27+'6'!V27</f>
        <v>0</v>
      </c>
      <c r="W27" s="91">
        <f>'4'!W27+'5'!W27+'6'!W27</f>
        <v>0</v>
      </c>
      <c r="X27" s="91">
        <f>'4'!X27+'5'!X27+'6'!X27</f>
        <v>0</v>
      </c>
      <c r="Y27" s="91">
        <f>'4'!Y27+'5'!Y27+'6'!Y27</f>
        <v>0</v>
      </c>
      <c r="Z27" s="91">
        <f>'4'!Z27+'5'!Z27+'6'!Z27</f>
        <v>0</v>
      </c>
      <c r="AA27" s="91">
        <f>'4'!AA27+'5'!AA27+'6'!AA27</f>
        <v>0</v>
      </c>
      <c r="AB27" s="91">
        <f>'4'!AB27+'5'!AB27+'6'!AB27</f>
        <v>0</v>
      </c>
      <c r="AC27" s="91">
        <f>'4'!AC27+'5'!AC27+'6'!AC27</f>
        <v>0</v>
      </c>
      <c r="AD27" s="91">
        <f>'4'!AD27+'5'!AD27+'6'!AD27</f>
        <v>0</v>
      </c>
      <c r="AE27" s="91">
        <f>'4'!AE27+'5'!AE27+'6'!AE27</f>
        <v>0</v>
      </c>
      <c r="AF27" s="91">
        <f>'4'!AF27+'5'!AF27+'6'!AF27</f>
        <v>0</v>
      </c>
      <c r="AG27" s="91">
        <f>'4'!AG27+'5'!AG27+'6'!AG27</f>
        <v>0</v>
      </c>
      <c r="AH27" s="91">
        <f>'4'!AH27+'5'!AH27+'6'!AH27</f>
        <v>0</v>
      </c>
      <c r="AI27" s="91">
        <f>'4'!AI27+'5'!AI27+'6'!AI27</f>
        <v>0</v>
      </c>
      <c r="AJ27" s="91">
        <f>'4'!AJ27+'5'!AJ27+'6'!AJ27</f>
        <v>0</v>
      </c>
      <c r="AK27" s="91">
        <f>'4'!AK27+'5'!AK27+'6'!AK27</f>
        <v>0</v>
      </c>
      <c r="AL27" s="91">
        <f>'4'!AL27+'5'!AL27+'6'!AL27</f>
        <v>0</v>
      </c>
      <c r="AM27" s="91">
        <f>'4'!AM27+'5'!AM27+'6'!AM27</f>
        <v>0</v>
      </c>
      <c r="AN27" s="91">
        <f>'4'!AN27+'5'!AN27+'6'!AN27</f>
        <v>0</v>
      </c>
      <c r="AO27" s="91">
        <f>'4'!AO27+'5'!AO27+'6'!AO27</f>
        <v>0</v>
      </c>
      <c r="AP27" s="91">
        <f>'4'!AP27+'5'!AP27+'6'!AP27</f>
        <v>0</v>
      </c>
      <c r="AQ27" s="16">
        <f t="shared" si="3"/>
        <v>0</v>
      </c>
      <c r="AR27" s="17">
        <f t="shared" si="11"/>
        <v>0</v>
      </c>
      <c r="AS27" s="91">
        <f t="shared" si="15"/>
        <v>0</v>
      </c>
      <c r="AT27" s="91">
        <f>'4'!AT27+'5'!AT27+'6'!AT27</f>
        <v>0</v>
      </c>
      <c r="AU27" s="92">
        <f t="shared" si="16"/>
        <v>0</v>
      </c>
      <c r="AV27" s="92">
        <f t="shared" si="5"/>
        <v>0</v>
      </c>
      <c r="AW27" s="92">
        <f t="shared" si="17"/>
        <v>0</v>
      </c>
      <c r="AX27" s="92">
        <f t="shared" si="18"/>
        <v>0</v>
      </c>
      <c r="AY27" s="82">
        <f t="shared" si="20"/>
        <v>0</v>
      </c>
      <c r="AZ27" s="82">
        <f t="shared" si="20"/>
        <v>0</v>
      </c>
      <c r="BA27" s="95">
        <f t="shared" si="19"/>
        <v>0</v>
      </c>
      <c r="BB27" s="139"/>
      <c r="BC27"/>
    </row>
    <row r="28" spans="1:55" ht="15" hidden="1" customHeight="1" x14ac:dyDescent="0.3">
      <c r="A28" s="72" t="s">
        <v>31</v>
      </c>
      <c r="B28" s="111"/>
      <c r="C28" s="111">
        <v>39</v>
      </c>
      <c r="D28" s="121">
        <f t="shared" ref="D28:D41" si="21">AT28*AU28*AW28</f>
        <v>0</v>
      </c>
      <c r="E28" s="16">
        <f t="shared" ref="E28:E41" si="22">ROUND(AT28*AV28*AX28,4)</f>
        <v>0</v>
      </c>
      <c r="F28" s="91">
        <f>'4'!F28+'5'!F28+'6'!F28</f>
        <v>0</v>
      </c>
      <c r="G28" s="91">
        <f>'4'!G28+'5'!G28+'6'!G28</f>
        <v>0</v>
      </c>
      <c r="H28" s="135">
        <f>'4'!H28+'5'!H28+'6'!H28</f>
        <v>0</v>
      </c>
      <c r="I28" s="135">
        <f>'4'!I28+'5'!I28+'6'!I28</f>
        <v>0</v>
      </c>
      <c r="J28" s="9" t="s">
        <v>68</v>
      </c>
      <c r="K28" s="133">
        <f>'4'!K28+'5'!K28+'6'!K28</f>
        <v>0</v>
      </c>
      <c r="L28" s="133">
        <f>'4'!L28+'5'!L28+'6'!L28</f>
        <v>0</v>
      </c>
      <c r="M28" s="91">
        <f>'4'!M28+'5'!M28+'6'!M28</f>
        <v>0</v>
      </c>
      <c r="N28" s="91">
        <f>'4'!N28+'5'!N28+'6'!N28</f>
        <v>0</v>
      </c>
      <c r="O28" s="91">
        <f>'4'!O28+'5'!O28+'6'!O28</f>
        <v>0</v>
      </c>
      <c r="P28" s="91">
        <f>'4'!P28+'5'!P28+'6'!P28</f>
        <v>0</v>
      </c>
      <c r="Q28" s="91">
        <f>'4'!Q28+'5'!Q28+'6'!Q28</f>
        <v>0</v>
      </c>
      <c r="R28" s="91">
        <f>'4'!R28+'5'!R28+'6'!R28</f>
        <v>0</v>
      </c>
      <c r="S28" s="91">
        <f>'4'!S28+'5'!S28+'6'!S28</f>
        <v>0</v>
      </c>
      <c r="T28" s="91">
        <f>'4'!T28+'5'!T28+'6'!T28</f>
        <v>0</v>
      </c>
      <c r="U28" s="91">
        <f>'4'!U28+'5'!U28+'6'!U28</f>
        <v>0</v>
      </c>
      <c r="V28" s="91">
        <f>'4'!V28+'5'!V28+'6'!V28</f>
        <v>0</v>
      </c>
      <c r="W28" s="91">
        <f>'4'!W28+'5'!W28+'6'!W28</f>
        <v>0</v>
      </c>
      <c r="X28" s="91">
        <f>'4'!X28+'5'!X28+'6'!X28</f>
        <v>0</v>
      </c>
      <c r="Y28" s="91">
        <f>'4'!Y28+'5'!Y28+'6'!Y28</f>
        <v>0</v>
      </c>
      <c r="Z28" s="91">
        <f>'4'!Z28+'5'!Z28+'6'!Z28</f>
        <v>0</v>
      </c>
      <c r="AA28" s="91">
        <f>'4'!AA28+'5'!AA28+'6'!AA28</f>
        <v>0</v>
      </c>
      <c r="AB28" s="91">
        <f>'4'!AB28+'5'!AB28+'6'!AB28</f>
        <v>0</v>
      </c>
      <c r="AC28" s="91">
        <f>'4'!AC28+'5'!AC28+'6'!AC28</f>
        <v>0</v>
      </c>
      <c r="AD28" s="91">
        <f>'4'!AD28+'5'!AD28+'6'!AD28</f>
        <v>0</v>
      </c>
      <c r="AE28" s="91">
        <f>'4'!AE28+'5'!AE28+'6'!AE28</f>
        <v>0</v>
      </c>
      <c r="AF28" s="91">
        <f>'4'!AF28+'5'!AF28+'6'!AF28</f>
        <v>0</v>
      </c>
      <c r="AG28" s="91">
        <f>'4'!AG28+'5'!AG28+'6'!AG28</f>
        <v>0</v>
      </c>
      <c r="AH28" s="91">
        <f>'4'!AH28+'5'!AH28+'6'!AH28</f>
        <v>0</v>
      </c>
      <c r="AI28" s="91">
        <f>'4'!AI28+'5'!AI28+'6'!AI28</f>
        <v>0</v>
      </c>
      <c r="AJ28" s="91">
        <f>'4'!AJ28+'5'!AJ28+'6'!AJ28</f>
        <v>0</v>
      </c>
      <c r="AK28" s="91">
        <f>'4'!AK28+'5'!AK28+'6'!AK28</f>
        <v>0</v>
      </c>
      <c r="AL28" s="91">
        <f>'4'!AL28+'5'!AL28+'6'!AL28</f>
        <v>0</v>
      </c>
      <c r="AM28" s="91">
        <f>'4'!AM28+'5'!AM28+'6'!AM28</f>
        <v>0</v>
      </c>
      <c r="AN28" s="91">
        <f>'4'!AN28+'5'!AN28+'6'!AN28</f>
        <v>0</v>
      </c>
      <c r="AO28" s="91">
        <f>'4'!AO28+'5'!AO28+'6'!AO28</f>
        <v>0</v>
      </c>
      <c r="AP28" s="91">
        <f>'4'!AP28+'5'!AP28+'6'!AP28</f>
        <v>0</v>
      </c>
      <c r="AQ28" s="16">
        <f t="shared" si="3"/>
        <v>0</v>
      </c>
      <c r="AR28" s="17">
        <f t="shared" si="11"/>
        <v>0</v>
      </c>
      <c r="AS28" s="91">
        <f t="shared" si="15"/>
        <v>0</v>
      </c>
      <c r="AT28" s="15"/>
      <c r="AU28" s="92">
        <f t="shared" si="16"/>
        <v>0</v>
      </c>
      <c r="AV28" s="92">
        <f t="shared" si="5"/>
        <v>0</v>
      </c>
      <c r="AW28" s="92">
        <f t="shared" si="17"/>
        <v>0</v>
      </c>
      <c r="AX28" s="92">
        <f t="shared" si="18"/>
        <v>0</v>
      </c>
      <c r="AY28" s="82">
        <f t="shared" si="20"/>
        <v>0</v>
      </c>
      <c r="AZ28" s="82">
        <f t="shared" si="20"/>
        <v>0</v>
      </c>
      <c r="BA28" s="95">
        <f t="shared" si="19"/>
        <v>0</v>
      </c>
      <c r="BB28" s="139"/>
      <c r="BC28"/>
    </row>
    <row r="29" spans="1:55" ht="15" hidden="1" customHeight="1" x14ac:dyDescent="0.3">
      <c r="A29" s="72" t="s">
        <v>32</v>
      </c>
      <c r="B29" s="111"/>
      <c r="C29" s="111">
        <v>40</v>
      </c>
      <c r="D29" s="121">
        <f t="shared" si="21"/>
        <v>0</v>
      </c>
      <c r="E29" s="16">
        <f t="shared" si="22"/>
        <v>0</v>
      </c>
      <c r="F29" s="91">
        <f>'4'!F29+'5'!F29+'6'!F29</f>
        <v>0</v>
      </c>
      <c r="G29" s="91">
        <f>'4'!G29+'5'!G29+'6'!G29</f>
        <v>0</v>
      </c>
      <c r="H29" s="135">
        <f>'4'!H29+'5'!H29+'6'!H29</f>
        <v>0</v>
      </c>
      <c r="I29" s="135">
        <f>'4'!I29+'5'!I29+'6'!I29</f>
        <v>0</v>
      </c>
      <c r="J29" s="9" t="s">
        <v>68</v>
      </c>
      <c r="K29" s="133">
        <f>'4'!K29+'5'!K29+'6'!K29</f>
        <v>0</v>
      </c>
      <c r="L29" s="133">
        <f>'4'!L29+'5'!L29+'6'!L29</f>
        <v>0</v>
      </c>
      <c r="M29" s="91">
        <f>'4'!M29+'5'!M29+'6'!M29</f>
        <v>0</v>
      </c>
      <c r="N29" s="91">
        <f>'4'!N29+'5'!N29+'6'!N29</f>
        <v>0</v>
      </c>
      <c r="O29" s="91">
        <f>'4'!O29+'5'!O29+'6'!O29</f>
        <v>0</v>
      </c>
      <c r="P29" s="91">
        <f>'4'!P29+'5'!P29+'6'!P29</f>
        <v>0</v>
      </c>
      <c r="Q29" s="91">
        <f>'4'!Q29+'5'!Q29+'6'!Q29</f>
        <v>0</v>
      </c>
      <c r="R29" s="91">
        <f>'4'!R29+'5'!R29+'6'!R29</f>
        <v>0</v>
      </c>
      <c r="S29" s="91">
        <f>'4'!S29+'5'!S29+'6'!S29</f>
        <v>0</v>
      </c>
      <c r="T29" s="91">
        <f>'4'!T29+'5'!T29+'6'!T29</f>
        <v>0</v>
      </c>
      <c r="U29" s="91">
        <f>'4'!U29+'5'!U29+'6'!U29</f>
        <v>0</v>
      </c>
      <c r="V29" s="91">
        <f>'4'!V29+'5'!V29+'6'!V29</f>
        <v>0</v>
      </c>
      <c r="W29" s="91">
        <f>'4'!W29+'5'!W29+'6'!W29</f>
        <v>0</v>
      </c>
      <c r="X29" s="91">
        <f>'4'!X29+'5'!X29+'6'!X29</f>
        <v>0</v>
      </c>
      <c r="Y29" s="91">
        <f>'4'!Y29+'5'!Y29+'6'!Y29</f>
        <v>0</v>
      </c>
      <c r="Z29" s="91">
        <f>'4'!Z29+'5'!Z29+'6'!Z29</f>
        <v>0</v>
      </c>
      <c r="AA29" s="91">
        <f>'4'!AA29+'5'!AA29+'6'!AA29</f>
        <v>0</v>
      </c>
      <c r="AB29" s="91">
        <f>'4'!AB29+'5'!AB29+'6'!AB29</f>
        <v>0</v>
      </c>
      <c r="AC29" s="91">
        <f>'4'!AC29+'5'!AC29+'6'!AC29</f>
        <v>0</v>
      </c>
      <c r="AD29" s="91">
        <f>'4'!AD29+'5'!AD29+'6'!AD29</f>
        <v>0</v>
      </c>
      <c r="AE29" s="91">
        <f>'4'!AE29+'5'!AE29+'6'!AE29</f>
        <v>0</v>
      </c>
      <c r="AF29" s="91">
        <f>'4'!AF29+'5'!AF29+'6'!AF29</f>
        <v>0</v>
      </c>
      <c r="AG29" s="91">
        <f>'4'!AG29+'5'!AG29+'6'!AG29</f>
        <v>0</v>
      </c>
      <c r="AH29" s="91">
        <f>'4'!AH29+'5'!AH29+'6'!AH29</f>
        <v>0</v>
      </c>
      <c r="AI29" s="91">
        <f>'4'!AI29+'5'!AI29+'6'!AI29</f>
        <v>0</v>
      </c>
      <c r="AJ29" s="91">
        <f>'4'!AJ29+'5'!AJ29+'6'!AJ29</f>
        <v>0</v>
      </c>
      <c r="AK29" s="91">
        <f>'4'!AK29+'5'!AK29+'6'!AK29</f>
        <v>0</v>
      </c>
      <c r="AL29" s="91">
        <f>'4'!AL29+'5'!AL29+'6'!AL29</f>
        <v>0</v>
      </c>
      <c r="AM29" s="91">
        <f>'4'!AM29+'5'!AM29+'6'!AM29</f>
        <v>0</v>
      </c>
      <c r="AN29" s="91">
        <f>'4'!AN29+'5'!AN29+'6'!AN29</f>
        <v>0</v>
      </c>
      <c r="AO29" s="91">
        <f>'4'!AO29+'5'!AO29+'6'!AO29</f>
        <v>0</v>
      </c>
      <c r="AP29" s="91">
        <f>'4'!AP29+'5'!AP29+'6'!AP29</f>
        <v>0</v>
      </c>
      <c r="AQ29" s="16">
        <f t="shared" si="3"/>
        <v>0</v>
      </c>
      <c r="AR29" s="17">
        <f t="shared" si="11"/>
        <v>0</v>
      </c>
      <c r="AS29" s="91">
        <f t="shared" si="15"/>
        <v>0</v>
      </c>
      <c r="AT29" s="15"/>
      <c r="AU29" s="92">
        <f t="shared" si="16"/>
        <v>0</v>
      </c>
      <c r="AV29" s="92">
        <f t="shared" si="5"/>
        <v>0</v>
      </c>
      <c r="AW29" s="92">
        <f t="shared" si="17"/>
        <v>0</v>
      </c>
      <c r="AX29" s="92">
        <f t="shared" si="18"/>
        <v>0</v>
      </c>
      <c r="AY29" s="82">
        <f t="shared" si="20"/>
        <v>0</v>
      </c>
      <c r="AZ29" s="82">
        <f t="shared" si="20"/>
        <v>0</v>
      </c>
      <c r="BA29" s="95">
        <f t="shared" si="19"/>
        <v>0</v>
      </c>
      <c r="BB29" s="139"/>
      <c r="BC29"/>
    </row>
    <row r="30" spans="1:55" ht="15" hidden="1" customHeight="1" x14ac:dyDescent="0.3">
      <c r="A30" s="72" t="s">
        <v>33</v>
      </c>
      <c r="B30" s="111"/>
      <c r="C30" s="111">
        <v>41</v>
      </c>
      <c r="D30" s="121">
        <f t="shared" si="21"/>
        <v>0</v>
      </c>
      <c r="E30" s="16">
        <f t="shared" si="22"/>
        <v>0</v>
      </c>
      <c r="F30" s="91">
        <f>'4'!F30+'5'!F30+'6'!F30</f>
        <v>0</v>
      </c>
      <c r="G30" s="91">
        <f>'4'!G30+'5'!G30+'6'!G30</f>
        <v>0</v>
      </c>
      <c r="H30" s="135">
        <f>'4'!H30+'5'!H30+'6'!H30</f>
        <v>0</v>
      </c>
      <c r="I30" s="135">
        <f>'4'!I30+'5'!I30+'6'!I30</f>
        <v>0</v>
      </c>
      <c r="J30" s="9" t="s">
        <v>68</v>
      </c>
      <c r="K30" s="133">
        <f>'4'!K30+'5'!K30+'6'!K30</f>
        <v>0</v>
      </c>
      <c r="L30" s="133">
        <f>'4'!L30+'5'!L30+'6'!L30</f>
        <v>0</v>
      </c>
      <c r="M30" s="91">
        <f>'4'!M30+'5'!M30+'6'!M30</f>
        <v>0</v>
      </c>
      <c r="N30" s="91">
        <f>'4'!N30+'5'!N30+'6'!N30</f>
        <v>0</v>
      </c>
      <c r="O30" s="91">
        <f>'4'!O30+'5'!O30+'6'!O30</f>
        <v>0</v>
      </c>
      <c r="P30" s="91">
        <f>'4'!P30+'5'!P30+'6'!P30</f>
        <v>0</v>
      </c>
      <c r="Q30" s="91">
        <f>'4'!Q30+'5'!Q30+'6'!Q30</f>
        <v>0</v>
      </c>
      <c r="R30" s="91">
        <f>'4'!R30+'5'!R30+'6'!R30</f>
        <v>0</v>
      </c>
      <c r="S30" s="91">
        <f>'4'!S30+'5'!S30+'6'!S30</f>
        <v>0</v>
      </c>
      <c r="T30" s="91">
        <f>'4'!T30+'5'!T30+'6'!T30</f>
        <v>0</v>
      </c>
      <c r="U30" s="91">
        <f>'4'!U30+'5'!U30+'6'!U30</f>
        <v>0</v>
      </c>
      <c r="V30" s="91">
        <f>'4'!V30+'5'!V30+'6'!V30</f>
        <v>0</v>
      </c>
      <c r="W30" s="91">
        <f>'4'!W30+'5'!W30+'6'!W30</f>
        <v>0</v>
      </c>
      <c r="X30" s="91">
        <f>'4'!X30+'5'!X30+'6'!X30</f>
        <v>0</v>
      </c>
      <c r="Y30" s="91">
        <f>'4'!Y30+'5'!Y30+'6'!Y30</f>
        <v>0</v>
      </c>
      <c r="Z30" s="91">
        <f>'4'!Z30+'5'!Z30+'6'!Z30</f>
        <v>0</v>
      </c>
      <c r="AA30" s="91">
        <f>'4'!AA30+'5'!AA30+'6'!AA30</f>
        <v>0</v>
      </c>
      <c r="AB30" s="91">
        <f>'4'!AB30+'5'!AB30+'6'!AB30</f>
        <v>0</v>
      </c>
      <c r="AC30" s="91">
        <f>'4'!AC30+'5'!AC30+'6'!AC30</f>
        <v>0</v>
      </c>
      <c r="AD30" s="91">
        <f>'4'!AD30+'5'!AD30+'6'!AD30</f>
        <v>0</v>
      </c>
      <c r="AE30" s="91">
        <f>'4'!AE30+'5'!AE30+'6'!AE30</f>
        <v>0</v>
      </c>
      <c r="AF30" s="91">
        <f>'4'!AF30+'5'!AF30+'6'!AF30</f>
        <v>0</v>
      </c>
      <c r="AG30" s="91">
        <f>'4'!AG30+'5'!AG30+'6'!AG30</f>
        <v>0</v>
      </c>
      <c r="AH30" s="91">
        <f>'4'!AH30+'5'!AH30+'6'!AH30</f>
        <v>0</v>
      </c>
      <c r="AI30" s="91">
        <f>'4'!AI30+'5'!AI30+'6'!AI30</f>
        <v>0</v>
      </c>
      <c r="AJ30" s="91">
        <f>'4'!AJ30+'5'!AJ30+'6'!AJ30</f>
        <v>0</v>
      </c>
      <c r="AK30" s="91">
        <f>'4'!AK30+'5'!AK30+'6'!AK30</f>
        <v>0</v>
      </c>
      <c r="AL30" s="91">
        <f>'4'!AL30+'5'!AL30+'6'!AL30</f>
        <v>0</v>
      </c>
      <c r="AM30" s="91">
        <f>'4'!AM30+'5'!AM30+'6'!AM30</f>
        <v>0</v>
      </c>
      <c r="AN30" s="91">
        <f>'4'!AN30+'5'!AN30+'6'!AN30</f>
        <v>0</v>
      </c>
      <c r="AO30" s="91">
        <f>'4'!AO30+'5'!AO30+'6'!AO30</f>
        <v>0</v>
      </c>
      <c r="AP30" s="91">
        <f>'4'!AP30+'5'!AP30+'6'!AP30</f>
        <v>0</v>
      </c>
      <c r="AQ30" s="16">
        <f t="shared" si="3"/>
        <v>0</v>
      </c>
      <c r="AR30" s="17">
        <f t="shared" si="11"/>
        <v>0</v>
      </c>
      <c r="AS30" s="91">
        <f t="shared" si="15"/>
        <v>0</v>
      </c>
      <c r="AT30" s="15"/>
      <c r="AU30" s="92">
        <f t="shared" si="16"/>
        <v>0</v>
      </c>
      <c r="AV30" s="92">
        <f t="shared" si="5"/>
        <v>0</v>
      </c>
      <c r="AW30" s="92">
        <f t="shared" si="17"/>
        <v>0</v>
      </c>
      <c r="AX30" s="92">
        <f t="shared" si="18"/>
        <v>0</v>
      </c>
      <c r="AY30" s="82">
        <f t="shared" si="20"/>
        <v>0</v>
      </c>
      <c r="AZ30" s="82">
        <f t="shared" si="20"/>
        <v>0</v>
      </c>
      <c r="BA30" s="95">
        <f t="shared" si="19"/>
        <v>0</v>
      </c>
      <c r="BB30" s="139"/>
      <c r="BC30"/>
    </row>
    <row r="31" spans="1:55" ht="15" hidden="1" customHeight="1" x14ac:dyDescent="0.3">
      <c r="A31" s="72" t="s">
        <v>34</v>
      </c>
      <c r="B31" s="111"/>
      <c r="C31" s="111">
        <v>42</v>
      </c>
      <c r="D31" s="121">
        <f t="shared" si="21"/>
        <v>0</v>
      </c>
      <c r="E31" s="16">
        <f t="shared" si="22"/>
        <v>0</v>
      </c>
      <c r="F31" s="91">
        <f>'4'!F31+'5'!F31+'6'!F31</f>
        <v>0</v>
      </c>
      <c r="G31" s="91">
        <f>'4'!G31+'5'!G31+'6'!G31</f>
        <v>0</v>
      </c>
      <c r="H31" s="135">
        <f>'4'!H31+'5'!H31+'6'!H31</f>
        <v>0</v>
      </c>
      <c r="I31" s="135">
        <f>'4'!I31+'5'!I31+'6'!I31</f>
        <v>0</v>
      </c>
      <c r="J31" s="9" t="s">
        <v>68</v>
      </c>
      <c r="K31" s="133">
        <f>'4'!K31+'5'!K31+'6'!K31</f>
        <v>0</v>
      </c>
      <c r="L31" s="133">
        <f>'4'!L31+'5'!L31+'6'!L31</f>
        <v>0</v>
      </c>
      <c r="M31" s="91">
        <f>'4'!M31+'5'!M31+'6'!M31</f>
        <v>0</v>
      </c>
      <c r="N31" s="91">
        <f>'4'!N31+'5'!N31+'6'!N31</f>
        <v>0</v>
      </c>
      <c r="O31" s="91">
        <f>'4'!O31+'5'!O31+'6'!O31</f>
        <v>0</v>
      </c>
      <c r="P31" s="91">
        <f>'4'!P31+'5'!P31+'6'!P31</f>
        <v>0</v>
      </c>
      <c r="Q31" s="91">
        <f>'4'!Q31+'5'!Q31+'6'!Q31</f>
        <v>0</v>
      </c>
      <c r="R31" s="91">
        <f>'4'!R31+'5'!R31+'6'!R31</f>
        <v>0</v>
      </c>
      <c r="S31" s="91">
        <f>'4'!S31+'5'!S31+'6'!S31</f>
        <v>0</v>
      </c>
      <c r="T31" s="91">
        <f>'4'!T31+'5'!T31+'6'!T31</f>
        <v>0</v>
      </c>
      <c r="U31" s="91">
        <f>'4'!U31+'5'!U31+'6'!U31</f>
        <v>0</v>
      </c>
      <c r="V31" s="91">
        <f>'4'!V31+'5'!V31+'6'!V31</f>
        <v>0</v>
      </c>
      <c r="W31" s="91">
        <f>'4'!W31+'5'!W31+'6'!W31</f>
        <v>0</v>
      </c>
      <c r="X31" s="91">
        <f>'4'!X31+'5'!X31+'6'!X31</f>
        <v>0</v>
      </c>
      <c r="Y31" s="91">
        <f>'4'!Y31+'5'!Y31+'6'!Y31</f>
        <v>0</v>
      </c>
      <c r="Z31" s="91">
        <f>'4'!Z31+'5'!Z31+'6'!Z31</f>
        <v>0</v>
      </c>
      <c r="AA31" s="91">
        <f>'4'!AA31+'5'!AA31+'6'!AA31</f>
        <v>0</v>
      </c>
      <c r="AB31" s="91">
        <f>'4'!AB31+'5'!AB31+'6'!AB31</f>
        <v>0</v>
      </c>
      <c r="AC31" s="91">
        <f>'4'!AC31+'5'!AC31+'6'!AC31</f>
        <v>0</v>
      </c>
      <c r="AD31" s="91">
        <f>'4'!AD31+'5'!AD31+'6'!AD31</f>
        <v>0</v>
      </c>
      <c r="AE31" s="91">
        <f>'4'!AE31+'5'!AE31+'6'!AE31</f>
        <v>0</v>
      </c>
      <c r="AF31" s="91">
        <f>'4'!AF31+'5'!AF31+'6'!AF31</f>
        <v>0</v>
      </c>
      <c r="AG31" s="91">
        <f>'4'!AG31+'5'!AG31+'6'!AG31</f>
        <v>0</v>
      </c>
      <c r="AH31" s="91">
        <f>'4'!AH31+'5'!AH31+'6'!AH31</f>
        <v>0</v>
      </c>
      <c r="AI31" s="91">
        <f>'4'!AI31+'5'!AI31+'6'!AI31</f>
        <v>0</v>
      </c>
      <c r="AJ31" s="91">
        <f>'4'!AJ31+'5'!AJ31+'6'!AJ31</f>
        <v>0</v>
      </c>
      <c r="AK31" s="91">
        <f>'4'!AK31+'5'!AK31+'6'!AK31</f>
        <v>0</v>
      </c>
      <c r="AL31" s="91">
        <f>'4'!AL31+'5'!AL31+'6'!AL31</f>
        <v>0</v>
      </c>
      <c r="AM31" s="91">
        <f>'4'!AM31+'5'!AM31+'6'!AM31</f>
        <v>0</v>
      </c>
      <c r="AN31" s="91">
        <f>'4'!AN31+'5'!AN31+'6'!AN31</f>
        <v>0</v>
      </c>
      <c r="AO31" s="91">
        <f>'4'!AO31+'5'!AO31+'6'!AO31</f>
        <v>0</v>
      </c>
      <c r="AP31" s="91">
        <f>'4'!AP31+'5'!AP31+'6'!AP31</f>
        <v>0</v>
      </c>
      <c r="AQ31" s="16">
        <f t="shared" si="3"/>
        <v>0</v>
      </c>
      <c r="AR31" s="17">
        <f t="shared" si="11"/>
        <v>0</v>
      </c>
      <c r="AS31" s="91">
        <f t="shared" si="15"/>
        <v>0</v>
      </c>
      <c r="AT31" s="15"/>
      <c r="AU31" s="92">
        <f t="shared" si="16"/>
        <v>0</v>
      </c>
      <c r="AV31" s="92">
        <f t="shared" si="5"/>
        <v>0</v>
      </c>
      <c r="AW31" s="92">
        <f t="shared" si="17"/>
        <v>0</v>
      </c>
      <c r="AX31" s="92">
        <f t="shared" si="18"/>
        <v>0</v>
      </c>
      <c r="AY31" s="82">
        <f t="shared" si="20"/>
        <v>0</v>
      </c>
      <c r="AZ31" s="82">
        <f t="shared" si="20"/>
        <v>0</v>
      </c>
      <c r="BA31" s="95">
        <f t="shared" si="19"/>
        <v>0</v>
      </c>
      <c r="BB31" s="139"/>
      <c r="BC31"/>
    </row>
    <row r="32" spans="1:55" ht="15" hidden="1" customHeight="1" x14ac:dyDescent="0.3">
      <c r="A32" s="72" t="s">
        <v>35</v>
      </c>
      <c r="B32" s="111"/>
      <c r="C32" s="111">
        <v>43</v>
      </c>
      <c r="D32" s="121">
        <f t="shared" si="21"/>
        <v>0</v>
      </c>
      <c r="E32" s="16">
        <f t="shared" si="22"/>
        <v>0</v>
      </c>
      <c r="F32" s="91">
        <f>'4'!F32+'5'!F32+'6'!F32</f>
        <v>0</v>
      </c>
      <c r="G32" s="91">
        <f>'4'!G32+'5'!G32+'6'!G32</f>
        <v>0</v>
      </c>
      <c r="H32" s="135">
        <f>'4'!H32+'5'!H32+'6'!H32</f>
        <v>0</v>
      </c>
      <c r="I32" s="135">
        <f>'4'!I32+'5'!I32+'6'!I32</f>
        <v>0</v>
      </c>
      <c r="J32" s="9" t="s">
        <v>68</v>
      </c>
      <c r="K32" s="133">
        <f>'4'!K32+'5'!K32+'6'!K32</f>
        <v>0</v>
      </c>
      <c r="L32" s="133">
        <f>'4'!L32+'5'!L32+'6'!L32</f>
        <v>0</v>
      </c>
      <c r="M32" s="91">
        <f>'4'!M32+'5'!M32+'6'!M32</f>
        <v>0</v>
      </c>
      <c r="N32" s="91">
        <f>'4'!N32+'5'!N32+'6'!N32</f>
        <v>0</v>
      </c>
      <c r="O32" s="91">
        <f>'4'!O32+'5'!O32+'6'!O32</f>
        <v>0</v>
      </c>
      <c r="P32" s="91">
        <f>'4'!P32+'5'!P32+'6'!P32</f>
        <v>0</v>
      </c>
      <c r="Q32" s="91">
        <f>'4'!Q32+'5'!Q32+'6'!Q32</f>
        <v>0</v>
      </c>
      <c r="R32" s="91">
        <f>'4'!R32+'5'!R32+'6'!R32</f>
        <v>0</v>
      </c>
      <c r="S32" s="91">
        <f>'4'!S32+'5'!S32+'6'!S32</f>
        <v>0</v>
      </c>
      <c r="T32" s="91">
        <f>'4'!T32+'5'!T32+'6'!T32</f>
        <v>0</v>
      </c>
      <c r="U32" s="91">
        <f>'4'!U32+'5'!U32+'6'!U32</f>
        <v>0</v>
      </c>
      <c r="V32" s="91">
        <f>'4'!V32+'5'!V32+'6'!V32</f>
        <v>0</v>
      </c>
      <c r="W32" s="91">
        <f>'4'!W32+'5'!W32+'6'!W32</f>
        <v>0</v>
      </c>
      <c r="X32" s="91">
        <f>'4'!X32+'5'!X32+'6'!X32</f>
        <v>0</v>
      </c>
      <c r="Y32" s="91">
        <f>'4'!Y32+'5'!Y32+'6'!Y32</f>
        <v>0</v>
      </c>
      <c r="Z32" s="91">
        <f>'4'!Z32+'5'!Z32+'6'!Z32</f>
        <v>0</v>
      </c>
      <c r="AA32" s="91">
        <f>'4'!AA32+'5'!AA32+'6'!AA32</f>
        <v>0</v>
      </c>
      <c r="AB32" s="91">
        <f>'4'!AB32+'5'!AB32+'6'!AB32</f>
        <v>0</v>
      </c>
      <c r="AC32" s="91">
        <f>'4'!AC32+'5'!AC32+'6'!AC32</f>
        <v>0</v>
      </c>
      <c r="AD32" s="91">
        <f>'4'!AD32+'5'!AD32+'6'!AD32</f>
        <v>0</v>
      </c>
      <c r="AE32" s="91">
        <f>'4'!AE32+'5'!AE32+'6'!AE32</f>
        <v>0</v>
      </c>
      <c r="AF32" s="91">
        <f>'4'!AF32+'5'!AF32+'6'!AF32</f>
        <v>0</v>
      </c>
      <c r="AG32" s="91">
        <f>'4'!AG32+'5'!AG32+'6'!AG32</f>
        <v>0</v>
      </c>
      <c r="AH32" s="91">
        <f>'4'!AH32+'5'!AH32+'6'!AH32</f>
        <v>0</v>
      </c>
      <c r="AI32" s="91">
        <f>'4'!AI32+'5'!AI32+'6'!AI32</f>
        <v>0</v>
      </c>
      <c r="AJ32" s="91">
        <f>'4'!AJ32+'5'!AJ32+'6'!AJ32</f>
        <v>0</v>
      </c>
      <c r="AK32" s="91">
        <f>'4'!AK32+'5'!AK32+'6'!AK32</f>
        <v>0</v>
      </c>
      <c r="AL32" s="91">
        <f>'4'!AL32+'5'!AL32+'6'!AL32</f>
        <v>0</v>
      </c>
      <c r="AM32" s="91">
        <f>'4'!AM32+'5'!AM32+'6'!AM32</f>
        <v>0</v>
      </c>
      <c r="AN32" s="91">
        <f>'4'!AN32+'5'!AN32+'6'!AN32</f>
        <v>0</v>
      </c>
      <c r="AO32" s="91">
        <f>'4'!AO32+'5'!AO32+'6'!AO32</f>
        <v>0</v>
      </c>
      <c r="AP32" s="91">
        <f>'4'!AP32+'5'!AP32+'6'!AP32</f>
        <v>0</v>
      </c>
      <c r="AQ32" s="16">
        <f t="shared" si="3"/>
        <v>0</v>
      </c>
      <c r="AR32" s="17">
        <f t="shared" si="11"/>
        <v>0</v>
      </c>
      <c r="AS32" s="91">
        <f t="shared" si="15"/>
        <v>0</v>
      </c>
      <c r="AT32" s="15"/>
      <c r="AU32" s="92">
        <f t="shared" si="16"/>
        <v>0</v>
      </c>
      <c r="AV32" s="92">
        <f t="shared" si="5"/>
        <v>0</v>
      </c>
      <c r="AW32" s="92">
        <f t="shared" si="17"/>
        <v>0</v>
      </c>
      <c r="AX32" s="92">
        <f t="shared" si="18"/>
        <v>0</v>
      </c>
      <c r="AY32" s="82">
        <f t="shared" si="20"/>
        <v>0</v>
      </c>
      <c r="AZ32" s="82">
        <f t="shared" si="20"/>
        <v>0</v>
      </c>
      <c r="BA32" s="95">
        <f t="shared" si="19"/>
        <v>0</v>
      </c>
      <c r="BB32" s="139"/>
      <c r="BC32"/>
    </row>
    <row r="33" spans="1:55" ht="15" hidden="1" customHeight="1" x14ac:dyDescent="0.3">
      <c r="A33" s="72" t="s">
        <v>36</v>
      </c>
      <c r="B33" s="111"/>
      <c r="C33" s="111">
        <v>44</v>
      </c>
      <c r="D33" s="121">
        <f t="shared" si="21"/>
        <v>0</v>
      </c>
      <c r="E33" s="16">
        <f t="shared" si="22"/>
        <v>0</v>
      </c>
      <c r="F33" s="91">
        <f>'4'!F33+'5'!F33+'6'!F33</f>
        <v>0</v>
      </c>
      <c r="G33" s="91">
        <f>'4'!G33+'5'!G33+'6'!G33</f>
        <v>0</v>
      </c>
      <c r="H33" s="135">
        <f>'4'!H33+'5'!H33+'6'!H33</f>
        <v>0</v>
      </c>
      <c r="I33" s="135">
        <f>'4'!I33+'5'!I33+'6'!I33</f>
        <v>0</v>
      </c>
      <c r="J33" s="9" t="s">
        <v>68</v>
      </c>
      <c r="K33" s="133">
        <f>'4'!K33+'5'!K33+'6'!K33</f>
        <v>0</v>
      </c>
      <c r="L33" s="133">
        <f>'4'!L33+'5'!L33+'6'!L33</f>
        <v>0</v>
      </c>
      <c r="M33" s="91">
        <f>'4'!M33+'5'!M33+'6'!M33</f>
        <v>0</v>
      </c>
      <c r="N33" s="91">
        <f>'4'!N33+'5'!N33+'6'!N33</f>
        <v>0</v>
      </c>
      <c r="O33" s="91">
        <f>'4'!O33+'5'!O33+'6'!O33</f>
        <v>0</v>
      </c>
      <c r="P33" s="91">
        <f>'4'!P33+'5'!P33+'6'!P33</f>
        <v>0</v>
      </c>
      <c r="Q33" s="91">
        <f>'4'!Q33+'5'!Q33+'6'!Q33</f>
        <v>0</v>
      </c>
      <c r="R33" s="91">
        <f>'4'!R33+'5'!R33+'6'!R33</f>
        <v>0</v>
      </c>
      <c r="S33" s="91">
        <f>'4'!S33+'5'!S33+'6'!S33</f>
        <v>0</v>
      </c>
      <c r="T33" s="91">
        <f>'4'!T33+'5'!T33+'6'!T33</f>
        <v>0</v>
      </c>
      <c r="U33" s="91">
        <f>'4'!U33+'5'!U33+'6'!U33</f>
        <v>0</v>
      </c>
      <c r="V33" s="91">
        <f>'4'!V33+'5'!V33+'6'!V33</f>
        <v>0</v>
      </c>
      <c r="W33" s="91">
        <f>'4'!W33+'5'!W33+'6'!W33</f>
        <v>0</v>
      </c>
      <c r="X33" s="91">
        <f>'4'!X33+'5'!X33+'6'!X33</f>
        <v>0</v>
      </c>
      <c r="Y33" s="91">
        <f>'4'!Y33+'5'!Y33+'6'!Y33</f>
        <v>0</v>
      </c>
      <c r="Z33" s="91">
        <f>'4'!Z33+'5'!Z33+'6'!Z33</f>
        <v>0</v>
      </c>
      <c r="AA33" s="91">
        <f>'4'!AA33+'5'!AA33+'6'!AA33</f>
        <v>0</v>
      </c>
      <c r="AB33" s="91">
        <f>'4'!AB33+'5'!AB33+'6'!AB33</f>
        <v>0</v>
      </c>
      <c r="AC33" s="91">
        <f>'4'!AC33+'5'!AC33+'6'!AC33</f>
        <v>0</v>
      </c>
      <c r="AD33" s="91">
        <f>'4'!AD33+'5'!AD33+'6'!AD33</f>
        <v>0</v>
      </c>
      <c r="AE33" s="91">
        <f>'4'!AE33+'5'!AE33+'6'!AE33</f>
        <v>0</v>
      </c>
      <c r="AF33" s="91">
        <f>'4'!AF33+'5'!AF33+'6'!AF33</f>
        <v>0</v>
      </c>
      <c r="AG33" s="91">
        <f>'4'!AG33+'5'!AG33+'6'!AG33</f>
        <v>0</v>
      </c>
      <c r="AH33" s="91">
        <f>'4'!AH33+'5'!AH33+'6'!AH33</f>
        <v>0</v>
      </c>
      <c r="AI33" s="91">
        <f>'4'!AI33+'5'!AI33+'6'!AI33</f>
        <v>0</v>
      </c>
      <c r="AJ33" s="91">
        <f>'4'!AJ33+'5'!AJ33+'6'!AJ33</f>
        <v>0</v>
      </c>
      <c r="AK33" s="91">
        <f>'4'!AK33+'5'!AK33+'6'!AK33</f>
        <v>0</v>
      </c>
      <c r="AL33" s="91">
        <f>'4'!AL33+'5'!AL33+'6'!AL33</f>
        <v>0</v>
      </c>
      <c r="AM33" s="91">
        <f>'4'!AM33+'5'!AM33+'6'!AM33</f>
        <v>0</v>
      </c>
      <c r="AN33" s="91">
        <f>'4'!AN33+'5'!AN33+'6'!AN33</f>
        <v>0</v>
      </c>
      <c r="AO33" s="91">
        <f>'4'!AO33+'5'!AO33+'6'!AO33</f>
        <v>0</v>
      </c>
      <c r="AP33" s="91">
        <f>'4'!AP33+'5'!AP33+'6'!AP33</f>
        <v>0</v>
      </c>
      <c r="AQ33" s="16">
        <f t="shared" si="3"/>
        <v>0</v>
      </c>
      <c r="AR33" s="17">
        <f t="shared" si="11"/>
        <v>0</v>
      </c>
      <c r="AS33" s="91">
        <f t="shared" si="15"/>
        <v>0</v>
      </c>
      <c r="AT33" s="15"/>
      <c r="AU33" s="92">
        <f t="shared" si="16"/>
        <v>0</v>
      </c>
      <c r="AV33" s="92">
        <f t="shared" si="5"/>
        <v>0</v>
      </c>
      <c r="AW33" s="92">
        <f t="shared" si="17"/>
        <v>0</v>
      </c>
      <c r="AX33" s="92">
        <f t="shared" si="18"/>
        <v>0</v>
      </c>
      <c r="AY33" s="82">
        <f t="shared" si="20"/>
        <v>0</v>
      </c>
      <c r="AZ33" s="82">
        <f t="shared" si="20"/>
        <v>0</v>
      </c>
      <c r="BA33" s="95">
        <f t="shared" si="19"/>
        <v>0</v>
      </c>
      <c r="BB33" s="139"/>
      <c r="BC33"/>
    </row>
    <row r="34" spans="1:55" ht="15" hidden="1" customHeight="1" x14ac:dyDescent="0.3">
      <c r="A34" s="72" t="s">
        <v>37</v>
      </c>
      <c r="B34" s="111"/>
      <c r="C34" s="111">
        <v>45</v>
      </c>
      <c r="D34" s="121">
        <f t="shared" si="21"/>
        <v>0</v>
      </c>
      <c r="E34" s="16">
        <f t="shared" si="22"/>
        <v>0</v>
      </c>
      <c r="F34" s="91">
        <f>'4'!F34+'5'!F34+'6'!F34</f>
        <v>0</v>
      </c>
      <c r="G34" s="91">
        <f>'4'!G34+'5'!G34+'6'!G34</f>
        <v>0</v>
      </c>
      <c r="H34" s="135">
        <f>'4'!H34+'5'!H34+'6'!H34</f>
        <v>0</v>
      </c>
      <c r="I34" s="135">
        <f>'4'!I34+'5'!I34+'6'!I34</f>
        <v>0</v>
      </c>
      <c r="J34" s="9" t="s">
        <v>68</v>
      </c>
      <c r="K34" s="133">
        <f>'4'!K34+'5'!K34+'6'!K34</f>
        <v>0</v>
      </c>
      <c r="L34" s="133">
        <f>'4'!L34+'5'!L34+'6'!L34</f>
        <v>0</v>
      </c>
      <c r="M34" s="91">
        <f>'4'!M34+'5'!M34+'6'!M34</f>
        <v>0</v>
      </c>
      <c r="N34" s="91">
        <f>'4'!N34+'5'!N34+'6'!N34</f>
        <v>0</v>
      </c>
      <c r="O34" s="91">
        <f>'4'!O34+'5'!O34+'6'!O34</f>
        <v>0</v>
      </c>
      <c r="P34" s="91">
        <f>'4'!P34+'5'!P34+'6'!P34</f>
        <v>0</v>
      </c>
      <c r="Q34" s="91">
        <f>'4'!Q34+'5'!Q34+'6'!Q34</f>
        <v>0</v>
      </c>
      <c r="R34" s="91">
        <f>'4'!R34+'5'!R34+'6'!R34</f>
        <v>0</v>
      </c>
      <c r="S34" s="91">
        <f>'4'!S34+'5'!S34+'6'!S34</f>
        <v>0</v>
      </c>
      <c r="T34" s="91">
        <f>'4'!T34+'5'!T34+'6'!T34</f>
        <v>0</v>
      </c>
      <c r="U34" s="91">
        <f>'4'!U34+'5'!U34+'6'!U34</f>
        <v>0</v>
      </c>
      <c r="V34" s="91">
        <f>'4'!V34+'5'!V34+'6'!V34</f>
        <v>0</v>
      </c>
      <c r="W34" s="91">
        <f>'4'!W34+'5'!W34+'6'!W34</f>
        <v>0</v>
      </c>
      <c r="X34" s="91">
        <f>'4'!X34+'5'!X34+'6'!X34</f>
        <v>0</v>
      </c>
      <c r="Y34" s="91">
        <f>'4'!Y34+'5'!Y34+'6'!Y34</f>
        <v>0</v>
      </c>
      <c r="Z34" s="91">
        <f>'4'!Z34+'5'!Z34+'6'!Z34</f>
        <v>0</v>
      </c>
      <c r="AA34" s="91">
        <f>'4'!AA34+'5'!AA34+'6'!AA34</f>
        <v>0</v>
      </c>
      <c r="AB34" s="91">
        <f>'4'!AB34+'5'!AB34+'6'!AB34</f>
        <v>0</v>
      </c>
      <c r="AC34" s="91">
        <f>'4'!AC34+'5'!AC34+'6'!AC34</f>
        <v>0</v>
      </c>
      <c r="AD34" s="91">
        <f>'4'!AD34+'5'!AD34+'6'!AD34</f>
        <v>0</v>
      </c>
      <c r="AE34" s="91">
        <f>'4'!AE34+'5'!AE34+'6'!AE34</f>
        <v>0</v>
      </c>
      <c r="AF34" s="91">
        <f>'4'!AF34+'5'!AF34+'6'!AF34</f>
        <v>0</v>
      </c>
      <c r="AG34" s="91">
        <f>'4'!AG34+'5'!AG34+'6'!AG34</f>
        <v>0</v>
      </c>
      <c r="AH34" s="91">
        <f>'4'!AH34+'5'!AH34+'6'!AH34</f>
        <v>0</v>
      </c>
      <c r="AI34" s="91">
        <f>'4'!AI34+'5'!AI34+'6'!AI34</f>
        <v>0</v>
      </c>
      <c r="AJ34" s="91">
        <f>'4'!AJ34+'5'!AJ34+'6'!AJ34</f>
        <v>0</v>
      </c>
      <c r="AK34" s="91">
        <f>'4'!AK34+'5'!AK34+'6'!AK34</f>
        <v>0</v>
      </c>
      <c r="AL34" s="91">
        <f>'4'!AL34+'5'!AL34+'6'!AL34</f>
        <v>0</v>
      </c>
      <c r="AM34" s="91">
        <f>'4'!AM34+'5'!AM34+'6'!AM34</f>
        <v>0</v>
      </c>
      <c r="AN34" s="91">
        <f>'4'!AN34+'5'!AN34+'6'!AN34</f>
        <v>0</v>
      </c>
      <c r="AO34" s="91">
        <f>'4'!AO34+'5'!AO34+'6'!AO34</f>
        <v>0</v>
      </c>
      <c r="AP34" s="91">
        <f>'4'!AP34+'5'!AP34+'6'!AP34</f>
        <v>0</v>
      </c>
      <c r="AQ34" s="16">
        <f t="shared" si="3"/>
        <v>0</v>
      </c>
      <c r="AR34" s="17">
        <f t="shared" si="11"/>
        <v>0</v>
      </c>
      <c r="AS34" s="91">
        <f t="shared" si="15"/>
        <v>0</v>
      </c>
      <c r="AT34" s="15"/>
      <c r="AU34" s="92">
        <f t="shared" si="16"/>
        <v>0</v>
      </c>
      <c r="AV34" s="92">
        <f t="shared" si="5"/>
        <v>0</v>
      </c>
      <c r="AW34" s="92">
        <f t="shared" si="17"/>
        <v>0</v>
      </c>
      <c r="AX34" s="92">
        <f t="shared" si="18"/>
        <v>0</v>
      </c>
      <c r="AY34" s="82">
        <f t="shared" si="20"/>
        <v>0</v>
      </c>
      <c r="AZ34" s="82">
        <f t="shared" si="20"/>
        <v>0</v>
      </c>
      <c r="BA34" s="95">
        <f t="shared" si="19"/>
        <v>0</v>
      </c>
      <c r="BB34" s="139"/>
      <c r="BC34"/>
    </row>
    <row r="35" spans="1:55" ht="15" hidden="1" customHeight="1" x14ac:dyDescent="0.3">
      <c r="A35" s="72" t="s">
        <v>38</v>
      </c>
      <c r="B35" s="111"/>
      <c r="C35" s="111">
        <v>46</v>
      </c>
      <c r="D35" s="121">
        <f t="shared" si="21"/>
        <v>0</v>
      </c>
      <c r="E35" s="16">
        <f t="shared" si="22"/>
        <v>0</v>
      </c>
      <c r="F35" s="91">
        <f>'4'!F35+'5'!F35+'6'!F35</f>
        <v>0</v>
      </c>
      <c r="G35" s="91">
        <f>'4'!G35+'5'!G35+'6'!G35</f>
        <v>0</v>
      </c>
      <c r="H35" s="135">
        <f>'4'!H35+'5'!H35+'6'!H35</f>
        <v>0</v>
      </c>
      <c r="I35" s="135">
        <f>'4'!I35+'5'!I35+'6'!I35</f>
        <v>0</v>
      </c>
      <c r="J35" s="9" t="s">
        <v>68</v>
      </c>
      <c r="K35" s="133">
        <f>'4'!K35+'5'!K35+'6'!K35</f>
        <v>0</v>
      </c>
      <c r="L35" s="133">
        <f>'4'!L35+'5'!L35+'6'!L35</f>
        <v>0</v>
      </c>
      <c r="M35" s="91">
        <f>'4'!M35+'5'!M35+'6'!M35</f>
        <v>0</v>
      </c>
      <c r="N35" s="91">
        <f>'4'!N35+'5'!N35+'6'!N35</f>
        <v>0</v>
      </c>
      <c r="O35" s="91">
        <f>'4'!O35+'5'!O35+'6'!O35</f>
        <v>0</v>
      </c>
      <c r="P35" s="91">
        <f>'4'!P35+'5'!P35+'6'!P35</f>
        <v>0</v>
      </c>
      <c r="Q35" s="91">
        <f>'4'!Q35+'5'!Q35+'6'!Q35</f>
        <v>0</v>
      </c>
      <c r="R35" s="91">
        <f>'4'!R35+'5'!R35+'6'!R35</f>
        <v>0</v>
      </c>
      <c r="S35" s="91">
        <f>'4'!S35+'5'!S35+'6'!S35</f>
        <v>0</v>
      </c>
      <c r="T35" s="91">
        <f>'4'!T35+'5'!T35+'6'!T35</f>
        <v>0</v>
      </c>
      <c r="U35" s="91">
        <f>'4'!U35+'5'!U35+'6'!U35</f>
        <v>0</v>
      </c>
      <c r="V35" s="91">
        <f>'4'!V35+'5'!V35+'6'!V35</f>
        <v>0</v>
      </c>
      <c r="W35" s="91">
        <f>'4'!W35+'5'!W35+'6'!W35</f>
        <v>0</v>
      </c>
      <c r="X35" s="91">
        <f>'4'!X35+'5'!X35+'6'!X35</f>
        <v>0</v>
      </c>
      <c r="Y35" s="91">
        <f>'4'!Y35+'5'!Y35+'6'!Y35</f>
        <v>0</v>
      </c>
      <c r="Z35" s="91">
        <f>'4'!Z35+'5'!Z35+'6'!Z35</f>
        <v>0</v>
      </c>
      <c r="AA35" s="91">
        <f>'4'!AA35+'5'!AA35+'6'!AA35</f>
        <v>0</v>
      </c>
      <c r="AB35" s="91">
        <f>'4'!AB35+'5'!AB35+'6'!AB35</f>
        <v>0</v>
      </c>
      <c r="AC35" s="91">
        <f>'4'!AC35+'5'!AC35+'6'!AC35</f>
        <v>0</v>
      </c>
      <c r="AD35" s="91">
        <f>'4'!AD35+'5'!AD35+'6'!AD35</f>
        <v>0</v>
      </c>
      <c r="AE35" s="91">
        <f>'4'!AE35+'5'!AE35+'6'!AE35</f>
        <v>0</v>
      </c>
      <c r="AF35" s="91">
        <f>'4'!AF35+'5'!AF35+'6'!AF35</f>
        <v>0</v>
      </c>
      <c r="AG35" s="91">
        <f>'4'!AG35+'5'!AG35+'6'!AG35</f>
        <v>0</v>
      </c>
      <c r="AH35" s="91">
        <f>'4'!AH35+'5'!AH35+'6'!AH35</f>
        <v>0</v>
      </c>
      <c r="AI35" s="91">
        <f>'4'!AI35+'5'!AI35+'6'!AI35</f>
        <v>0</v>
      </c>
      <c r="AJ35" s="91">
        <f>'4'!AJ35+'5'!AJ35+'6'!AJ35</f>
        <v>0</v>
      </c>
      <c r="AK35" s="91">
        <f>'4'!AK35+'5'!AK35+'6'!AK35</f>
        <v>0</v>
      </c>
      <c r="AL35" s="91">
        <f>'4'!AL35+'5'!AL35+'6'!AL35</f>
        <v>0</v>
      </c>
      <c r="AM35" s="91">
        <f>'4'!AM35+'5'!AM35+'6'!AM35</f>
        <v>0</v>
      </c>
      <c r="AN35" s="91">
        <f>'4'!AN35+'5'!AN35+'6'!AN35</f>
        <v>0</v>
      </c>
      <c r="AO35" s="91">
        <f>'4'!AO35+'5'!AO35+'6'!AO35</f>
        <v>0</v>
      </c>
      <c r="AP35" s="91">
        <f>'4'!AP35+'5'!AP35+'6'!AP35</f>
        <v>0</v>
      </c>
      <c r="AQ35" s="16">
        <f t="shared" si="3"/>
        <v>0</v>
      </c>
      <c r="AR35" s="17">
        <f t="shared" si="11"/>
        <v>0</v>
      </c>
      <c r="AS35" s="91">
        <f t="shared" si="15"/>
        <v>0</v>
      </c>
      <c r="AT35" s="15"/>
      <c r="AU35" s="92">
        <f t="shared" si="16"/>
        <v>0</v>
      </c>
      <c r="AV35" s="92">
        <f t="shared" si="5"/>
        <v>0</v>
      </c>
      <c r="AW35" s="92">
        <f t="shared" si="17"/>
        <v>0</v>
      </c>
      <c r="AX35" s="92">
        <f t="shared" si="18"/>
        <v>0</v>
      </c>
      <c r="AY35" s="82">
        <f t="shared" si="20"/>
        <v>0</v>
      </c>
      <c r="AZ35" s="82">
        <f t="shared" si="20"/>
        <v>0</v>
      </c>
      <c r="BA35" s="95">
        <f t="shared" si="19"/>
        <v>0</v>
      </c>
      <c r="BB35" s="139"/>
      <c r="BC35"/>
    </row>
    <row r="36" spans="1:55" ht="15" hidden="1" customHeight="1" x14ac:dyDescent="0.3">
      <c r="A36" s="72" t="s">
        <v>39</v>
      </c>
      <c r="B36" s="111"/>
      <c r="C36" s="111">
        <v>47</v>
      </c>
      <c r="D36" s="121">
        <f t="shared" si="21"/>
        <v>0</v>
      </c>
      <c r="E36" s="16">
        <f t="shared" si="22"/>
        <v>0</v>
      </c>
      <c r="F36" s="91">
        <f>'4'!F36+'5'!F36+'6'!F36</f>
        <v>0</v>
      </c>
      <c r="G36" s="91">
        <f>'4'!G36+'5'!G36+'6'!G36</f>
        <v>0</v>
      </c>
      <c r="H36" s="135">
        <f>'4'!H36+'5'!H36+'6'!H36</f>
        <v>0</v>
      </c>
      <c r="I36" s="135">
        <f>'4'!I36+'5'!I36+'6'!I36</f>
        <v>0</v>
      </c>
      <c r="J36" s="9" t="s">
        <v>68</v>
      </c>
      <c r="K36" s="133">
        <f>'4'!K36+'5'!K36+'6'!K36</f>
        <v>0</v>
      </c>
      <c r="L36" s="133">
        <f>'4'!L36+'5'!L36+'6'!L36</f>
        <v>0</v>
      </c>
      <c r="M36" s="91">
        <f>'4'!M36+'5'!M36+'6'!M36</f>
        <v>0</v>
      </c>
      <c r="N36" s="91">
        <f>'4'!N36+'5'!N36+'6'!N36</f>
        <v>0</v>
      </c>
      <c r="O36" s="91">
        <f>'4'!O36+'5'!O36+'6'!O36</f>
        <v>0</v>
      </c>
      <c r="P36" s="91">
        <f>'4'!P36+'5'!P36+'6'!P36</f>
        <v>0</v>
      </c>
      <c r="Q36" s="91">
        <f>'4'!Q36+'5'!Q36+'6'!Q36</f>
        <v>0</v>
      </c>
      <c r="R36" s="91">
        <f>'4'!R36+'5'!R36+'6'!R36</f>
        <v>0</v>
      </c>
      <c r="S36" s="91">
        <f>'4'!S36+'5'!S36+'6'!S36</f>
        <v>0</v>
      </c>
      <c r="T36" s="91">
        <f>'4'!T36+'5'!T36+'6'!T36</f>
        <v>0</v>
      </c>
      <c r="U36" s="91">
        <f>'4'!U36+'5'!U36+'6'!U36</f>
        <v>0</v>
      </c>
      <c r="V36" s="91">
        <f>'4'!V36+'5'!V36+'6'!V36</f>
        <v>0</v>
      </c>
      <c r="W36" s="91">
        <f>'4'!W36+'5'!W36+'6'!W36</f>
        <v>0</v>
      </c>
      <c r="X36" s="91">
        <f>'4'!X36+'5'!X36+'6'!X36</f>
        <v>0</v>
      </c>
      <c r="Y36" s="91">
        <f>'4'!Y36+'5'!Y36+'6'!Y36</f>
        <v>0</v>
      </c>
      <c r="Z36" s="91">
        <f>'4'!Z36+'5'!Z36+'6'!Z36</f>
        <v>0</v>
      </c>
      <c r="AA36" s="91">
        <f>'4'!AA36+'5'!AA36+'6'!AA36</f>
        <v>0</v>
      </c>
      <c r="AB36" s="91">
        <f>'4'!AB36+'5'!AB36+'6'!AB36</f>
        <v>0</v>
      </c>
      <c r="AC36" s="91">
        <f>'4'!AC36+'5'!AC36+'6'!AC36</f>
        <v>0</v>
      </c>
      <c r="AD36" s="91">
        <f>'4'!AD36+'5'!AD36+'6'!AD36</f>
        <v>0</v>
      </c>
      <c r="AE36" s="91">
        <f>'4'!AE36+'5'!AE36+'6'!AE36</f>
        <v>0</v>
      </c>
      <c r="AF36" s="91">
        <f>'4'!AF36+'5'!AF36+'6'!AF36</f>
        <v>0</v>
      </c>
      <c r="AG36" s="91">
        <f>'4'!AG36+'5'!AG36+'6'!AG36</f>
        <v>0</v>
      </c>
      <c r="AH36" s="91">
        <f>'4'!AH36+'5'!AH36+'6'!AH36</f>
        <v>0</v>
      </c>
      <c r="AI36" s="91">
        <f>'4'!AI36+'5'!AI36+'6'!AI36</f>
        <v>0</v>
      </c>
      <c r="AJ36" s="91">
        <f>'4'!AJ36+'5'!AJ36+'6'!AJ36</f>
        <v>0</v>
      </c>
      <c r="AK36" s="91">
        <f>'4'!AK36+'5'!AK36+'6'!AK36</f>
        <v>0</v>
      </c>
      <c r="AL36" s="91">
        <f>'4'!AL36+'5'!AL36+'6'!AL36</f>
        <v>0</v>
      </c>
      <c r="AM36" s="91">
        <f>'4'!AM36+'5'!AM36+'6'!AM36</f>
        <v>0</v>
      </c>
      <c r="AN36" s="91">
        <f>'4'!AN36+'5'!AN36+'6'!AN36</f>
        <v>0</v>
      </c>
      <c r="AO36" s="91">
        <f>'4'!AO36+'5'!AO36+'6'!AO36</f>
        <v>0</v>
      </c>
      <c r="AP36" s="91">
        <f>'4'!AP36+'5'!AP36+'6'!AP36</f>
        <v>0</v>
      </c>
      <c r="AQ36" s="16">
        <f t="shared" si="3"/>
        <v>0</v>
      </c>
      <c r="AR36" s="17">
        <f t="shared" si="11"/>
        <v>0</v>
      </c>
      <c r="AS36" s="91">
        <f t="shared" si="15"/>
        <v>0</v>
      </c>
      <c r="AT36" s="15"/>
      <c r="AU36" s="92">
        <f t="shared" si="16"/>
        <v>0</v>
      </c>
      <c r="AV36" s="92">
        <f t="shared" si="5"/>
        <v>0</v>
      </c>
      <c r="AW36" s="92">
        <f t="shared" si="17"/>
        <v>0</v>
      </c>
      <c r="AX36" s="92">
        <f t="shared" si="18"/>
        <v>0</v>
      </c>
      <c r="AY36" s="82">
        <f t="shared" si="20"/>
        <v>0</v>
      </c>
      <c r="AZ36" s="82">
        <f t="shared" si="20"/>
        <v>0</v>
      </c>
      <c r="BA36" s="95">
        <f t="shared" si="19"/>
        <v>0</v>
      </c>
      <c r="BB36" s="139"/>
      <c r="BC36"/>
    </row>
    <row r="37" spans="1:55" ht="15" hidden="1" customHeight="1" x14ac:dyDescent="0.3">
      <c r="A37" s="72" t="s">
        <v>40</v>
      </c>
      <c r="B37" s="111"/>
      <c r="C37" s="111">
        <v>48</v>
      </c>
      <c r="D37" s="121">
        <f t="shared" si="21"/>
        <v>0</v>
      </c>
      <c r="E37" s="16">
        <f t="shared" si="22"/>
        <v>0</v>
      </c>
      <c r="F37" s="91">
        <f>'4'!F37+'5'!F37+'6'!F37</f>
        <v>0</v>
      </c>
      <c r="G37" s="91">
        <f>'4'!G37+'5'!G37+'6'!G37</f>
        <v>0</v>
      </c>
      <c r="H37" s="135">
        <f>'4'!H37+'5'!H37+'6'!H37</f>
        <v>0</v>
      </c>
      <c r="I37" s="135">
        <f>'4'!I37+'5'!I37+'6'!I37</f>
        <v>0</v>
      </c>
      <c r="J37" s="9" t="s">
        <v>68</v>
      </c>
      <c r="K37" s="133">
        <f>'4'!K37+'5'!K37+'6'!K37</f>
        <v>0</v>
      </c>
      <c r="L37" s="133">
        <f>'4'!L37+'5'!L37+'6'!L37</f>
        <v>0</v>
      </c>
      <c r="M37" s="91">
        <f>'4'!M37+'5'!M37+'6'!M37</f>
        <v>0</v>
      </c>
      <c r="N37" s="91">
        <f>'4'!N37+'5'!N37+'6'!N37</f>
        <v>0</v>
      </c>
      <c r="O37" s="91">
        <f>'4'!O37+'5'!O37+'6'!O37</f>
        <v>0</v>
      </c>
      <c r="P37" s="91">
        <f>'4'!P37+'5'!P37+'6'!P37</f>
        <v>0</v>
      </c>
      <c r="Q37" s="91">
        <f>'4'!Q37+'5'!Q37+'6'!Q37</f>
        <v>0</v>
      </c>
      <c r="R37" s="91">
        <f>'4'!R37+'5'!R37+'6'!R37</f>
        <v>0</v>
      </c>
      <c r="S37" s="91">
        <f>'4'!S37+'5'!S37+'6'!S37</f>
        <v>0</v>
      </c>
      <c r="T37" s="91">
        <f>'4'!T37+'5'!T37+'6'!T37</f>
        <v>0</v>
      </c>
      <c r="U37" s="91">
        <f>'4'!U37+'5'!U37+'6'!U37</f>
        <v>0</v>
      </c>
      <c r="V37" s="91">
        <f>'4'!V37+'5'!V37+'6'!V37</f>
        <v>0</v>
      </c>
      <c r="W37" s="91">
        <f>'4'!W37+'5'!W37+'6'!W37</f>
        <v>0</v>
      </c>
      <c r="X37" s="91">
        <f>'4'!X37+'5'!X37+'6'!X37</f>
        <v>0</v>
      </c>
      <c r="Y37" s="91">
        <f>'4'!Y37+'5'!Y37+'6'!Y37</f>
        <v>0</v>
      </c>
      <c r="Z37" s="91">
        <f>'4'!Z37+'5'!Z37+'6'!Z37</f>
        <v>0</v>
      </c>
      <c r="AA37" s="91">
        <f>'4'!AA37+'5'!AA37+'6'!AA37</f>
        <v>0</v>
      </c>
      <c r="AB37" s="91">
        <f>'4'!AB37+'5'!AB37+'6'!AB37</f>
        <v>0</v>
      </c>
      <c r="AC37" s="91">
        <f>'4'!AC37+'5'!AC37+'6'!AC37</f>
        <v>0</v>
      </c>
      <c r="AD37" s="91">
        <f>'4'!AD37+'5'!AD37+'6'!AD37</f>
        <v>0</v>
      </c>
      <c r="AE37" s="91">
        <f>'4'!AE37+'5'!AE37+'6'!AE37</f>
        <v>0</v>
      </c>
      <c r="AF37" s="91">
        <f>'4'!AF37+'5'!AF37+'6'!AF37</f>
        <v>0</v>
      </c>
      <c r="AG37" s="91">
        <f>'4'!AG37+'5'!AG37+'6'!AG37</f>
        <v>0</v>
      </c>
      <c r="AH37" s="91">
        <f>'4'!AH37+'5'!AH37+'6'!AH37</f>
        <v>0</v>
      </c>
      <c r="AI37" s="91">
        <f>'4'!AI37+'5'!AI37+'6'!AI37</f>
        <v>0</v>
      </c>
      <c r="AJ37" s="91">
        <f>'4'!AJ37+'5'!AJ37+'6'!AJ37</f>
        <v>0</v>
      </c>
      <c r="AK37" s="91">
        <f>'4'!AK37+'5'!AK37+'6'!AK37</f>
        <v>0</v>
      </c>
      <c r="AL37" s="91">
        <f>'4'!AL37+'5'!AL37+'6'!AL37</f>
        <v>0</v>
      </c>
      <c r="AM37" s="91">
        <f>'4'!AM37+'5'!AM37+'6'!AM37</f>
        <v>0</v>
      </c>
      <c r="AN37" s="91">
        <f>'4'!AN37+'5'!AN37+'6'!AN37</f>
        <v>0</v>
      </c>
      <c r="AO37" s="91">
        <f>'4'!AO37+'5'!AO37+'6'!AO37</f>
        <v>0</v>
      </c>
      <c r="AP37" s="91">
        <f>'4'!AP37+'5'!AP37+'6'!AP37</f>
        <v>0</v>
      </c>
      <c r="AQ37" s="16">
        <f t="shared" si="3"/>
        <v>0</v>
      </c>
      <c r="AR37" s="17">
        <f t="shared" si="11"/>
        <v>0</v>
      </c>
      <c r="AS37" s="91">
        <f t="shared" si="15"/>
        <v>0</v>
      </c>
      <c r="AT37" s="15"/>
      <c r="AU37" s="92">
        <f t="shared" si="16"/>
        <v>0</v>
      </c>
      <c r="AV37" s="92">
        <f t="shared" si="5"/>
        <v>0</v>
      </c>
      <c r="AW37" s="92">
        <f t="shared" si="17"/>
        <v>0</v>
      </c>
      <c r="AX37" s="92">
        <f t="shared" si="18"/>
        <v>0</v>
      </c>
      <c r="AY37" s="82">
        <f t="shared" si="20"/>
        <v>0</v>
      </c>
      <c r="AZ37" s="82">
        <f t="shared" si="20"/>
        <v>0</v>
      </c>
      <c r="BA37" s="95">
        <f t="shared" si="19"/>
        <v>0</v>
      </c>
      <c r="BB37" s="139"/>
      <c r="BC37"/>
    </row>
    <row r="38" spans="1:55" ht="15" hidden="1" customHeight="1" x14ac:dyDescent="0.3">
      <c r="A38" s="72" t="s">
        <v>41</v>
      </c>
      <c r="B38" s="111"/>
      <c r="C38" s="111">
        <v>49</v>
      </c>
      <c r="D38" s="121">
        <f t="shared" si="21"/>
        <v>0</v>
      </c>
      <c r="E38" s="16">
        <f t="shared" si="22"/>
        <v>0</v>
      </c>
      <c r="F38" s="91">
        <f>'4'!F38+'5'!F38+'6'!F38</f>
        <v>0</v>
      </c>
      <c r="G38" s="91">
        <f>'4'!G38+'5'!G38+'6'!G38</f>
        <v>0</v>
      </c>
      <c r="H38" s="135">
        <f>'4'!H38+'5'!H38+'6'!H38</f>
        <v>0</v>
      </c>
      <c r="I38" s="135">
        <f>'4'!I38+'5'!I38+'6'!I38</f>
        <v>0</v>
      </c>
      <c r="J38" s="9" t="s">
        <v>68</v>
      </c>
      <c r="K38" s="133">
        <f>'4'!K38+'5'!K38+'6'!K38</f>
        <v>0</v>
      </c>
      <c r="L38" s="133">
        <f>'4'!L38+'5'!L38+'6'!L38</f>
        <v>0</v>
      </c>
      <c r="M38" s="91">
        <f>'4'!M38+'5'!M38+'6'!M38</f>
        <v>0</v>
      </c>
      <c r="N38" s="91">
        <f>'4'!N38+'5'!N38+'6'!N38</f>
        <v>0</v>
      </c>
      <c r="O38" s="91">
        <f>'4'!O38+'5'!O38+'6'!O38</f>
        <v>0</v>
      </c>
      <c r="P38" s="91">
        <f>'4'!P38+'5'!P38+'6'!P38</f>
        <v>0</v>
      </c>
      <c r="Q38" s="91">
        <f>'4'!Q38+'5'!Q38+'6'!Q38</f>
        <v>0</v>
      </c>
      <c r="R38" s="91">
        <f>'4'!R38+'5'!R38+'6'!R38</f>
        <v>0</v>
      </c>
      <c r="S38" s="91">
        <f>'4'!S38+'5'!S38+'6'!S38</f>
        <v>0</v>
      </c>
      <c r="T38" s="91">
        <f>'4'!T38+'5'!T38+'6'!T38</f>
        <v>0</v>
      </c>
      <c r="U38" s="91">
        <f>'4'!U38+'5'!U38+'6'!U38</f>
        <v>0</v>
      </c>
      <c r="V38" s="91">
        <f>'4'!V38+'5'!V38+'6'!V38</f>
        <v>0</v>
      </c>
      <c r="W38" s="91">
        <f>'4'!W38+'5'!W38+'6'!W38</f>
        <v>0</v>
      </c>
      <c r="X38" s="91">
        <f>'4'!X38+'5'!X38+'6'!X38</f>
        <v>0</v>
      </c>
      <c r="Y38" s="91">
        <f>'4'!Y38+'5'!Y38+'6'!Y38</f>
        <v>0</v>
      </c>
      <c r="Z38" s="91">
        <f>'4'!Z38+'5'!Z38+'6'!Z38</f>
        <v>0</v>
      </c>
      <c r="AA38" s="91">
        <f>'4'!AA38+'5'!AA38+'6'!AA38</f>
        <v>0</v>
      </c>
      <c r="AB38" s="91">
        <f>'4'!AB38+'5'!AB38+'6'!AB38</f>
        <v>0</v>
      </c>
      <c r="AC38" s="91">
        <f>'4'!AC38+'5'!AC38+'6'!AC38</f>
        <v>0</v>
      </c>
      <c r="AD38" s="91">
        <f>'4'!AD38+'5'!AD38+'6'!AD38</f>
        <v>0</v>
      </c>
      <c r="AE38" s="91">
        <f>'4'!AE38+'5'!AE38+'6'!AE38</f>
        <v>0</v>
      </c>
      <c r="AF38" s="91">
        <f>'4'!AF38+'5'!AF38+'6'!AF38</f>
        <v>0</v>
      </c>
      <c r="AG38" s="91">
        <f>'4'!AG38+'5'!AG38+'6'!AG38</f>
        <v>0</v>
      </c>
      <c r="AH38" s="91">
        <f>'4'!AH38+'5'!AH38+'6'!AH38</f>
        <v>0</v>
      </c>
      <c r="AI38" s="91">
        <f>'4'!AI38+'5'!AI38+'6'!AI38</f>
        <v>0</v>
      </c>
      <c r="AJ38" s="91">
        <f>'4'!AJ38+'5'!AJ38+'6'!AJ38</f>
        <v>0</v>
      </c>
      <c r="AK38" s="91">
        <f>'4'!AK38+'5'!AK38+'6'!AK38</f>
        <v>0</v>
      </c>
      <c r="AL38" s="91">
        <f>'4'!AL38+'5'!AL38+'6'!AL38</f>
        <v>0</v>
      </c>
      <c r="AM38" s="91">
        <f>'4'!AM38+'5'!AM38+'6'!AM38</f>
        <v>0</v>
      </c>
      <c r="AN38" s="91">
        <f>'4'!AN38+'5'!AN38+'6'!AN38</f>
        <v>0</v>
      </c>
      <c r="AO38" s="91">
        <f>'4'!AO38+'5'!AO38+'6'!AO38</f>
        <v>0</v>
      </c>
      <c r="AP38" s="91">
        <f>'4'!AP38+'5'!AP38+'6'!AP38</f>
        <v>0</v>
      </c>
      <c r="AQ38" s="16">
        <f t="shared" si="3"/>
        <v>0</v>
      </c>
      <c r="AR38" s="17">
        <f t="shared" si="11"/>
        <v>0</v>
      </c>
      <c r="AS38" s="91">
        <f t="shared" si="15"/>
        <v>0</v>
      </c>
      <c r="AT38" s="15"/>
      <c r="AU38" s="92">
        <f t="shared" si="16"/>
        <v>0</v>
      </c>
      <c r="AV38" s="92">
        <f t="shared" si="5"/>
        <v>0</v>
      </c>
      <c r="AW38" s="92">
        <f t="shared" si="17"/>
        <v>0</v>
      </c>
      <c r="AX38" s="92">
        <f t="shared" si="18"/>
        <v>0</v>
      </c>
      <c r="AY38" s="82">
        <f t="shared" si="20"/>
        <v>0</v>
      </c>
      <c r="AZ38" s="82">
        <f t="shared" si="20"/>
        <v>0</v>
      </c>
      <c r="BA38" s="95">
        <f t="shared" si="19"/>
        <v>0</v>
      </c>
      <c r="BB38" s="139"/>
      <c r="BC38"/>
    </row>
    <row r="39" spans="1:55" ht="15" hidden="1" customHeight="1" x14ac:dyDescent="0.3">
      <c r="A39" s="72" t="s">
        <v>42</v>
      </c>
      <c r="B39" s="111"/>
      <c r="C39" s="111">
        <v>50</v>
      </c>
      <c r="D39" s="121">
        <f t="shared" si="21"/>
        <v>0</v>
      </c>
      <c r="E39" s="16">
        <f t="shared" si="22"/>
        <v>0</v>
      </c>
      <c r="F39" s="91">
        <f>'4'!F39+'5'!F39+'6'!F39</f>
        <v>0</v>
      </c>
      <c r="G39" s="91">
        <f>'4'!G39+'5'!G39+'6'!G39</f>
        <v>0</v>
      </c>
      <c r="H39" s="135">
        <f>'4'!H39+'5'!H39+'6'!H39</f>
        <v>0</v>
      </c>
      <c r="I39" s="135">
        <f>'4'!I39+'5'!I39+'6'!I39</f>
        <v>0</v>
      </c>
      <c r="J39" s="9" t="s">
        <v>68</v>
      </c>
      <c r="K39" s="133">
        <f>'4'!K39+'5'!K39+'6'!K39</f>
        <v>0</v>
      </c>
      <c r="L39" s="133">
        <f>'4'!L39+'5'!L39+'6'!L39</f>
        <v>0</v>
      </c>
      <c r="M39" s="91">
        <f>'4'!M39+'5'!M39+'6'!M39</f>
        <v>0</v>
      </c>
      <c r="N39" s="91">
        <f>'4'!N39+'5'!N39+'6'!N39</f>
        <v>0</v>
      </c>
      <c r="O39" s="91">
        <f>'4'!O39+'5'!O39+'6'!O39</f>
        <v>0</v>
      </c>
      <c r="P39" s="91">
        <f>'4'!P39+'5'!P39+'6'!P39</f>
        <v>0</v>
      </c>
      <c r="Q39" s="91">
        <f>'4'!Q39+'5'!Q39+'6'!Q39</f>
        <v>0</v>
      </c>
      <c r="R39" s="91">
        <f>'4'!R39+'5'!R39+'6'!R39</f>
        <v>0</v>
      </c>
      <c r="S39" s="91">
        <f>'4'!S39+'5'!S39+'6'!S39</f>
        <v>0</v>
      </c>
      <c r="T39" s="91">
        <f>'4'!T39+'5'!T39+'6'!T39</f>
        <v>0</v>
      </c>
      <c r="U39" s="91">
        <f>'4'!U39+'5'!U39+'6'!U39</f>
        <v>0</v>
      </c>
      <c r="V39" s="91">
        <f>'4'!V39+'5'!V39+'6'!V39</f>
        <v>0</v>
      </c>
      <c r="W39" s="91">
        <f>'4'!W39+'5'!W39+'6'!W39</f>
        <v>0</v>
      </c>
      <c r="X39" s="91">
        <f>'4'!X39+'5'!X39+'6'!X39</f>
        <v>0</v>
      </c>
      <c r="Y39" s="91">
        <f>'4'!Y39+'5'!Y39+'6'!Y39</f>
        <v>0</v>
      </c>
      <c r="Z39" s="91">
        <f>'4'!Z39+'5'!Z39+'6'!Z39</f>
        <v>0</v>
      </c>
      <c r="AA39" s="91">
        <f>'4'!AA39+'5'!AA39+'6'!AA39</f>
        <v>0</v>
      </c>
      <c r="AB39" s="91">
        <f>'4'!AB39+'5'!AB39+'6'!AB39</f>
        <v>0</v>
      </c>
      <c r="AC39" s="91">
        <f>'4'!AC39+'5'!AC39+'6'!AC39</f>
        <v>0</v>
      </c>
      <c r="AD39" s="91">
        <f>'4'!AD39+'5'!AD39+'6'!AD39</f>
        <v>0</v>
      </c>
      <c r="AE39" s="91">
        <f>'4'!AE39+'5'!AE39+'6'!AE39</f>
        <v>0</v>
      </c>
      <c r="AF39" s="91">
        <f>'4'!AF39+'5'!AF39+'6'!AF39</f>
        <v>0</v>
      </c>
      <c r="AG39" s="91">
        <f>'4'!AG39+'5'!AG39+'6'!AG39</f>
        <v>0</v>
      </c>
      <c r="AH39" s="91">
        <f>'4'!AH39+'5'!AH39+'6'!AH39</f>
        <v>0</v>
      </c>
      <c r="AI39" s="91">
        <f>'4'!AI39+'5'!AI39+'6'!AI39</f>
        <v>0</v>
      </c>
      <c r="AJ39" s="91">
        <f>'4'!AJ39+'5'!AJ39+'6'!AJ39</f>
        <v>0</v>
      </c>
      <c r="AK39" s="91">
        <f>'4'!AK39+'5'!AK39+'6'!AK39</f>
        <v>0</v>
      </c>
      <c r="AL39" s="91">
        <f>'4'!AL39+'5'!AL39+'6'!AL39</f>
        <v>0</v>
      </c>
      <c r="AM39" s="91">
        <f>'4'!AM39+'5'!AM39+'6'!AM39</f>
        <v>0</v>
      </c>
      <c r="AN39" s="91">
        <f>'4'!AN39+'5'!AN39+'6'!AN39</f>
        <v>0</v>
      </c>
      <c r="AO39" s="91">
        <f>'4'!AO39+'5'!AO39+'6'!AO39</f>
        <v>0</v>
      </c>
      <c r="AP39" s="91">
        <f>'4'!AP39+'5'!AP39+'6'!AP39</f>
        <v>0</v>
      </c>
      <c r="AQ39" s="16">
        <f t="shared" si="3"/>
        <v>0</v>
      </c>
      <c r="AR39" s="17">
        <f t="shared" si="11"/>
        <v>0</v>
      </c>
      <c r="AS39" s="91">
        <f t="shared" si="15"/>
        <v>0</v>
      </c>
      <c r="AT39" s="15"/>
      <c r="AU39" s="92">
        <f t="shared" si="16"/>
        <v>0</v>
      </c>
      <c r="AV39" s="92">
        <f t="shared" si="5"/>
        <v>0</v>
      </c>
      <c r="AW39" s="92">
        <f t="shared" si="17"/>
        <v>0</v>
      </c>
      <c r="AX39" s="92">
        <f t="shared" si="18"/>
        <v>0</v>
      </c>
      <c r="AY39" s="82">
        <f t="shared" si="20"/>
        <v>0</v>
      </c>
      <c r="AZ39" s="82">
        <f t="shared" si="20"/>
        <v>0</v>
      </c>
      <c r="BA39" s="95">
        <f t="shared" si="19"/>
        <v>0</v>
      </c>
      <c r="BB39" s="139"/>
      <c r="BC39"/>
    </row>
    <row r="40" spans="1:55" ht="15" hidden="1" customHeight="1" x14ac:dyDescent="0.3">
      <c r="A40" s="72" t="s">
        <v>43</v>
      </c>
      <c r="B40" s="111"/>
      <c r="C40" s="111">
        <v>51</v>
      </c>
      <c r="D40" s="121">
        <f t="shared" si="21"/>
        <v>0</v>
      </c>
      <c r="E40" s="16">
        <f t="shared" si="22"/>
        <v>0</v>
      </c>
      <c r="F40" s="91">
        <f>'4'!F40+'5'!F40+'6'!F40</f>
        <v>0</v>
      </c>
      <c r="G40" s="91">
        <f>'4'!G40+'5'!G40+'6'!G40</f>
        <v>0</v>
      </c>
      <c r="H40" s="135">
        <f>'4'!H40+'5'!H40+'6'!H40</f>
        <v>0</v>
      </c>
      <c r="I40" s="135">
        <f>'4'!I40+'5'!I40+'6'!I40</f>
        <v>0</v>
      </c>
      <c r="J40" s="9" t="s">
        <v>68</v>
      </c>
      <c r="K40" s="133">
        <f>'4'!K40+'5'!K40+'6'!K40</f>
        <v>0</v>
      </c>
      <c r="L40" s="133">
        <f>'4'!L40+'5'!L40+'6'!L40</f>
        <v>0</v>
      </c>
      <c r="M40" s="91">
        <f>'4'!M40+'5'!M40+'6'!M40</f>
        <v>0</v>
      </c>
      <c r="N40" s="91">
        <f>'4'!N40+'5'!N40+'6'!N40</f>
        <v>0</v>
      </c>
      <c r="O40" s="91">
        <f>'4'!O40+'5'!O40+'6'!O40</f>
        <v>0</v>
      </c>
      <c r="P40" s="91">
        <f>'4'!P40+'5'!P40+'6'!P40</f>
        <v>0</v>
      </c>
      <c r="Q40" s="91">
        <f>'4'!Q40+'5'!Q40+'6'!Q40</f>
        <v>0</v>
      </c>
      <c r="R40" s="91">
        <f>'4'!R40+'5'!R40+'6'!R40</f>
        <v>0</v>
      </c>
      <c r="S40" s="91">
        <f>'4'!S40+'5'!S40+'6'!S40</f>
        <v>0</v>
      </c>
      <c r="T40" s="91">
        <f>'4'!T40+'5'!T40+'6'!T40</f>
        <v>0</v>
      </c>
      <c r="U40" s="91">
        <f>'4'!U40+'5'!U40+'6'!U40</f>
        <v>0</v>
      </c>
      <c r="V40" s="91">
        <f>'4'!V40+'5'!V40+'6'!V40</f>
        <v>0</v>
      </c>
      <c r="W40" s="91">
        <f>'4'!W40+'5'!W40+'6'!W40</f>
        <v>0</v>
      </c>
      <c r="X40" s="91">
        <f>'4'!X40+'5'!X40+'6'!X40</f>
        <v>0</v>
      </c>
      <c r="Y40" s="91">
        <f>'4'!Y40+'5'!Y40+'6'!Y40</f>
        <v>0</v>
      </c>
      <c r="Z40" s="91">
        <f>'4'!Z40+'5'!Z40+'6'!Z40</f>
        <v>0</v>
      </c>
      <c r="AA40" s="91">
        <f>'4'!AA40+'5'!AA40+'6'!AA40</f>
        <v>0</v>
      </c>
      <c r="AB40" s="91">
        <f>'4'!AB40+'5'!AB40+'6'!AB40</f>
        <v>0</v>
      </c>
      <c r="AC40" s="91">
        <f>'4'!AC40+'5'!AC40+'6'!AC40</f>
        <v>0</v>
      </c>
      <c r="AD40" s="91">
        <f>'4'!AD40+'5'!AD40+'6'!AD40</f>
        <v>0</v>
      </c>
      <c r="AE40" s="91">
        <f>'4'!AE40+'5'!AE40+'6'!AE40</f>
        <v>0</v>
      </c>
      <c r="AF40" s="91">
        <f>'4'!AF40+'5'!AF40+'6'!AF40</f>
        <v>0</v>
      </c>
      <c r="AG40" s="91">
        <f>'4'!AG40+'5'!AG40+'6'!AG40</f>
        <v>0</v>
      </c>
      <c r="AH40" s="91">
        <f>'4'!AH40+'5'!AH40+'6'!AH40</f>
        <v>0</v>
      </c>
      <c r="AI40" s="91">
        <f>'4'!AI40+'5'!AI40+'6'!AI40</f>
        <v>0</v>
      </c>
      <c r="AJ40" s="91">
        <f>'4'!AJ40+'5'!AJ40+'6'!AJ40</f>
        <v>0</v>
      </c>
      <c r="AK40" s="91">
        <f>'4'!AK40+'5'!AK40+'6'!AK40</f>
        <v>0</v>
      </c>
      <c r="AL40" s="91">
        <f>'4'!AL40+'5'!AL40+'6'!AL40</f>
        <v>0</v>
      </c>
      <c r="AM40" s="91">
        <f>'4'!AM40+'5'!AM40+'6'!AM40</f>
        <v>0</v>
      </c>
      <c r="AN40" s="91">
        <f>'4'!AN40+'5'!AN40+'6'!AN40</f>
        <v>0</v>
      </c>
      <c r="AO40" s="91">
        <f>'4'!AO40+'5'!AO40+'6'!AO40</f>
        <v>0</v>
      </c>
      <c r="AP40" s="91">
        <f>'4'!AP40+'5'!AP40+'6'!AP40</f>
        <v>0</v>
      </c>
      <c r="AQ40" s="16">
        <f t="shared" si="3"/>
        <v>0</v>
      </c>
      <c r="AR40" s="17">
        <f t="shared" si="11"/>
        <v>0</v>
      </c>
      <c r="AS40" s="91">
        <f t="shared" si="15"/>
        <v>0</v>
      </c>
      <c r="AT40" s="15"/>
      <c r="AU40" s="92">
        <f t="shared" si="16"/>
        <v>0</v>
      </c>
      <c r="AV40" s="92">
        <f t="shared" si="5"/>
        <v>0</v>
      </c>
      <c r="AW40" s="92">
        <f t="shared" si="17"/>
        <v>0</v>
      </c>
      <c r="AX40" s="92">
        <f t="shared" si="18"/>
        <v>0</v>
      </c>
      <c r="AY40" s="82">
        <f t="shared" si="20"/>
        <v>0</v>
      </c>
      <c r="AZ40" s="82">
        <f t="shared" si="20"/>
        <v>0</v>
      </c>
      <c r="BA40" s="95">
        <f t="shared" si="19"/>
        <v>0</v>
      </c>
      <c r="BB40" s="139"/>
      <c r="BC40"/>
    </row>
    <row r="41" spans="1:55" ht="15" hidden="1" customHeight="1" thickBot="1" x14ac:dyDescent="0.3">
      <c r="A41" s="100" t="s">
        <v>44</v>
      </c>
      <c r="B41" s="116"/>
      <c r="C41" s="116">
        <v>52</v>
      </c>
      <c r="D41" s="121">
        <f t="shared" si="21"/>
        <v>0</v>
      </c>
      <c r="E41" s="16">
        <f t="shared" si="22"/>
        <v>0</v>
      </c>
      <c r="F41" s="91">
        <f>'4'!F41+'5'!F41+'6'!F41</f>
        <v>0</v>
      </c>
      <c r="G41" s="91">
        <f>'4'!G41+'5'!G41+'6'!G41</f>
        <v>0</v>
      </c>
      <c r="H41" s="135">
        <f>'4'!H41+'5'!H41+'6'!H41</f>
        <v>0</v>
      </c>
      <c r="I41" s="135">
        <f>'4'!I41+'5'!I41+'6'!I41</f>
        <v>0</v>
      </c>
      <c r="J41" s="101" t="s">
        <v>68</v>
      </c>
      <c r="K41" s="133">
        <f>'4'!K41+'5'!K41+'6'!K41</f>
        <v>0</v>
      </c>
      <c r="L41" s="133">
        <f>'4'!L41+'5'!L41+'6'!L41</f>
        <v>0</v>
      </c>
      <c r="M41" s="91">
        <f>'4'!M41+'5'!M41+'6'!M41</f>
        <v>0</v>
      </c>
      <c r="N41" s="91">
        <f>'4'!N41+'5'!N41+'6'!N41</f>
        <v>0</v>
      </c>
      <c r="O41" s="91">
        <f>'4'!O41+'5'!O41+'6'!O41</f>
        <v>0</v>
      </c>
      <c r="P41" s="91">
        <f>'4'!P41+'5'!P41+'6'!P41</f>
        <v>0</v>
      </c>
      <c r="Q41" s="91">
        <f>'4'!Q41+'5'!Q41+'6'!Q41</f>
        <v>0</v>
      </c>
      <c r="R41" s="91">
        <f>'4'!R41+'5'!R41+'6'!R41</f>
        <v>0</v>
      </c>
      <c r="S41" s="91">
        <f>'4'!S41+'5'!S41+'6'!S41</f>
        <v>0</v>
      </c>
      <c r="T41" s="91">
        <f>'4'!T41+'5'!T41+'6'!T41</f>
        <v>0</v>
      </c>
      <c r="U41" s="91">
        <f>'4'!U41+'5'!U41+'6'!U41</f>
        <v>0</v>
      </c>
      <c r="V41" s="91">
        <f>'4'!V41+'5'!V41+'6'!V41</f>
        <v>0</v>
      </c>
      <c r="W41" s="91">
        <f>'4'!W41+'5'!W41+'6'!W41</f>
        <v>0</v>
      </c>
      <c r="X41" s="91">
        <f>'4'!X41+'5'!X41+'6'!X41</f>
        <v>0</v>
      </c>
      <c r="Y41" s="91">
        <f>'4'!Y41+'5'!Y41+'6'!Y41</f>
        <v>0</v>
      </c>
      <c r="Z41" s="91">
        <f>'4'!Z41+'5'!Z41+'6'!Z41</f>
        <v>0</v>
      </c>
      <c r="AA41" s="91">
        <f>'4'!AA41+'5'!AA41+'6'!AA41</f>
        <v>0</v>
      </c>
      <c r="AB41" s="91">
        <f>'4'!AB41+'5'!AB41+'6'!AB41</f>
        <v>0</v>
      </c>
      <c r="AC41" s="91">
        <f>'4'!AC41+'5'!AC41+'6'!AC41</f>
        <v>0</v>
      </c>
      <c r="AD41" s="91">
        <f>'4'!AD41+'5'!AD41+'6'!AD41</f>
        <v>0</v>
      </c>
      <c r="AE41" s="91">
        <f>'4'!AE41+'5'!AE41+'6'!AE41</f>
        <v>0</v>
      </c>
      <c r="AF41" s="91">
        <f>'4'!AF41+'5'!AF41+'6'!AF41</f>
        <v>0</v>
      </c>
      <c r="AG41" s="91">
        <f>'4'!AG41+'5'!AG41+'6'!AG41</f>
        <v>0</v>
      </c>
      <c r="AH41" s="91">
        <f>'4'!AH41+'5'!AH41+'6'!AH41</f>
        <v>0</v>
      </c>
      <c r="AI41" s="91">
        <f>'4'!AI41+'5'!AI41+'6'!AI41</f>
        <v>0</v>
      </c>
      <c r="AJ41" s="91">
        <f>'4'!AJ41+'5'!AJ41+'6'!AJ41</f>
        <v>0</v>
      </c>
      <c r="AK41" s="91">
        <f>'4'!AK41+'5'!AK41+'6'!AK41</f>
        <v>0</v>
      </c>
      <c r="AL41" s="91">
        <f>'4'!AL41+'5'!AL41+'6'!AL41</f>
        <v>0</v>
      </c>
      <c r="AM41" s="91">
        <f>'4'!AM41+'5'!AM41+'6'!AM41</f>
        <v>0</v>
      </c>
      <c r="AN41" s="91">
        <f>'4'!AN41+'5'!AN41+'6'!AN41</f>
        <v>0</v>
      </c>
      <c r="AO41" s="91">
        <f>'4'!AO41+'5'!AO41+'6'!AO41</f>
        <v>0</v>
      </c>
      <c r="AP41" s="91">
        <f>'4'!AP41+'5'!AP41+'6'!AP41</f>
        <v>0</v>
      </c>
      <c r="AQ41" s="16">
        <f t="shared" si="3"/>
        <v>0</v>
      </c>
      <c r="AR41" s="17">
        <f t="shared" si="11"/>
        <v>0</v>
      </c>
      <c r="AS41" s="91">
        <f t="shared" si="15"/>
        <v>0</v>
      </c>
      <c r="AT41" s="16"/>
      <c r="AU41" s="92">
        <f t="shared" si="16"/>
        <v>0</v>
      </c>
      <c r="AV41" s="92">
        <f t="shared" si="5"/>
        <v>0</v>
      </c>
      <c r="AW41" s="92">
        <f t="shared" si="17"/>
        <v>0</v>
      </c>
      <c r="AX41" s="92">
        <f t="shared" si="18"/>
        <v>0</v>
      </c>
      <c r="AY41" s="82">
        <f t="shared" si="20"/>
        <v>0</v>
      </c>
      <c r="AZ41" s="82">
        <f t="shared" si="20"/>
        <v>0</v>
      </c>
      <c r="BA41" s="95">
        <f t="shared" si="19"/>
        <v>0</v>
      </c>
      <c r="BB41" s="140"/>
      <c r="BC41"/>
    </row>
    <row r="42" spans="1:55" ht="15" customHeight="1" thickBot="1" x14ac:dyDescent="0.3">
      <c r="A42" s="102" t="s">
        <v>81</v>
      </c>
      <c r="B42" s="124"/>
      <c r="C42" s="87"/>
      <c r="D42" s="129">
        <f t="shared" ref="D42:AP42" si="23">SUM(D43:D45)</f>
        <v>0</v>
      </c>
      <c r="E42" s="129">
        <f t="shared" si="23"/>
        <v>0</v>
      </c>
      <c r="F42" s="129">
        <f t="shared" si="23"/>
        <v>0</v>
      </c>
      <c r="G42" s="129">
        <f t="shared" si="23"/>
        <v>0</v>
      </c>
      <c r="H42" s="131">
        <f t="shared" si="23"/>
        <v>0</v>
      </c>
      <c r="I42" s="131">
        <f t="shared" si="23"/>
        <v>0</v>
      </c>
      <c r="J42" s="129">
        <f t="shared" si="23"/>
        <v>0</v>
      </c>
      <c r="K42" s="130">
        <f t="shared" si="23"/>
        <v>0</v>
      </c>
      <c r="L42" s="130">
        <f t="shared" si="23"/>
        <v>0</v>
      </c>
      <c r="M42" s="129">
        <f t="shared" si="23"/>
        <v>0</v>
      </c>
      <c r="N42" s="129">
        <f t="shared" si="23"/>
        <v>0</v>
      </c>
      <c r="O42" s="129">
        <f t="shared" si="23"/>
        <v>0</v>
      </c>
      <c r="P42" s="129">
        <f t="shared" si="23"/>
        <v>0</v>
      </c>
      <c r="Q42" s="129">
        <f t="shared" si="23"/>
        <v>0</v>
      </c>
      <c r="R42" s="129">
        <f t="shared" si="23"/>
        <v>0</v>
      </c>
      <c r="S42" s="129">
        <f t="shared" si="23"/>
        <v>0</v>
      </c>
      <c r="T42" s="129">
        <f t="shared" si="23"/>
        <v>0</v>
      </c>
      <c r="U42" s="129">
        <f t="shared" si="23"/>
        <v>0</v>
      </c>
      <c r="V42" s="129">
        <f t="shared" si="23"/>
        <v>0</v>
      </c>
      <c r="W42" s="129">
        <f t="shared" si="23"/>
        <v>0</v>
      </c>
      <c r="X42" s="129">
        <f t="shared" si="23"/>
        <v>0</v>
      </c>
      <c r="Y42" s="129">
        <f t="shared" si="23"/>
        <v>0</v>
      </c>
      <c r="Z42" s="129">
        <f t="shared" si="23"/>
        <v>0</v>
      </c>
      <c r="AA42" s="129">
        <f t="shared" si="23"/>
        <v>0</v>
      </c>
      <c r="AB42" s="129">
        <f t="shared" si="23"/>
        <v>0</v>
      </c>
      <c r="AC42" s="129">
        <f t="shared" si="23"/>
        <v>0</v>
      </c>
      <c r="AD42" s="129">
        <f t="shared" si="23"/>
        <v>0</v>
      </c>
      <c r="AE42" s="129">
        <f t="shared" si="23"/>
        <v>0</v>
      </c>
      <c r="AF42" s="129">
        <f t="shared" si="23"/>
        <v>0</v>
      </c>
      <c r="AG42" s="129">
        <f t="shared" si="23"/>
        <v>0</v>
      </c>
      <c r="AH42" s="129">
        <f t="shared" si="23"/>
        <v>0</v>
      </c>
      <c r="AI42" s="129">
        <f t="shared" si="23"/>
        <v>0</v>
      </c>
      <c r="AJ42" s="129">
        <f t="shared" si="23"/>
        <v>0</v>
      </c>
      <c r="AK42" s="129">
        <f t="shared" si="23"/>
        <v>0</v>
      </c>
      <c r="AL42" s="129">
        <f t="shared" si="23"/>
        <v>0</v>
      </c>
      <c r="AM42" s="129">
        <f t="shared" si="23"/>
        <v>0</v>
      </c>
      <c r="AN42" s="129">
        <f t="shared" si="23"/>
        <v>0</v>
      </c>
      <c r="AO42" s="129">
        <f t="shared" si="23"/>
        <v>0</v>
      </c>
      <c r="AP42" s="129">
        <f t="shared" si="23"/>
        <v>0</v>
      </c>
      <c r="AQ42" s="129">
        <f t="shared" si="3"/>
        <v>0</v>
      </c>
      <c r="AR42" s="129">
        <f t="shared" si="11"/>
        <v>0</v>
      </c>
      <c r="AS42" s="129">
        <f t="shared" si="15"/>
        <v>0</v>
      </c>
      <c r="AT42" s="129">
        <f>SUM(AT43:AT45)</f>
        <v>0</v>
      </c>
      <c r="AU42" s="131">
        <f t="shared" si="16"/>
        <v>0</v>
      </c>
      <c r="AV42" s="131">
        <f t="shared" si="5"/>
        <v>0</v>
      </c>
      <c r="AW42" s="131">
        <f t="shared" si="17"/>
        <v>0</v>
      </c>
      <c r="AX42" s="131">
        <f t="shared" si="18"/>
        <v>0</v>
      </c>
      <c r="AY42" s="131">
        <f>SUM(AY43:AY45)</f>
        <v>0</v>
      </c>
      <c r="AZ42" s="131">
        <f>SUM(AZ43:AZ45)</f>
        <v>0</v>
      </c>
      <c r="BA42" s="129">
        <f t="shared" si="19"/>
        <v>0</v>
      </c>
      <c r="BB42" s="141"/>
      <c r="BC42"/>
    </row>
    <row r="43" spans="1:55" ht="15" customHeight="1" x14ac:dyDescent="0.25">
      <c r="A43" s="97" t="s">
        <v>66</v>
      </c>
      <c r="B43" s="123" t="s">
        <v>139</v>
      </c>
      <c r="C43" s="115">
        <v>25</v>
      </c>
      <c r="D43" s="121">
        <f>AT43*AU43*AW43</f>
        <v>0</v>
      </c>
      <c r="E43" s="16">
        <f>ROUND(AT43*AV43*AX43,4)</f>
        <v>0</v>
      </c>
      <c r="F43" s="91">
        <f>'4'!F43+'5'!F43+'6'!F43</f>
        <v>0</v>
      </c>
      <c r="G43" s="91">
        <f>'4'!G43+'5'!G43+'6'!G43</f>
        <v>0</v>
      </c>
      <c r="H43" s="135">
        <f>'4'!H43+'5'!H43+'6'!H43</f>
        <v>0</v>
      </c>
      <c r="I43" s="135">
        <f>'4'!I43+'5'!I43+'6'!I43</f>
        <v>0</v>
      </c>
      <c r="J43" s="14" t="s">
        <v>55</v>
      </c>
      <c r="K43" s="133">
        <f>'4'!K43+'5'!K43+'6'!K43</f>
        <v>0</v>
      </c>
      <c r="L43" s="133">
        <f>'4'!L43+'5'!L43+'6'!L43</f>
        <v>0</v>
      </c>
      <c r="M43" s="91">
        <f>'4'!M43+'5'!M43+'6'!M43</f>
        <v>0</v>
      </c>
      <c r="N43" s="91">
        <f>'4'!N43+'5'!N43+'6'!N43</f>
        <v>0</v>
      </c>
      <c r="O43" s="91">
        <f>'4'!O43+'5'!O43+'6'!O43</f>
        <v>0</v>
      </c>
      <c r="P43" s="91">
        <f>'4'!P43+'5'!P43+'6'!P43</f>
        <v>0</v>
      </c>
      <c r="Q43" s="91">
        <f>'4'!Q43+'5'!Q43+'6'!Q43</f>
        <v>0</v>
      </c>
      <c r="R43" s="91">
        <f>'4'!R43+'5'!R43+'6'!R43</f>
        <v>0</v>
      </c>
      <c r="S43" s="91">
        <f>'4'!S43+'5'!S43+'6'!S43</f>
        <v>0</v>
      </c>
      <c r="T43" s="91">
        <f>'4'!T43+'5'!T43+'6'!T43</f>
        <v>0</v>
      </c>
      <c r="U43" s="91">
        <f>'4'!U43+'5'!U43+'6'!U43</f>
        <v>0</v>
      </c>
      <c r="V43" s="91">
        <f>'4'!V43+'5'!V43+'6'!V43</f>
        <v>0</v>
      </c>
      <c r="W43" s="91">
        <f>'4'!W43+'5'!W43+'6'!W43</f>
        <v>0</v>
      </c>
      <c r="X43" s="91">
        <f>'4'!X43+'5'!X43+'6'!X43</f>
        <v>0</v>
      </c>
      <c r="Y43" s="91">
        <f>'4'!Y43+'5'!Y43+'6'!Y43</f>
        <v>0</v>
      </c>
      <c r="Z43" s="91">
        <f>'4'!Z43+'5'!Z43+'6'!Z43</f>
        <v>0</v>
      </c>
      <c r="AA43" s="91">
        <f>'4'!AA43+'5'!AA43+'6'!AA43</f>
        <v>0</v>
      </c>
      <c r="AB43" s="91">
        <f>'4'!AB43+'5'!AB43+'6'!AB43</f>
        <v>0</v>
      </c>
      <c r="AC43" s="91">
        <f>'4'!AC43+'5'!AC43+'6'!AC43</f>
        <v>0</v>
      </c>
      <c r="AD43" s="91">
        <f>'4'!AD43+'5'!AD43+'6'!AD43</f>
        <v>0</v>
      </c>
      <c r="AE43" s="91">
        <f>'4'!AE43+'5'!AE43+'6'!AE43</f>
        <v>0</v>
      </c>
      <c r="AF43" s="91">
        <f>'4'!AF43+'5'!AF43+'6'!AF43</f>
        <v>0</v>
      </c>
      <c r="AG43" s="91">
        <f>'4'!AG43+'5'!AG43+'6'!AG43</f>
        <v>0</v>
      </c>
      <c r="AH43" s="91">
        <f>'4'!AH43+'5'!AH43+'6'!AH43</f>
        <v>0</v>
      </c>
      <c r="AI43" s="91">
        <f>'4'!AI43+'5'!AI43+'6'!AI43</f>
        <v>0</v>
      </c>
      <c r="AJ43" s="91">
        <f>'4'!AJ43+'5'!AJ43+'6'!AJ43</f>
        <v>0</v>
      </c>
      <c r="AK43" s="91">
        <f>'4'!AK43+'5'!AK43+'6'!AK43</f>
        <v>0</v>
      </c>
      <c r="AL43" s="91">
        <f>'4'!AL43+'5'!AL43+'6'!AL43</f>
        <v>0</v>
      </c>
      <c r="AM43" s="91">
        <f>'4'!AM43+'5'!AM43+'6'!AM43</f>
        <v>0</v>
      </c>
      <c r="AN43" s="91">
        <f>'4'!AN43+'5'!AN43+'6'!AN43</f>
        <v>0</v>
      </c>
      <c r="AO43" s="91">
        <f>'4'!AO43+'5'!AO43+'6'!AO43</f>
        <v>0</v>
      </c>
      <c r="AP43" s="91">
        <f>'4'!AP43+'5'!AP43+'6'!AP43</f>
        <v>0</v>
      </c>
      <c r="AQ43" s="16">
        <f t="shared" si="3"/>
        <v>0</v>
      </c>
      <c r="AR43" s="17">
        <f t="shared" si="11"/>
        <v>0</v>
      </c>
      <c r="AS43" s="91">
        <f t="shared" si="15"/>
        <v>0</v>
      </c>
      <c r="AT43" s="91">
        <f>'4'!AT43+'5'!AT43+'6'!AT43</f>
        <v>0</v>
      </c>
      <c r="AU43" s="92">
        <f t="shared" si="16"/>
        <v>0</v>
      </c>
      <c r="AV43" s="92">
        <f t="shared" si="5"/>
        <v>0</v>
      </c>
      <c r="AW43" s="92">
        <f t="shared" si="17"/>
        <v>0</v>
      </c>
      <c r="AX43" s="92">
        <f t="shared" si="18"/>
        <v>0</v>
      </c>
      <c r="AY43" s="92">
        <f>IF(D43=0,0,K43/D43/24)</f>
        <v>0</v>
      </c>
      <c r="AZ43" s="92">
        <f>IF(E43=0,0,L43/E43/24)</f>
        <v>0</v>
      </c>
      <c r="BA43" s="95">
        <f t="shared" si="19"/>
        <v>0</v>
      </c>
      <c r="BB43" s="138"/>
      <c r="BC43"/>
    </row>
    <row r="44" spans="1:55" ht="15" hidden="1" customHeight="1" x14ac:dyDescent="0.25">
      <c r="A44" s="72" t="s">
        <v>67</v>
      </c>
      <c r="B44" s="123"/>
      <c r="C44" s="111">
        <v>31</v>
      </c>
      <c r="D44" s="121">
        <f t="shared" ref="D44:D45" si="24">AT44*AU44*AW44</f>
        <v>0</v>
      </c>
      <c r="E44" s="16">
        <f t="shared" ref="E44:E45" si="25">ROUND(AT44*AV44*AX44,4)</f>
        <v>0</v>
      </c>
      <c r="F44" s="91">
        <f>'1'!F44+'2'!F44+'3'!F44</f>
        <v>0</v>
      </c>
      <c r="G44" s="91">
        <f>'1'!G44+'2'!G44+'3'!G44</f>
        <v>0</v>
      </c>
      <c r="H44" s="135">
        <f>'1'!H44+'2'!H44+'3'!H44</f>
        <v>0</v>
      </c>
      <c r="I44" s="135">
        <f>'1'!I44+'2'!I44+'3'!I44</f>
        <v>0</v>
      </c>
      <c r="J44" s="14" t="s">
        <v>55</v>
      </c>
      <c r="K44" s="133">
        <f>'4'!K44+'5'!K44+'6'!K44</f>
        <v>0</v>
      </c>
      <c r="L44" s="133">
        <f>'4'!L44+'5'!L44+'6'!L44</f>
        <v>0</v>
      </c>
      <c r="M44" s="91">
        <f>'4'!M44+'5'!M44+'6'!M44</f>
        <v>0</v>
      </c>
      <c r="N44" s="91">
        <f>'4'!N44+'5'!N44+'6'!N44</f>
        <v>0</v>
      </c>
      <c r="O44" s="91">
        <f>'4'!O44+'5'!O44+'6'!O44</f>
        <v>0</v>
      </c>
      <c r="P44" s="91">
        <f>'4'!P44+'5'!P44+'6'!P44</f>
        <v>0</v>
      </c>
      <c r="Q44" s="91">
        <f>'4'!Q44+'5'!Q44+'6'!Q44</f>
        <v>0</v>
      </c>
      <c r="R44" s="91">
        <f>'4'!R44+'5'!R44+'6'!R44</f>
        <v>0</v>
      </c>
      <c r="S44" s="91">
        <f>'4'!S44+'5'!S44+'6'!S44</f>
        <v>0</v>
      </c>
      <c r="T44" s="91">
        <f>'4'!T44+'5'!T44+'6'!T44</f>
        <v>0</v>
      </c>
      <c r="U44" s="91">
        <f>'4'!U44+'5'!U44+'6'!U44</f>
        <v>0</v>
      </c>
      <c r="V44" s="91">
        <f>'4'!V44+'5'!V44+'6'!V44</f>
        <v>0</v>
      </c>
      <c r="W44" s="91">
        <f>'4'!W44+'5'!W44+'6'!W44</f>
        <v>0</v>
      </c>
      <c r="X44" s="91">
        <f>'4'!X44+'5'!X44+'6'!X44</f>
        <v>0</v>
      </c>
      <c r="Y44" s="91">
        <f>'4'!Y44+'5'!Y44+'6'!Y44</f>
        <v>0</v>
      </c>
      <c r="Z44" s="91">
        <f>'4'!Z44+'5'!Z44+'6'!Z44</f>
        <v>0</v>
      </c>
      <c r="AA44" s="91">
        <f>'4'!AA44+'5'!AA44+'6'!AA44</f>
        <v>0</v>
      </c>
      <c r="AB44" s="91">
        <f>'4'!AB44+'5'!AB44+'6'!AB44</f>
        <v>0</v>
      </c>
      <c r="AC44" s="91">
        <f>'4'!AC44+'5'!AC44+'6'!AC44</f>
        <v>0</v>
      </c>
      <c r="AD44" s="91">
        <f>'4'!AD44+'5'!AD44+'6'!AD44</f>
        <v>0</v>
      </c>
      <c r="AE44" s="91">
        <f>'4'!AE44+'5'!AE44+'6'!AE44</f>
        <v>0</v>
      </c>
      <c r="AF44" s="91">
        <f>'4'!AF44+'5'!AF44+'6'!AF44</f>
        <v>0</v>
      </c>
      <c r="AG44" s="91">
        <f>'4'!AG44+'5'!AG44+'6'!AG44</f>
        <v>0</v>
      </c>
      <c r="AH44" s="91">
        <f>'4'!AH44+'5'!AH44+'6'!AH44</f>
        <v>0</v>
      </c>
      <c r="AI44" s="91">
        <f>'4'!AI44+'5'!AI44+'6'!AI44</f>
        <v>0</v>
      </c>
      <c r="AJ44" s="91">
        <f>'4'!AJ44+'5'!AJ44+'6'!AJ44</f>
        <v>0</v>
      </c>
      <c r="AK44" s="91">
        <f>'4'!AK44+'5'!AK44+'6'!AK44</f>
        <v>0</v>
      </c>
      <c r="AL44" s="91">
        <f>'4'!AL44+'5'!AL44+'6'!AL44</f>
        <v>0</v>
      </c>
      <c r="AM44" s="91">
        <f>'4'!AM44+'5'!AM44+'6'!AM44</f>
        <v>0</v>
      </c>
      <c r="AN44" s="91">
        <f>'4'!AN44+'5'!AN44+'6'!AN44</f>
        <v>0</v>
      </c>
      <c r="AO44" s="91">
        <f>'4'!AO44+'5'!AO44+'6'!AO44</f>
        <v>0</v>
      </c>
      <c r="AP44" s="91">
        <f>'4'!AP44+'5'!AP44+'6'!AP44</f>
        <v>0</v>
      </c>
      <c r="AQ44" s="16">
        <f t="shared" si="3"/>
        <v>0</v>
      </c>
      <c r="AR44" s="17">
        <f t="shared" si="11"/>
        <v>0</v>
      </c>
      <c r="AS44" s="91">
        <f t="shared" si="15"/>
        <v>0</v>
      </c>
      <c r="AT44" s="15"/>
      <c r="AU44" s="92">
        <f t="shared" si="16"/>
        <v>0</v>
      </c>
      <c r="AV44" s="92">
        <f t="shared" si="5"/>
        <v>0</v>
      </c>
      <c r="AW44" s="92">
        <f t="shared" si="17"/>
        <v>0</v>
      </c>
      <c r="AX44" s="92">
        <f t="shared" si="18"/>
        <v>0</v>
      </c>
      <c r="AY44" s="92">
        <f t="shared" ref="AY44:AZ45" si="26">IF(D44=0,0,K44/D44/24)</f>
        <v>0</v>
      </c>
      <c r="AZ44" s="92">
        <f t="shared" si="26"/>
        <v>0</v>
      </c>
      <c r="BA44" s="95">
        <f t="shared" si="19"/>
        <v>0</v>
      </c>
      <c r="BB44" s="139"/>
      <c r="BC44"/>
    </row>
    <row r="45" spans="1:55" ht="15" customHeight="1" thickBot="1" x14ac:dyDescent="0.3">
      <c r="A45" s="103" t="s">
        <v>67</v>
      </c>
      <c r="B45" s="123" t="s">
        <v>140</v>
      </c>
      <c r="C45" s="114">
        <v>38</v>
      </c>
      <c r="D45" s="121">
        <f t="shared" si="24"/>
        <v>0</v>
      </c>
      <c r="E45" s="16">
        <f t="shared" si="25"/>
        <v>0</v>
      </c>
      <c r="F45" s="91">
        <f>'1'!F45+'2'!F45+'3'!F45</f>
        <v>0</v>
      </c>
      <c r="G45" s="91">
        <f>'1'!G45+'2'!G45+'3'!G45</f>
        <v>0</v>
      </c>
      <c r="H45" s="135">
        <f>'1'!H45+'2'!H45+'3'!H45</f>
        <v>0</v>
      </c>
      <c r="I45" s="135">
        <f>'1'!I45+'2'!I45+'3'!I45</f>
        <v>0</v>
      </c>
      <c r="J45" s="14" t="s">
        <v>55</v>
      </c>
      <c r="K45" s="133">
        <f>'4'!K45+'5'!K45+'6'!K45</f>
        <v>0</v>
      </c>
      <c r="L45" s="133">
        <f>'4'!L45+'5'!L45+'6'!L45</f>
        <v>0</v>
      </c>
      <c r="M45" s="91">
        <f>'4'!M45+'5'!M45+'6'!M45</f>
        <v>0</v>
      </c>
      <c r="N45" s="91">
        <f>'4'!N45+'5'!N45+'6'!N45</f>
        <v>0</v>
      </c>
      <c r="O45" s="91">
        <f>'4'!O45+'5'!O45+'6'!O45</f>
        <v>0</v>
      </c>
      <c r="P45" s="91">
        <f>'4'!P45+'5'!P45+'6'!P45</f>
        <v>0</v>
      </c>
      <c r="Q45" s="91">
        <f>'4'!Q45+'5'!Q45+'6'!Q45</f>
        <v>0</v>
      </c>
      <c r="R45" s="91">
        <f>'4'!R45+'5'!R45+'6'!R45</f>
        <v>0</v>
      </c>
      <c r="S45" s="91">
        <f>'4'!S45+'5'!S45+'6'!S45</f>
        <v>0</v>
      </c>
      <c r="T45" s="91">
        <f>'4'!T45+'5'!T45+'6'!T45</f>
        <v>0</v>
      </c>
      <c r="U45" s="91">
        <f>'4'!U45+'5'!U45+'6'!U45</f>
        <v>0</v>
      </c>
      <c r="V45" s="91">
        <f>'4'!V45+'5'!V45+'6'!V45</f>
        <v>0</v>
      </c>
      <c r="W45" s="91">
        <f>'4'!W45+'5'!W45+'6'!W45</f>
        <v>0</v>
      </c>
      <c r="X45" s="91">
        <f>'4'!X45+'5'!X45+'6'!X45</f>
        <v>0</v>
      </c>
      <c r="Y45" s="91">
        <f>'4'!Y45+'5'!Y45+'6'!Y45</f>
        <v>0</v>
      </c>
      <c r="Z45" s="91">
        <f>'4'!Z45+'5'!Z45+'6'!Z45</f>
        <v>0</v>
      </c>
      <c r="AA45" s="91">
        <f>'4'!AA45+'5'!AA45+'6'!AA45</f>
        <v>0</v>
      </c>
      <c r="AB45" s="91">
        <f>'4'!AB45+'5'!AB45+'6'!AB45</f>
        <v>0</v>
      </c>
      <c r="AC45" s="91">
        <f>'4'!AC45+'5'!AC45+'6'!AC45</f>
        <v>0</v>
      </c>
      <c r="AD45" s="91">
        <f>'4'!AD45+'5'!AD45+'6'!AD45</f>
        <v>0</v>
      </c>
      <c r="AE45" s="91">
        <f>'4'!AE45+'5'!AE45+'6'!AE45</f>
        <v>0</v>
      </c>
      <c r="AF45" s="91">
        <f>'4'!AF45+'5'!AF45+'6'!AF45</f>
        <v>0</v>
      </c>
      <c r="AG45" s="91">
        <f>'4'!AG45+'5'!AG45+'6'!AG45</f>
        <v>0</v>
      </c>
      <c r="AH45" s="91">
        <f>'4'!AH45+'5'!AH45+'6'!AH45</f>
        <v>0</v>
      </c>
      <c r="AI45" s="91">
        <f>'4'!AI45+'5'!AI45+'6'!AI45</f>
        <v>0</v>
      </c>
      <c r="AJ45" s="91">
        <f>'4'!AJ45+'5'!AJ45+'6'!AJ45</f>
        <v>0</v>
      </c>
      <c r="AK45" s="91">
        <f>'4'!AK45+'5'!AK45+'6'!AK45</f>
        <v>0</v>
      </c>
      <c r="AL45" s="91">
        <f>'4'!AL45+'5'!AL45+'6'!AL45</f>
        <v>0</v>
      </c>
      <c r="AM45" s="91">
        <f>'4'!AM45+'5'!AM45+'6'!AM45</f>
        <v>0</v>
      </c>
      <c r="AN45" s="91">
        <f>'4'!AN45+'5'!AN45+'6'!AN45</f>
        <v>0</v>
      </c>
      <c r="AO45" s="91">
        <f>'4'!AO45+'5'!AO45+'6'!AO45</f>
        <v>0</v>
      </c>
      <c r="AP45" s="91">
        <f>'4'!AP45+'5'!AP45+'6'!AP45</f>
        <v>0</v>
      </c>
      <c r="AQ45" s="16">
        <f t="shared" si="3"/>
        <v>0</v>
      </c>
      <c r="AR45" s="17">
        <f t="shared" si="11"/>
        <v>0</v>
      </c>
      <c r="AS45" s="91">
        <f t="shared" si="15"/>
        <v>0</v>
      </c>
      <c r="AT45" s="91">
        <f>'4'!AT45+'5'!AT45+'6'!AT45</f>
        <v>0</v>
      </c>
      <c r="AU45" s="92">
        <f t="shared" si="16"/>
        <v>0</v>
      </c>
      <c r="AV45" s="92">
        <f t="shared" si="5"/>
        <v>0</v>
      </c>
      <c r="AW45" s="92">
        <f t="shared" si="17"/>
        <v>0</v>
      </c>
      <c r="AX45" s="92">
        <f t="shared" si="18"/>
        <v>0</v>
      </c>
      <c r="AY45" s="92">
        <f t="shared" si="26"/>
        <v>0</v>
      </c>
      <c r="AZ45" s="92">
        <f t="shared" si="26"/>
        <v>0</v>
      </c>
      <c r="BA45" s="95">
        <f t="shared" si="19"/>
        <v>0</v>
      </c>
      <c r="BB45" s="140"/>
      <c r="BC45"/>
    </row>
    <row r="46" spans="1:55" ht="15" customHeight="1" thickBot="1" x14ac:dyDescent="0.3">
      <c r="A46" s="102" t="s">
        <v>82</v>
      </c>
      <c r="B46" s="124"/>
      <c r="C46" s="87"/>
      <c r="D46" s="129">
        <f t="shared" ref="D46:E46" si="27">SUM(D47:D51)</f>
        <v>0</v>
      </c>
      <c r="E46" s="129">
        <f t="shared" si="27"/>
        <v>0</v>
      </c>
      <c r="F46" s="129">
        <f>SUM(F47:F51)</f>
        <v>0</v>
      </c>
      <c r="G46" s="129">
        <f t="shared" ref="G46:AP46" si="28">SUM(G47:G51)</f>
        <v>0</v>
      </c>
      <c r="H46" s="131">
        <f t="shared" si="28"/>
        <v>0</v>
      </c>
      <c r="I46" s="131">
        <f t="shared" si="28"/>
        <v>0</v>
      </c>
      <c r="J46" s="129">
        <f t="shared" si="28"/>
        <v>0</v>
      </c>
      <c r="K46" s="130">
        <f t="shared" si="28"/>
        <v>0</v>
      </c>
      <c r="L46" s="130">
        <f t="shared" si="28"/>
        <v>0</v>
      </c>
      <c r="M46" s="129">
        <f t="shared" si="28"/>
        <v>0</v>
      </c>
      <c r="N46" s="129">
        <f t="shared" si="28"/>
        <v>0</v>
      </c>
      <c r="O46" s="129">
        <f t="shared" si="28"/>
        <v>0</v>
      </c>
      <c r="P46" s="129">
        <f t="shared" si="28"/>
        <v>0</v>
      </c>
      <c r="Q46" s="129">
        <f t="shared" si="28"/>
        <v>0</v>
      </c>
      <c r="R46" s="129">
        <f t="shared" si="28"/>
        <v>0</v>
      </c>
      <c r="S46" s="129">
        <f t="shared" si="28"/>
        <v>0</v>
      </c>
      <c r="T46" s="129">
        <f t="shared" si="28"/>
        <v>0</v>
      </c>
      <c r="U46" s="129">
        <f t="shared" si="28"/>
        <v>0</v>
      </c>
      <c r="V46" s="129">
        <f t="shared" si="28"/>
        <v>0</v>
      </c>
      <c r="W46" s="129">
        <f t="shared" si="28"/>
        <v>0</v>
      </c>
      <c r="X46" s="129">
        <f t="shared" si="28"/>
        <v>0</v>
      </c>
      <c r="Y46" s="129">
        <f t="shared" si="28"/>
        <v>0</v>
      </c>
      <c r="Z46" s="129">
        <f t="shared" si="28"/>
        <v>0</v>
      </c>
      <c r="AA46" s="129">
        <f t="shared" si="28"/>
        <v>0</v>
      </c>
      <c r="AB46" s="129">
        <f t="shared" si="28"/>
        <v>0</v>
      </c>
      <c r="AC46" s="129">
        <f t="shared" si="28"/>
        <v>0</v>
      </c>
      <c r="AD46" s="129">
        <f t="shared" si="28"/>
        <v>0</v>
      </c>
      <c r="AE46" s="129">
        <f t="shared" si="28"/>
        <v>0</v>
      </c>
      <c r="AF46" s="129">
        <f t="shared" si="28"/>
        <v>0</v>
      </c>
      <c r="AG46" s="129">
        <f t="shared" si="28"/>
        <v>0</v>
      </c>
      <c r="AH46" s="129">
        <f t="shared" si="28"/>
        <v>0</v>
      </c>
      <c r="AI46" s="129">
        <f t="shared" si="28"/>
        <v>0</v>
      </c>
      <c r="AJ46" s="129">
        <f t="shared" si="28"/>
        <v>0</v>
      </c>
      <c r="AK46" s="129">
        <f t="shared" si="28"/>
        <v>0</v>
      </c>
      <c r="AL46" s="129">
        <f t="shared" si="28"/>
        <v>0</v>
      </c>
      <c r="AM46" s="129">
        <f t="shared" si="28"/>
        <v>0</v>
      </c>
      <c r="AN46" s="129">
        <f t="shared" si="28"/>
        <v>0</v>
      </c>
      <c r="AO46" s="129">
        <f t="shared" si="28"/>
        <v>0</v>
      </c>
      <c r="AP46" s="129">
        <f t="shared" si="28"/>
        <v>0</v>
      </c>
      <c r="AQ46" s="129">
        <f t="shared" si="3"/>
        <v>0</v>
      </c>
      <c r="AR46" s="129">
        <f t="shared" si="11"/>
        <v>0</v>
      </c>
      <c r="AS46" s="129">
        <f t="shared" si="15"/>
        <v>0</v>
      </c>
      <c r="AT46" s="129">
        <f>SUM(AT47:AT51)</f>
        <v>0</v>
      </c>
      <c r="AU46" s="131">
        <f t="shared" si="16"/>
        <v>0</v>
      </c>
      <c r="AV46" s="131">
        <f t="shared" si="5"/>
        <v>0</v>
      </c>
      <c r="AW46" s="131">
        <f t="shared" si="17"/>
        <v>0</v>
      </c>
      <c r="AX46" s="131">
        <f t="shared" si="18"/>
        <v>0</v>
      </c>
      <c r="AY46" s="131">
        <f>SUM(AY47:AY51)</f>
        <v>0</v>
      </c>
      <c r="AZ46" s="131">
        <f>SUM(AZ47:AZ51)</f>
        <v>0</v>
      </c>
      <c r="BA46" s="129">
        <f t="shared" si="19"/>
        <v>0</v>
      </c>
      <c r="BB46" s="141"/>
      <c r="BC46"/>
    </row>
    <row r="47" spans="1:55" ht="15" customHeight="1" x14ac:dyDescent="0.25">
      <c r="A47" s="97" t="s">
        <v>46</v>
      </c>
      <c r="B47" s="123" t="s">
        <v>141</v>
      </c>
      <c r="C47" s="115">
        <v>28</v>
      </c>
      <c r="D47" s="121">
        <f>AT47*AU47*AW47</f>
        <v>0</v>
      </c>
      <c r="E47" s="16">
        <f>ROUND(AT47*AV47*AX47,4)</f>
        <v>0</v>
      </c>
      <c r="F47" s="91">
        <f>'4'!F47+'5'!F47+'6'!F47</f>
        <v>0</v>
      </c>
      <c r="G47" s="91">
        <f>'4'!G47+'5'!G47+'6'!G47</f>
        <v>0</v>
      </c>
      <c r="H47" s="135">
        <f>'4'!H47+'5'!H47+'6'!H47</f>
        <v>0</v>
      </c>
      <c r="I47" s="135">
        <f>'4'!I47+'5'!I47+'6'!I47</f>
        <v>0</v>
      </c>
      <c r="J47" s="14" t="s">
        <v>55</v>
      </c>
      <c r="K47" s="133">
        <f>'4'!K47+'5'!K47+'6'!K47</f>
        <v>0</v>
      </c>
      <c r="L47" s="133">
        <f>'4'!L47+'5'!L47+'6'!L47</f>
        <v>0</v>
      </c>
      <c r="M47" s="91">
        <f>'4'!M47+'5'!M47+'6'!M47</f>
        <v>0</v>
      </c>
      <c r="N47" s="91">
        <f>'4'!N47+'5'!N47+'6'!N47</f>
        <v>0</v>
      </c>
      <c r="O47" s="91">
        <f>'4'!O47+'5'!O47+'6'!O47</f>
        <v>0</v>
      </c>
      <c r="P47" s="91">
        <f>'4'!P47+'5'!P47+'6'!P47</f>
        <v>0</v>
      </c>
      <c r="Q47" s="91">
        <f>'4'!Q47+'5'!Q47+'6'!Q47</f>
        <v>0</v>
      </c>
      <c r="R47" s="91">
        <f>'4'!R47+'5'!R47+'6'!R47</f>
        <v>0</v>
      </c>
      <c r="S47" s="91">
        <f>'4'!S47+'5'!S47+'6'!S47</f>
        <v>0</v>
      </c>
      <c r="T47" s="91">
        <f>'4'!T47+'5'!T47+'6'!T47</f>
        <v>0</v>
      </c>
      <c r="U47" s="91">
        <f>'4'!U47+'5'!U47+'6'!U47</f>
        <v>0</v>
      </c>
      <c r="V47" s="91">
        <f>'4'!V47+'5'!V47+'6'!V47</f>
        <v>0</v>
      </c>
      <c r="W47" s="91">
        <f>'4'!W47+'5'!W47+'6'!W47</f>
        <v>0</v>
      </c>
      <c r="X47" s="91">
        <f>'4'!X47+'5'!X47+'6'!X47</f>
        <v>0</v>
      </c>
      <c r="Y47" s="91">
        <f>'4'!Y47+'5'!Y47+'6'!Y47</f>
        <v>0</v>
      </c>
      <c r="Z47" s="91">
        <f>'4'!Z47+'5'!Z47+'6'!Z47</f>
        <v>0</v>
      </c>
      <c r="AA47" s="91">
        <f>'4'!AA47+'5'!AA47+'6'!AA47</f>
        <v>0</v>
      </c>
      <c r="AB47" s="91">
        <f>'4'!AB47+'5'!AB47+'6'!AB47</f>
        <v>0</v>
      </c>
      <c r="AC47" s="91">
        <f>'4'!AC47+'5'!AC47+'6'!AC47</f>
        <v>0</v>
      </c>
      <c r="AD47" s="91">
        <f>'4'!AD47+'5'!AD47+'6'!AD47</f>
        <v>0</v>
      </c>
      <c r="AE47" s="91">
        <f>'4'!AE47+'5'!AE47+'6'!AE47</f>
        <v>0</v>
      </c>
      <c r="AF47" s="91">
        <f>'4'!AF47+'5'!AF47+'6'!AF47</f>
        <v>0</v>
      </c>
      <c r="AG47" s="91">
        <f>'4'!AG47+'5'!AG47+'6'!AG47</f>
        <v>0</v>
      </c>
      <c r="AH47" s="91">
        <f>'4'!AH47+'5'!AH47+'6'!AH47</f>
        <v>0</v>
      </c>
      <c r="AI47" s="91">
        <f>'4'!AI47+'5'!AI47+'6'!AI47</f>
        <v>0</v>
      </c>
      <c r="AJ47" s="91">
        <f>'4'!AJ47+'5'!AJ47+'6'!AJ47</f>
        <v>0</v>
      </c>
      <c r="AK47" s="91">
        <f>'4'!AK47+'5'!AK47+'6'!AK47</f>
        <v>0</v>
      </c>
      <c r="AL47" s="91">
        <f>'4'!AL47+'5'!AL47+'6'!AL47</f>
        <v>0</v>
      </c>
      <c r="AM47" s="91">
        <f>'4'!AM47+'5'!AM47+'6'!AM47</f>
        <v>0</v>
      </c>
      <c r="AN47" s="91">
        <f>'4'!AN47+'5'!AN47+'6'!AN47</f>
        <v>0</v>
      </c>
      <c r="AO47" s="91">
        <f>'4'!AO47+'5'!AO47+'6'!AO47</f>
        <v>0</v>
      </c>
      <c r="AP47" s="91">
        <f>'4'!AP47+'5'!AP47+'6'!AP47</f>
        <v>0</v>
      </c>
      <c r="AQ47" s="16">
        <f t="shared" si="3"/>
        <v>0</v>
      </c>
      <c r="AR47" s="17">
        <f t="shared" si="11"/>
        <v>0</v>
      </c>
      <c r="AS47" s="91">
        <f t="shared" si="15"/>
        <v>0</v>
      </c>
      <c r="AT47" s="91">
        <f>'4'!AT47+'5'!AT47+'6'!AT47</f>
        <v>0</v>
      </c>
      <c r="AU47" s="92">
        <f t="shared" si="16"/>
        <v>0</v>
      </c>
      <c r="AV47" s="92">
        <f t="shared" si="5"/>
        <v>0</v>
      </c>
      <c r="AW47" s="92">
        <f t="shared" si="17"/>
        <v>0</v>
      </c>
      <c r="AX47" s="92">
        <f t="shared" si="18"/>
        <v>0</v>
      </c>
      <c r="AY47" s="92">
        <f>IF(D47=0,0,K47/D47/24)</f>
        <v>0</v>
      </c>
      <c r="AZ47" s="92">
        <f>IF(E47=0,0,L47/E47/24)</f>
        <v>0</v>
      </c>
      <c r="BA47" s="95">
        <f t="shared" si="19"/>
        <v>0</v>
      </c>
      <c r="BB47" s="138"/>
      <c r="BC47"/>
    </row>
    <row r="48" spans="1:55" ht="15" customHeight="1" thickBot="1" x14ac:dyDescent="0.3">
      <c r="A48" s="71" t="s">
        <v>45</v>
      </c>
      <c r="B48" s="123" t="s">
        <v>142</v>
      </c>
      <c r="C48" s="112">
        <v>33</v>
      </c>
      <c r="D48" s="121">
        <f t="shared" ref="D48:D51" si="29">AT48*AU48*AW48</f>
        <v>0</v>
      </c>
      <c r="E48" s="16">
        <f t="shared" ref="E48:E51" si="30">ROUND(AT48*AV48*AX48,4)</f>
        <v>0</v>
      </c>
      <c r="F48" s="91">
        <f>'4'!F48+'5'!F48+'6'!F48</f>
        <v>0</v>
      </c>
      <c r="G48" s="91">
        <f>'4'!G48+'5'!G48+'6'!G48</f>
        <v>0</v>
      </c>
      <c r="H48" s="135">
        <f>'4'!H48+'5'!H48+'6'!H48</f>
        <v>0</v>
      </c>
      <c r="I48" s="135">
        <f>'4'!I48+'5'!I48+'6'!I48</f>
        <v>0</v>
      </c>
      <c r="J48" s="14" t="s">
        <v>55</v>
      </c>
      <c r="K48" s="133">
        <f>'4'!K48+'5'!K48+'6'!K48</f>
        <v>0</v>
      </c>
      <c r="L48" s="133">
        <f>'4'!L48+'5'!L48+'6'!L48</f>
        <v>0</v>
      </c>
      <c r="M48" s="91">
        <f>'4'!M48+'5'!M48+'6'!M48</f>
        <v>0</v>
      </c>
      <c r="N48" s="91">
        <f>'4'!N48+'5'!N48+'6'!N48</f>
        <v>0</v>
      </c>
      <c r="O48" s="91">
        <f>'4'!O48+'5'!O48+'6'!O48</f>
        <v>0</v>
      </c>
      <c r="P48" s="91">
        <f>'4'!P48+'5'!P48+'6'!P48</f>
        <v>0</v>
      </c>
      <c r="Q48" s="91">
        <f>'4'!Q48+'5'!Q48+'6'!Q48</f>
        <v>0</v>
      </c>
      <c r="R48" s="91">
        <f>'4'!R48+'5'!R48+'6'!R48</f>
        <v>0</v>
      </c>
      <c r="S48" s="91">
        <f>'4'!S48+'5'!S48+'6'!S48</f>
        <v>0</v>
      </c>
      <c r="T48" s="91">
        <f>'4'!T48+'5'!T48+'6'!T48</f>
        <v>0</v>
      </c>
      <c r="U48" s="91">
        <f>'4'!U48+'5'!U48+'6'!U48</f>
        <v>0</v>
      </c>
      <c r="V48" s="91">
        <f>'4'!V48+'5'!V48+'6'!V48</f>
        <v>0</v>
      </c>
      <c r="W48" s="91">
        <f>'4'!W48+'5'!W48+'6'!W48</f>
        <v>0</v>
      </c>
      <c r="X48" s="91">
        <f>'4'!X48+'5'!X48+'6'!X48</f>
        <v>0</v>
      </c>
      <c r="Y48" s="91">
        <f>'4'!Y48+'5'!Y48+'6'!Y48</f>
        <v>0</v>
      </c>
      <c r="Z48" s="91">
        <f>'4'!Z48+'5'!Z48+'6'!Z48</f>
        <v>0</v>
      </c>
      <c r="AA48" s="91">
        <f>'4'!AA48+'5'!AA48+'6'!AA48</f>
        <v>0</v>
      </c>
      <c r="AB48" s="91">
        <f>'4'!AB48+'5'!AB48+'6'!AB48</f>
        <v>0</v>
      </c>
      <c r="AC48" s="91">
        <f>'4'!AC48+'5'!AC48+'6'!AC48</f>
        <v>0</v>
      </c>
      <c r="AD48" s="91">
        <f>'4'!AD48+'5'!AD48+'6'!AD48</f>
        <v>0</v>
      </c>
      <c r="AE48" s="91">
        <f>'4'!AE48+'5'!AE48+'6'!AE48</f>
        <v>0</v>
      </c>
      <c r="AF48" s="91">
        <f>'4'!AF48+'5'!AF48+'6'!AF48</f>
        <v>0</v>
      </c>
      <c r="AG48" s="91">
        <f>'4'!AG48+'5'!AG48+'6'!AG48</f>
        <v>0</v>
      </c>
      <c r="AH48" s="91">
        <f>'4'!AH48+'5'!AH48+'6'!AH48</f>
        <v>0</v>
      </c>
      <c r="AI48" s="91">
        <f>'4'!AI48+'5'!AI48+'6'!AI48</f>
        <v>0</v>
      </c>
      <c r="AJ48" s="91">
        <f>'4'!AJ48+'5'!AJ48+'6'!AJ48</f>
        <v>0</v>
      </c>
      <c r="AK48" s="91">
        <f>'4'!AK48+'5'!AK48+'6'!AK48</f>
        <v>0</v>
      </c>
      <c r="AL48" s="91">
        <f>'4'!AL48+'5'!AL48+'6'!AL48</f>
        <v>0</v>
      </c>
      <c r="AM48" s="91">
        <f>'4'!AM48+'5'!AM48+'6'!AM48</f>
        <v>0</v>
      </c>
      <c r="AN48" s="91">
        <f>'4'!AN48+'5'!AN48+'6'!AN48</f>
        <v>0</v>
      </c>
      <c r="AO48" s="91">
        <f>'4'!AO48+'5'!AO48+'6'!AO48</f>
        <v>0</v>
      </c>
      <c r="AP48" s="91">
        <f>'4'!AP48+'5'!AP48+'6'!AP48</f>
        <v>0</v>
      </c>
      <c r="AQ48" s="16">
        <f t="shared" si="3"/>
        <v>0</v>
      </c>
      <c r="AR48" s="17">
        <f t="shared" si="11"/>
        <v>0</v>
      </c>
      <c r="AS48" s="91">
        <f t="shared" si="15"/>
        <v>0</v>
      </c>
      <c r="AT48" s="91">
        <f>'4'!AT48+'5'!AT48+'6'!AT48</f>
        <v>0</v>
      </c>
      <c r="AU48" s="92">
        <f t="shared" si="16"/>
        <v>0</v>
      </c>
      <c r="AV48" s="92">
        <f t="shared" si="5"/>
        <v>0</v>
      </c>
      <c r="AW48" s="92">
        <f t="shared" si="17"/>
        <v>0</v>
      </c>
      <c r="AX48" s="92">
        <f t="shared" si="18"/>
        <v>0</v>
      </c>
      <c r="AY48" s="92">
        <f>IF(D48=0,0,K48/D48/24)</f>
        <v>0</v>
      </c>
      <c r="AZ48" s="92">
        <f>IF(E48=0,0,L48/E48/24)</f>
        <v>0</v>
      </c>
      <c r="BA48" s="95">
        <f t="shared" si="19"/>
        <v>0</v>
      </c>
      <c r="BB48" s="139"/>
      <c r="BC48"/>
    </row>
    <row r="49" spans="1:55" ht="15" hidden="1" customHeight="1" x14ac:dyDescent="0.3">
      <c r="A49" s="72" t="s">
        <v>48</v>
      </c>
      <c r="B49" s="111"/>
      <c r="C49" s="111">
        <v>35</v>
      </c>
      <c r="D49" s="121">
        <f t="shared" si="29"/>
        <v>0</v>
      </c>
      <c r="E49" s="16">
        <f t="shared" si="30"/>
        <v>0</v>
      </c>
      <c r="F49" s="91">
        <f>'4'!F49+'5'!F49+'6'!F49</f>
        <v>0</v>
      </c>
      <c r="G49" s="91">
        <f>'4'!G49+'5'!G49+'6'!G49</f>
        <v>0</v>
      </c>
      <c r="H49" s="135">
        <f>'4'!H49+'5'!H49+'6'!H49</f>
        <v>0</v>
      </c>
      <c r="I49" s="135">
        <f>'4'!I49+'5'!I49+'6'!I49</f>
        <v>0</v>
      </c>
      <c r="J49" s="14" t="s">
        <v>55</v>
      </c>
      <c r="K49" s="133">
        <f>'4'!K49+'5'!K49+'6'!K49</f>
        <v>0</v>
      </c>
      <c r="L49" s="133">
        <f>'4'!L49+'5'!L49+'6'!L49</f>
        <v>0</v>
      </c>
      <c r="M49" s="91">
        <f>'4'!M49+'5'!M49+'6'!M49</f>
        <v>0</v>
      </c>
      <c r="N49" s="91">
        <f>'4'!N49+'5'!N49+'6'!N49</f>
        <v>0</v>
      </c>
      <c r="O49" s="91">
        <f>'4'!O49+'5'!O49+'6'!O49</f>
        <v>0</v>
      </c>
      <c r="P49" s="91">
        <f>'4'!P49+'5'!P49+'6'!P49</f>
        <v>0</v>
      </c>
      <c r="Q49" s="91">
        <f>'4'!Q49+'5'!Q49+'6'!Q49</f>
        <v>0</v>
      </c>
      <c r="R49" s="91">
        <f>'4'!R49+'5'!R49+'6'!R49</f>
        <v>0</v>
      </c>
      <c r="S49" s="91">
        <f>'4'!S49+'5'!S49+'6'!S49</f>
        <v>0</v>
      </c>
      <c r="T49" s="91">
        <f>'4'!T49+'5'!T49+'6'!T49</f>
        <v>0</v>
      </c>
      <c r="U49" s="91">
        <f>'4'!U49+'5'!U49+'6'!U49</f>
        <v>0</v>
      </c>
      <c r="V49" s="91">
        <f>'4'!V49+'5'!V49+'6'!V49</f>
        <v>0</v>
      </c>
      <c r="W49" s="91">
        <f>'4'!W49+'5'!W49+'6'!W49</f>
        <v>0</v>
      </c>
      <c r="X49" s="91">
        <f>'4'!X49+'5'!X49+'6'!X49</f>
        <v>0</v>
      </c>
      <c r="Y49" s="91">
        <f>'4'!Y49+'5'!Y49+'6'!Y49</f>
        <v>0</v>
      </c>
      <c r="Z49" s="91">
        <f>'4'!Z49+'5'!Z49+'6'!Z49</f>
        <v>0</v>
      </c>
      <c r="AA49" s="91">
        <f>'4'!AA49+'5'!AA49+'6'!AA49</f>
        <v>0</v>
      </c>
      <c r="AB49" s="91">
        <f>'4'!AB49+'5'!AB49+'6'!AB49</f>
        <v>0</v>
      </c>
      <c r="AC49" s="91">
        <f>'4'!AC49+'5'!AC49+'6'!AC49</f>
        <v>0</v>
      </c>
      <c r="AD49" s="91">
        <f>'4'!AD49+'5'!AD49+'6'!AD49</f>
        <v>0</v>
      </c>
      <c r="AE49" s="91">
        <f>'4'!AE49+'5'!AE49+'6'!AE49</f>
        <v>0</v>
      </c>
      <c r="AF49" s="91">
        <f>'4'!AF49+'5'!AF49+'6'!AF49</f>
        <v>0</v>
      </c>
      <c r="AG49" s="91">
        <f>'4'!AG49+'5'!AG49+'6'!AG49</f>
        <v>0</v>
      </c>
      <c r="AH49" s="91">
        <f>'4'!AH49+'5'!AH49+'6'!AH49</f>
        <v>0</v>
      </c>
      <c r="AI49" s="91">
        <f>'4'!AI49+'5'!AI49+'6'!AI49</f>
        <v>0</v>
      </c>
      <c r="AJ49" s="91">
        <f>'4'!AJ49+'5'!AJ49+'6'!AJ49</f>
        <v>0</v>
      </c>
      <c r="AK49" s="91">
        <f>'4'!AK49+'5'!AK49+'6'!AK49</f>
        <v>0</v>
      </c>
      <c r="AL49" s="91">
        <f>'4'!AL49+'5'!AL49+'6'!AL49</f>
        <v>0</v>
      </c>
      <c r="AM49" s="91">
        <f>'4'!AM49+'5'!AM49+'6'!AM49</f>
        <v>0</v>
      </c>
      <c r="AN49" s="91">
        <f>'4'!AN49+'5'!AN49+'6'!AN49</f>
        <v>0</v>
      </c>
      <c r="AO49" s="91">
        <f>'4'!AO49+'5'!AO49+'6'!AO49</f>
        <v>0</v>
      </c>
      <c r="AP49" s="91">
        <f>'4'!AP49+'5'!AP49+'6'!AP49</f>
        <v>0</v>
      </c>
      <c r="AQ49" s="16">
        <f t="shared" si="3"/>
        <v>0</v>
      </c>
      <c r="AR49" s="17">
        <f t="shared" si="11"/>
        <v>0</v>
      </c>
      <c r="AS49" s="91">
        <f t="shared" si="15"/>
        <v>0</v>
      </c>
      <c r="AT49" s="15"/>
      <c r="AU49" s="92">
        <f t="shared" si="16"/>
        <v>0</v>
      </c>
      <c r="AV49" s="92">
        <f t="shared" si="5"/>
        <v>0</v>
      </c>
      <c r="AW49" s="92">
        <f t="shared" si="17"/>
        <v>0</v>
      </c>
      <c r="AX49" s="92">
        <f t="shared" si="18"/>
        <v>0</v>
      </c>
      <c r="AY49" s="18">
        <f t="shared" ref="AY49:AZ51" si="31">IF(D49=0,0,K49/D49/24)</f>
        <v>0</v>
      </c>
      <c r="AZ49" s="18">
        <f t="shared" si="31"/>
        <v>0</v>
      </c>
      <c r="BA49" s="95">
        <f t="shared" si="19"/>
        <v>0</v>
      </c>
      <c r="BB49" s="139"/>
      <c r="BC49"/>
    </row>
    <row r="50" spans="1:55" ht="15" hidden="1" customHeight="1" x14ac:dyDescent="0.3">
      <c r="A50" s="72" t="s">
        <v>47</v>
      </c>
      <c r="B50" s="111"/>
      <c r="C50" s="111">
        <v>36</v>
      </c>
      <c r="D50" s="121">
        <f t="shared" si="29"/>
        <v>0</v>
      </c>
      <c r="E50" s="16">
        <f t="shared" si="30"/>
        <v>0</v>
      </c>
      <c r="F50" s="91">
        <f>'4'!F50+'5'!F50+'6'!F50</f>
        <v>0</v>
      </c>
      <c r="G50" s="91">
        <f>'4'!G50+'5'!G50+'6'!G50</f>
        <v>0</v>
      </c>
      <c r="H50" s="135">
        <f>'4'!H50+'5'!H50+'6'!H50</f>
        <v>0</v>
      </c>
      <c r="I50" s="135">
        <f>'4'!I50+'5'!I50+'6'!I50</f>
        <v>0</v>
      </c>
      <c r="J50" s="14" t="s">
        <v>55</v>
      </c>
      <c r="K50" s="133">
        <f>'4'!K50+'5'!K50+'6'!K50</f>
        <v>0</v>
      </c>
      <c r="L50" s="133">
        <f>'4'!L50+'5'!L50+'6'!L50</f>
        <v>0</v>
      </c>
      <c r="M50" s="91">
        <f>'4'!M50+'5'!M50+'6'!M50</f>
        <v>0</v>
      </c>
      <c r="N50" s="91">
        <f>'4'!N50+'5'!N50+'6'!N50</f>
        <v>0</v>
      </c>
      <c r="O50" s="91">
        <f>'4'!O50+'5'!O50+'6'!O50</f>
        <v>0</v>
      </c>
      <c r="P50" s="91">
        <f>'4'!P50+'5'!P50+'6'!P50</f>
        <v>0</v>
      </c>
      <c r="Q50" s="91">
        <f>'4'!Q50+'5'!Q50+'6'!Q50</f>
        <v>0</v>
      </c>
      <c r="R50" s="91">
        <f>'4'!R50+'5'!R50+'6'!R50</f>
        <v>0</v>
      </c>
      <c r="S50" s="91">
        <f>'4'!S50+'5'!S50+'6'!S50</f>
        <v>0</v>
      </c>
      <c r="T50" s="91">
        <f>'4'!T50+'5'!T50+'6'!T50</f>
        <v>0</v>
      </c>
      <c r="U50" s="91">
        <f>'4'!U50+'5'!U50+'6'!U50</f>
        <v>0</v>
      </c>
      <c r="V50" s="91">
        <f>'4'!V50+'5'!V50+'6'!V50</f>
        <v>0</v>
      </c>
      <c r="W50" s="91">
        <f>'4'!W50+'5'!W50+'6'!W50</f>
        <v>0</v>
      </c>
      <c r="X50" s="91">
        <f>'4'!X50+'5'!X50+'6'!X50</f>
        <v>0</v>
      </c>
      <c r="Y50" s="91">
        <f>'4'!Y50+'5'!Y50+'6'!Y50</f>
        <v>0</v>
      </c>
      <c r="Z50" s="91">
        <f>'4'!Z50+'5'!Z50+'6'!Z50</f>
        <v>0</v>
      </c>
      <c r="AA50" s="91">
        <f>'4'!AA50+'5'!AA50+'6'!AA50</f>
        <v>0</v>
      </c>
      <c r="AB50" s="91">
        <f>'4'!AB50+'5'!AB50+'6'!AB50</f>
        <v>0</v>
      </c>
      <c r="AC50" s="91">
        <f>'4'!AC50+'5'!AC50+'6'!AC50</f>
        <v>0</v>
      </c>
      <c r="AD50" s="91">
        <f>'4'!AD50+'5'!AD50+'6'!AD50</f>
        <v>0</v>
      </c>
      <c r="AE50" s="91">
        <f>'4'!AE50+'5'!AE50+'6'!AE50</f>
        <v>0</v>
      </c>
      <c r="AF50" s="91">
        <f>'4'!AF50+'5'!AF50+'6'!AF50</f>
        <v>0</v>
      </c>
      <c r="AG50" s="91">
        <f>'4'!AG50+'5'!AG50+'6'!AG50</f>
        <v>0</v>
      </c>
      <c r="AH50" s="91">
        <f>'4'!AH50+'5'!AH50+'6'!AH50</f>
        <v>0</v>
      </c>
      <c r="AI50" s="91">
        <f>'4'!AI50+'5'!AI50+'6'!AI50</f>
        <v>0</v>
      </c>
      <c r="AJ50" s="91">
        <f>'4'!AJ50+'5'!AJ50+'6'!AJ50</f>
        <v>0</v>
      </c>
      <c r="AK50" s="91">
        <f>'4'!AK50+'5'!AK50+'6'!AK50</f>
        <v>0</v>
      </c>
      <c r="AL50" s="91">
        <f>'4'!AL50+'5'!AL50+'6'!AL50</f>
        <v>0</v>
      </c>
      <c r="AM50" s="91">
        <f>'4'!AM50+'5'!AM50+'6'!AM50</f>
        <v>0</v>
      </c>
      <c r="AN50" s="91">
        <f>'4'!AN50+'5'!AN50+'6'!AN50</f>
        <v>0</v>
      </c>
      <c r="AO50" s="91">
        <f>'4'!AO50+'5'!AO50+'6'!AO50</f>
        <v>0</v>
      </c>
      <c r="AP50" s="91">
        <f>'4'!AP50+'5'!AP50+'6'!AP50</f>
        <v>0</v>
      </c>
      <c r="AQ50" s="16">
        <f t="shared" si="3"/>
        <v>0</v>
      </c>
      <c r="AR50" s="17">
        <f t="shared" si="11"/>
        <v>0</v>
      </c>
      <c r="AS50" s="91">
        <f t="shared" si="15"/>
        <v>0</v>
      </c>
      <c r="AT50" s="15"/>
      <c r="AU50" s="92">
        <f t="shared" si="16"/>
        <v>0</v>
      </c>
      <c r="AV50" s="92">
        <f t="shared" si="5"/>
        <v>0</v>
      </c>
      <c r="AW50" s="92">
        <f t="shared" si="17"/>
        <v>0</v>
      </c>
      <c r="AX50" s="92">
        <f t="shared" si="18"/>
        <v>0</v>
      </c>
      <c r="AY50" s="18">
        <f t="shared" si="31"/>
        <v>0</v>
      </c>
      <c r="AZ50" s="18">
        <f t="shared" si="31"/>
        <v>0</v>
      </c>
      <c r="BA50" s="95">
        <f t="shared" si="19"/>
        <v>0</v>
      </c>
      <c r="BB50" s="139"/>
      <c r="BC50"/>
    </row>
    <row r="51" spans="1:55" ht="15" hidden="1" customHeight="1" thickBot="1" x14ac:dyDescent="0.3">
      <c r="A51" s="100" t="s">
        <v>64</v>
      </c>
      <c r="B51" s="116"/>
      <c r="C51" s="116">
        <v>37</v>
      </c>
      <c r="D51" s="121">
        <f t="shared" si="29"/>
        <v>0</v>
      </c>
      <c r="E51" s="16">
        <f t="shared" si="30"/>
        <v>0</v>
      </c>
      <c r="F51" s="91">
        <f>'4'!F51+'5'!F51+'6'!F51</f>
        <v>0</v>
      </c>
      <c r="G51" s="91">
        <f>'4'!G51+'5'!G51+'6'!G51</f>
        <v>0</v>
      </c>
      <c r="H51" s="135">
        <f>'4'!H51+'5'!H51+'6'!H51</f>
        <v>0</v>
      </c>
      <c r="I51" s="135">
        <f>'4'!I51+'5'!I51+'6'!I51</f>
        <v>0</v>
      </c>
      <c r="J51" s="14" t="s">
        <v>55</v>
      </c>
      <c r="K51" s="133">
        <f>'4'!K51+'5'!K51+'6'!K51</f>
        <v>0</v>
      </c>
      <c r="L51" s="133">
        <f>'4'!L51+'5'!L51+'6'!L51</f>
        <v>0</v>
      </c>
      <c r="M51" s="91">
        <f>'4'!M51+'5'!M51+'6'!M51</f>
        <v>0</v>
      </c>
      <c r="N51" s="91">
        <f>'4'!N51+'5'!N51+'6'!N51</f>
        <v>0</v>
      </c>
      <c r="O51" s="91">
        <f>'4'!O51+'5'!O51+'6'!O51</f>
        <v>0</v>
      </c>
      <c r="P51" s="91">
        <f>'4'!P51+'5'!P51+'6'!P51</f>
        <v>0</v>
      </c>
      <c r="Q51" s="91">
        <f>'4'!Q51+'5'!Q51+'6'!Q51</f>
        <v>0</v>
      </c>
      <c r="R51" s="91">
        <f>'4'!R51+'5'!R51+'6'!R51</f>
        <v>0</v>
      </c>
      <c r="S51" s="91">
        <f>'4'!S51+'5'!S51+'6'!S51</f>
        <v>0</v>
      </c>
      <c r="T51" s="91">
        <f>'4'!T51+'5'!T51+'6'!T51</f>
        <v>0</v>
      </c>
      <c r="U51" s="91">
        <f>'4'!U51+'5'!U51+'6'!U51</f>
        <v>0</v>
      </c>
      <c r="V51" s="91">
        <f>'4'!V51+'5'!V51+'6'!V51</f>
        <v>0</v>
      </c>
      <c r="W51" s="91">
        <f>'4'!W51+'5'!W51+'6'!W51</f>
        <v>0</v>
      </c>
      <c r="X51" s="91">
        <f>'4'!X51+'5'!X51+'6'!X51</f>
        <v>0</v>
      </c>
      <c r="Y51" s="91">
        <f>'4'!Y51+'5'!Y51+'6'!Y51</f>
        <v>0</v>
      </c>
      <c r="Z51" s="91">
        <f>'4'!Z51+'5'!Z51+'6'!Z51</f>
        <v>0</v>
      </c>
      <c r="AA51" s="91">
        <f>'4'!AA51+'5'!AA51+'6'!AA51</f>
        <v>0</v>
      </c>
      <c r="AB51" s="91">
        <f>'4'!AB51+'5'!AB51+'6'!AB51</f>
        <v>0</v>
      </c>
      <c r="AC51" s="91">
        <f>'4'!AC51+'5'!AC51+'6'!AC51</f>
        <v>0</v>
      </c>
      <c r="AD51" s="91">
        <f>'4'!AD51+'5'!AD51+'6'!AD51</f>
        <v>0</v>
      </c>
      <c r="AE51" s="91">
        <f>'4'!AE51+'5'!AE51+'6'!AE51</f>
        <v>0</v>
      </c>
      <c r="AF51" s="91">
        <f>'4'!AF51+'5'!AF51+'6'!AF51</f>
        <v>0</v>
      </c>
      <c r="AG51" s="91">
        <f>'4'!AG51+'5'!AG51+'6'!AG51</f>
        <v>0</v>
      </c>
      <c r="AH51" s="91">
        <f>'4'!AH51+'5'!AH51+'6'!AH51</f>
        <v>0</v>
      </c>
      <c r="AI51" s="91">
        <f>'4'!AI51+'5'!AI51+'6'!AI51</f>
        <v>0</v>
      </c>
      <c r="AJ51" s="91">
        <f>'4'!AJ51+'5'!AJ51+'6'!AJ51</f>
        <v>0</v>
      </c>
      <c r="AK51" s="91">
        <f>'4'!AK51+'5'!AK51+'6'!AK51</f>
        <v>0</v>
      </c>
      <c r="AL51" s="91">
        <f>'4'!AL51+'5'!AL51+'6'!AL51</f>
        <v>0</v>
      </c>
      <c r="AM51" s="91">
        <f>'4'!AM51+'5'!AM51+'6'!AM51</f>
        <v>0</v>
      </c>
      <c r="AN51" s="91">
        <f>'4'!AN51+'5'!AN51+'6'!AN51</f>
        <v>0</v>
      </c>
      <c r="AO51" s="91">
        <f>'4'!AO51+'5'!AO51+'6'!AO51</f>
        <v>0</v>
      </c>
      <c r="AP51" s="91">
        <f>'4'!AP51+'5'!AP51+'6'!AP51</f>
        <v>0</v>
      </c>
      <c r="AQ51" s="16">
        <f t="shared" si="3"/>
        <v>0</v>
      </c>
      <c r="AR51" s="17">
        <f t="shared" si="11"/>
        <v>0</v>
      </c>
      <c r="AS51" s="91">
        <f t="shared" si="15"/>
        <v>0</v>
      </c>
      <c r="AT51" s="16"/>
      <c r="AU51" s="92">
        <f t="shared" si="16"/>
        <v>0</v>
      </c>
      <c r="AV51" s="92">
        <f t="shared" si="5"/>
        <v>0</v>
      </c>
      <c r="AW51" s="92">
        <f t="shared" si="17"/>
        <v>0</v>
      </c>
      <c r="AX51" s="92">
        <f t="shared" si="18"/>
        <v>0</v>
      </c>
      <c r="AY51" s="92">
        <f t="shared" si="31"/>
        <v>0</v>
      </c>
      <c r="AZ51" s="92">
        <f t="shared" si="31"/>
        <v>0</v>
      </c>
      <c r="BA51" s="95">
        <f t="shared" si="19"/>
        <v>0</v>
      </c>
      <c r="BB51" s="140"/>
      <c r="BC51"/>
    </row>
    <row r="52" spans="1:55" ht="15" customHeight="1" thickBot="1" x14ac:dyDescent="0.3">
      <c r="A52" s="102" t="s">
        <v>49</v>
      </c>
      <c r="B52" s="124"/>
      <c r="C52" s="87"/>
      <c r="D52" s="129">
        <f t="shared" ref="D52:E52" si="32">SUM(D53:D54)</f>
        <v>0</v>
      </c>
      <c r="E52" s="129">
        <f t="shared" si="32"/>
        <v>0</v>
      </c>
      <c r="F52" s="129">
        <f>SUM(F53:F54)</f>
        <v>0</v>
      </c>
      <c r="G52" s="129">
        <f t="shared" ref="G52:AP52" si="33">SUM(G53:G54)</f>
        <v>0</v>
      </c>
      <c r="H52" s="131">
        <f t="shared" si="33"/>
        <v>0</v>
      </c>
      <c r="I52" s="131">
        <f t="shared" si="33"/>
        <v>0</v>
      </c>
      <c r="J52" s="129">
        <f t="shared" si="33"/>
        <v>0</v>
      </c>
      <c r="K52" s="130">
        <f t="shared" si="33"/>
        <v>0</v>
      </c>
      <c r="L52" s="130">
        <f t="shared" si="33"/>
        <v>0</v>
      </c>
      <c r="M52" s="129">
        <f t="shared" si="33"/>
        <v>0</v>
      </c>
      <c r="N52" s="129">
        <f t="shared" si="33"/>
        <v>0</v>
      </c>
      <c r="O52" s="129">
        <f t="shared" si="33"/>
        <v>0</v>
      </c>
      <c r="P52" s="129">
        <f t="shared" si="33"/>
        <v>0</v>
      </c>
      <c r="Q52" s="129">
        <f t="shared" si="33"/>
        <v>0</v>
      </c>
      <c r="R52" s="129">
        <f t="shared" si="33"/>
        <v>0</v>
      </c>
      <c r="S52" s="129">
        <f t="shared" si="33"/>
        <v>0</v>
      </c>
      <c r="T52" s="129">
        <f t="shared" si="33"/>
        <v>0</v>
      </c>
      <c r="U52" s="129">
        <f t="shared" si="33"/>
        <v>0</v>
      </c>
      <c r="V52" s="129">
        <f t="shared" si="33"/>
        <v>0</v>
      </c>
      <c r="W52" s="129">
        <f t="shared" si="33"/>
        <v>0</v>
      </c>
      <c r="X52" s="129">
        <f t="shared" si="33"/>
        <v>0</v>
      </c>
      <c r="Y52" s="129">
        <f t="shared" si="33"/>
        <v>0</v>
      </c>
      <c r="Z52" s="129">
        <f t="shared" si="33"/>
        <v>0</v>
      </c>
      <c r="AA52" s="129">
        <f t="shared" si="33"/>
        <v>0</v>
      </c>
      <c r="AB52" s="129">
        <f t="shared" si="33"/>
        <v>0</v>
      </c>
      <c r="AC52" s="129">
        <f t="shared" si="33"/>
        <v>0</v>
      </c>
      <c r="AD52" s="129">
        <f t="shared" si="33"/>
        <v>0</v>
      </c>
      <c r="AE52" s="129">
        <f t="shared" si="33"/>
        <v>0</v>
      </c>
      <c r="AF52" s="129">
        <f t="shared" si="33"/>
        <v>0</v>
      </c>
      <c r="AG52" s="129">
        <f t="shared" si="33"/>
        <v>0</v>
      </c>
      <c r="AH52" s="129">
        <f t="shared" si="33"/>
        <v>0</v>
      </c>
      <c r="AI52" s="129">
        <f t="shared" si="33"/>
        <v>0</v>
      </c>
      <c r="AJ52" s="129">
        <f t="shared" si="33"/>
        <v>0</v>
      </c>
      <c r="AK52" s="129">
        <f t="shared" si="33"/>
        <v>0</v>
      </c>
      <c r="AL52" s="129">
        <f t="shared" si="33"/>
        <v>0</v>
      </c>
      <c r="AM52" s="129">
        <f t="shared" si="33"/>
        <v>0</v>
      </c>
      <c r="AN52" s="129">
        <f t="shared" si="33"/>
        <v>0</v>
      </c>
      <c r="AO52" s="129">
        <f t="shared" si="33"/>
        <v>0</v>
      </c>
      <c r="AP52" s="129">
        <f t="shared" si="33"/>
        <v>0</v>
      </c>
      <c r="AQ52" s="129">
        <f t="shared" si="3"/>
        <v>0</v>
      </c>
      <c r="AR52" s="129">
        <f t="shared" si="11"/>
        <v>0</v>
      </c>
      <c r="AS52" s="129">
        <f t="shared" si="15"/>
        <v>0</v>
      </c>
      <c r="AT52" s="129">
        <f>SUM(AT53:AT54)</f>
        <v>0</v>
      </c>
      <c r="AU52" s="131">
        <f t="shared" si="16"/>
        <v>0</v>
      </c>
      <c r="AV52" s="131">
        <f t="shared" si="5"/>
        <v>0</v>
      </c>
      <c r="AW52" s="131">
        <f t="shared" si="17"/>
        <v>0</v>
      </c>
      <c r="AX52" s="131">
        <f t="shared" si="18"/>
        <v>0</v>
      </c>
      <c r="AY52" s="131">
        <f>SUM(AY53:AY54)</f>
        <v>0</v>
      </c>
      <c r="AZ52" s="131">
        <f>SUM(AZ53:AZ54)</f>
        <v>0</v>
      </c>
      <c r="BA52" s="129">
        <f t="shared" si="19"/>
        <v>0</v>
      </c>
      <c r="BB52" s="141"/>
      <c r="BC52"/>
    </row>
    <row r="53" spans="1:55" ht="15" customHeight="1" x14ac:dyDescent="0.25">
      <c r="A53" s="97" t="s">
        <v>51</v>
      </c>
      <c r="B53" s="123" t="s">
        <v>143</v>
      </c>
      <c r="C53" s="115">
        <v>4</v>
      </c>
      <c r="D53" s="121">
        <f>AT53*AU53*AW53</f>
        <v>0</v>
      </c>
      <c r="E53" s="16">
        <f>ROUND(AT53*AV53*AX53,4)</f>
        <v>0</v>
      </c>
      <c r="F53" s="91">
        <f>'4'!F53+'5'!F53+'6'!F53</f>
        <v>0</v>
      </c>
      <c r="G53" s="91">
        <f>'4'!G53+'5'!G53+'6'!G53</f>
        <v>0</v>
      </c>
      <c r="H53" s="135">
        <f>'4'!H53+'5'!H53+'6'!H53</f>
        <v>0</v>
      </c>
      <c r="I53" s="135">
        <f>'4'!I53+'5'!I53+'6'!I53</f>
        <v>0</v>
      </c>
      <c r="J53" s="14" t="s">
        <v>83</v>
      </c>
      <c r="K53" s="133">
        <f>'4'!K53+'5'!K53+'6'!K53</f>
        <v>0</v>
      </c>
      <c r="L53" s="133">
        <f>'4'!L53+'5'!L53+'6'!L53</f>
        <v>0</v>
      </c>
      <c r="M53" s="91">
        <f>'4'!M53+'5'!M53+'6'!M53</f>
        <v>0</v>
      </c>
      <c r="N53" s="91">
        <f>'4'!N53+'5'!N53+'6'!N53</f>
        <v>0</v>
      </c>
      <c r="O53" s="91">
        <f>'4'!O53+'5'!O53+'6'!O53</f>
        <v>0</v>
      </c>
      <c r="P53" s="91">
        <f>'4'!P53+'5'!P53+'6'!P53</f>
        <v>0</v>
      </c>
      <c r="Q53" s="91">
        <f>'4'!Q53+'5'!Q53+'6'!Q53</f>
        <v>0</v>
      </c>
      <c r="R53" s="91">
        <f>'4'!R53+'5'!R53+'6'!R53</f>
        <v>0</v>
      </c>
      <c r="S53" s="91">
        <f>'4'!S53+'5'!S53+'6'!S53</f>
        <v>0</v>
      </c>
      <c r="T53" s="91">
        <f>'4'!T53+'5'!T53+'6'!T53</f>
        <v>0</v>
      </c>
      <c r="U53" s="91">
        <f>'4'!U53+'5'!U53+'6'!U53</f>
        <v>0</v>
      </c>
      <c r="V53" s="91">
        <f>'4'!V53+'5'!V53+'6'!V53</f>
        <v>0</v>
      </c>
      <c r="W53" s="91">
        <f>'4'!W53+'5'!W53+'6'!W53</f>
        <v>0</v>
      </c>
      <c r="X53" s="91">
        <f>'4'!X53+'5'!X53+'6'!X53</f>
        <v>0</v>
      </c>
      <c r="Y53" s="91">
        <f>'4'!Y53+'5'!Y53+'6'!Y53</f>
        <v>0</v>
      </c>
      <c r="Z53" s="91">
        <f>'4'!Z53+'5'!Z53+'6'!Z53</f>
        <v>0</v>
      </c>
      <c r="AA53" s="91">
        <f>'4'!AA53+'5'!AA53+'6'!AA53</f>
        <v>0</v>
      </c>
      <c r="AB53" s="91">
        <f>'4'!AB53+'5'!AB53+'6'!AB53</f>
        <v>0</v>
      </c>
      <c r="AC53" s="91">
        <f>'4'!AC53+'5'!AC53+'6'!AC53</f>
        <v>0</v>
      </c>
      <c r="AD53" s="91">
        <f>'4'!AD53+'5'!AD53+'6'!AD53</f>
        <v>0</v>
      </c>
      <c r="AE53" s="91">
        <f>'4'!AE53+'5'!AE53+'6'!AE53</f>
        <v>0</v>
      </c>
      <c r="AF53" s="91">
        <f>'4'!AF53+'5'!AF53+'6'!AF53</f>
        <v>0</v>
      </c>
      <c r="AG53" s="91">
        <f>'4'!AG53+'5'!AG53+'6'!AG53</f>
        <v>0</v>
      </c>
      <c r="AH53" s="91">
        <f>'4'!AH53+'5'!AH53+'6'!AH53</f>
        <v>0</v>
      </c>
      <c r="AI53" s="91">
        <f>'4'!AI53+'5'!AI53+'6'!AI53</f>
        <v>0</v>
      </c>
      <c r="AJ53" s="91">
        <f>'4'!AJ53+'5'!AJ53+'6'!AJ53</f>
        <v>0</v>
      </c>
      <c r="AK53" s="91">
        <f>'4'!AK53+'5'!AK53+'6'!AK53</f>
        <v>0</v>
      </c>
      <c r="AL53" s="91">
        <f>'4'!AL53+'5'!AL53+'6'!AL53</f>
        <v>0</v>
      </c>
      <c r="AM53" s="91">
        <f>'4'!AM53+'5'!AM53+'6'!AM53</f>
        <v>0</v>
      </c>
      <c r="AN53" s="91">
        <f>'4'!AN53+'5'!AN53+'6'!AN53</f>
        <v>0</v>
      </c>
      <c r="AO53" s="91">
        <f>'4'!AO53+'5'!AO53+'6'!AO53</f>
        <v>0</v>
      </c>
      <c r="AP53" s="91">
        <f>'4'!AP53+'5'!AP53+'6'!AP53</f>
        <v>0</v>
      </c>
      <c r="AQ53" s="16">
        <f t="shared" si="3"/>
        <v>0</v>
      </c>
      <c r="AR53" s="17">
        <f t="shared" si="11"/>
        <v>0</v>
      </c>
      <c r="AS53" s="91">
        <f t="shared" si="15"/>
        <v>0</v>
      </c>
      <c r="AT53" s="91">
        <f>'4'!AT53+'5'!AT53+'6'!AT53</f>
        <v>0</v>
      </c>
      <c r="AU53" s="92">
        <f t="shared" si="16"/>
        <v>0</v>
      </c>
      <c r="AV53" s="92">
        <f t="shared" si="5"/>
        <v>0</v>
      </c>
      <c r="AW53" s="92">
        <f t="shared" si="17"/>
        <v>0</v>
      </c>
      <c r="AX53" s="92">
        <f t="shared" si="18"/>
        <v>0</v>
      </c>
      <c r="AY53" s="92">
        <f>IF(D53=0,0,K53/D53/24)</f>
        <v>0</v>
      </c>
      <c r="AZ53" s="92">
        <f>IF(E53=0,0,L53/E53/24)</f>
        <v>0</v>
      </c>
      <c r="BA53" s="95">
        <f t="shared" si="19"/>
        <v>0</v>
      </c>
      <c r="BB53" s="138"/>
      <c r="BC53"/>
    </row>
    <row r="54" spans="1:55" ht="15" customHeight="1" thickBot="1" x14ac:dyDescent="0.3">
      <c r="A54" s="104" t="s">
        <v>50</v>
      </c>
      <c r="B54" s="123" t="s">
        <v>153</v>
      </c>
      <c r="C54" s="117">
        <v>5</v>
      </c>
      <c r="D54" s="121">
        <f>AT54*AU54*AW54</f>
        <v>0</v>
      </c>
      <c r="E54" s="16">
        <f>ROUND(AT54*AV54*AX54,4)</f>
        <v>0</v>
      </c>
      <c r="F54" s="91">
        <f>'4'!F54+'5'!F54+'6'!F54</f>
        <v>0</v>
      </c>
      <c r="G54" s="91">
        <f>'4'!G54+'5'!G54+'6'!G54</f>
        <v>0</v>
      </c>
      <c r="H54" s="135">
        <f>'4'!H54+'5'!H54+'6'!H54</f>
        <v>0</v>
      </c>
      <c r="I54" s="135">
        <f>'4'!I54+'5'!I54+'6'!I54</f>
        <v>0</v>
      </c>
      <c r="J54" s="13" t="s">
        <v>83</v>
      </c>
      <c r="K54" s="133">
        <f>'4'!K54+'5'!K54+'6'!K54</f>
        <v>0</v>
      </c>
      <c r="L54" s="133">
        <f>'4'!L54+'5'!L54+'6'!L54</f>
        <v>0</v>
      </c>
      <c r="M54" s="91">
        <f>'4'!M54+'5'!M54+'6'!M54</f>
        <v>0</v>
      </c>
      <c r="N54" s="91">
        <f>'4'!N54+'5'!N54+'6'!N54</f>
        <v>0</v>
      </c>
      <c r="O54" s="91">
        <f>'4'!O54+'5'!O54+'6'!O54</f>
        <v>0</v>
      </c>
      <c r="P54" s="91">
        <f>'4'!P54+'5'!P54+'6'!P54</f>
        <v>0</v>
      </c>
      <c r="Q54" s="91">
        <f>'4'!Q54+'5'!Q54+'6'!Q54</f>
        <v>0</v>
      </c>
      <c r="R54" s="91">
        <f>'4'!R54+'5'!R54+'6'!R54</f>
        <v>0</v>
      </c>
      <c r="S54" s="91">
        <f>'4'!S54+'5'!S54+'6'!S54</f>
        <v>0</v>
      </c>
      <c r="T54" s="91">
        <f>'4'!T54+'5'!T54+'6'!T54</f>
        <v>0</v>
      </c>
      <c r="U54" s="91">
        <f>'4'!U54+'5'!U54+'6'!U54</f>
        <v>0</v>
      </c>
      <c r="V54" s="91">
        <f>'4'!V54+'5'!V54+'6'!V54</f>
        <v>0</v>
      </c>
      <c r="W54" s="91">
        <f>'4'!W54+'5'!W54+'6'!W54</f>
        <v>0</v>
      </c>
      <c r="X54" s="91">
        <f>'4'!X54+'5'!X54+'6'!X54</f>
        <v>0</v>
      </c>
      <c r="Y54" s="91">
        <f>'4'!Y54+'5'!Y54+'6'!Y54</f>
        <v>0</v>
      </c>
      <c r="Z54" s="91">
        <f>'4'!Z54+'5'!Z54+'6'!Z54</f>
        <v>0</v>
      </c>
      <c r="AA54" s="91">
        <f>'4'!AA54+'5'!AA54+'6'!AA54</f>
        <v>0</v>
      </c>
      <c r="AB54" s="91">
        <f>'4'!AB54+'5'!AB54+'6'!AB54</f>
        <v>0</v>
      </c>
      <c r="AC54" s="91">
        <f>'4'!AC54+'5'!AC54+'6'!AC54</f>
        <v>0</v>
      </c>
      <c r="AD54" s="91">
        <f>'4'!AD54+'5'!AD54+'6'!AD54</f>
        <v>0</v>
      </c>
      <c r="AE54" s="91">
        <f>'4'!AE54+'5'!AE54+'6'!AE54</f>
        <v>0</v>
      </c>
      <c r="AF54" s="91">
        <f>'4'!AF54+'5'!AF54+'6'!AF54</f>
        <v>0</v>
      </c>
      <c r="AG54" s="91">
        <f>'4'!AG54+'5'!AG54+'6'!AG54</f>
        <v>0</v>
      </c>
      <c r="AH54" s="91">
        <f>'4'!AH54+'5'!AH54+'6'!AH54</f>
        <v>0</v>
      </c>
      <c r="AI54" s="91">
        <f>'4'!AI54+'5'!AI54+'6'!AI54</f>
        <v>0</v>
      </c>
      <c r="AJ54" s="91">
        <f>'4'!AJ54+'5'!AJ54+'6'!AJ54</f>
        <v>0</v>
      </c>
      <c r="AK54" s="91">
        <f>'4'!AK54+'5'!AK54+'6'!AK54</f>
        <v>0</v>
      </c>
      <c r="AL54" s="91">
        <f>'4'!AL54+'5'!AL54+'6'!AL54</f>
        <v>0</v>
      </c>
      <c r="AM54" s="91">
        <f>'4'!AM54+'5'!AM54+'6'!AM54</f>
        <v>0</v>
      </c>
      <c r="AN54" s="91">
        <f>'4'!AN54+'5'!AN54+'6'!AN54</f>
        <v>0</v>
      </c>
      <c r="AO54" s="91">
        <f>'4'!AO54+'5'!AO54+'6'!AO54</f>
        <v>0</v>
      </c>
      <c r="AP54" s="91">
        <f>'4'!AP54+'5'!AP54+'6'!AP54</f>
        <v>0</v>
      </c>
      <c r="AQ54" s="16">
        <f t="shared" si="3"/>
        <v>0</v>
      </c>
      <c r="AR54" s="17">
        <f t="shared" si="11"/>
        <v>0</v>
      </c>
      <c r="AS54" s="91">
        <f t="shared" si="15"/>
        <v>0</v>
      </c>
      <c r="AT54" s="91">
        <f>'4'!AT54+'5'!AT54+'6'!AT54</f>
        <v>0</v>
      </c>
      <c r="AU54" s="92">
        <f t="shared" si="16"/>
        <v>0</v>
      </c>
      <c r="AV54" s="92">
        <f t="shared" si="5"/>
        <v>0</v>
      </c>
      <c r="AW54" s="92">
        <f t="shared" si="17"/>
        <v>0</v>
      </c>
      <c r="AX54" s="92">
        <f t="shared" si="18"/>
        <v>0</v>
      </c>
      <c r="AY54" s="92">
        <f>IF(D54=0,0,K54/D54/24)</f>
        <v>0</v>
      </c>
      <c r="AZ54" s="92">
        <f>IF(E54=0,0,L54/E54/24)</f>
        <v>0</v>
      </c>
      <c r="BA54" s="95">
        <f t="shared" si="19"/>
        <v>0</v>
      </c>
      <c r="BB54" s="140"/>
      <c r="BC54"/>
    </row>
    <row r="55" spans="1:55" ht="15" customHeight="1" thickBot="1" x14ac:dyDescent="0.3">
      <c r="A55" s="87" t="s">
        <v>52</v>
      </c>
      <c r="B55" s="124"/>
      <c r="C55" s="87"/>
      <c r="D55" s="129">
        <f t="shared" ref="D55:E55" si="34">SUM(D56:D61)</f>
        <v>0</v>
      </c>
      <c r="E55" s="129">
        <f t="shared" si="34"/>
        <v>0</v>
      </c>
      <c r="F55" s="129">
        <f>SUM(F56:F61)</f>
        <v>0</v>
      </c>
      <c r="G55" s="129">
        <f t="shared" ref="G55:AP55" si="35">SUM(G56:G61)</f>
        <v>0</v>
      </c>
      <c r="H55" s="131">
        <f t="shared" si="35"/>
        <v>0</v>
      </c>
      <c r="I55" s="131">
        <f t="shared" si="35"/>
        <v>0</v>
      </c>
      <c r="J55" s="129">
        <f t="shared" si="35"/>
        <v>0</v>
      </c>
      <c r="K55" s="130">
        <f t="shared" si="35"/>
        <v>0</v>
      </c>
      <c r="L55" s="130">
        <f t="shared" si="35"/>
        <v>0</v>
      </c>
      <c r="M55" s="129">
        <f t="shared" si="35"/>
        <v>0</v>
      </c>
      <c r="N55" s="129">
        <f t="shared" si="35"/>
        <v>0</v>
      </c>
      <c r="O55" s="129">
        <f t="shared" si="35"/>
        <v>0</v>
      </c>
      <c r="P55" s="129">
        <f t="shared" si="35"/>
        <v>0</v>
      </c>
      <c r="Q55" s="129">
        <f t="shared" si="35"/>
        <v>0</v>
      </c>
      <c r="R55" s="129">
        <f t="shared" si="35"/>
        <v>0</v>
      </c>
      <c r="S55" s="129">
        <f t="shared" si="35"/>
        <v>0</v>
      </c>
      <c r="T55" s="129">
        <f t="shared" si="35"/>
        <v>0</v>
      </c>
      <c r="U55" s="129">
        <f t="shared" si="35"/>
        <v>0</v>
      </c>
      <c r="V55" s="129">
        <f t="shared" si="35"/>
        <v>0</v>
      </c>
      <c r="W55" s="129">
        <f t="shared" si="35"/>
        <v>0</v>
      </c>
      <c r="X55" s="129">
        <f t="shared" si="35"/>
        <v>0</v>
      </c>
      <c r="Y55" s="129">
        <f t="shared" si="35"/>
        <v>0</v>
      </c>
      <c r="Z55" s="129">
        <f t="shared" si="35"/>
        <v>0</v>
      </c>
      <c r="AA55" s="129">
        <f t="shared" si="35"/>
        <v>0</v>
      </c>
      <c r="AB55" s="129">
        <f t="shared" si="35"/>
        <v>0</v>
      </c>
      <c r="AC55" s="129">
        <f t="shared" si="35"/>
        <v>0</v>
      </c>
      <c r="AD55" s="129">
        <f t="shared" si="35"/>
        <v>0</v>
      </c>
      <c r="AE55" s="129">
        <f t="shared" si="35"/>
        <v>0</v>
      </c>
      <c r="AF55" s="129">
        <f t="shared" si="35"/>
        <v>0</v>
      </c>
      <c r="AG55" s="129">
        <f t="shared" si="35"/>
        <v>0</v>
      </c>
      <c r="AH55" s="129">
        <f t="shared" si="35"/>
        <v>0</v>
      </c>
      <c r="AI55" s="129">
        <f t="shared" si="35"/>
        <v>0</v>
      </c>
      <c r="AJ55" s="129">
        <f t="shared" si="35"/>
        <v>0</v>
      </c>
      <c r="AK55" s="129">
        <f t="shared" si="35"/>
        <v>0</v>
      </c>
      <c r="AL55" s="129">
        <f t="shared" si="35"/>
        <v>0</v>
      </c>
      <c r="AM55" s="129">
        <f t="shared" si="35"/>
        <v>0</v>
      </c>
      <c r="AN55" s="129">
        <f t="shared" si="35"/>
        <v>0</v>
      </c>
      <c r="AO55" s="129">
        <f t="shared" si="35"/>
        <v>0</v>
      </c>
      <c r="AP55" s="129">
        <f t="shared" si="35"/>
        <v>0</v>
      </c>
      <c r="AQ55" s="129">
        <f t="shared" si="3"/>
        <v>0</v>
      </c>
      <c r="AR55" s="129">
        <f t="shared" si="11"/>
        <v>0</v>
      </c>
      <c r="AS55" s="129">
        <f t="shared" si="15"/>
        <v>0</v>
      </c>
      <c r="AT55" s="129">
        <f>SUM(AT56:AT61)</f>
        <v>0</v>
      </c>
      <c r="AU55" s="131">
        <f t="shared" si="16"/>
        <v>0</v>
      </c>
      <c r="AV55" s="131">
        <f>IF(AT55=0,0,(AT55-N55-P55-R55-AC55-AD55-AE55-AF55-AG55-AH55-AI55-AJ55-AL55)/AT55)</f>
        <v>0</v>
      </c>
      <c r="AW55" s="131">
        <f t="shared" si="17"/>
        <v>0</v>
      </c>
      <c r="AX55" s="131">
        <f t="shared" si="18"/>
        <v>0</v>
      </c>
      <c r="AY55" s="131">
        <f>SUM(AY56:AY61)</f>
        <v>0</v>
      </c>
      <c r="AZ55" s="131">
        <f>SUM(AZ56:AZ61)</f>
        <v>0</v>
      </c>
      <c r="BA55" s="129">
        <f t="shared" si="19"/>
        <v>0</v>
      </c>
      <c r="BB55" s="141"/>
      <c r="BC55"/>
    </row>
    <row r="56" spans="1:55" ht="15" customHeight="1" x14ac:dyDescent="0.25">
      <c r="A56" s="97" t="s">
        <v>53</v>
      </c>
      <c r="B56" s="123" t="s">
        <v>144</v>
      </c>
      <c r="C56" s="115">
        <v>15</v>
      </c>
      <c r="D56" s="121">
        <f>AT56*AU56*AW56</f>
        <v>0</v>
      </c>
      <c r="E56" s="16">
        <f>ROUND(AT56*AV56*AX56,4)</f>
        <v>0</v>
      </c>
      <c r="F56" s="91">
        <f>'4'!F56+'5'!F56+'6'!F56</f>
        <v>0</v>
      </c>
      <c r="G56" s="91">
        <f>'4'!G56+'5'!G56+'6'!G56</f>
        <v>0</v>
      </c>
      <c r="H56" s="135">
        <f>'4'!H56+'5'!H56+'6'!H56</f>
        <v>0</v>
      </c>
      <c r="I56" s="135">
        <f>'4'!I56+'5'!I56+'6'!I56</f>
        <v>0</v>
      </c>
      <c r="J56" s="14" t="s">
        <v>55</v>
      </c>
      <c r="K56" s="133">
        <f>'4'!K56+'5'!K56+'6'!K56</f>
        <v>0</v>
      </c>
      <c r="L56" s="133">
        <f>'4'!L56+'5'!L56+'6'!L56</f>
        <v>0</v>
      </c>
      <c r="M56" s="91">
        <f>'4'!M56+'5'!M56+'6'!M56</f>
        <v>0</v>
      </c>
      <c r="N56" s="91">
        <f>'4'!N56+'5'!N56+'6'!N56</f>
        <v>0</v>
      </c>
      <c r="O56" s="91">
        <f>'4'!O56+'5'!O56+'6'!O56</f>
        <v>0</v>
      </c>
      <c r="P56" s="91">
        <f>'4'!P56+'5'!P56+'6'!P56</f>
        <v>0</v>
      </c>
      <c r="Q56" s="91">
        <f>'4'!Q56+'5'!Q56+'6'!Q56</f>
        <v>0</v>
      </c>
      <c r="R56" s="91">
        <f>'4'!R56+'5'!R56+'6'!R56</f>
        <v>0</v>
      </c>
      <c r="S56" s="91">
        <f>'4'!S56+'5'!S56+'6'!S56</f>
        <v>0</v>
      </c>
      <c r="T56" s="91">
        <f>'4'!T56+'5'!T56+'6'!T56</f>
        <v>0</v>
      </c>
      <c r="U56" s="91">
        <f>'4'!U56+'5'!U56+'6'!U56</f>
        <v>0</v>
      </c>
      <c r="V56" s="91">
        <f>'4'!V56+'5'!V56+'6'!V56</f>
        <v>0</v>
      </c>
      <c r="W56" s="91">
        <f>'4'!W56+'5'!W56+'6'!W56</f>
        <v>0</v>
      </c>
      <c r="X56" s="91">
        <f>'4'!X56+'5'!X56+'6'!X56</f>
        <v>0</v>
      </c>
      <c r="Y56" s="91">
        <f>'4'!Y56+'5'!Y56+'6'!Y56</f>
        <v>0</v>
      </c>
      <c r="Z56" s="91">
        <f>'4'!Z56+'5'!Z56+'6'!Z56</f>
        <v>0</v>
      </c>
      <c r="AA56" s="91">
        <f>'4'!AA56+'5'!AA56+'6'!AA56</f>
        <v>0</v>
      </c>
      <c r="AB56" s="91">
        <f>'4'!AB56+'5'!AB56+'6'!AB56</f>
        <v>0</v>
      </c>
      <c r="AC56" s="91">
        <f>'4'!AC56+'5'!AC56+'6'!AC56</f>
        <v>0</v>
      </c>
      <c r="AD56" s="91">
        <f>'4'!AD56+'5'!AD56+'6'!AD56</f>
        <v>0</v>
      </c>
      <c r="AE56" s="91">
        <f>'4'!AE56+'5'!AE56+'6'!AE56</f>
        <v>0</v>
      </c>
      <c r="AF56" s="91">
        <f>'4'!AF56+'5'!AF56+'6'!AF56</f>
        <v>0</v>
      </c>
      <c r="AG56" s="91">
        <f>'4'!AG56+'5'!AG56+'6'!AG56</f>
        <v>0</v>
      </c>
      <c r="AH56" s="91">
        <f>'4'!AH56+'5'!AH56+'6'!AH56</f>
        <v>0</v>
      </c>
      <c r="AI56" s="91">
        <f>'4'!AI56+'5'!AI56+'6'!AI56</f>
        <v>0</v>
      </c>
      <c r="AJ56" s="91">
        <f>'4'!AJ56+'5'!AJ56+'6'!AJ56</f>
        <v>0</v>
      </c>
      <c r="AK56" s="91">
        <f>'4'!AK56+'5'!AK56+'6'!AK56</f>
        <v>0</v>
      </c>
      <c r="AL56" s="91">
        <f>'4'!AL56+'5'!AL56+'6'!AL56</f>
        <v>0</v>
      </c>
      <c r="AM56" s="91">
        <f>'4'!AM56+'5'!AM56+'6'!AM56</f>
        <v>0</v>
      </c>
      <c r="AN56" s="91">
        <f>'4'!AN56+'5'!AN56+'6'!AN56</f>
        <v>0</v>
      </c>
      <c r="AO56" s="91">
        <f>'4'!AO56+'5'!AO56+'6'!AO56</f>
        <v>0</v>
      </c>
      <c r="AP56" s="91">
        <f>'4'!AP56+'5'!AP56+'6'!AP56</f>
        <v>0</v>
      </c>
      <c r="AQ56" s="16">
        <f t="shared" si="3"/>
        <v>0</v>
      </c>
      <c r="AR56" s="17">
        <f t="shared" si="11"/>
        <v>0</v>
      </c>
      <c r="AS56" s="91">
        <f t="shared" si="15"/>
        <v>0</v>
      </c>
      <c r="AT56" s="91">
        <f>'4'!AT56+'5'!AT56+'6'!AT56</f>
        <v>0</v>
      </c>
      <c r="AU56" s="92">
        <f t="shared" si="16"/>
        <v>0</v>
      </c>
      <c r="AV56" s="92">
        <f t="shared" si="5"/>
        <v>0</v>
      </c>
      <c r="AW56" s="92">
        <f t="shared" si="17"/>
        <v>0</v>
      </c>
      <c r="AX56" s="92">
        <f t="shared" si="18"/>
        <v>0</v>
      </c>
      <c r="AY56" s="92">
        <f t="shared" ref="AY56:AZ59" si="36">IF(D56=0,0,K56/D56/24)</f>
        <v>0</v>
      </c>
      <c r="AZ56" s="92">
        <f t="shared" si="36"/>
        <v>0</v>
      </c>
      <c r="BA56" s="95">
        <f t="shared" si="19"/>
        <v>0</v>
      </c>
      <c r="BB56" s="138"/>
      <c r="BC56"/>
    </row>
    <row r="57" spans="1:55" ht="15" customHeight="1" x14ac:dyDescent="0.25">
      <c r="A57" s="71" t="s">
        <v>54</v>
      </c>
      <c r="B57" s="123" t="s">
        <v>145</v>
      </c>
      <c r="C57" s="112">
        <v>16</v>
      </c>
      <c r="D57" s="121">
        <f>AT57*AU57*AW57</f>
        <v>0</v>
      </c>
      <c r="E57" s="16">
        <f>ROUND(AT57*AV57*AX57,4)</f>
        <v>0</v>
      </c>
      <c r="F57" s="91">
        <f>'4'!F57+'5'!F57+'6'!F57</f>
        <v>0</v>
      </c>
      <c r="G57" s="91">
        <f>'4'!G57+'5'!G57+'6'!G57</f>
        <v>0</v>
      </c>
      <c r="H57" s="135">
        <f>'4'!H57+'5'!H57+'6'!H57</f>
        <v>0</v>
      </c>
      <c r="I57" s="135">
        <f>'4'!I57+'5'!I57+'6'!I57</f>
        <v>0</v>
      </c>
      <c r="J57" s="7" t="s">
        <v>55</v>
      </c>
      <c r="K57" s="133">
        <f>'4'!K57+'5'!K57+'6'!K57</f>
        <v>0</v>
      </c>
      <c r="L57" s="133">
        <f>'4'!L57+'5'!L57+'6'!L57</f>
        <v>0</v>
      </c>
      <c r="M57" s="91">
        <f>'4'!M57+'5'!M57+'6'!M57</f>
        <v>0</v>
      </c>
      <c r="N57" s="91">
        <f>'4'!N57+'5'!N57+'6'!N57</f>
        <v>0</v>
      </c>
      <c r="O57" s="91">
        <f>'4'!O57+'5'!O57+'6'!O57</f>
        <v>0</v>
      </c>
      <c r="P57" s="91">
        <f>'4'!P57+'5'!P57+'6'!P57</f>
        <v>0</v>
      </c>
      <c r="Q57" s="91">
        <f>'4'!Q57+'5'!Q57+'6'!Q57</f>
        <v>0</v>
      </c>
      <c r="R57" s="91">
        <f>'4'!R57+'5'!R57+'6'!R57</f>
        <v>0</v>
      </c>
      <c r="S57" s="91">
        <f>'4'!S57+'5'!S57+'6'!S57</f>
        <v>0</v>
      </c>
      <c r="T57" s="91">
        <f>'4'!T57+'5'!T57+'6'!T57</f>
        <v>0</v>
      </c>
      <c r="U57" s="91">
        <f>'4'!U57+'5'!U57+'6'!U57</f>
        <v>0</v>
      </c>
      <c r="V57" s="91">
        <f>'4'!V57+'5'!V57+'6'!V57</f>
        <v>0</v>
      </c>
      <c r="W57" s="91">
        <f>'4'!W57+'5'!W57+'6'!W57</f>
        <v>0</v>
      </c>
      <c r="X57" s="91">
        <f>'4'!X57+'5'!X57+'6'!X57</f>
        <v>0</v>
      </c>
      <c r="Y57" s="91">
        <f>'4'!Y57+'5'!Y57+'6'!Y57</f>
        <v>0</v>
      </c>
      <c r="Z57" s="91">
        <f>'4'!Z57+'5'!Z57+'6'!Z57</f>
        <v>0</v>
      </c>
      <c r="AA57" s="91">
        <f>'4'!AA57+'5'!AA57+'6'!AA57</f>
        <v>0</v>
      </c>
      <c r="AB57" s="91">
        <f>'4'!AB57+'5'!AB57+'6'!AB57</f>
        <v>0</v>
      </c>
      <c r="AC57" s="91">
        <f>'4'!AC57+'5'!AC57+'6'!AC57</f>
        <v>0</v>
      </c>
      <c r="AD57" s="91">
        <f>'4'!AD57+'5'!AD57+'6'!AD57</f>
        <v>0</v>
      </c>
      <c r="AE57" s="91">
        <f>'4'!AE57+'5'!AE57+'6'!AE57</f>
        <v>0</v>
      </c>
      <c r="AF57" s="91">
        <f>'4'!AF57+'5'!AF57+'6'!AF57</f>
        <v>0</v>
      </c>
      <c r="AG57" s="91">
        <f>'4'!AG57+'5'!AG57+'6'!AG57</f>
        <v>0</v>
      </c>
      <c r="AH57" s="91">
        <f>'4'!AH57+'5'!AH57+'6'!AH57</f>
        <v>0</v>
      </c>
      <c r="AI57" s="91">
        <f>'4'!AI57+'5'!AI57+'6'!AI57</f>
        <v>0</v>
      </c>
      <c r="AJ57" s="91">
        <f>'4'!AJ57+'5'!AJ57+'6'!AJ57</f>
        <v>0</v>
      </c>
      <c r="AK57" s="91">
        <f>'4'!AK57+'5'!AK57+'6'!AK57</f>
        <v>0</v>
      </c>
      <c r="AL57" s="91">
        <f>'4'!AL57+'5'!AL57+'6'!AL57</f>
        <v>0</v>
      </c>
      <c r="AM57" s="91">
        <f>'4'!AM57+'5'!AM57+'6'!AM57</f>
        <v>0</v>
      </c>
      <c r="AN57" s="91">
        <f>'4'!AN57+'5'!AN57+'6'!AN57</f>
        <v>0</v>
      </c>
      <c r="AO57" s="91">
        <f>'4'!AO57+'5'!AO57+'6'!AO57</f>
        <v>0</v>
      </c>
      <c r="AP57" s="91">
        <f>'4'!AP57+'5'!AP57+'6'!AP57</f>
        <v>0</v>
      </c>
      <c r="AQ57" s="16">
        <f t="shared" si="3"/>
        <v>0</v>
      </c>
      <c r="AR57" s="17">
        <f t="shared" si="11"/>
        <v>0</v>
      </c>
      <c r="AS57" s="91">
        <f t="shared" si="15"/>
        <v>0</v>
      </c>
      <c r="AT57" s="91">
        <f>'4'!AT57+'5'!AT57+'6'!AT57</f>
        <v>0</v>
      </c>
      <c r="AU57" s="92">
        <f t="shared" si="16"/>
        <v>0</v>
      </c>
      <c r="AV57" s="92">
        <f t="shared" si="5"/>
        <v>0</v>
      </c>
      <c r="AW57" s="92">
        <f t="shared" si="17"/>
        <v>0</v>
      </c>
      <c r="AX57" s="92">
        <f t="shared" si="18"/>
        <v>0</v>
      </c>
      <c r="AY57" s="92">
        <f t="shared" si="36"/>
        <v>0</v>
      </c>
      <c r="AZ57" s="92">
        <f t="shared" si="36"/>
        <v>0</v>
      </c>
      <c r="BA57" s="95">
        <f t="shared" si="19"/>
        <v>0</v>
      </c>
      <c r="BB57" s="139"/>
      <c r="BC57"/>
    </row>
    <row r="58" spans="1:55" ht="15" customHeight="1" x14ac:dyDescent="0.25">
      <c r="A58" s="73" t="s">
        <v>124</v>
      </c>
      <c r="B58" s="123" t="s">
        <v>146</v>
      </c>
      <c r="C58" s="113">
        <v>26</v>
      </c>
      <c r="D58" s="121">
        <f>AT58*AU58*AW58</f>
        <v>0</v>
      </c>
      <c r="E58" s="16">
        <f>ROUND(AT58*AV58*AX58,4)</f>
        <v>0</v>
      </c>
      <c r="F58" s="91">
        <f>'4'!F58+'5'!F58+'6'!F58</f>
        <v>0</v>
      </c>
      <c r="G58" s="91">
        <f>'4'!G58+'5'!G58+'6'!G58</f>
        <v>0</v>
      </c>
      <c r="H58" s="135">
        <f>'4'!H58+'5'!H58+'6'!H58</f>
        <v>0</v>
      </c>
      <c r="I58" s="135">
        <f>'4'!I58+'5'!I58+'6'!I58</f>
        <v>0</v>
      </c>
      <c r="J58" s="7" t="s">
        <v>55</v>
      </c>
      <c r="K58" s="133">
        <f>'4'!K58+'5'!K58+'6'!K58</f>
        <v>0</v>
      </c>
      <c r="L58" s="133">
        <f>'4'!L58+'5'!L58+'6'!L58</f>
        <v>0</v>
      </c>
      <c r="M58" s="91">
        <f>'4'!M58+'5'!M58+'6'!M58</f>
        <v>0</v>
      </c>
      <c r="N58" s="91">
        <f>'4'!N58+'5'!N58+'6'!N58</f>
        <v>0</v>
      </c>
      <c r="O58" s="91">
        <f>'4'!O58+'5'!O58+'6'!O58</f>
        <v>0</v>
      </c>
      <c r="P58" s="91">
        <f>'4'!P58+'5'!P58+'6'!P58</f>
        <v>0</v>
      </c>
      <c r="Q58" s="91">
        <f>'4'!Q58+'5'!Q58+'6'!Q58</f>
        <v>0</v>
      </c>
      <c r="R58" s="91">
        <f>'4'!R58+'5'!R58+'6'!R58</f>
        <v>0</v>
      </c>
      <c r="S58" s="91">
        <f>'4'!S58+'5'!S58+'6'!S58</f>
        <v>0</v>
      </c>
      <c r="T58" s="91">
        <f>'4'!T58+'5'!T58+'6'!T58</f>
        <v>0</v>
      </c>
      <c r="U58" s="91">
        <f>'4'!U58+'5'!U58+'6'!U58</f>
        <v>0</v>
      </c>
      <c r="V58" s="91">
        <f>'4'!V58+'5'!V58+'6'!V58</f>
        <v>0</v>
      </c>
      <c r="W58" s="91">
        <f>'4'!W58+'5'!W58+'6'!W58</f>
        <v>0</v>
      </c>
      <c r="X58" s="91">
        <f>'4'!X58+'5'!X58+'6'!X58</f>
        <v>0</v>
      </c>
      <c r="Y58" s="91">
        <f>'4'!Y58+'5'!Y58+'6'!Y58</f>
        <v>0</v>
      </c>
      <c r="Z58" s="91">
        <f>'4'!Z58+'5'!Z58+'6'!Z58</f>
        <v>0</v>
      </c>
      <c r="AA58" s="91">
        <f>'4'!AA58+'5'!AA58+'6'!AA58</f>
        <v>0</v>
      </c>
      <c r="AB58" s="91">
        <f>'4'!AB58+'5'!AB58+'6'!AB58</f>
        <v>0</v>
      </c>
      <c r="AC58" s="91">
        <f>'4'!AC58+'5'!AC58+'6'!AC58</f>
        <v>0</v>
      </c>
      <c r="AD58" s="91">
        <f>'4'!AD58+'5'!AD58+'6'!AD58</f>
        <v>0</v>
      </c>
      <c r="AE58" s="91">
        <f>'4'!AE58+'5'!AE58+'6'!AE58</f>
        <v>0</v>
      </c>
      <c r="AF58" s="91">
        <f>'4'!AF58+'5'!AF58+'6'!AF58</f>
        <v>0</v>
      </c>
      <c r="AG58" s="91">
        <f>'4'!AG58+'5'!AG58+'6'!AG58</f>
        <v>0</v>
      </c>
      <c r="AH58" s="91">
        <f>'4'!AH58+'5'!AH58+'6'!AH58</f>
        <v>0</v>
      </c>
      <c r="AI58" s="91">
        <f>'4'!AI58+'5'!AI58+'6'!AI58</f>
        <v>0</v>
      </c>
      <c r="AJ58" s="91">
        <f>'4'!AJ58+'5'!AJ58+'6'!AJ58</f>
        <v>0</v>
      </c>
      <c r="AK58" s="91">
        <f>'4'!AK58+'5'!AK58+'6'!AK58</f>
        <v>0</v>
      </c>
      <c r="AL58" s="91">
        <f>'4'!AL58+'5'!AL58+'6'!AL58</f>
        <v>0</v>
      </c>
      <c r="AM58" s="91">
        <f>'4'!AM58+'5'!AM58+'6'!AM58</f>
        <v>0</v>
      </c>
      <c r="AN58" s="91">
        <f>'4'!AN58+'5'!AN58+'6'!AN58</f>
        <v>0</v>
      </c>
      <c r="AO58" s="91">
        <f>'4'!AO58+'5'!AO58+'6'!AO58</f>
        <v>0</v>
      </c>
      <c r="AP58" s="91">
        <f>'4'!AP58+'5'!AP58+'6'!AP58</f>
        <v>0</v>
      </c>
      <c r="AQ58" s="16">
        <f t="shared" si="3"/>
        <v>0</v>
      </c>
      <c r="AR58" s="17">
        <f t="shared" si="11"/>
        <v>0</v>
      </c>
      <c r="AS58" s="91">
        <f t="shared" si="15"/>
        <v>0</v>
      </c>
      <c r="AT58" s="91">
        <f>'4'!AT58+'5'!AT58+'6'!AT58</f>
        <v>0</v>
      </c>
      <c r="AU58" s="92">
        <f t="shared" si="16"/>
        <v>0</v>
      </c>
      <c r="AV58" s="92">
        <f t="shared" si="5"/>
        <v>0</v>
      </c>
      <c r="AW58" s="92">
        <f t="shared" si="17"/>
        <v>0</v>
      </c>
      <c r="AX58" s="92">
        <f t="shared" si="18"/>
        <v>0</v>
      </c>
      <c r="AY58" s="92">
        <f t="shared" si="36"/>
        <v>0</v>
      </c>
      <c r="AZ58" s="92">
        <f t="shared" si="36"/>
        <v>0</v>
      </c>
      <c r="BA58" s="95">
        <f t="shared" si="19"/>
        <v>0</v>
      </c>
      <c r="BB58" s="139"/>
      <c r="BC58"/>
    </row>
    <row r="59" spans="1:55" ht="15" customHeight="1" x14ac:dyDescent="0.25">
      <c r="A59" s="73" t="s">
        <v>125</v>
      </c>
      <c r="B59" s="123" t="s">
        <v>147</v>
      </c>
      <c r="C59" s="112">
        <v>30</v>
      </c>
      <c r="D59" s="121">
        <f>AT59*AU59*AW59</f>
        <v>0</v>
      </c>
      <c r="E59" s="16">
        <f>ROUND(AT59*AV59*AX59,4)</f>
        <v>0</v>
      </c>
      <c r="F59" s="91">
        <f>'4'!F59+'5'!F59+'6'!F59</f>
        <v>0</v>
      </c>
      <c r="G59" s="91">
        <f>'4'!G59+'5'!G59+'6'!G59</f>
        <v>0</v>
      </c>
      <c r="H59" s="135">
        <f>'4'!H59+'5'!H59+'6'!H59</f>
        <v>0</v>
      </c>
      <c r="I59" s="135">
        <f>'4'!I59+'5'!I59+'6'!I59</f>
        <v>0</v>
      </c>
      <c r="J59" s="7" t="s">
        <v>55</v>
      </c>
      <c r="K59" s="133">
        <f>'4'!K59+'5'!K59+'6'!K59</f>
        <v>0</v>
      </c>
      <c r="L59" s="133">
        <f>'4'!L59+'5'!L59+'6'!L59</f>
        <v>0</v>
      </c>
      <c r="M59" s="91">
        <f>'4'!M59+'5'!M59+'6'!M59</f>
        <v>0</v>
      </c>
      <c r="N59" s="91">
        <f>'4'!N59+'5'!N59+'6'!N59</f>
        <v>0</v>
      </c>
      <c r="O59" s="91">
        <f>'4'!O59+'5'!O59+'6'!O59</f>
        <v>0</v>
      </c>
      <c r="P59" s="91">
        <f>'4'!P59+'5'!P59+'6'!P59</f>
        <v>0</v>
      </c>
      <c r="Q59" s="91">
        <f>'4'!Q59+'5'!Q59+'6'!Q59</f>
        <v>0</v>
      </c>
      <c r="R59" s="91">
        <f>'4'!R59+'5'!R59+'6'!R59</f>
        <v>0</v>
      </c>
      <c r="S59" s="91">
        <f>'4'!S59+'5'!S59+'6'!S59</f>
        <v>0</v>
      </c>
      <c r="T59" s="91">
        <f>'4'!T59+'5'!T59+'6'!T59</f>
        <v>0</v>
      </c>
      <c r="U59" s="91">
        <f>'4'!U59+'5'!U59+'6'!U59</f>
        <v>0</v>
      </c>
      <c r="V59" s="91">
        <f>'4'!V59+'5'!V59+'6'!V59</f>
        <v>0</v>
      </c>
      <c r="W59" s="91">
        <f>'4'!W59+'5'!W59+'6'!W59</f>
        <v>0</v>
      </c>
      <c r="X59" s="91">
        <f>'4'!X59+'5'!X59+'6'!X59</f>
        <v>0</v>
      </c>
      <c r="Y59" s="91">
        <f>'4'!Y59+'5'!Y59+'6'!Y59</f>
        <v>0</v>
      </c>
      <c r="Z59" s="91">
        <f>'4'!Z59+'5'!Z59+'6'!Z59</f>
        <v>0</v>
      </c>
      <c r="AA59" s="91">
        <f>'4'!AA59+'5'!AA59+'6'!AA59</f>
        <v>0</v>
      </c>
      <c r="AB59" s="91">
        <f>'4'!AB59+'5'!AB59+'6'!AB59</f>
        <v>0</v>
      </c>
      <c r="AC59" s="91">
        <f>'4'!AC59+'5'!AC59+'6'!AC59</f>
        <v>0</v>
      </c>
      <c r="AD59" s="91">
        <f>'4'!AD59+'5'!AD59+'6'!AD59</f>
        <v>0</v>
      </c>
      <c r="AE59" s="91">
        <f>'4'!AE59+'5'!AE59+'6'!AE59</f>
        <v>0</v>
      </c>
      <c r="AF59" s="91">
        <f>'4'!AF59+'5'!AF59+'6'!AF59</f>
        <v>0</v>
      </c>
      <c r="AG59" s="91">
        <f>'4'!AG59+'5'!AG59+'6'!AG59</f>
        <v>0</v>
      </c>
      <c r="AH59" s="91">
        <f>'4'!AH59+'5'!AH59+'6'!AH59</f>
        <v>0</v>
      </c>
      <c r="AI59" s="91">
        <f>'4'!AI59+'5'!AI59+'6'!AI59</f>
        <v>0</v>
      </c>
      <c r="AJ59" s="91">
        <f>'4'!AJ59+'5'!AJ59+'6'!AJ59</f>
        <v>0</v>
      </c>
      <c r="AK59" s="91">
        <f>'4'!AK59+'5'!AK59+'6'!AK59</f>
        <v>0</v>
      </c>
      <c r="AL59" s="91">
        <f>'4'!AL59+'5'!AL59+'6'!AL59</f>
        <v>0</v>
      </c>
      <c r="AM59" s="91">
        <f>'4'!AM59+'5'!AM59+'6'!AM59</f>
        <v>0</v>
      </c>
      <c r="AN59" s="91">
        <f>'4'!AN59+'5'!AN59+'6'!AN59</f>
        <v>0</v>
      </c>
      <c r="AO59" s="91">
        <f>'4'!AO59+'5'!AO59+'6'!AO59</f>
        <v>0</v>
      </c>
      <c r="AP59" s="91">
        <f>'4'!AP59+'5'!AP59+'6'!AP59</f>
        <v>0</v>
      </c>
      <c r="AQ59" s="16">
        <f t="shared" si="3"/>
        <v>0</v>
      </c>
      <c r="AR59" s="17">
        <f t="shared" si="11"/>
        <v>0</v>
      </c>
      <c r="AS59" s="91">
        <f t="shared" si="15"/>
        <v>0</v>
      </c>
      <c r="AT59" s="91">
        <f>'4'!AT59+'5'!AT59+'6'!AT59</f>
        <v>0</v>
      </c>
      <c r="AU59" s="92">
        <f t="shared" si="16"/>
        <v>0</v>
      </c>
      <c r="AV59" s="92">
        <f t="shared" si="5"/>
        <v>0</v>
      </c>
      <c r="AW59" s="92">
        <f t="shared" si="17"/>
        <v>0</v>
      </c>
      <c r="AX59" s="92">
        <f t="shared" si="18"/>
        <v>0</v>
      </c>
      <c r="AY59" s="92">
        <f t="shared" si="36"/>
        <v>0</v>
      </c>
      <c r="AZ59" s="92">
        <f t="shared" si="36"/>
        <v>0</v>
      </c>
      <c r="BA59" s="95">
        <f t="shared" si="19"/>
        <v>0</v>
      </c>
      <c r="BB59" s="139"/>
      <c r="BC59"/>
    </row>
    <row r="60" spans="1:55" ht="15" customHeight="1" x14ac:dyDescent="0.25">
      <c r="A60" s="73" t="s">
        <v>151</v>
      </c>
      <c r="B60" s="148" t="s">
        <v>150</v>
      </c>
      <c r="C60" s="112">
        <v>32</v>
      </c>
      <c r="D60" s="121">
        <f t="shared" ref="D60:D61" si="37">AT60*AU60*AW60</f>
        <v>0</v>
      </c>
      <c r="E60" s="16">
        <f t="shared" ref="E60:E61" si="38">ROUND(AT60*AV60*AX60,4)</f>
        <v>0</v>
      </c>
      <c r="F60" s="91">
        <f>'4'!F60+'5'!F60+'6'!F60</f>
        <v>0</v>
      </c>
      <c r="G60" s="91">
        <f>'4'!G60+'5'!G60+'6'!G60</f>
        <v>0</v>
      </c>
      <c r="H60" s="135">
        <f>'4'!H60+'5'!H60+'6'!H60</f>
        <v>0</v>
      </c>
      <c r="I60" s="135">
        <f>'4'!I60+'5'!I60+'6'!I60</f>
        <v>0</v>
      </c>
      <c r="J60" s="7" t="s">
        <v>55</v>
      </c>
      <c r="K60" s="133">
        <f>'4'!K60+'5'!K60+'6'!K60</f>
        <v>0</v>
      </c>
      <c r="L60" s="133">
        <f>'4'!L60+'5'!L60+'6'!L60</f>
        <v>0</v>
      </c>
      <c r="M60" s="91">
        <f>'4'!M60+'5'!M60+'6'!M60</f>
        <v>0</v>
      </c>
      <c r="N60" s="91">
        <f>'4'!N60+'5'!N60+'6'!N60</f>
        <v>0</v>
      </c>
      <c r="O60" s="91">
        <f>'4'!O60+'5'!O60+'6'!O60</f>
        <v>0</v>
      </c>
      <c r="P60" s="91">
        <f>'4'!P60+'5'!P60+'6'!P60</f>
        <v>0</v>
      </c>
      <c r="Q60" s="91">
        <f>'4'!Q60+'5'!Q60+'6'!Q60</f>
        <v>0</v>
      </c>
      <c r="R60" s="91">
        <f>'4'!R60+'5'!R60+'6'!R60</f>
        <v>0</v>
      </c>
      <c r="S60" s="91">
        <f>'4'!S60+'5'!S60+'6'!S60</f>
        <v>0</v>
      </c>
      <c r="T60" s="91">
        <f>'4'!T60+'5'!T60+'6'!T60</f>
        <v>0</v>
      </c>
      <c r="U60" s="91">
        <f>'4'!U60+'5'!U60+'6'!U60</f>
        <v>0</v>
      </c>
      <c r="V60" s="91">
        <f>'4'!V60+'5'!V60+'6'!V60</f>
        <v>0</v>
      </c>
      <c r="W60" s="91">
        <f>'4'!W60+'5'!W60+'6'!W60</f>
        <v>0</v>
      </c>
      <c r="X60" s="91">
        <f>'4'!X60+'5'!X60+'6'!X60</f>
        <v>0</v>
      </c>
      <c r="Y60" s="91">
        <f>'4'!Y60+'5'!Y60+'6'!Y60</f>
        <v>0</v>
      </c>
      <c r="Z60" s="91">
        <f>'4'!Z60+'5'!Z60+'6'!Z60</f>
        <v>0</v>
      </c>
      <c r="AA60" s="91">
        <f>'4'!AA60+'5'!AA60+'6'!AA60</f>
        <v>0</v>
      </c>
      <c r="AB60" s="91">
        <f>'4'!AB60+'5'!AB60+'6'!AB60</f>
        <v>0</v>
      </c>
      <c r="AC60" s="91">
        <f>'4'!AC60+'5'!AC60+'6'!AC60</f>
        <v>0</v>
      </c>
      <c r="AD60" s="91">
        <f>'4'!AD60+'5'!AD60+'6'!AD60</f>
        <v>0</v>
      </c>
      <c r="AE60" s="91">
        <f>'4'!AE60+'5'!AE60+'6'!AE60</f>
        <v>0</v>
      </c>
      <c r="AF60" s="91">
        <f>'4'!AF60+'5'!AF60+'6'!AF60</f>
        <v>0</v>
      </c>
      <c r="AG60" s="91">
        <f>'4'!AG60+'5'!AG60+'6'!AG60</f>
        <v>0</v>
      </c>
      <c r="AH60" s="91">
        <f>'4'!AH60+'5'!AH60+'6'!AH60</f>
        <v>0</v>
      </c>
      <c r="AI60" s="91">
        <f>'4'!AI60+'5'!AI60+'6'!AI60</f>
        <v>0</v>
      </c>
      <c r="AJ60" s="91">
        <f>'4'!AJ60+'5'!AJ60+'6'!AJ60</f>
        <v>0</v>
      </c>
      <c r="AK60" s="91">
        <f>'4'!AK60+'5'!AK60+'6'!AK60</f>
        <v>0</v>
      </c>
      <c r="AL60" s="91">
        <f>'4'!AL60+'5'!AL60+'6'!AL60</f>
        <v>0</v>
      </c>
      <c r="AM60" s="91">
        <f>'4'!AM60+'5'!AM60+'6'!AM60</f>
        <v>0</v>
      </c>
      <c r="AN60" s="91">
        <f>'4'!AN60+'5'!AN60+'6'!AN60</f>
        <v>0</v>
      </c>
      <c r="AO60" s="91">
        <f>'4'!AO60+'5'!AO60+'6'!AO60</f>
        <v>0</v>
      </c>
      <c r="AP60" s="91">
        <f>'4'!AP60+'5'!AP60+'6'!AP60</f>
        <v>0</v>
      </c>
      <c r="AQ60" s="16">
        <f t="shared" ref="AQ60:AQ61" si="39">M60+O60+S60+U60+W60+AA60+Q60+Y60</f>
        <v>0</v>
      </c>
      <c r="AR60" s="17">
        <f t="shared" ref="AR60:AR61" si="40">N60+P60+R60+AC60+AD60+AE60+AF60+AG60+AH60+AI60+AJ60+AK60+AL60+AM60+AN60+AO60+AP60+T60+V60+AB60</f>
        <v>0</v>
      </c>
      <c r="AS60" s="91">
        <f t="shared" ref="AS60:AS61" si="41">AT60</f>
        <v>0</v>
      </c>
      <c r="AT60" s="91">
        <f>'4'!AT60+'5'!AT60+'6'!AT60</f>
        <v>0</v>
      </c>
      <c r="AU60" s="92">
        <f t="shared" ref="AU60:AU61" si="42">IF(AT60-AQ60=0,0,(AT60-M60-O60-Q60)/AT60)</f>
        <v>0</v>
      </c>
      <c r="AV60" s="92">
        <f t="shared" ref="AV60:AV61" si="43">IF(AT60=0,0,(AT60-N60-P60-R60-AC60-AD60-AE60-AF60-AG60-AH60-AI60-AJ60-AL60)/AT60)</f>
        <v>0</v>
      </c>
      <c r="AW60" s="92">
        <f t="shared" ref="AW60:AW61" si="44">IF(OR(AT60=0,AU60=0),0,((AT60*AU60)-S60-U60-W60-AA60-Y60)/(AT60*AU60))</f>
        <v>0</v>
      </c>
      <c r="AX60" s="92">
        <f t="shared" ref="AX60:AX61" si="45">IF(OR(AT60=0,AV60=0),0,((AT60*AV60)-AK60-AM60-AN60-AO60-AP60-T60-V60-X60-Z60-AB60)/(AT60*AV60))</f>
        <v>0</v>
      </c>
      <c r="AY60" s="92">
        <f t="shared" ref="AY60:AY61" si="46">IF(D60=0,0,K60/D60/24)</f>
        <v>0</v>
      </c>
      <c r="AZ60" s="92">
        <f t="shared" ref="AZ60:AZ61" si="47">IF(E60=0,0,L60/E60/24)</f>
        <v>0</v>
      </c>
      <c r="BA60" s="95">
        <f t="shared" ref="BA60:BA61" si="48">ROUND(AT60-E60-AR60,4)</f>
        <v>0</v>
      </c>
      <c r="BB60" s="139"/>
      <c r="BC60"/>
    </row>
    <row r="61" spans="1:55" ht="15" customHeight="1" thickBot="1" x14ac:dyDescent="0.3">
      <c r="A61" s="143" t="s">
        <v>152</v>
      </c>
      <c r="B61" s="125" t="s">
        <v>154</v>
      </c>
      <c r="C61" s="144">
        <v>24</v>
      </c>
      <c r="D61" s="122">
        <f t="shared" si="37"/>
        <v>0</v>
      </c>
      <c r="E61" s="63">
        <f t="shared" si="38"/>
        <v>0</v>
      </c>
      <c r="F61" s="64">
        <f>'4'!F61+'5'!F61+'6'!F61</f>
        <v>0</v>
      </c>
      <c r="G61" s="64">
        <f>'4'!G61+'5'!G61+'6'!G61</f>
        <v>0</v>
      </c>
      <c r="H61" s="136">
        <f>'4'!H61+'5'!H61+'6'!H61</f>
        <v>0</v>
      </c>
      <c r="I61" s="136">
        <f>'4'!I61+'5'!I61+'6'!I61</f>
        <v>0</v>
      </c>
      <c r="J61" s="66" t="s">
        <v>55</v>
      </c>
      <c r="K61" s="134">
        <f>'4'!K61+'5'!K61+'6'!K61</f>
        <v>0</v>
      </c>
      <c r="L61" s="134">
        <f>'4'!L61+'5'!L61+'6'!L61</f>
        <v>0</v>
      </c>
      <c r="M61" s="64">
        <f>'4'!M61+'5'!M61+'6'!M61</f>
        <v>0</v>
      </c>
      <c r="N61" s="64">
        <f>'4'!N61+'5'!N61+'6'!N61</f>
        <v>0</v>
      </c>
      <c r="O61" s="64">
        <f>'4'!O61+'5'!O61+'6'!O61</f>
        <v>0</v>
      </c>
      <c r="P61" s="64">
        <f>'4'!P61+'5'!P61+'6'!P61</f>
        <v>0</v>
      </c>
      <c r="Q61" s="64">
        <f>'4'!Q61+'5'!Q61+'6'!Q61</f>
        <v>0</v>
      </c>
      <c r="R61" s="64">
        <f>'4'!R61+'5'!R61+'6'!R61</f>
        <v>0</v>
      </c>
      <c r="S61" s="64">
        <f>'4'!S61+'5'!S61+'6'!S61</f>
        <v>0</v>
      </c>
      <c r="T61" s="64">
        <f>'4'!T61+'5'!T61+'6'!T61</f>
        <v>0</v>
      </c>
      <c r="U61" s="64">
        <f>'4'!U61+'5'!U61+'6'!U61</f>
        <v>0</v>
      </c>
      <c r="V61" s="64">
        <f>'4'!V61+'5'!V61+'6'!V61</f>
        <v>0</v>
      </c>
      <c r="W61" s="64">
        <f>'4'!W61+'5'!W61+'6'!W61</f>
        <v>0</v>
      </c>
      <c r="X61" s="64">
        <f>'4'!X61+'5'!X61+'6'!X61</f>
        <v>0</v>
      </c>
      <c r="Y61" s="64">
        <f>'4'!Y61+'5'!Y61+'6'!Y61</f>
        <v>0</v>
      </c>
      <c r="Z61" s="64">
        <f>'4'!Z61+'5'!Z61+'6'!Z61</f>
        <v>0</v>
      </c>
      <c r="AA61" s="64">
        <f>'4'!AA61+'5'!AA61+'6'!AA61</f>
        <v>0</v>
      </c>
      <c r="AB61" s="64">
        <f>'4'!AB61+'5'!AB61+'6'!AB61</f>
        <v>0</v>
      </c>
      <c r="AC61" s="64">
        <f>'4'!AC61+'5'!AC61+'6'!AC61</f>
        <v>0</v>
      </c>
      <c r="AD61" s="64">
        <f>'4'!AD61+'5'!AD61+'6'!AD61</f>
        <v>0</v>
      </c>
      <c r="AE61" s="64">
        <f>'4'!AE61+'5'!AE61+'6'!AE61</f>
        <v>0</v>
      </c>
      <c r="AF61" s="64">
        <f>'4'!AF61+'5'!AF61+'6'!AF61</f>
        <v>0</v>
      </c>
      <c r="AG61" s="64">
        <f>'4'!AG61+'5'!AG61+'6'!AG61</f>
        <v>0</v>
      </c>
      <c r="AH61" s="64">
        <f>'4'!AH61+'5'!AH61+'6'!AH61</f>
        <v>0</v>
      </c>
      <c r="AI61" s="64">
        <f>'4'!AI61+'5'!AI61+'6'!AI61</f>
        <v>0</v>
      </c>
      <c r="AJ61" s="64">
        <f>'4'!AJ61+'5'!AJ61+'6'!AJ61</f>
        <v>0</v>
      </c>
      <c r="AK61" s="64">
        <f>'4'!AK61+'5'!AK61+'6'!AK61</f>
        <v>0</v>
      </c>
      <c r="AL61" s="64">
        <f>'4'!AL61+'5'!AL61+'6'!AL61</f>
        <v>0</v>
      </c>
      <c r="AM61" s="64">
        <f>'4'!AM61+'5'!AM61+'6'!AM61</f>
        <v>0</v>
      </c>
      <c r="AN61" s="64">
        <f>'4'!AN61+'5'!AN61+'6'!AN61</f>
        <v>0</v>
      </c>
      <c r="AO61" s="64">
        <f>'4'!AO61+'5'!AO61+'6'!AO61</f>
        <v>0</v>
      </c>
      <c r="AP61" s="64">
        <f>'4'!AP61+'5'!AP61+'6'!AP61</f>
        <v>0</v>
      </c>
      <c r="AQ61" s="63">
        <f t="shared" si="39"/>
        <v>0</v>
      </c>
      <c r="AR61" s="149">
        <f t="shared" si="40"/>
        <v>0</v>
      </c>
      <c r="AS61" s="64">
        <f t="shared" si="41"/>
        <v>0</v>
      </c>
      <c r="AT61" s="64">
        <f>'4'!AT61+'5'!AT61+'6'!AT61</f>
        <v>0</v>
      </c>
      <c r="AU61" s="65">
        <f t="shared" si="42"/>
        <v>0</v>
      </c>
      <c r="AV61" s="65">
        <f t="shared" si="43"/>
        <v>0</v>
      </c>
      <c r="AW61" s="65">
        <f t="shared" si="44"/>
        <v>0</v>
      </c>
      <c r="AX61" s="65">
        <f t="shared" si="45"/>
        <v>0</v>
      </c>
      <c r="AY61" s="65">
        <f t="shared" si="46"/>
        <v>0</v>
      </c>
      <c r="AZ61" s="65">
        <f t="shared" si="47"/>
        <v>0</v>
      </c>
      <c r="BA61" s="151">
        <f t="shared" si="48"/>
        <v>0</v>
      </c>
      <c r="BB61" s="142"/>
      <c r="BC61"/>
    </row>
    <row r="62" spans="1:55" x14ac:dyDescent="0.25">
      <c r="C62" s="2"/>
      <c r="D62" s="3"/>
      <c r="F62" s="2"/>
      <c r="G62" s="2"/>
      <c r="H62" s="1"/>
      <c r="I62" s="1"/>
      <c r="M62" s="5"/>
      <c r="O62" s="4"/>
      <c r="P62" s="5"/>
      <c r="Q62" s="5"/>
      <c r="U62" s="2"/>
      <c r="V62" s="2"/>
      <c r="W62" s="2"/>
      <c r="X62" s="2"/>
      <c r="Y62" s="1"/>
      <c r="Z62" s="1"/>
      <c r="AA62" s="1"/>
      <c r="AB62" s="1"/>
    </row>
    <row r="63" spans="1:55" x14ac:dyDescent="0.25">
      <c r="A63" s="10"/>
      <c r="B63" s="10"/>
      <c r="C63" s="10"/>
      <c r="D63" s="3"/>
      <c r="F63" s="2"/>
      <c r="G63" s="2"/>
      <c r="H63" s="1"/>
      <c r="I63" s="1"/>
      <c r="M63" s="5"/>
      <c r="O63" s="4"/>
      <c r="P63" s="5"/>
      <c r="Q63" s="5"/>
      <c r="U63" s="2"/>
      <c r="V63" s="2"/>
      <c r="W63" s="2"/>
      <c r="X63" s="2"/>
      <c r="Y63" s="1"/>
      <c r="Z63" s="1"/>
      <c r="AA63" s="1"/>
      <c r="AB63" s="1"/>
    </row>
    <row r="64" spans="1:55" x14ac:dyDescent="0.2">
      <c r="A64" s="6" t="s">
        <v>126</v>
      </c>
      <c r="B64" s="6"/>
      <c r="C64" s="6"/>
      <c r="D64" s="6"/>
      <c r="F64" s="2"/>
      <c r="G64" s="2"/>
      <c r="H64" s="1"/>
      <c r="I64" s="1"/>
      <c r="M64" s="5"/>
      <c r="O64" s="4"/>
      <c r="P64" s="5"/>
      <c r="Q64" s="5"/>
      <c r="U64" s="2"/>
      <c r="V64" s="2"/>
      <c r="W64" s="2"/>
      <c r="X64" s="2"/>
      <c r="Y64" s="1"/>
      <c r="Z64" s="1"/>
      <c r="AA64" s="1"/>
      <c r="AB64" s="1"/>
    </row>
    <row r="65" spans="1:28" x14ac:dyDescent="0.2">
      <c r="A65" s="6"/>
      <c r="B65" s="6"/>
      <c r="C65" s="6"/>
      <c r="D65" s="6"/>
      <c r="F65" s="2"/>
      <c r="G65" s="2"/>
      <c r="H65" s="1"/>
      <c r="I65" s="1"/>
      <c r="M65" s="5"/>
      <c r="O65" s="4"/>
      <c r="P65" s="5"/>
      <c r="Q65" s="5"/>
      <c r="U65" s="2"/>
      <c r="V65" s="2"/>
      <c r="W65" s="2"/>
      <c r="X65" s="2"/>
      <c r="Y65" s="1"/>
      <c r="Z65" s="1"/>
      <c r="AA65" s="1"/>
      <c r="AB65" s="1"/>
    </row>
    <row r="66" spans="1:28" x14ac:dyDescent="0.2">
      <c r="A66" s="6" t="s">
        <v>128</v>
      </c>
      <c r="B66" s="6"/>
      <c r="C66" s="6"/>
      <c r="D66" s="6"/>
      <c r="F66" s="2"/>
      <c r="G66" s="2"/>
      <c r="H66" s="1"/>
      <c r="I66" s="1"/>
      <c r="M66" s="5"/>
      <c r="O66" s="4"/>
      <c r="P66" s="5"/>
      <c r="Q66" s="5"/>
      <c r="U66" s="2"/>
      <c r="V66" s="2"/>
      <c r="W66" s="2"/>
      <c r="X66" s="2"/>
      <c r="Y66" s="1"/>
      <c r="Z66" s="1"/>
      <c r="AA66" s="1"/>
      <c r="AB66" s="1"/>
    </row>
    <row r="67" spans="1:28" x14ac:dyDescent="0.2">
      <c r="A67" s="6"/>
      <c r="B67" s="6"/>
      <c r="C67" s="6"/>
      <c r="D67" s="6"/>
      <c r="F67" s="2"/>
      <c r="G67" s="2"/>
      <c r="H67" s="1"/>
      <c r="I67" s="1"/>
      <c r="M67" s="5"/>
      <c r="O67" s="4"/>
      <c r="P67" s="5"/>
      <c r="Q67" s="5"/>
      <c r="U67" s="2"/>
      <c r="V67" s="2"/>
      <c r="W67" s="2"/>
      <c r="X67" s="2"/>
      <c r="Y67" s="1"/>
      <c r="Z67" s="1"/>
      <c r="AA67" s="1"/>
      <c r="AB67" s="1"/>
    </row>
    <row r="68" spans="1:28" x14ac:dyDescent="0.2">
      <c r="A68" s="6" t="s">
        <v>127</v>
      </c>
      <c r="B68" s="6"/>
      <c r="C68" s="6"/>
      <c r="D68" s="6"/>
      <c r="F68" s="2"/>
      <c r="G68" s="2"/>
      <c r="H68" s="1"/>
      <c r="I68" s="1"/>
      <c r="M68" s="5"/>
      <c r="O68" s="4"/>
      <c r="P68" s="5"/>
      <c r="Q68" s="5"/>
      <c r="U68" s="2"/>
      <c r="V68" s="2"/>
      <c r="W68" s="2"/>
      <c r="X68" s="2"/>
      <c r="Y68" s="1"/>
      <c r="Z68" s="1"/>
      <c r="AA68" s="1"/>
      <c r="AB68" s="1"/>
    </row>
    <row r="69" spans="1:28" x14ac:dyDescent="0.25">
      <c r="A69" s="10"/>
      <c r="B69" s="10"/>
    </row>
    <row r="72" spans="1:28" x14ac:dyDescent="0.25">
      <c r="A72" s="10"/>
      <c r="B72" s="10"/>
    </row>
    <row r="73" spans="1:28" x14ac:dyDescent="0.25">
      <c r="A73" s="10"/>
      <c r="B73" s="10"/>
    </row>
    <row r="74" spans="1:28" x14ac:dyDescent="0.25">
      <c r="A74" s="10"/>
      <c r="B74" s="10"/>
    </row>
    <row r="75" spans="1:28" x14ac:dyDescent="0.25">
      <c r="A75" s="10"/>
      <c r="B75" s="10"/>
    </row>
    <row r="76" spans="1:28" x14ac:dyDescent="0.25">
      <c r="A76" s="10"/>
      <c r="B76" s="10"/>
    </row>
    <row r="77" spans="1:28" x14ac:dyDescent="0.25">
      <c r="A77" s="10"/>
      <c r="B77" s="10"/>
    </row>
    <row r="78" spans="1:28" x14ac:dyDescent="0.25">
      <c r="A78" s="10"/>
      <c r="B78" s="10"/>
    </row>
    <row r="79" spans="1:28" x14ac:dyDescent="0.25">
      <c r="A79" s="10"/>
      <c r="B79" s="10"/>
    </row>
  </sheetData>
  <mergeCells count="32">
    <mergeCell ref="A7:BB7"/>
    <mergeCell ref="A9:BB9"/>
    <mergeCell ref="C12:C15"/>
    <mergeCell ref="D12:E14"/>
    <mergeCell ref="H12:I14"/>
    <mergeCell ref="J12:J15"/>
    <mergeCell ref="K12:L14"/>
    <mergeCell ref="M12:AP12"/>
    <mergeCell ref="AQ12:AR14"/>
    <mergeCell ref="AS12:AT14"/>
    <mergeCell ref="AU12:AV14"/>
    <mergeCell ref="AW12:AX14"/>
    <mergeCell ref="AY12:AZ14"/>
    <mergeCell ref="BA12:BA15"/>
    <mergeCell ref="BB12:BB15"/>
    <mergeCell ref="M13:AB13"/>
    <mergeCell ref="AC13:AP13"/>
    <mergeCell ref="AP14:AP15"/>
    <mergeCell ref="A12:A15"/>
    <mergeCell ref="B12:B15"/>
    <mergeCell ref="F12:G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J14"/>
    <mergeCell ref="AK14:AN14"/>
    <mergeCell ref="AO14:AO15"/>
  </mergeCells>
  <conditionalFormatting sqref="AQ18:AQ23 AQ25:AQ41 AQ43:AQ45 AQ47:AQ51 AQ53:AQ54 AQ56:AQ61">
    <cfRule type="expression" dxfId="47" priority="8" stopIfTrue="1">
      <formula>100*(1-AQ18/AP18)&gt;5</formula>
    </cfRule>
  </conditionalFormatting>
  <conditionalFormatting sqref="AS18 AS20:AS22">
    <cfRule type="expression" dxfId="46" priority="7" stopIfTrue="1">
      <formula>100*(1-AS18/AR18)&gt;5</formula>
    </cfRule>
  </conditionalFormatting>
  <conditionalFormatting sqref="AS19">
    <cfRule type="expression" dxfId="45" priority="6" stopIfTrue="1">
      <formula>100*(1-AS19/AR19)&gt;5</formula>
    </cfRule>
  </conditionalFormatting>
  <conditionalFormatting sqref="AQ24:AR24">
    <cfRule type="expression" dxfId="44" priority="5" stopIfTrue="1">
      <formula>100*(1-AQ24/AP24)&gt;5</formula>
    </cfRule>
  </conditionalFormatting>
  <conditionalFormatting sqref="AQ42:AR42">
    <cfRule type="expression" dxfId="43" priority="4" stopIfTrue="1">
      <formula>100*(1-AQ42/AP42)&gt;5</formula>
    </cfRule>
  </conditionalFormatting>
  <conditionalFormatting sqref="AQ46:AR46">
    <cfRule type="expression" dxfId="42" priority="3" stopIfTrue="1">
      <formula>100*(1-AQ46/AP46)&gt;5</formula>
    </cfRule>
  </conditionalFormatting>
  <conditionalFormatting sqref="AQ52:AR52">
    <cfRule type="expression" dxfId="41" priority="2" stopIfTrue="1">
      <formula>100*(1-AQ52/AP52)&gt;5</formula>
    </cfRule>
  </conditionalFormatting>
  <conditionalFormatting sqref="AQ55:AR55">
    <cfRule type="expression" dxfId="40" priority="1" stopIfTrue="1">
      <formula>100*(1-AQ55/AP55)&gt;5</formula>
    </cfRule>
  </conditionalFormatting>
  <pageMargins left="0.7" right="0.7" top="0.75" bottom="0.75" header="0.3" footer="0.3"/>
  <pageSetup paperSize="9" orientation="portrait" r:id="rId1"/>
  <ignoredErrors>
    <ignoredError sqref="D24:E46 D52:E55 AY42:AZ55 AY24:AZ24" 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9"/>
  <sheetViews>
    <sheetView showZeros="0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9" sqref="A9:BB9"/>
    </sheetView>
  </sheetViews>
  <sheetFormatPr defaultRowHeight="14.25" x14ac:dyDescent="0.25"/>
  <cols>
    <col min="1" max="1" width="30.7109375" style="2" customWidth="1"/>
    <col min="2" max="2" width="10.7109375" style="2" customWidth="1"/>
    <col min="3" max="3" width="9.7109375" style="3" customWidth="1"/>
    <col min="4" max="5" width="9.7109375" style="2" customWidth="1"/>
    <col min="6" max="7" width="9.7109375" style="1" customWidth="1"/>
    <col min="8" max="9" width="9.7109375" style="5" customWidth="1"/>
    <col min="10" max="10" width="8.7109375" style="5" customWidth="1"/>
    <col min="11" max="12" width="14.7109375" style="5" customWidth="1"/>
    <col min="13" max="13" width="9.7109375" style="4" customWidth="1"/>
    <col min="14" max="15" width="9.7109375" style="5" customWidth="1"/>
    <col min="16" max="20" width="9.7109375" style="2" customWidth="1"/>
    <col min="21" max="24" width="9.7109375" style="1" customWidth="1"/>
    <col min="25" max="54" width="9.7109375" style="2" customWidth="1"/>
    <col min="55" max="16384" width="9.140625" style="2"/>
  </cols>
  <sheetData>
    <row r="1" spans="1:55" ht="12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/>
      <c r="AJ1"/>
      <c r="AK1"/>
      <c r="AL1"/>
      <c r="AM1"/>
    </row>
    <row r="2" spans="1:55" ht="12.75" customHeight="1" x14ac:dyDescent="0.25">
      <c r="A2" s="11" t="s">
        <v>134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X2" s="11" t="s">
        <v>56</v>
      </c>
      <c r="AY2"/>
      <c r="AZ2"/>
      <c r="BA2"/>
      <c r="BB2"/>
      <c r="BC2"/>
    </row>
    <row r="3" spans="1:55" s="6" customFormat="1" ht="12.75" customHeight="1" x14ac:dyDescent="0.25">
      <c r="A3" s="11" t="s">
        <v>57</v>
      </c>
      <c r="AX3" s="11" t="s">
        <v>65</v>
      </c>
      <c r="AY3"/>
      <c r="AZ3"/>
      <c r="BA3"/>
      <c r="BB3"/>
      <c r="BC3"/>
    </row>
    <row r="4" spans="1:55" s="6" customFormat="1" ht="12.75" customHeight="1" x14ac:dyDescent="0.25">
      <c r="AX4" s="24" t="s">
        <v>123</v>
      </c>
      <c r="AY4"/>
      <c r="AZ4"/>
      <c r="BA4"/>
      <c r="BB4"/>
      <c r="BC4"/>
    </row>
    <row r="5" spans="1:55" s="6" customFormat="1" ht="12.75" customHeight="1" x14ac:dyDescent="0.25">
      <c r="AY5"/>
      <c r="AZ5"/>
      <c r="BA5"/>
      <c r="BB5"/>
      <c r="BC5"/>
    </row>
    <row r="6" spans="1:55" s="6" customFormat="1" ht="15" x14ac:dyDescent="0.25">
      <c r="AX6" s="25" t="s">
        <v>85</v>
      </c>
      <c r="AY6"/>
      <c r="AZ6"/>
      <c r="BA6"/>
      <c r="BB6"/>
      <c r="BC6"/>
    </row>
    <row r="7" spans="1:55" s="6" customFormat="1" ht="15.75" customHeight="1" x14ac:dyDescent="0.2">
      <c r="A7" s="184" t="s">
        <v>58</v>
      </c>
      <c r="B7" s="184"/>
      <c r="C7" s="184"/>
      <c r="D7" s="184"/>
      <c r="E7" s="184"/>
      <c r="F7" s="184"/>
      <c r="G7" s="184"/>
      <c r="H7" s="184"/>
      <c r="I7" s="184"/>
      <c r="J7" s="184"/>
      <c r="K7" s="184"/>
      <c r="L7" s="184"/>
      <c r="M7" s="184"/>
      <c r="N7" s="184"/>
      <c r="O7" s="184"/>
      <c r="P7" s="184"/>
      <c r="Q7" s="184"/>
      <c r="R7" s="184"/>
      <c r="S7" s="184"/>
      <c r="T7" s="184"/>
      <c r="U7" s="184"/>
      <c r="V7" s="184"/>
      <c r="W7" s="184"/>
      <c r="X7" s="184"/>
      <c r="Y7" s="184"/>
      <c r="Z7" s="184"/>
      <c r="AA7" s="184"/>
      <c r="AB7" s="184"/>
      <c r="AC7" s="184"/>
      <c r="AD7" s="184"/>
      <c r="AE7" s="184"/>
      <c r="AF7" s="184"/>
      <c r="AG7" s="184"/>
      <c r="AH7" s="184"/>
      <c r="AI7" s="184"/>
      <c r="AJ7" s="184"/>
      <c r="AK7" s="184"/>
      <c r="AL7" s="184"/>
      <c r="AM7" s="184"/>
      <c r="AN7" s="184"/>
      <c r="AO7" s="184"/>
      <c r="AP7" s="184"/>
      <c r="AQ7" s="184"/>
      <c r="AR7" s="184"/>
      <c r="AS7" s="184"/>
      <c r="AT7" s="184"/>
      <c r="AU7" s="184"/>
      <c r="AV7" s="184"/>
      <c r="AW7" s="184"/>
      <c r="AX7" s="184"/>
      <c r="AY7" s="184"/>
      <c r="AZ7" s="184"/>
      <c r="BA7" s="184"/>
      <c r="BB7" s="184"/>
      <c r="BC7" s="109"/>
    </row>
    <row r="8" spans="1:55" s="6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55" ht="15.75" x14ac:dyDescent="0.25">
      <c r="A9" s="185"/>
      <c r="B9" s="185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  <c r="Z9" s="185"/>
      <c r="AA9" s="185"/>
      <c r="AB9" s="185"/>
      <c r="AC9" s="185"/>
      <c r="AD9" s="185"/>
      <c r="AE9" s="185"/>
      <c r="AF9" s="185"/>
      <c r="AG9" s="185"/>
      <c r="AH9" s="185"/>
      <c r="AI9" s="185"/>
      <c r="AJ9" s="185"/>
      <c r="AK9" s="185"/>
      <c r="AL9" s="185"/>
      <c r="AM9" s="185"/>
      <c r="AN9" s="185"/>
      <c r="AO9" s="185"/>
      <c r="AP9" s="185"/>
      <c r="AQ9" s="185"/>
      <c r="AR9" s="185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08"/>
    </row>
    <row r="10" spans="1:55" s="6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55" ht="12.7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3"/>
      <c r="L11" s="2"/>
      <c r="M11" s="2"/>
      <c r="N11" s="2"/>
      <c r="O11" s="2"/>
      <c r="U11" s="2"/>
      <c r="V11" s="2"/>
      <c r="W11" s="2"/>
      <c r="X11" s="2"/>
    </row>
    <row r="12" spans="1:55" ht="14.25" customHeight="1" x14ac:dyDescent="0.25">
      <c r="A12" s="190" t="s">
        <v>2</v>
      </c>
      <c r="B12" s="163" t="s">
        <v>129</v>
      </c>
      <c r="C12" s="163" t="s">
        <v>3</v>
      </c>
      <c r="D12" s="177" t="s">
        <v>60</v>
      </c>
      <c r="E12" s="194"/>
      <c r="F12" s="154" t="s">
        <v>131</v>
      </c>
      <c r="G12" s="155"/>
      <c r="H12" s="194" t="s">
        <v>1</v>
      </c>
      <c r="I12" s="194"/>
      <c r="J12" s="186" t="s">
        <v>135</v>
      </c>
      <c r="K12" s="154" t="s">
        <v>4</v>
      </c>
      <c r="L12" s="155"/>
      <c r="M12" s="154" t="s">
        <v>62</v>
      </c>
      <c r="N12" s="195"/>
      <c r="O12" s="195"/>
      <c r="P12" s="195"/>
      <c r="Q12" s="195"/>
      <c r="R12" s="195"/>
      <c r="S12" s="195"/>
      <c r="T12" s="195"/>
      <c r="U12" s="195"/>
      <c r="V12" s="195"/>
      <c r="W12" s="195"/>
      <c r="X12" s="195"/>
      <c r="Y12" s="195"/>
      <c r="Z12" s="195"/>
      <c r="AA12" s="195"/>
      <c r="AB12" s="195"/>
      <c r="AC12" s="195"/>
      <c r="AD12" s="195"/>
      <c r="AE12" s="195"/>
      <c r="AF12" s="195"/>
      <c r="AG12" s="195"/>
      <c r="AH12" s="195"/>
      <c r="AI12" s="195"/>
      <c r="AJ12" s="195"/>
      <c r="AK12" s="195"/>
      <c r="AL12" s="195"/>
      <c r="AM12" s="195"/>
      <c r="AN12" s="195"/>
      <c r="AO12" s="195"/>
      <c r="AP12" s="155"/>
      <c r="AQ12" s="195" t="s">
        <v>69</v>
      </c>
      <c r="AR12" s="155"/>
      <c r="AS12" s="154" t="s">
        <v>59</v>
      </c>
      <c r="AT12" s="155"/>
      <c r="AU12" s="154" t="s">
        <v>70</v>
      </c>
      <c r="AV12" s="155"/>
      <c r="AW12" s="154" t="s">
        <v>71</v>
      </c>
      <c r="AX12" s="155"/>
      <c r="AY12" s="154" t="s">
        <v>72</v>
      </c>
      <c r="AZ12" s="155"/>
      <c r="BA12" s="154" t="s">
        <v>73</v>
      </c>
      <c r="BB12" s="198" t="s">
        <v>133</v>
      </c>
      <c r="BC12"/>
    </row>
    <row r="13" spans="1:55" ht="14.25" customHeight="1" x14ac:dyDescent="0.25">
      <c r="A13" s="191"/>
      <c r="B13" s="164"/>
      <c r="C13" s="164"/>
      <c r="D13" s="153"/>
      <c r="E13" s="189"/>
      <c r="F13" s="156"/>
      <c r="G13" s="157"/>
      <c r="H13" s="189"/>
      <c r="I13" s="189"/>
      <c r="J13" s="187"/>
      <c r="K13" s="156"/>
      <c r="L13" s="157"/>
      <c r="M13" s="152" t="s">
        <v>5</v>
      </c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  <c r="AA13" s="178"/>
      <c r="AB13" s="153"/>
      <c r="AC13" s="189" t="s">
        <v>6</v>
      </c>
      <c r="AD13" s="189"/>
      <c r="AE13" s="189"/>
      <c r="AF13" s="189"/>
      <c r="AG13" s="189"/>
      <c r="AH13" s="189"/>
      <c r="AI13" s="189"/>
      <c r="AJ13" s="189"/>
      <c r="AK13" s="189"/>
      <c r="AL13" s="189"/>
      <c r="AM13" s="189"/>
      <c r="AN13" s="189"/>
      <c r="AO13" s="189"/>
      <c r="AP13" s="189"/>
      <c r="AQ13" s="196"/>
      <c r="AR13" s="157"/>
      <c r="AS13" s="156"/>
      <c r="AT13" s="157"/>
      <c r="AU13" s="156"/>
      <c r="AV13" s="157"/>
      <c r="AW13" s="156"/>
      <c r="AX13" s="157"/>
      <c r="AY13" s="156"/>
      <c r="AZ13" s="157"/>
      <c r="BA13" s="156"/>
      <c r="BB13" s="199"/>
      <c r="BC13"/>
    </row>
    <row r="14" spans="1:55" ht="63.75" customHeight="1" x14ac:dyDescent="0.25">
      <c r="A14" s="191"/>
      <c r="B14" s="164"/>
      <c r="C14" s="164"/>
      <c r="D14" s="153"/>
      <c r="E14" s="189"/>
      <c r="F14" s="158"/>
      <c r="G14" s="159"/>
      <c r="H14" s="189"/>
      <c r="I14" s="189"/>
      <c r="J14" s="187"/>
      <c r="K14" s="158"/>
      <c r="L14" s="159"/>
      <c r="M14" s="152" t="s">
        <v>10</v>
      </c>
      <c r="N14" s="153"/>
      <c r="O14" s="152" t="s">
        <v>74</v>
      </c>
      <c r="P14" s="153"/>
      <c r="Q14" s="152" t="s">
        <v>75</v>
      </c>
      <c r="R14" s="153"/>
      <c r="S14" s="152" t="s">
        <v>86</v>
      </c>
      <c r="T14" s="153"/>
      <c r="U14" s="152" t="s">
        <v>136</v>
      </c>
      <c r="V14" s="153"/>
      <c r="W14" s="193" t="s">
        <v>132</v>
      </c>
      <c r="X14" s="193"/>
      <c r="Y14" s="152" t="s">
        <v>84</v>
      </c>
      <c r="Z14" s="153"/>
      <c r="AA14" s="152" t="s">
        <v>76</v>
      </c>
      <c r="AB14" s="153"/>
      <c r="AC14" s="152" t="s">
        <v>7</v>
      </c>
      <c r="AD14" s="178"/>
      <c r="AE14" s="178"/>
      <c r="AF14" s="178"/>
      <c r="AG14" s="178"/>
      <c r="AH14" s="178"/>
      <c r="AI14" s="178"/>
      <c r="AJ14" s="153"/>
      <c r="AK14" s="152" t="s">
        <v>8</v>
      </c>
      <c r="AL14" s="178"/>
      <c r="AM14" s="178"/>
      <c r="AN14" s="153"/>
      <c r="AO14" s="171" t="s">
        <v>77</v>
      </c>
      <c r="AP14" s="173" t="s">
        <v>18</v>
      </c>
      <c r="AQ14" s="196"/>
      <c r="AR14" s="157"/>
      <c r="AS14" s="156"/>
      <c r="AT14" s="157"/>
      <c r="AU14" s="156"/>
      <c r="AV14" s="157"/>
      <c r="AW14" s="156"/>
      <c r="AX14" s="157"/>
      <c r="AY14" s="156"/>
      <c r="AZ14" s="157"/>
      <c r="BA14" s="156"/>
      <c r="BB14" s="199"/>
      <c r="BC14"/>
    </row>
    <row r="15" spans="1:55" ht="38.25" customHeight="1" thickBot="1" x14ac:dyDescent="0.3">
      <c r="A15" s="192"/>
      <c r="B15" s="165"/>
      <c r="C15" s="165"/>
      <c r="D15" s="118" t="s">
        <v>61</v>
      </c>
      <c r="E15" s="77" t="s">
        <v>9</v>
      </c>
      <c r="F15" s="77" t="s">
        <v>11</v>
      </c>
      <c r="G15" s="77" t="s">
        <v>130</v>
      </c>
      <c r="H15" s="77" t="s">
        <v>0</v>
      </c>
      <c r="I15" s="77" t="s">
        <v>78</v>
      </c>
      <c r="J15" s="188"/>
      <c r="K15" s="77" t="s">
        <v>61</v>
      </c>
      <c r="L15" s="77" t="s">
        <v>9</v>
      </c>
      <c r="M15" s="77" t="s">
        <v>61</v>
      </c>
      <c r="N15" s="77" t="s">
        <v>9</v>
      </c>
      <c r="O15" s="77" t="s">
        <v>61</v>
      </c>
      <c r="P15" s="77" t="s">
        <v>9</v>
      </c>
      <c r="Q15" s="77" t="s">
        <v>61</v>
      </c>
      <c r="R15" s="77" t="s">
        <v>9</v>
      </c>
      <c r="S15" s="77" t="s">
        <v>61</v>
      </c>
      <c r="T15" s="77" t="s">
        <v>9</v>
      </c>
      <c r="U15" s="77" t="s">
        <v>61</v>
      </c>
      <c r="V15" s="77" t="s">
        <v>9</v>
      </c>
      <c r="W15" s="77" t="s">
        <v>61</v>
      </c>
      <c r="X15" s="77" t="s">
        <v>9</v>
      </c>
      <c r="Y15" s="77" t="s">
        <v>61</v>
      </c>
      <c r="Z15" s="77" t="s">
        <v>9</v>
      </c>
      <c r="AA15" s="77" t="s">
        <v>61</v>
      </c>
      <c r="AB15" s="77" t="s">
        <v>9</v>
      </c>
      <c r="AC15" s="77" t="s">
        <v>11</v>
      </c>
      <c r="AD15" s="77" t="s">
        <v>12</v>
      </c>
      <c r="AE15" s="77" t="s">
        <v>13</v>
      </c>
      <c r="AF15" s="77" t="s">
        <v>14</v>
      </c>
      <c r="AG15" s="77" t="s">
        <v>15</v>
      </c>
      <c r="AH15" s="77" t="s">
        <v>16</v>
      </c>
      <c r="AI15" s="107" t="s">
        <v>18</v>
      </c>
      <c r="AJ15" s="107" t="s">
        <v>17</v>
      </c>
      <c r="AK15" s="77" t="s">
        <v>19</v>
      </c>
      <c r="AL15" s="77" t="s">
        <v>20</v>
      </c>
      <c r="AM15" s="77" t="s">
        <v>21</v>
      </c>
      <c r="AN15" s="77" t="s">
        <v>22</v>
      </c>
      <c r="AO15" s="172"/>
      <c r="AP15" s="174"/>
      <c r="AQ15" s="77" t="s">
        <v>61</v>
      </c>
      <c r="AR15" s="77" t="s">
        <v>9</v>
      </c>
      <c r="AS15" s="77" t="s">
        <v>61</v>
      </c>
      <c r="AT15" s="77" t="s">
        <v>9</v>
      </c>
      <c r="AU15" s="77" t="s">
        <v>61</v>
      </c>
      <c r="AV15" s="77" t="s">
        <v>9</v>
      </c>
      <c r="AW15" s="77" t="s">
        <v>61</v>
      </c>
      <c r="AX15" s="77" t="s">
        <v>9</v>
      </c>
      <c r="AY15" s="77" t="s">
        <v>61</v>
      </c>
      <c r="AZ15" s="77" t="s">
        <v>9</v>
      </c>
      <c r="BA15" s="197"/>
      <c r="BB15" s="200"/>
      <c r="BC15"/>
    </row>
    <row r="16" spans="1:55" ht="15" customHeight="1" thickBot="1" x14ac:dyDescent="0.3">
      <c r="A16" s="106">
        <v>1</v>
      </c>
      <c r="B16" s="106">
        <v>2</v>
      </c>
      <c r="C16" s="106">
        <v>3</v>
      </c>
      <c r="D16" s="105">
        <v>4</v>
      </c>
      <c r="E16" s="78">
        <v>5</v>
      </c>
      <c r="F16" s="78">
        <v>6</v>
      </c>
      <c r="G16" s="78">
        <v>7</v>
      </c>
      <c r="H16" s="78">
        <v>8</v>
      </c>
      <c r="I16" s="78">
        <v>9</v>
      </c>
      <c r="J16" s="78">
        <v>10</v>
      </c>
      <c r="K16" s="78">
        <v>11</v>
      </c>
      <c r="L16" s="78">
        <v>12</v>
      </c>
      <c r="M16" s="78">
        <v>13</v>
      </c>
      <c r="N16" s="78">
        <v>14</v>
      </c>
      <c r="O16" s="78">
        <v>15</v>
      </c>
      <c r="P16" s="78">
        <v>16</v>
      </c>
      <c r="Q16" s="78">
        <v>17</v>
      </c>
      <c r="R16" s="78">
        <v>18</v>
      </c>
      <c r="S16" s="78">
        <v>19</v>
      </c>
      <c r="T16" s="78">
        <v>20</v>
      </c>
      <c r="U16" s="78">
        <v>21</v>
      </c>
      <c r="V16" s="78">
        <v>22</v>
      </c>
      <c r="W16" s="78">
        <v>23</v>
      </c>
      <c r="X16" s="78">
        <v>24</v>
      </c>
      <c r="Y16" s="78">
        <v>25</v>
      </c>
      <c r="Z16" s="78">
        <v>26</v>
      </c>
      <c r="AA16" s="78">
        <v>27</v>
      </c>
      <c r="AB16" s="78">
        <v>28</v>
      </c>
      <c r="AC16" s="78">
        <v>29</v>
      </c>
      <c r="AD16" s="78">
        <v>30</v>
      </c>
      <c r="AE16" s="78">
        <v>31</v>
      </c>
      <c r="AF16" s="78">
        <v>32</v>
      </c>
      <c r="AG16" s="78">
        <v>33</v>
      </c>
      <c r="AH16" s="78">
        <v>34</v>
      </c>
      <c r="AI16" s="78">
        <v>35</v>
      </c>
      <c r="AJ16" s="78">
        <v>36</v>
      </c>
      <c r="AK16" s="78">
        <v>37</v>
      </c>
      <c r="AL16" s="78">
        <v>38</v>
      </c>
      <c r="AM16" s="78">
        <v>39</v>
      </c>
      <c r="AN16" s="78">
        <v>40</v>
      </c>
      <c r="AO16" s="78">
        <v>41</v>
      </c>
      <c r="AP16" s="78">
        <v>42</v>
      </c>
      <c r="AQ16" s="78">
        <v>43</v>
      </c>
      <c r="AR16" s="78">
        <v>44</v>
      </c>
      <c r="AS16" s="78">
        <v>45</v>
      </c>
      <c r="AT16" s="78">
        <v>46</v>
      </c>
      <c r="AU16" s="78">
        <v>47</v>
      </c>
      <c r="AV16" s="78">
        <v>48</v>
      </c>
      <c r="AW16" s="78">
        <v>49</v>
      </c>
      <c r="AX16" s="78">
        <v>50</v>
      </c>
      <c r="AY16" s="78">
        <v>51</v>
      </c>
      <c r="AZ16" s="78">
        <v>52</v>
      </c>
      <c r="BA16" s="78">
        <v>53</v>
      </c>
      <c r="BB16" s="79">
        <v>54</v>
      </c>
      <c r="BC16"/>
    </row>
    <row r="17" spans="1:55" ht="15" customHeight="1" thickBot="1" x14ac:dyDescent="0.3">
      <c r="A17" s="87" t="s">
        <v>79</v>
      </c>
      <c r="B17" s="87"/>
      <c r="C17" s="87"/>
      <c r="D17" s="129">
        <f t="shared" ref="D17:E17" si="0">SUM(D18:D23)</f>
        <v>0</v>
      </c>
      <c r="E17" s="129">
        <f t="shared" si="0"/>
        <v>0</v>
      </c>
      <c r="F17" s="129">
        <f>SUM(F18:F23)</f>
        <v>0</v>
      </c>
      <c r="G17" s="129">
        <f t="shared" ref="G17:I17" si="1">SUM(G18:G23)</f>
        <v>0</v>
      </c>
      <c r="H17" s="131">
        <f t="shared" si="1"/>
        <v>0</v>
      </c>
      <c r="I17" s="131">
        <f t="shared" si="1"/>
        <v>0</v>
      </c>
      <c r="J17" s="129"/>
      <c r="K17" s="130">
        <f t="shared" ref="K17:AP17" si="2">SUM(K18:K23)</f>
        <v>0</v>
      </c>
      <c r="L17" s="130">
        <f t="shared" si="2"/>
        <v>0</v>
      </c>
      <c r="M17" s="129">
        <f t="shared" si="2"/>
        <v>0</v>
      </c>
      <c r="N17" s="129">
        <f t="shared" si="2"/>
        <v>0</v>
      </c>
      <c r="O17" s="129">
        <f t="shared" si="2"/>
        <v>0</v>
      </c>
      <c r="P17" s="129">
        <f t="shared" si="2"/>
        <v>0</v>
      </c>
      <c r="Q17" s="129">
        <f t="shared" si="2"/>
        <v>0</v>
      </c>
      <c r="R17" s="129">
        <f t="shared" si="2"/>
        <v>0</v>
      </c>
      <c r="S17" s="129">
        <f t="shared" si="2"/>
        <v>0</v>
      </c>
      <c r="T17" s="129">
        <f t="shared" si="2"/>
        <v>0</v>
      </c>
      <c r="U17" s="129">
        <f t="shared" si="2"/>
        <v>0</v>
      </c>
      <c r="V17" s="129">
        <f t="shared" si="2"/>
        <v>0</v>
      </c>
      <c r="W17" s="129">
        <f t="shared" si="2"/>
        <v>0</v>
      </c>
      <c r="X17" s="129">
        <f t="shared" si="2"/>
        <v>0</v>
      </c>
      <c r="Y17" s="129">
        <f t="shared" si="2"/>
        <v>0</v>
      </c>
      <c r="Z17" s="129">
        <f t="shared" si="2"/>
        <v>0</v>
      </c>
      <c r="AA17" s="129">
        <f t="shared" si="2"/>
        <v>0</v>
      </c>
      <c r="AB17" s="129">
        <f t="shared" si="2"/>
        <v>0</v>
      </c>
      <c r="AC17" s="129">
        <f t="shared" si="2"/>
        <v>0</v>
      </c>
      <c r="AD17" s="129">
        <f t="shared" si="2"/>
        <v>0</v>
      </c>
      <c r="AE17" s="129">
        <f t="shared" si="2"/>
        <v>0</v>
      </c>
      <c r="AF17" s="129">
        <f t="shared" si="2"/>
        <v>0</v>
      </c>
      <c r="AG17" s="129">
        <f t="shared" si="2"/>
        <v>0</v>
      </c>
      <c r="AH17" s="129">
        <f t="shared" si="2"/>
        <v>0</v>
      </c>
      <c r="AI17" s="129">
        <f t="shared" si="2"/>
        <v>0</v>
      </c>
      <c r="AJ17" s="129">
        <f t="shared" si="2"/>
        <v>0</v>
      </c>
      <c r="AK17" s="129">
        <f t="shared" si="2"/>
        <v>0</v>
      </c>
      <c r="AL17" s="129">
        <f t="shared" si="2"/>
        <v>0</v>
      </c>
      <c r="AM17" s="129">
        <f t="shared" si="2"/>
        <v>0</v>
      </c>
      <c r="AN17" s="129">
        <f t="shared" si="2"/>
        <v>0</v>
      </c>
      <c r="AO17" s="129">
        <f t="shared" si="2"/>
        <v>0</v>
      </c>
      <c r="AP17" s="129">
        <f t="shared" si="2"/>
        <v>0</v>
      </c>
      <c r="AQ17" s="129">
        <f t="shared" ref="AQ17:AQ58" si="3">M17+O17+S17+U17+W17+AA17+Q17+Y17</f>
        <v>0</v>
      </c>
      <c r="AR17" s="129">
        <f>N17+P17+R17+AC17+AD17+AE17+AF17+AG17+AH17+AI17+AJ17+AK17+AL17+AM17+AN17+AO17+AP17+T17+V17+AB17</f>
        <v>0</v>
      </c>
      <c r="AS17" s="129">
        <f>AT17</f>
        <v>0</v>
      </c>
      <c r="AT17" s="129">
        <f>SUM(AT18:AT23)</f>
        <v>0</v>
      </c>
      <c r="AU17" s="131">
        <f t="shared" ref="AU17:AU22" si="4">IF(AT17-AQ17=0,0,(AT17-M17-O17-Q17)/AT17)</f>
        <v>0</v>
      </c>
      <c r="AV17" s="131">
        <f t="shared" ref="AV17:AV58" si="5">IF(AT17=0,0,(AT17-N17-P17-R17-AC17-AD17-AE17-AF17-AG17-AH17-AI17-AJ17-AL17)/AT17)</f>
        <v>0</v>
      </c>
      <c r="AW17" s="131">
        <f t="shared" ref="AW17:AW22" si="6">IF(OR(AT17=0,AU17=0),0,((AT17*AU17)-S17-U17-W17-AA17-Y17)/(AT17*AU17))</f>
        <v>0</v>
      </c>
      <c r="AX17" s="131">
        <f t="shared" ref="AX17:AX22" si="7">IF(OR(AT17=0,AV17=0),0,((AT17*AV17)-AK17-AM17-AN17-AO17-AP17-T17-V17-X17-Z17-AB17)/(AT17*AV17))</f>
        <v>0</v>
      </c>
      <c r="AY17" s="131">
        <f>SUM(AY18:AY23)</f>
        <v>0</v>
      </c>
      <c r="AZ17" s="131">
        <f>SUM(AZ18:AZ23)</f>
        <v>0</v>
      </c>
      <c r="BA17" s="129">
        <f>ROUND(AS17-E17-AR17,4)</f>
        <v>0</v>
      </c>
      <c r="BB17" s="137"/>
      <c r="BC17"/>
    </row>
    <row r="18" spans="1:55" ht="15" hidden="1" customHeight="1" x14ac:dyDescent="0.25">
      <c r="A18" s="80" t="s">
        <v>23</v>
      </c>
      <c r="B18" s="110">
        <v>22</v>
      </c>
      <c r="C18" s="110">
        <v>22</v>
      </c>
      <c r="D18" s="121">
        <f t="shared" ref="D18:D22" si="8">AT18*AU18*AW18</f>
        <v>0</v>
      </c>
      <c r="E18" s="16">
        <f t="shared" ref="E18:E22" si="9">ROUND(AT18*AV18*AX18,4)</f>
        <v>0</v>
      </c>
      <c r="F18" s="91">
        <f>'7'!F18+'8'!F18+'9'!F18</f>
        <v>0</v>
      </c>
      <c r="G18" s="91">
        <f>'7'!G18+'8'!G18+'9'!G18</f>
        <v>0</v>
      </c>
      <c r="H18" s="135">
        <f>'7'!H18+'8'!H18+'9'!H18</f>
        <v>0</v>
      </c>
      <c r="I18" s="135">
        <f>'7'!I18+'8'!I18+'9'!I18</f>
        <v>0</v>
      </c>
      <c r="J18" s="83" t="s">
        <v>55</v>
      </c>
      <c r="K18" s="133">
        <f>'7'!K18+'8'!K18+'9'!K18</f>
        <v>0</v>
      </c>
      <c r="L18" s="133">
        <f>'7'!L18+'8'!L18+'9'!L18</f>
        <v>0</v>
      </c>
      <c r="M18" s="91">
        <f>'7'!M18+'8'!M18+'9'!M18</f>
        <v>0</v>
      </c>
      <c r="N18" s="91">
        <f>'7'!N18+'8'!N18+'9'!N18</f>
        <v>0</v>
      </c>
      <c r="O18" s="91">
        <f>'7'!O18+'8'!O18+'9'!O18</f>
        <v>0</v>
      </c>
      <c r="P18" s="91">
        <f>'7'!P18+'8'!P18+'9'!P18</f>
        <v>0</v>
      </c>
      <c r="Q18" s="91">
        <f>'7'!Q18+'8'!Q18+'9'!Q18</f>
        <v>0</v>
      </c>
      <c r="R18" s="91">
        <f>'7'!R18+'8'!R18+'9'!R18</f>
        <v>0</v>
      </c>
      <c r="S18" s="91">
        <f>'7'!S18+'8'!S18+'9'!S18</f>
        <v>0</v>
      </c>
      <c r="T18" s="91">
        <f>'7'!T18+'8'!T18+'9'!T18</f>
        <v>0</v>
      </c>
      <c r="U18" s="91">
        <f>'7'!U18+'8'!U18+'9'!U18</f>
        <v>0</v>
      </c>
      <c r="V18" s="91">
        <f>'7'!V18+'8'!V18+'9'!V18</f>
        <v>0</v>
      </c>
      <c r="W18" s="91">
        <f>'7'!W18+'8'!W18+'9'!W18</f>
        <v>0</v>
      </c>
      <c r="X18" s="91">
        <f>'7'!X18+'8'!X18+'9'!X18</f>
        <v>0</v>
      </c>
      <c r="Y18" s="91">
        <f>'7'!Y18+'8'!Y18+'9'!Y18</f>
        <v>0</v>
      </c>
      <c r="Z18" s="91">
        <f>'7'!Z18+'8'!Z18+'9'!Z18</f>
        <v>0</v>
      </c>
      <c r="AA18" s="91">
        <f>'7'!AA18+'8'!AA18+'9'!AA18</f>
        <v>0</v>
      </c>
      <c r="AB18" s="91">
        <f>'7'!AB18+'8'!AB18+'9'!AB18</f>
        <v>0</v>
      </c>
      <c r="AC18" s="91">
        <f>'7'!AC18+'8'!AC18+'9'!AC18</f>
        <v>0</v>
      </c>
      <c r="AD18" s="91">
        <f>'7'!AD18+'8'!AD18+'9'!AD18</f>
        <v>0</v>
      </c>
      <c r="AE18" s="91">
        <f>'7'!AE18+'8'!AE18+'9'!AE18</f>
        <v>0</v>
      </c>
      <c r="AF18" s="91">
        <f>'7'!AF18+'8'!AF18+'9'!AF18</f>
        <v>0</v>
      </c>
      <c r="AG18" s="91">
        <f>'7'!AG18+'8'!AG18+'9'!AG18</f>
        <v>0</v>
      </c>
      <c r="AH18" s="91">
        <f>'7'!AH18+'8'!AH18+'9'!AH18</f>
        <v>0</v>
      </c>
      <c r="AI18" s="91">
        <f>'7'!AI18+'8'!AI18+'9'!AI18</f>
        <v>0</v>
      </c>
      <c r="AJ18" s="91">
        <f>'7'!AJ18+'8'!AJ18+'9'!AJ18</f>
        <v>0</v>
      </c>
      <c r="AK18" s="91">
        <f>'7'!AK18+'8'!AK18+'9'!AK18</f>
        <v>0</v>
      </c>
      <c r="AL18" s="91">
        <f>'7'!AL18+'8'!AL18+'9'!AL18</f>
        <v>0</v>
      </c>
      <c r="AM18" s="91">
        <f>'7'!AM18+'8'!AM18+'9'!AM18</f>
        <v>0</v>
      </c>
      <c r="AN18" s="91">
        <f>'7'!AN18+'8'!AN18+'9'!AN18</f>
        <v>0</v>
      </c>
      <c r="AO18" s="91">
        <f>'7'!AO18+'8'!AO18+'9'!AO18</f>
        <v>0</v>
      </c>
      <c r="AP18" s="91">
        <f>'7'!AP18+'8'!AP18+'9'!AP18</f>
        <v>0</v>
      </c>
      <c r="AQ18" s="16">
        <f t="shared" si="3"/>
        <v>0</v>
      </c>
      <c r="AR18" s="17">
        <f>N18+P18+R18+AC18+AD18+AE18+AF18+AG18+AH18+AI18+AJ18+AK18+AL18+AM18+AN18+AO18+AP18+T18+V18+AB18</f>
        <v>0</v>
      </c>
      <c r="AS18" s="17"/>
      <c r="AT18" s="17"/>
      <c r="AU18" s="92">
        <f t="shared" si="4"/>
        <v>0</v>
      </c>
      <c r="AV18" s="92">
        <f t="shared" si="5"/>
        <v>0</v>
      </c>
      <c r="AW18" s="92">
        <f t="shared" si="6"/>
        <v>0</v>
      </c>
      <c r="AX18" s="92">
        <f t="shared" si="7"/>
        <v>0</v>
      </c>
      <c r="AY18" s="82">
        <f t="shared" ref="AY18:AZ22" si="10">IF(K18=0,0,K18/(D18-Y18)/24)</f>
        <v>0</v>
      </c>
      <c r="AZ18" s="82">
        <f t="shared" si="10"/>
        <v>0</v>
      </c>
      <c r="BA18" s="85">
        <f>ROUND(AS18-E18-AR18,4)</f>
        <v>0</v>
      </c>
      <c r="BB18" s="138"/>
      <c r="BC18"/>
    </row>
    <row r="19" spans="1:55" ht="15" hidden="1" customHeight="1" x14ac:dyDescent="0.25">
      <c r="A19" s="68" t="s">
        <v>24</v>
      </c>
      <c r="B19" s="111">
        <v>23</v>
      </c>
      <c r="C19" s="111">
        <v>23</v>
      </c>
      <c r="D19" s="121">
        <f t="shared" si="8"/>
        <v>0</v>
      </c>
      <c r="E19" s="16">
        <f t="shared" si="9"/>
        <v>0</v>
      </c>
      <c r="F19" s="91">
        <f>'7'!F19+'8'!F19+'9'!F19</f>
        <v>0</v>
      </c>
      <c r="G19" s="91">
        <f>'7'!G19+'8'!G19+'9'!G19</f>
        <v>0</v>
      </c>
      <c r="H19" s="135">
        <f>'7'!H19+'8'!H19+'9'!H19</f>
        <v>0</v>
      </c>
      <c r="I19" s="135">
        <f>'7'!I19+'8'!I19+'9'!I19</f>
        <v>0</v>
      </c>
      <c r="J19" s="8" t="s">
        <v>55</v>
      </c>
      <c r="K19" s="133">
        <f>'7'!K19+'8'!K19+'9'!K19</f>
        <v>0</v>
      </c>
      <c r="L19" s="133">
        <f>'7'!L19+'8'!L19+'9'!L19</f>
        <v>0</v>
      </c>
      <c r="M19" s="91">
        <f>'7'!M19+'8'!M19+'9'!M19</f>
        <v>0</v>
      </c>
      <c r="N19" s="91">
        <f>'7'!N19+'8'!N19+'9'!N19</f>
        <v>0</v>
      </c>
      <c r="O19" s="91">
        <f>'7'!O19+'8'!O19+'9'!O19</f>
        <v>0</v>
      </c>
      <c r="P19" s="91">
        <f>'7'!P19+'8'!P19+'9'!P19</f>
        <v>0</v>
      </c>
      <c r="Q19" s="91">
        <f>'7'!Q19+'8'!Q19+'9'!Q19</f>
        <v>0</v>
      </c>
      <c r="R19" s="91">
        <f>'7'!R19+'8'!R19+'9'!R19</f>
        <v>0</v>
      </c>
      <c r="S19" s="91">
        <f>'7'!S19+'8'!S19+'9'!S19</f>
        <v>0</v>
      </c>
      <c r="T19" s="91">
        <f>'7'!T19+'8'!T19+'9'!T19</f>
        <v>0</v>
      </c>
      <c r="U19" s="91">
        <f>'7'!U19+'8'!U19+'9'!U19</f>
        <v>0</v>
      </c>
      <c r="V19" s="91">
        <f>'7'!V19+'8'!V19+'9'!V19</f>
        <v>0</v>
      </c>
      <c r="W19" s="91">
        <f>'7'!W19+'8'!W19+'9'!W19</f>
        <v>0</v>
      </c>
      <c r="X19" s="91">
        <f>'7'!X19+'8'!X19+'9'!X19</f>
        <v>0</v>
      </c>
      <c r="Y19" s="91">
        <f>'7'!Y19+'8'!Y19+'9'!Y19</f>
        <v>0</v>
      </c>
      <c r="Z19" s="91">
        <f>'7'!Z19+'8'!Z19+'9'!Z19</f>
        <v>0</v>
      </c>
      <c r="AA19" s="91">
        <f>'7'!AA19+'8'!AA19+'9'!AA19</f>
        <v>0</v>
      </c>
      <c r="AB19" s="91">
        <f>'7'!AB19+'8'!AB19+'9'!AB19</f>
        <v>0</v>
      </c>
      <c r="AC19" s="91">
        <f>'7'!AC19+'8'!AC19+'9'!AC19</f>
        <v>0</v>
      </c>
      <c r="AD19" s="91">
        <f>'7'!AD19+'8'!AD19+'9'!AD19</f>
        <v>0</v>
      </c>
      <c r="AE19" s="91">
        <f>'7'!AE19+'8'!AE19+'9'!AE19</f>
        <v>0</v>
      </c>
      <c r="AF19" s="91">
        <f>'7'!AF19+'8'!AF19+'9'!AF19</f>
        <v>0</v>
      </c>
      <c r="AG19" s="91">
        <f>'7'!AG19+'8'!AG19+'9'!AG19</f>
        <v>0</v>
      </c>
      <c r="AH19" s="91">
        <f>'7'!AH19+'8'!AH19+'9'!AH19</f>
        <v>0</v>
      </c>
      <c r="AI19" s="91">
        <f>'7'!AI19+'8'!AI19+'9'!AI19</f>
        <v>0</v>
      </c>
      <c r="AJ19" s="91">
        <f>'7'!AJ19+'8'!AJ19+'9'!AJ19</f>
        <v>0</v>
      </c>
      <c r="AK19" s="91">
        <f>'7'!AK19+'8'!AK19+'9'!AK19</f>
        <v>0</v>
      </c>
      <c r="AL19" s="91">
        <f>'7'!AL19+'8'!AL19+'9'!AL19</f>
        <v>0</v>
      </c>
      <c r="AM19" s="91">
        <f>'7'!AM19+'8'!AM19+'9'!AM19</f>
        <v>0</v>
      </c>
      <c r="AN19" s="91">
        <f>'7'!AN19+'8'!AN19+'9'!AN19</f>
        <v>0</v>
      </c>
      <c r="AO19" s="91">
        <f>'7'!AO19+'8'!AO19+'9'!AO19</f>
        <v>0</v>
      </c>
      <c r="AP19" s="91">
        <f>'7'!AP19+'8'!AP19+'9'!AP19</f>
        <v>0</v>
      </c>
      <c r="AQ19" s="16">
        <f t="shared" si="3"/>
        <v>0</v>
      </c>
      <c r="AR19" s="17">
        <f t="shared" ref="AR19:AR58" si="11">N19+P19+R19+AC19+AD19+AE19+AF19+AG19+AH19+AI19+AJ19+AK19+AL19+AM19+AN19+AO19+AP19+T19+V19+AB19</f>
        <v>0</v>
      </c>
      <c r="AS19" s="15"/>
      <c r="AT19" s="15"/>
      <c r="AU19" s="92">
        <f t="shared" si="4"/>
        <v>0</v>
      </c>
      <c r="AV19" s="92">
        <f t="shared" si="5"/>
        <v>0</v>
      </c>
      <c r="AW19" s="92">
        <f t="shared" si="6"/>
        <v>0</v>
      </c>
      <c r="AX19" s="92">
        <f t="shared" si="7"/>
        <v>0</v>
      </c>
      <c r="AY19" s="18">
        <f t="shared" si="10"/>
        <v>0</v>
      </c>
      <c r="AZ19" s="18">
        <f t="shared" si="10"/>
        <v>0</v>
      </c>
      <c r="BA19" s="74">
        <f>ROUND(AS19-E19-AR19,4)</f>
        <v>0</v>
      </c>
      <c r="BB19" s="139"/>
      <c r="BC19"/>
    </row>
    <row r="20" spans="1:55" ht="15" hidden="1" customHeight="1" x14ac:dyDescent="0.25">
      <c r="A20" s="69" t="s">
        <v>25</v>
      </c>
      <c r="B20" s="112"/>
      <c r="C20" s="112">
        <v>24</v>
      </c>
      <c r="D20" s="121">
        <f t="shared" si="8"/>
        <v>0</v>
      </c>
      <c r="E20" s="16">
        <f t="shared" si="9"/>
        <v>0</v>
      </c>
      <c r="F20" s="91">
        <f>'7'!F20+'8'!F20+'9'!F20</f>
        <v>0</v>
      </c>
      <c r="G20" s="91">
        <f>'7'!G20+'8'!G20+'9'!G20</f>
        <v>0</v>
      </c>
      <c r="H20" s="135">
        <f>'7'!H20+'8'!H20+'9'!H20</f>
        <v>0</v>
      </c>
      <c r="I20" s="135">
        <f>'7'!I20+'8'!I20+'9'!I20</f>
        <v>0</v>
      </c>
      <c r="J20" s="8" t="s">
        <v>55</v>
      </c>
      <c r="K20" s="133">
        <f>'7'!K20+'8'!K20+'9'!K20</f>
        <v>0</v>
      </c>
      <c r="L20" s="133">
        <f>'7'!L20+'8'!L20+'9'!L20</f>
        <v>0</v>
      </c>
      <c r="M20" s="91">
        <f>'7'!M20+'8'!M20+'9'!M20</f>
        <v>0</v>
      </c>
      <c r="N20" s="91">
        <f>'7'!N20+'8'!N20+'9'!N20</f>
        <v>0</v>
      </c>
      <c r="O20" s="91">
        <f>'7'!O20+'8'!O20+'9'!O20</f>
        <v>0</v>
      </c>
      <c r="P20" s="91">
        <f>'7'!P20+'8'!P20+'9'!P20</f>
        <v>0</v>
      </c>
      <c r="Q20" s="91">
        <f>'7'!Q20+'8'!Q20+'9'!Q20</f>
        <v>0</v>
      </c>
      <c r="R20" s="91">
        <f>'7'!R20+'8'!R20+'9'!R20</f>
        <v>0</v>
      </c>
      <c r="S20" s="91">
        <f>'7'!S20+'8'!S20+'9'!S20</f>
        <v>0</v>
      </c>
      <c r="T20" s="91">
        <f>'7'!T20+'8'!T20+'9'!T20</f>
        <v>0</v>
      </c>
      <c r="U20" s="91">
        <f>'7'!U20+'8'!U20+'9'!U20</f>
        <v>0</v>
      </c>
      <c r="V20" s="91">
        <f>'7'!V20+'8'!V20+'9'!V20</f>
        <v>0</v>
      </c>
      <c r="W20" s="91">
        <f>'7'!W20+'8'!W20+'9'!W20</f>
        <v>0</v>
      </c>
      <c r="X20" s="91">
        <f>'7'!X20+'8'!X20+'9'!X20</f>
        <v>0</v>
      </c>
      <c r="Y20" s="91">
        <f>'7'!Y20+'8'!Y20+'9'!Y20</f>
        <v>0</v>
      </c>
      <c r="Z20" s="91">
        <f>'7'!Z20+'8'!Z20+'9'!Z20</f>
        <v>0</v>
      </c>
      <c r="AA20" s="91">
        <f>'7'!AA20+'8'!AA20+'9'!AA20</f>
        <v>0</v>
      </c>
      <c r="AB20" s="91">
        <f>'7'!AB20+'8'!AB20+'9'!AB20</f>
        <v>0</v>
      </c>
      <c r="AC20" s="91">
        <f>'7'!AC20+'8'!AC20+'9'!AC20</f>
        <v>0</v>
      </c>
      <c r="AD20" s="91">
        <f>'7'!AD20+'8'!AD20+'9'!AD20</f>
        <v>0</v>
      </c>
      <c r="AE20" s="91">
        <f>'7'!AE20+'8'!AE20+'9'!AE20</f>
        <v>0</v>
      </c>
      <c r="AF20" s="91">
        <f>'7'!AF20+'8'!AF20+'9'!AF20</f>
        <v>0</v>
      </c>
      <c r="AG20" s="91">
        <f>'7'!AG20+'8'!AG20+'9'!AG20</f>
        <v>0</v>
      </c>
      <c r="AH20" s="91">
        <f>'7'!AH20+'8'!AH20+'9'!AH20</f>
        <v>0</v>
      </c>
      <c r="AI20" s="91">
        <f>'7'!AI20+'8'!AI20+'9'!AI20</f>
        <v>0</v>
      </c>
      <c r="AJ20" s="91">
        <f>'7'!AJ20+'8'!AJ20+'9'!AJ20</f>
        <v>0</v>
      </c>
      <c r="AK20" s="91">
        <f>'7'!AK20+'8'!AK20+'9'!AK20</f>
        <v>0</v>
      </c>
      <c r="AL20" s="91">
        <f>'7'!AL20+'8'!AL20+'9'!AL20</f>
        <v>0</v>
      </c>
      <c r="AM20" s="91">
        <f>'7'!AM20+'8'!AM20+'9'!AM20</f>
        <v>0</v>
      </c>
      <c r="AN20" s="91">
        <f>'7'!AN20+'8'!AN20+'9'!AN20</f>
        <v>0</v>
      </c>
      <c r="AO20" s="91">
        <f>'7'!AO20+'8'!AO20+'9'!AO20</f>
        <v>0</v>
      </c>
      <c r="AP20" s="91">
        <f>'7'!AP20+'8'!AP20+'9'!AP20</f>
        <v>0</v>
      </c>
      <c r="AQ20" s="16">
        <f t="shared" si="3"/>
        <v>0</v>
      </c>
      <c r="AR20" s="17">
        <f t="shared" si="11"/>
        <v>0</v>
      </c>
      <c r="AS20" s="15"/>
      <c r="AT20" s="15"/>
      <c r="AU20" s="92">
        <f t="shared" si="4"/>
        <v>0</v>
      </c>
      <c r="AV20" s="92">
        <f t="shared" si="5"/>
        <v>0</v>
      </c>
      <c r="AW20" s="92">
        <f t="shared" si="6"/>
        <v>0</v>
      </c>
      <c r="AX20" s="92">
        <f t="shared" si="7"/>
        <v>0</v>
      </c>
      <c r="AY20" s="18">
        <f t="shared" si="10"/>
        <v>0</v>
      </c>
      <c r="AZ20" s="18">
        <f t="shared" si="10"/>
        <v>0</v>
      </c>
      <c r="BA20" s="74">
        <f t="shared" ref="BA20:BA22" si="12">ROUND(AS20-E20-AR20,4)</f>
        <v>0</v>
      </c>
      <c r="BB20" s="139"/>
      <c r="BC20"/>
    </row>
    <row r="21" spans="1:55" ht="15" hidden="1" customHeight="1" x14ac:dyDescent="0.25">
      <c r="A21" s="68" t="s">
        <v>26</v>
      </c>
      <c r="B21" s="111"/>
      <c r="C21" s="111">
        <v>24</v>
      </c>
      <c r="D21" s="121">
        <f t="shared" si="8"/>
        <v>0</v>
      </c>
      <c r="E21" s="16">
        <f t="shared" si="9"/>
        <v>0</v>
      </c>
      <c r="F21" s="91">
        <f>'7'!F21+'8'!F21+'9'!F21</f>
        <v>0</v>
      </c>
      <c r="G21" s="91">
        <f>'7'!G21+'8'!G21+'9'!G21</f>
        <v>0</v>
      </c>
      <c r="H21" s="135">
        <f>'7'!H21+'8'!H21+'9'!H21</f>
        <v>0</v>
      </c>
      <c r="I21" s="135">
        <f>'7'!I21+'8'!I21+'9'!I21</f>
        <v>0</v>
      </c>
      <c r="J21" s="8" t="s">
        <v>55</v>
      </c>
      <c r="K21" s="133">
        <f>'7'!K21+'8'!K21+'9'!K21</f>
        <v>0</v>
      </c>
      <c r="L21" s="133">
        <f>'7'!L21+'8'!L21+'9'!L21</f>
        <v>0</v>
      </c>
      <c r="M21" s="91">
        <f>'7'!M21+'8'!M21+'9'!M21</f>
        <v>0</v>
      </c>
      <c r="N21" s="91">
        <f>'7'!N21+'8'!N21+'9'!N21</f>
        <v>0</v>
      </c>
      <c r="O21" s="91">
        <f>'7'!O21+'8'!O21+'9'!O21</f>
        <v>0</v>
      </c>
      <c r="P21" s="91">
        <f>'7'!P21+'8'!P21+'9'!P21</f>
        <v>0</v>
      </c>
      <c r="Q21" s="91">
        <f>'7'!Q21+'8'!Q21+'9'!Q21</f>
        <v>0</v>
      </c>
      <c r="R21" s="91">
        <f>'7'!R21+'8'!R21+'9'!R21</f>
        <v>0</v>
      </c>
      <c r="S21" s="91">
        <f>'7'!S21+'8'!S21+'9'!S21</f>
        <v>0</v>
      </c>
      <c r="T21" s="91">
        <f>'7'!T21+'8'!T21+'9'!T21</f>
        <v>0</v>
      </c>
      <c r="U21" s="91">
        <f>'7'!U21+'8'!U21+'9'!U21</f>
        <v>0</v>
      </c>
      <c r="V21" s="91">
        <f>'7'!V21+'8'!V21+'9'!V21</f>
        <v>0</v>
      </c>
      <c r="W21" s="91">
        <f>'7'!W21+'8'!W21+'9'!W21</f>
        <v>0</v>
      </c>
      <c r="X21" s="91">
        <f>'7'!X21+'8'!X21+'9'!X21</f>
        <v>0</v>
      </c>
      <c r="Y21" s="91">
        <f>'7'!Y21+'8'!Y21+'9'!Y21</f>
        <v>0</v>
      </c>
      <c r="Z21" s="91">
        <f>'7'!Z21+'8'!Z21+'9'!Z21</f>
        <v>0</v>
      </c>
      <c r="AA21" s="91">
        <f>'7'!AA21+'8'!AA21+'9'!AA21</f>
        <v>0</v>
      </c>
      <c r="AB21" s="91">
        <f>'7'!AB21+'8'!AB21+'9'!AB21</f>
        <v>0</v>
      </c>
      <c r="AC21" s="91">
        <f>'7'!AC21+'8'!AC21+'9'!AC21</f>
        <v>0</v>
      </c>
      <c r="AD21" s="91">
        <f>'7'!AD21+'8'!AD21+'9'!AD21</f>
        <v>0</v>
      </c>
      <c r="AE21" s="91">
        <f>'7'!AE21+'8'!AE21+'9'!AE21</f>
        <v>0</v>
      </c>
      <c r="AF21" s="91">
        <f>'7'!AF21+'8'!AF21+'9'!AF21</f>
        <v>0</v>
      </c>
      <c r="AG21" s="91">
        <f>'7'!AG21+'8'!AG21+'9'!AG21</f>
        <v>0</v>
      </c>
      <c r="AH21" s="91">
        <f>'7'!AH21+'8'!AH21+'9'!AH21</f>
        <v>0</v>
      </c>
      <c r="AI21" s="91">
        <f>'7'!AI21+'8'!AI21+'9'!AI21</f>
        <v>0</v>
      </c>
      <c r="AJ21" s="91">
        <f>'7'!AJ21+'8'!AJ21+'9'!AJ21</f>
        <v>0</v>
      </c>
      <c r="AK21" s="91">
        <f>'7'!AK21+'8'!AK21+'9'!AK21</f>
        <v>0</v>
      </c>
      <c r="AL21" s="91">
        <f>'7'!AL21+'8'!AL21+'9'!AL21</f>
        <v>0</v>
      </c>
      <c r="AM21" s="91">
        <f>'7'!AM21+'8'!AM21+'9'!AM21</f>
        <v>0</v>
      </c>
      <c r="AN21" s="91">
        <f>'7'!AN21+'8'!AN21+'9'!AN21</f>
        <v>0</v>
      </c>
      <c r="AO21" s="91">
        <f>'7'!AO21+'8'!AO21+'9'!AO21</f>
        <v>0</v>
      </c>
      <c r="AP21" s="91">
        <f>'7'!AP21+'8'!AP21+'9'!AP21</f>
        <v>0</v>
      </c>
      <c r="AQ21" s="16">
        <f t="shared" si="3"/>
        <v>0</v>
      </c>
      <c r="AR21" s="17">
        <f t="shared" si="11"/>
        <v>0</v>
      </c>
      <c r="AS21" s="15"/>
      <c r="AT21" s="15"/>
      <c r="AU21" s="92">
        <f t="shared" si="4"/>
        <v>0</v>
      </c>
      <c r="AV21" s="92">
        <f t="shared" si="5"/>
        <v>0</v>
      </c>
      <c r="AW21" s="92">
        <f t="shared" si="6"/>
        <v>0</v>
      </c>
      <c r="AX21" s="92">
        <f t="shared" si="7"/>
        <v>0</v>
      </c>
      <c r="AY21" s="18">
        <f t="shared" si="10"/>
        <v>0</v>
      </c>
      <c r="AZ21" s="18">
        <f t="shared" si="10"/>
        <v>0</v>
      </c>
      <c r="BA21" s="74">
        <f t="shared" si="12"/>
        <v>0</v>
      </c>
      <c r="BB21" s="139"/>
      <c r="BC21"/>
    </row>
    <row r="22" spans="1:55" ht="15" hidden="1" customHeight="1" x14ac:dyDescent="0.25">
      <c r="A22" s="70" t="s">
        <v>63</v>
      </c>
      <c r="B22" s="113"/>
      <c r="C22" s="113">
        <v>25</v>
      </c>
      <c r="D22" s="121">
        <f t="shared" si="8"/>
        <v>0</v>
      </c>
      <c r="E22" s="16">
        <f t="shared" si="9"/>
        <v>0</v>
      </c>
      <c r="F22" s="91">
        <f>'7'!F22+'8'!F22+'9'!F22</f>
        <v>0</v>
      </c>
      <c r="G22" s="91">
        <f>'7'!G22+'8'!G22+'9'!G22</f>
        <v>0</v>
      </c>
      <c r="H22" s="135">
        <f>'7'!H22+'8'!H22+'9'!H22</f>
        <v>0</v>
      </c>
      <c r="I22" s="135">
        <f>'7'!I22+'8'!I22+'9'!I22</f>
        <v>0</v>
      </c>
      <c r="J22" s="8" t="s">
        <v>55</v>
      </c>
      <c r="K22" s="133">
        <f>'7'!K22+'8'!K22+'9'!K22</f>
        <v>0</v>
      </c>
      <c r="L22" s="133">
        <f>'7'!L22+'8'!L22+'9'!L22</f>
        <v>0</v>
      </c>
      <c r="M22" s="91">
        <f>'7'!M22+'8'!M22+'9'!M22</f>
        <v>0</v>
      </c>
      <c r="N22" s="91">
        <f>'7'!N22+'8'!N22+'9'!N22</f>
        <v>0</v>
      </c>
      <c r="O22" s="91">
        <f>'7'!O22+'8'!O22+'9'!O22</f>
        <v>0</v>
      </c>
      <c r="P22" s="91">
        <f>'7'!P22+'8'!P22+'9'!P22</f>
        <v>0</v>
      </c>
      <c r="Q22" s="91">
        <f>'7'!Q22+'8'!Q22+'9'!Q22</f>
        <v>0</v>
      </c>
      <c r="R22" s="91">
        <f>'7'!R22+'8'!R22+'9'!R22</f>
        <v>0</v>
      </c>
      <c r="S22" s="91">
        <f>'7'!S22+'8'!S22+'9'!S22</f>
        <v>0</v>
      </c>
      <c r="T22" s="91">
        <f>'7'!T22+'8'!T22+'9'!T22</f>
        <v>0</v>
      </c>
      <c r="U22" s="91">
        <f>'7'!U22+'8'!U22+'9'!U22</f>
        <v>0</v>
      </c>
      <c r="V22" s="91">
        <f>'7'!V22+'8'!V22+'9'!V22</f>
        <v>0</v>
      </c>
      <c r="W22" s="91">
        <f>'7'!W22+'8'!W22+'9'!W22</f>
        <v>0</v>
      </c>
      <c r="X22" s="91">
        <f>'7'!X22+'8'!X22+'9'!X22</f>
        <v>0</v>
      </c>
      <c r="Y22" s="91">
        <f>'7'!Y22+'8'!Y22+'9'!Y22</f>
        <v>0</v>
      </c>
      <c r="Z22" s="91">
        <f>'7'!Z22+'8'!Z22+'9'!Z22</f>
        <v>0</v>
      </c>
      <c r="AA22" s="91">
        <f>'7'!AA22+'8'!AA22+'9'!AA22</f>
        <v>0</v>
      </c>
      <c r="AB22" s="91">
        <f>'7'!AB22+'8'!AB22+'9'!AB22</f>
        <v>0</v>
      </c>
      <c r="AC22" s="91">
        <f>'7'!AC22+'8'!AC22+'9'!AC22</f>
        <v>0</v>
      </c>
      <c r="AD22" s="91">
        <f>'7'!AD22+'8'!AD22+'9'!AD22</f>
        <v>0</v>
      </c>
      <c r="AE22" s="91">
        <f>'7'!AE22+'8'!AE22+'9'!AE22</f>
        <v>0</v>
      </c>
      <c r="AF22" s="91">
        <f>'7'!AF22+'8'!AF22+'9'!AF22</f>
        <v>0</v>
      </c>
      <c r="AG22" s="91">
        <f>'7'!AG22+'8'!AG22+'9'!AG22</f>
        <v>0</v>
      </c>
      <c r="AH22" s="91">
        <f>'7'!AH22+'8'!AH22+'9'!AH22</f>
        <v>0</v>
      </c>
      <c r="AI22" s="91">
        <f>'7'!AI22+'8'!AI22+'9'!AI22</f>
        <v>0</v>
      </c>
      <c r="AJ22" s="91">
        <f>'7'!AJ22+'8'!AJ22+'9'!AJ22</f>
        <v>0</v>
      </c>
      <c r="AK22" s="91">
        <f>'7'!AK22+'8'!AK22+'9'!AK22</f>
        <v>0</v>
      </c>
      <c r="AL22" s="91">
        <f>'7'!AL22+'8'!AL22+'9'!AL22</f>
        <v>0</v>
      </c>
      <c r="AM22" s="91">
        <f>'7'!AM22+'8'!AM22+'9'!AM22</f>
        <v>0</v>
      </c>
      <c r="AN22" s="91">
        <f>'7'!AN22+'8'!AN22+'9'!AN22</f>
        <v>0</v>
      </c>
      <c r="AO22" s="91">
        <f>'7'!AO22+'8'!AO22+'9'!AO22</f>
        <v>0</v>
      </c>
      <c r="AP22" s="91">
        <f>'7'!AP22+'8'!AP22+'9'!AP22</f>
        <v>0</v>
      </c>
      <c r="AQ22" s="16">
        <f t="shared" si="3"/>
        <v>0</v>
      </c>
      <c r="AR22" s="17">
        <f t="shared" si="11"/>
        <v>0</v>
      </c>
      <c r="AS22" s="15"/>
      <c r="AT22" s="15"/>
      <c r="AU22" s="92">
        <f t="shared" si="4"/>
        <v>0</v>
      </c>
      <c r="AV22" s="92">
        <f t="shared" si="5"/>
        <v>0</v>
      </c>
      <c r="AW22" s="92">
        <f t="shared" si="6"/>
        <v>0</v>
      </c>
      <c r="AX22" s="92">
        <f t="shared" si="7"/>
        <v>0</v>
      </c>
      <c r="AY22" s="18">
        <f t="shared" si="10"/>
        <v>0</v>
      </c>
      <c r="AZ22" s="18">
        <f t="shared" si="10"/>
        <v>0</v>
      </c>
      <c r="BA22" s="74">
        <f t="shared" si="12"/>
        <v>0</v>
      </c>
      <c r="BB22" s="139"/>
      <c r="BC22"/>
    </row>
    <row r="23" spans="1:55" ht="15" customHeight="1" thickBot="1" x14ac:dyDescent="0.3">
      <c r="A23" s="90" t="s">
        <v>27</v>
      </c>
      <c r="B23" s="123" t="s">
        <v>148</v>
      </c>
      <c r="C23" s="114">
        <v>17</v>
      </c>
      <c r="D23" s="121">
        <f>AT23*AU23*AW23</f>
        <v>0</v>
      </c>
      <c r="E23" s="16">
        <f>ROUND(AT23*AV23*AX23,4)</f>
        <v>0</v>
      </c>
      <c r="F23" s="91">
        <f>'7'!F23+'8'!F23+'9'!F23</f>
        <v>0</v>
      </c>
      <c r="G23" s="91">
        <f>'7'!G23+'8'!G23+'9'!G23</f>
        <v>0</v>
      </c>
      <c r="H23" s="135">
        <f>'7'!H23+'8'!H23+'9'!H23</f>
        <v>0</v>
      </c>
      <c r="I23" s="135">
        <f>'7'!I23+'8'!I23+'9'!I23</f>
        <v>0</v>
      </c>
      <c r="J23" s="93" t="s">
        <v>55</v>
      </c>
      <c r="K23" s="133">
        <f>'7'!K23+'8'!K23+'9'!K23</f>
        <v>0</v>
      </c>
      <c r="L23" s="133">
        <f>'7'!L23+'8'!L23+'9'!L23</f>
        <v>0</v>
      </c>
      <c r="M23" s="91">
        <f>'7'!M23+'8'!M23+'9'!M23</f>
        <v>0</v>
      </c>
      <c r="N23" s="91">
        <f>'7'!N23+'8'!N23+'9'!N23</f>
        <v>0</v>
      </c>
      <c r="O23" s="91">
        <f>'7'!O23+'8'!O23+'9'!O23</f>
        <v>0</v>
      </c>
      <c r="P23" s="91">
        <f>'7'!P23+'8'!P23+'9'!P23</f>
        <v>0</v>
      </c>
      <c r="Q23" s="91">
        <f>'7'!Q23+'8'!Q23+'9'!Q23</f>
        <v>0</v>
      </c>
      <c r="R23" s="91">
        <f>'7'!R23+'8'!R23+'9'!R23</f>
        <v>0</v>
      </c>
      <c r="S23" s="91">
        <f>'7'!S23+'8'!S23+'9'!S23</f>
        <v>0</v>
      </c>
      <c r="T23" s="91">
        <f>'7'!T23+'8'!T23+'9'!T23</f>
        <v>0</v>
      </c>
      <c r="U23" s="91">
        <f>'7'!U23+'8'!U23+'9'!U23</f>
        <v>0</v>
      </c>
      <c r="V23" s="91">
        <f>'7'!V23+'8'!V23+'9'!V23</f>
        <v>0</v>
      </c>
      <c r="W23" s="91">
        <f>'7'!W23+'8'!W23+'9'!W23</f>
        <v>0</v>
      </c>
      <c r="X23" s="91">
        <f>'7'!X23+'8'!X23+'9'!X23</f>
        <v>0</v>
      </c>
      <c r="Y23" s="91">
        <f>'7'!Y23+'8'!Y23+'9'!Y23</f>
        <v>0</v>
      </c>
      <c r="Z23" s="91">
        <f>'7'!Z23+'8'!Z23+'9'!Z23</f>
        <v>0</v>
      </c>
      <c r="AA23" s="91">
        <f>'7'!AA23+'8'!AA23+'9'!AA23</f>
        <v>0</v>
      </c>
      <c r="AB23" s="91">
        <f>'7'!AB23+'8'!AB23+'9'!AB23</f>
        <v>0</v>
      </c>
      <c r="AC23" s="91">
        <f>'7'!AC23+'8'!AC23+'9'!AC23</f>
        <v>0</v>
      </c>
      <c r="AD23" s="91">
        <f>'7'!AD23+'8'!AD23+'9'!AD23</f>
        <v>0</v>
      </c>
      <c r="AE23" s="91">
        <f>'7'!AE23+'8'!AE23+'9'!AE23</f>
        <v>0</v>
      </c>
      <c r="AF23" s="91">
        <f>'7'!AF23+'8'!AF23+'9'!AF23</f>
        <v>0</v>
      </c>
      <c r="AG23" s="91">
        <f>'7'!AG23+'8'!AG23+'9'!AG23</f>
        <v>0</v>
      </c>
      <c r="AH23" s="91">
        <f>'7'!AH23+'8'!AH23+'9'!AH23</f>
        <v>0</v>
      </c>
      <c r="AI23" s="91">
        <f>'7'!AI23+'8'!AI23+'9'!AI23</f>
        <v>0</v>
      </c>
      <c r="AJ23" s="91">
        <f>'7'!AJ23+'8'!AJ23+'9'!AJ23</f>
        <v>0</v>
      </c>
      <c r="AK23" s="91">
        <f>'7'!AK23+'8'!AK23+'9'!AK23</f>
        <v>0</v>
      </c>
      <c r="AL23" s="91">
        <f>'7'!AL23+'8'!AL23+'9'!AL23</f>
        <v>0</v>
      </c>
      <c r="AM23" s="91">
        <f>'7'!AM23+'8'!AM23+'9'!AM23</f>
        <v>0</v>
      </c>
      <c r="AN23" s="91">
        <f>'7'!AN23+'8'!AN23+'9'!AN23</f>
        <v>0</v>
      </c>
      <c r="AO23" s="91">
        <f>'7'!AO23+'8'!AO23+'9'!AO23</f>
        <v>0</v>
      </c>
      <c r="AP23" s="91">
        <f>'7'!AP23+'8'!AP23+'9'!AP23</f>
        <v>0</v>
      </c>
      <c r="AQ23" s="16">
        <f t="shared" si="3"/>
        <v>0</v>
      </c>
      <c r="AR23" s="17">
        <f t="shared" si="11"/>
        <v>0</v>
      </c>
      <c r="AS23" s="91">
        <f>AT23</f>
        <v>0</v>
      </c>
      <c r="AT23" s="91">
        <f>'7'!AT23+'8'!AT23+'9'!AT23</f>
        <v>0</v>
      </c>
      <c r="AU23" s="92">
        <f>IF(AT23-AQ23=0,0,(AT23-M23-O23-Q23)/AT23)</f>
        <v>0</v>
      </c>
      <c r="AV23" s="92">
        <f>IF(AT23=0,0,(AT23-N23-P23-R23-AC23-AD23-AE23-AF23-AG23-AH23-AI23-AJ23-AL23)/AT23)</f>
        <v>0</v>
      </c>
      <c r="AW23" s="92">
        <f>IF(OR(AT23=0,AU23=0),0,((AT23*AU23)-S23-U23-W23-AA23-Y23)/(AT23*AU23))</f>
        <v>0</v>
      </c>
      <c r="AX23" s="92">
        <f>IF(OR(AT23=0,AV23=0),0,((AT23*AV23)-AK23-AM23-AN23-AO23-AP23-T23-V23-X23-Z23-AB23)/(AT23*AV23))</f>
        <v>0</v>
      </c>
      <c r="AY23" s="92">
        <f>IF(D23=0,0,K23/D23/24)</f>
        <v>0</v>
      </c>
      <c r="AZ23" s="92">
        <f>IF(E23=0,0,L23/E23/24)</f>
        <v>0</v>
      </c>
      <c r="BA23" s="95">
        <f>ROUND(AT23-E23-AR23,4)</f>
        <v>0</v>
      </c>
      <c r="BB23" s="140"/>
      <c r="BC23"/>
    </row>
    <row r="24" spans="1:55" ht="15" customHeight="1" thickBot="1" x14ac:dyDescent="0.3">
      <c r="A24" s="87" t="s">
        <v>80</v>
      </c>
      <c r="B24" s="124"/>
      <c r="C24" s="87"/>
      <c r="D24" s="129">
        <f t="shared" ref="D24" si="13">SUM(D25:D41)</f>
        <v>0</v>
      </c>
      <c r="E24" s="129">
        <f>SUM(E25:E41)</f>
        <v>0</v>
      </c>
      <c r="F24" s="129">
        <f>SUM(F25:F41)</f>
        <v>0</v>
      </c>
      <c r="G24" s="129">
        <f t="shared" ref="G24:AP24" si="14">SUM(G25:G41)</f>
        <v>0</v>
      </c>
      <c r="H24" s="131">
        <f t="shared" si="14"/>
        <v>0</v>
      </c>
      <c r="I24" s="131">
        <f t="shared" si="14"/>
        <v>0</v>
      </c>
      <c r="J24" s="129">
        <f t="shared" si="14"/>
        <v>0</v>
      </c>
      <c r="K24" s="130">
        <f t="shared" si="14"/>
        <v>0</v>
      </c>
      <c r="L24" s="130">
        <f t="shared" si="14"/>
        <v>0</v>
      </c>
      <c r="M24" s="129">
        <f t="shared" si="14"/>
        <v>0</v>
      </c>
      <c r="N24" s="129">
        <f t="shared" si="14"/>
        <v>0</v>
      </c>
      <c r="O24" s="129">
        <f t="shared" si="14"/>
        <v>0</v>
      </c>
      <c r="P24" s="129">
        <f t="shared" si="14"/>
        <v>0</v>
      </c>
      <c r="Q24" s="129">
        <f t="shared" si="14"/>
        <v>0</v>
      </c>
      <c r="R24" s="129">
        <f t="shared" si="14"/>
        <v>0</v>
      </c>
      <c r="S24" s="129">
        <f t="shared" si="14"/>
        <v>0</v>
      </c>
      <c r="T24" s="129">
        <f t="shared" si="14"/>
        <v>0</v>
      </c>
      <c r="U24" s="129">
        <f t="shared" si="14"/>
        <v>0</v>
      </c>
      <c r="V24" s="129">
        <f t="shared" si="14"/>
        <v>0</v>
      </c>
      <c r="W24" s="129">
        <f t="shared" si="14"/>
        <v>0</v>
      </c>
      <c r="X24" s="129">
        <f t="shared" si="14"/>
        <v>0</v>
      </c>
      <c r="Y24" s="129">
        <f t="shared" si="14"/>
        <v>0</v>
      </c>
      <c r="Z24" s="129">
        <f t="shared" si="14"/>
        <v>0</v>
      </c>
      <c r="AA24" s="129">
        <f t="shared" si="14"/>
        <v>0</v>
      </c>
      <c r="AB24" s="129">
        <f t="shared" si="14"/>
        <v>0</v>
      </c>
      <c r="AC24" s="129">
        <f t="shared" si="14"/>
        <v>0</v>
      </c>
      <c r="AD24" s="129">
        <f t="shared" si="14"/>
        <v>0</v>
      </c>
      <c r="AE24" s="129">
        <f t="shared" si="14"/>
        <v>0</v>
      </c>
      <c r="AF24" s="129">
        <f t="shared" si="14"/>
        <v>0</v>
      </c>
      <c r="AG24" s="129">
        <f t="shared" si="14"/>
        <v>0</v>
      </c>
      <c r="AH24" s="129">
        <f t="shared" si="14"/>
        <v>0</v>
      </c>
      <c r="AI24" s="129">
        <f t="shared" si="14"/>
        <v>0</v>
      </c>
      <c r="AJ24" s="129">
        <f t="shared" si="14"/>
        <v>0</v>
      </c>
      <c r="AK24" s="129">
        <f t="shared" si="14"/>
        <v>0</v>
      </c>
      <c r="AL24" s="129">
        <f>SUM(AL25:AL41)</f>
        <v>0</v>
      </c>
      <c r="AM24" s="129">
        <f t="shared" si="14"/>
        <v>0</v>
      </c>
      <c r="AN24" s="129">
        <f t="shared" si="14"/>
        <v>0</v>
      </c>
      <c r="AO24" s="129">
        <f t="shared" si="14"/>
        <v>0</v>
      </c>
      <c r="AP24" s="129">
        <f t="shared" si="14"/>
        <v>0</v>
      </c>
      <c r="AQ24" s="129">
        <f t="shared" si="3"/>
        <v>0</v>
      </c>
      <c r="AR24" s="129">
        <f t="shared" si="11"/>
        <v>0</v>
      </c>
      <c r="AS24" s="129">
        <f t="shared" ref="AS24:AS58" si="15">AT24</f>
        <v>0</v>
      </c>
      <c r="AT24" s="129">
        <f>SUM(AT25:AT41)</f>
        <v>0</v>
      </c>
      <c r="AU24" s="131">
        <f t="shared" ref="AU24:AU58" si="16">IF(AT24-AQ24=0,0,(AT24-M24-O24-Q24)/AT24)</f>
        <v>0</v>
      </c>
      <c r="AV24" s="131">
        <f t="shared" si="5"/>
        <v>0</v>
      </c>
      <c r="AW24" s="131">
        <f t="shared" ref="AW24:AW58" si="17">IF(OR(AT24=0,AU24=0),0,((AT24*AU24)-S24-U24-W24-AA24-Y24)/(AT24*AU24))</f>
        <v>0</v>
      </c>
      <c r="AX24" s="131">
        <f t="shared" ref="AX24:AX58" si="18">IF(OR(AT24=0,AV24=0),0,((AT24*AV24)-AK24-AM24-AN24-AO24-AP24-T24-V24-X24-Z24-AB24)/(AT24*AV24))</f>
        <v>0</v>
      </c>
      <c r="AY24" s="131">
        <f>SUM(AY25:AY41)</f>
        <v>0</v>
      </c>
      <c r="AZ24" s="131">
        <f>SUM(AZ25:AZ41)</f>
        <v>0</v>
      </c>
      <c r="BA24" s="129">
        <f t="shared" ref="BA24:BA58" si="19">ROUND(AT24-E24-AR24,4)</f>
        <v>0</v>
      </c>
      <c r="BB24" s="141"/>
      <c r="BC24"/>
    </row>
    <row r="25" spans="1:55" ht="15" hidden="1" customHeight="1" x14ac:dyDescent="0.25">
      <c r="A25" s="97" t="s">
        <v>28</v>
      </c>
      <c r="B25" s="115"/>
      <c r="C25" s="115">
        <v>30</v>
      </c>
      <c r="D25" s="121">
        <f>AT25*AU25*AW25</f>
        <v>0</v>
      </c>
      <c r="E25" s="16">
        <f>ROUND(AT25*AV25*AX25,4)</f>
        <v>0</v>
      </c>
      <c r="F25" s="91">
        <f>'7'!F25+'8'!F25+'9'!F25</f>
        <v>0</v>
      </c>
      <c r="G25" s="91">
        <f>'7'!G25+'8'!G25+'9'!G25</f>
        <v>0</v>
      </c>
      <c r="H25" s="135">
        <f>'7'!H25+'8'!H25+'9'!H25</f>
        <v>0</v>
      </c>
      <c r="I25" s="135">
        <f>'7'!I25+'8'!I25+'9'!I25</f>
        <v>0</v>
      </c>
      <c r="J25" s="98" t="s">
        <v>68</v>
      </c>
      <c r="K25" s="133">
        <f>'7'!K25+'8'!K25+'9'!K25</f>
        <v>0</v>
      </c>
      <c r="L25" s="133">
        <f>'7'!L25+'8'!L25+'9'!L25</f>
        <v>0</v>
      </c>
      <c r="M25" s="91">
        <f>'7'!M25+'8'!M25+'9'!M25</f>
        <v>0</v>
      </c>
      <c r="N25" s="91">
        <f>'7'!N25+'8'!N25+'9'!N25</f>
        <v>0</v>
      </c>
      <c r="O25" s="91">
        <f>'7'!O25+'8'!O25+'9'!O25</f>
        <v>0</v>
      </c>
      <c r="P25" s="91">
        <f>'7'!P25+'8'!P25+'9'!P25</f>
        <v>0</v>
      </c>
      <c r="Q25" s="91">
        <f>'7'!Q25+'8'!Q25+'9'!Q25</f>
        <v>0</v>
      </c>
      <c r="R25" s="91">
        <f>'7'!R25+'8'!R25+'9'!R25</f>
        <v>0</v>
      </c>
      <c r="S25" s="91">
        <f>'7'!S25+'8'!S25+'9'!S25</f>
        <v>0</v>
      </c>
      <c r="T25" s="91">
        <f>'7'!T25+'8'!T25+'9'!T25</f>
        <v>0</v>
      </c>
      <c r="U25" s="91">
        <f>'7'!U25+'8'!U25+'9'!U25</f>
        <v>0</v>
      </c>
      <c r="V25" s="91">
        <f>'7'!V25+'8'!V25+'9'!V25</f>
        <v>0</v>
      </c>
      <c r="W25" s="91">
        <f>'7'!W25+'8'!W25+'9'!W25</f>
        <v>0</v>
      </c>
      <c r="X25" s="91">
        <f>'7'!X25+'8'!X25+'9'!X25</f>
        <v>0</v>
      </c>
      <c r="Y25" s="91">
        <f>'7'!Y25+'8'!Y25+'9'!Y25</f>
        <v>0</v>
      </c>
      <c r="Z25" s="91">
        <f>'7'!Z25+'8'!Z25+'9'!Z25</f>
        <v>0</v>
      </c>
      <c r="AA25" s="91">
        <f>'7'!AA25+'8'!AA25+'9'!AA25</f>
        <v>0</v>
      </c>
      <c r="AB25" s="91">
        <f>'7'!AB25+'8'!AB25+'9'!AB25</f>
        <v>0</v>
      </c>
      <c r="AC25" s="91">
        <f>'7'!AC25+'8'!AC25+'9'!AC25</f>
        <v>0</v>
      </c>
      <c r="AD25" s="91">
        <f>'7'!AD25+'8'!AD25+'9'!AD25</f>
        <v>0</v>
      </c>
      <c r="AE25" s="91">
        <f>'7'!AE25+'8'!AE25+'9'!AE25</f>
        <v>0</v>
      </c>
      <c r="AF25" s="91">
        <f>'7'!AF25+'8'!AF25+'9'!AF25</f>
        <v>0</v>
      </c>
      <c r="AG25" s="91">
        <f>'7'!AG25+'8'!AG25+'9'!AG25</f>
        <v>0</v>
      </c>
      <c r="AH25" s="91">
        <f>'7'!AH25+'8'!AH25+'9'!AH25</f>
        <v>0</v>
      </c>
      <c r="AI25" s="91">
        <f>'7'!AI25+'8'!AI25+'9'!AI25</f>
        <v>0</v>
      </c>
      <c r="AJ25" s="91">
        <f>'7'!AJ25+'8'!AJ25+'9'!AJ25</f>
        <v>0</v>
      </c>
      <c r="AK25" s="91">
        <f>'7'!AK25+'8'!AK25+'9'!AK25</f>
        <v>0</v>
      </c>
      <c r="AL25" s="91">
        <f>'7'!AL25+'8'!AL25+'9'!AL25</f>
        <v>0</v>
      </c>
      <c r="AM25" s="91">
        <f>'7'!AM25+'8'!AM25+'9'!AM25</f>
        <v>0</v>
      </c>
      <c r="AN25" s="91">
        <f>'7'!AN25+'8'!AN25+'9'!AN25</f>
        <v>0</v>
      </c>
      <c r="AO25" s="91">
        <f>'7'!AO25+'8'!AO25+'9'!AO25</f>
        <v>0</v>
      </c>
      <c r="AP25" s="91">
        <f>'7'!AP25+'8'!AP25+'9'!AP25</f>
        <v>0</v>
      </c>
      <c r="AQ25" s="16">
        <f t="shared" si="3"/>
        <v>0</v>
      </c>
      <c r="AR25" s="17">
        <f t="shared" si="11"/>
        <v>0</v>
      </c>
      <c r="AS25" s="91">
        <f t="shared" si="15"/>
        <v>0</v>
      </c>
      <c r="AT25" s="17"/>
      <c r="AU25" s="92">
        <f t="shared" si="16"/>
        <v>0</v>
      </c>
      <c r="AV25" s="92">
        <f t="shared" si="5"/>
        <v>0</v>
      </c>
      <c r="AW25" s="92">
        <f t="shared" si="17"/>
        <v>0</v>
      </c>
      <c r="AX25" s="92">
        <f t="shared" si="18"/>
        <v>0</v>
      </c>
      <c r="AY25" s="82">
        <f t="shared" ref="AY25:AZ41" si="20">IF(D25=0,0,K25/D25/24)</f>
        <v>0</v>
      </c>
      <c r="AZ25" s="82">
        <f t="shared" si="20"/>
        <v>0</v>
      </c>
      <c r="BA25" s="95">
        <f t="shared" si="19"/>
        <v>0</v>
      </c>
      <c r="BB25" s="138"/>
      <c r="BC25"/>
    </row>
    <row r="26" spans="1:55" ht="15" customHeight="1" x14ac:dyDescent="0.25">
      <c r="A26" s="71" t="s">
        <v>29</v>
      </c>
      <c r="B26" s="123" t="s">
        <v>137</v>
      </c>
      <c r="C26" s="112">
        <v>32</v>
      </c>
      <c r="D26" s="121">
        <f>AT26*AU26*AW26</f>
        <v>0</v>
      </c>
      <c r="E26" s="16">
        <f>ROUND(AT26*AV26*AX26,4)</f>
        <v>0</v>
      </c>
      <c r="F26" s="91">
        <f>'7'!F26+'8'!F26+'9'!F26</f>
        <v>0</v>
      </c>
      <c r="G26" s="91">
        <f>'7'!G26+'8'!G26+'9'!G26</f>
        <v>0</v>
      </c>
      <c r="H26" s="135">
        <f>'7'!H26+'8'!H26+'9'!H26</f>
        <v>0</v>
      </c>
      <c r="I26" s="135">
        <f>'7'!I26+'8'!I26+'9'!I26</f>
        <v>0</v>
      </c>
      <c r="J26" s="9" t="s">
        <v>68</v>
      </c>
      <c r="K26" s="133">
        <f>'7'!K26+'8'!K26+'9'!K26</f>
        <v>0</v>
      </c>
      <c r="L26" s="133">
        <f>'7'!L26+'8'!L26+'9'!L26</f>
        <v>0</v>
      </c>
      <c r="M26" s="91">
        <f>'7'!M26+'8'!M26+'9'!M26</f>
        <v>0</v>
      </c>
      <c r="N26" s="91">
        <f>'7'!N26+'8'!N26+'9'!N26</f>
        <v>0</v>
      </c>
      <c r="O26" s="91">
        <f>'7'!O26+'8'!O26+'9'!O26</f>
        <v>0</v>
      </c>
      <c r="P26" s="91">
        <f>'7'!P26+'8'!P26+'9'!P26</f>
        <v>0</v>
      </c>
      <c r="Q26" s="91">
        <f>'7'!Q26+'8'!Q26+'9'!Q26</f>
        <v>0</v>
      </c>
      <c r="R26" s="91">
        <f>'7'!R26+'8'!R26+'9'!R26</f>
        <v>0</v>
      </c>
      <c r="S26" s="91">
        <f>'7'!S26+'8'!S26+'9'!S26</f>
        <v>0</v>
      </c>
      <c r="T26" s="91">
        <f>'7'!T26+'8'!T26+'9'!T26</f>
        <v>0</v>
      </c>
      <c r="U26" s="91">
        <f>'7'!U26+'8'!U26+'9'!U26</f>
        <v>0</v>
      </c>
      <c r="V26" s="91">
        <f>'7'!V26+'8'!V26+'9'!V26</f>
        <v>0</v>
      </c>
      <c r="W26" s="91">
        <f>'7'!W26+'8'!W26+'9'!W26</f>
        <v>0</v>
      </c>
      <c r="X26" s="91">
        <f>'7'!X26+'8'!X26+'9'!X26</f>
        <v>0</v>
      </c>
      <c r="Y26" s="91">
        <f>'7'!Y26+'8'!Y26+'9'!Y26</f>
        <v>0</v>
      </c>
      <c r="Z26" s="91">
        <f>'7'!Z26+'8'!Z26+'9'!Z26</f>
        <v>0</v>
      </c>
      <c r="AA26" s="91">
        <f>'7'!AA26+'8'!AA26+'9'!AA26</f>
        <v>0</v>
      </c>
      <c r="AB26" s="91">
        <f>'7'!AB26+'8'!AB26+'9'!AB26</f>
        <v>0</v>
      </c>
      <c r="AC26" s="91">
        <f>'7'!AC26+'8'!AC26+'9'!AC26</f>
        <v>0</v>
      </c>
      <c r="AD26" s="91">
        <f>'7'!AD26+'8'!AD26+'9'!AD26</f>
        <v>0</v>
      </c>
      <c r="AE26" s="91">
        <f>'7'!AE26+'8'!AE26+'9'!AE26</f>
        <v>0</v>
      </c>
      <c r="AF26" s="91">
        <f>'7'!AF26+'8'!AF26+'9'!AF26</f>
        <v>0</v>
      </c>
      <c r="AG26" s="91">
        <f>'7'!AG26+'8'!AG26+'9'!AG26</f>
        <v>0</v>
      </c>
      <c r="AH26" s="91">
        <f>'7'!AH26+'8'!AH26+'9'!AH26</f>
        <v>0</v>
      </c>
      <c r="AI26" s="91">
        <f>'7'!AI26+'8'!AI26+'9'!AI26</f>
        <v>0</v>
      </c>
      <c r="AJ26" s="91">
        <f>'7'!AJ26+'8'!AJ26+'9'!AJ26</f>
        <v>0</v>
      </c>
      <c r="AK26" s="91">
        <f>'7'!AK26+'8'!AK26+'9'!AK26</f>
        <v>0</v>
      </c>
      <c r="AL26" s="91">
        <f>'7'!AL26+'8'!AL26+'9'!AL26</f>
        <v>0</v>
      </c>
      <c r="AM26" s="91">
        <f>'7'!AM26+'8'!AM26+'9'!AM26</f>
        <v>0</v>
      </c>
      <c r="AN26" s="91">
        <f>'7'!AN26+'8'!AN26+'9'!AN26</f>
        <v>0</v>
      </c>
      <c r="AO26" s="91">
        <f>'7'!AO26+'8'!AO26+'9'!AO26</f>
        <v>0</v>
      </c>
      <c r="AP26" s="91">
        <f>'7'!AP26+'8'!AP26+'9'!AP26</f>
        <v>0</v>
      </c>
      <c r="AQ26" s="16">
        <f t="shared" si="3"/>
        <v>0</v>
      </c>
      <c r="AR26" s="17">
        <f t="shared" si="11"/>
        <v>0</v>
      </c>
      <c r="AS26" s="91">
        <f t="shared" si="15"/>
        <v>0</v>
      </c>
      <c r="AT26" s="91">
        <f>'7'!AT26+'8'!AT26+'9'!AT26</f>
        <v>0</v>
      </c>
      <c r="AU26" s="92">
        <f t="shared" si="16"/>
        <v>0</v>
      </c>
      <c r="AV26" s="92">
        <f t="shared" si="5"/>
        <v>0</v>
      </c>
      <c r="AW26" s="92">
        <f t="shared" si="17"/>
        <v>0</v>
      </c>
      <c r="AX26" s="92">
        <f t="shared" si="18"/>
        <v>0</v>
      </c>
      <c r="AY26" s="82">
        <f t="shared" si="20"/>
        <v>0</v>
      </c>
      <c r="AZ26" s="82">
        <f t="shared" si="20"/>
        <v>0</v>
      </c>
      <c r="BA26" s="95">
        <f t="shared" si="19"/>
        <v>0</v>
      </c>
      <c r="BB26" s="139"/>
      <c r="BC26"/>
    </row>
    <row r="27" spans="1:55" ht="15" customHeight="1" thickBot="1" x14ac:dyDescent="0.3">
      <c r="A27" s="71" t="s">
        <v>30</v>
      </c>
      <c r="B27" s="123" t="s">
        <v>138</v>
      </c>
      <c r="C27" s="112">
        <v>35</v>
      </c>
      <c r="D27" s="121">
        <f>AT27*AU27*AW27</f>
        <v>0</v>
      </c>
      <c r="E27" s="16">
        <f>ROUND(AT27*AV27*AX27,4)</f>
        <v>0</v>
      </c>
      <c r="F27" s="91">
        <f>'7'!F27+'8'!F27+'9'!F27</f>
        <v>0</v>
      </c>
      <c r="G27" s="91">
        <f>'7'!G27+'8'!G27+'9'!G27</f>
        <v>0</v>
      </c>
      <c r="H27" s="135">
        <f>'7'!H27+'8'!H27+'9'!H27</f>
        <v>0</v>
      </c>
      <c r="I27" s="135">
        <f>'7'!I27+'8'!I27+'9'!I27</f>
        <v>0</v>
      </c>
      <c r="J27" s="9" t="s">
        <v>68</v>
      </c>
      <c r="K27" s="133">
        <f>'7'!K27+'8'!K27+'9'!K27</f>
        <v>0</v>
      </c>
      <c r="L27" s="133">
        <f>'7'!L27+'8'!L27+'9'!L27</f>
        <v>0</v>
      </c>
      <c r="M27" s="91">
        <f>'7'!M27+'8'!M27+'9'!M27</f>
        <v>0</v>
      </c>
      <c r="N27" s="91">
        <f>'7'!N27+'8'!N27+'9'!N27</f>
        <v>0</v>
      </c>
      <c r="O27" s="91">
        <f>'7'!O27+'8'!O27+'9'!O27</f>
        <v>0</v>
      </c>
      <c r="P27" s="91">
        <f>'7'!P27+'8'!P27+'9'!P27</f>
        <v>0</v>
      </c>
      <c r="Q27" s="91">
        <f>'7'!Q27+'8'!Q27+'9'!Q27</f>
        <v>0</v>
      </c>
      <c r="R27" s="91">
        <f>'7'!R27+'8'!R27+'9'!R27</f>
        <v>0</v>
      </c>
      <c r="S27" s="91">
        <f>'7'!S27+'8'!S27+'9'!S27</f>
        <v>0</v>
      </c>
      <c r="T27" s="91">
        <f>'7'!T27+'8'!T27+'9'!T27</f>
        <v>0</v>
      </c>
      <c r="U27" s="91">
        <f>'7'!U27+'8'!U27+'9'!U27</f>
        <v>0</v>
      </c>
      <c r="V27" s="91">
        <f>'7'!V27+'8'!V27+'9'!V27</f>
        <v>0</v>
      </c>
      <c r="W27" s="91">
        <f>'7'!W27+'8'!W27+'9'!W27</f>
        <v>0</v>
      </c>
      <c r="X27" s="91">
        <f>'7'!X27+'8'!X27+'9'!X27</f>
        <v>0</v>
      </c>
      <c r="Y27" s="91">
        <f>'7'!Y27+'8'!Y27+'9'!Y27</f>
        <v>0</v>
      </c>
      <c r="Z27" s="91">
        <f>'7'!Z27+'8'!Z27+'9'!Z27</f>
        <v>0</v>
      </c>
      <c r="AA27" s="91">
        <f>'7'!AA27+'8'!AA27+'9'!AA27</f>
        <v>0</v>
      </c>
      <c r="AB27" s="91">
        <f>'7'!AB27+'8'!AB27+'9'!AB27</f>
        <v>0</v>
      </c>
      <c r="AC27" s="91">
        <f>'7'!AC27+'8'!AC27+'9'!AC27</f>
        <v>0</v>
      </c>
      <c r="AD27" s="91">
        <f>'7'!AD27+'8'!AD27+'9'!AD27</f>
        <v>0</v>
      </c>
      <c r="AE27" s="91">
        <f>'7'!AE27+'8'!AE27+'9'!AE27</f>
        <v>0</v>
      </c>
      <c r="AF27" s="91">
        <f>'7'!AF27+'8'!AF27+'9'!AF27</f>
        <v>0</v>
      </c>
      <c r="AG27" s="91">
        <f>'7'!AG27+'8'!AG27+'9'!AG27</f>
        <v>0</v>
      </c>
      <c r="AH27" s="91">
        <f>'7'!AH27+'8'!AH27+'9'!AH27</f>
        <v>0</v>
      </c>
      <c r="AI27" s="91">
        <f>'7'!AI27+'8'!AI27+'9'!AI27</f>
        <v>0</v>
      </c>
      <c r="AJ27" s="91">
        <f>'7'!AJ27+'8'!AJ27+'9'!AJ27</f>
        <v>0</v>
      </c>
      <c r="AK27" s="91">
        <f>'7'!AK27+'8'!AK27+'9'!AK27</f>
        <v>0</v>
      </c>
      <c r="AL27" s="91">
        <f>'7'!AL27+'8'!AL27+'9'!AL27</f>
        <v>0</v>
      </c>
      <c r="AM27" s="91">
        <f>'7'!AM27+'8'!AM27+'9'!AM27</f>
        <v>0</v>
      </c>
      <c r="AN27" s="91">
        <f>'7'!AN27+'8'!AN27+'9'!AN27</f>
        <v>0</v>
      </c>
      <c r="AO27" s="91">
        <f>'7'!AO27+'8'!AO27+'9'!AO27</f>
        <v>0</v>
      </c>
      <c r="AP27" s="91">
        <f>'7'!AP27+'8'!AP27+'9'!AP27</f>
        <v>0</v>
      </c>
      <c r="AQ27" s="16">
        <f t="shared" si="3"/>
        <v>0</v>
      </c>
      <c r="AR27" s="17">
        <f t="shared" si="11"/>
        <v>0</v>
      </c>
      <c r="AS27" s="91">
        <f t="shared" si="15"/>
        <v>0</v>
      </c>
      <c r="AT27" s="91">
        <f>'7'!AT27+'8'!AT27+'9'!AT27</f>
        <v>0</v>
      </c>
      <c r="AU27" s="92">
        <f t="shared" si="16"/>
        <v>0</v>
      </c>
      <c r="AV27" s="92">
        <f t="shared" si="5"/>
        <v>0</v>
      </c>
      <c r="AW27" s="92">
        <f t="shared" si="17"/>
        <v>0</v>
      </c>
      <c r="AX27" s="92">
        <f t="shared" si="18"/>
        <v>0</v>
      </c>
      <c r="AY27" s="82">
        <f t="shared" si="20"/>
        <v>0</v>
      </c>
      <c r="AZ27" s="82">
        <f t="shared" si="20"/>
        <v>0</v>
      </c>
      <c r="BA27" s="95">
        <f t="shared" si="19"/>
        <v>0</v>
      </c>
      <c r="BB27" s="139"/>
      <c r="BC27"/>
    </row>
    <row r="28" spans="1:55" ht="15" hidden="1" customHeight="1" x14ac:dyDescent="0.3">
      <c r="A28" s="72" t="s">
        <v>31</v>
      </c>
      <c r="B28" s="111"/>
      <c r="C28" s="111">
        <v>39</v>
      </c>
      <c r="D28" s="121">
        <f t="shared" ref="D28:D41" si="21">AT28*AU28*AW28</f>
        <v>0</v>
      </c>
      <c r="E28" s="16">
        <f t="shared" ref="E28:E41" si="22">ROUND(AT28*AV28*AX28,4)</f>
        <v>0</v>
      </c>
      <c r="F28" s="91">
        <f>'7'!F28+'8'!F28+'9'!F28</f>
        <v>0</v>
      </c>
      <c r="G28" s="91">
        <f>'7'!G28+'8'!G28+'9'!G28</f>
        <v>0</v>
      </c>
      <c r="H28" s="135">
        <f>'7'!H28+'8'!H28+'9'!H28</f>
        <v>0</v>
      </c>
      <c r="I28" s="135">
        <f>'7'!I28+'8'!I28+'9'!I28</f>
        <v>0</v>
      </c>
      <c r="J28" s="9" t="s">
        <v>68</v>
      </c>
      <c r="K28" s="133">
        <f>'7'!K28+'8'!K28+'9'!K28</f>
        <v>0</v>
      </c>
      <c r="L28" s="133">
        <f>'7'!L28+'8'!L28+'9'!L28</f>
        <v>0</v>
      </c>
      <c r="M28" s="91">
        <f>'7'!M28+'8'!M28+'9'!M28</f>
        <v>0</v>
      </c>
      <c r="N28" s="91">
        <f>'7'!N28+'8'!N28+'9'!N28</f>
        <v>0</v>
      </c>
      <c r="O28" s="91">
        <f>'7'!O28+'8'!O28+'9'!O28</f>
        <v>0</v>
      </c>
      <c r="P28" s="91">
        <f>'7'!P28+'8'!P28+'9'!P28</f>
        <v>0</v>
      </c>
      <c r="Q28" s="91">
        <f>'7'!Q28+'8'!Q28+'9'!Q28</f>
        <v>0</v>
      </c>
      <c r="R28" s="91">
        <f>'7'!R28+'8'!R28+'9'!R28</f>
        <v>0</v>
      </c>
      <c r="S28" s="91">
        <f>'7'!S28+'8'!S28+'9'!S28</f>
        <v>0</v>
      </c>
      <c r="T28" s="91">
        <f>'7'!T28+'8'!T28+'9'!T28</f>
        <v>0</v>
      </c>
      <c r="U28" s="91">
        <f>'7'!U28+'8'!U28+'9'!U28</f>
        <v>0</v>
      </c>
      <c r="V28" s="91">
        <f>'7'!V28+'8'!V28+'9'!V28</f>
        <v>0</v>
      </c>
      <c r="W28" s="91">
        <f>'7'!W28+'8'!W28+'9'!W28</f>
        <v>0</v>
      </c>
      <c r="X28" s="91">
        <f>'7'!X28+'8'!X28+'9'!X28</f>
        <v>0</v>
      </c>
      <c r="Y28" s="91">
        <f>'7'!Y28+'8'!Y28+'9'!Y28</f>
        <v>0</v>
      </c>
      <c r="Z28" s="91">
        <f>'7'!Z28+'8'!Z28+'9'!Z28</f>
        <v>0</v>
      </c>
      <c r="AA28" s="91">
        <f>'7'!AA28+'8'!AA28+'9'!AA28</f>
        <v>0</v>
      </c>
      <c r="AB28" s="91">
        <f>'7'!AB28+'8'!AB28+'9'!AB28</f>
        <v>0</v>
      </c>
      <c r="AC28" s="91">
        <f>'7'!AC28+'8'!AC28+'9'!AC28</f>
        <v>0</v>
      </c>
      <c r="AD28" s="91">
        <f>'7'!AD28+'8'!AD28+'9'!AD28</f>
        <v>0</v>
      </c>
      <c r="AE28" s="91">
        <f>'7'!AE28+'8'!AE28+'9'!AE28</f>
        <v>0</v>
      </c>
      <c r="AF28" s="91">
        <f>'7'!AF28+'8'!AF28+'9'!AF28</f>
        <v>0</v>
      </c>
      <c r="AG28" s="91">
        <f>'7'!AG28+'8'!AG28+'9'!AG28</f>
        <v>0</v>
      </c>
      <c r="AH28" s="91">
        <f>'7'!AH28+'8'!AH28+'9'!AH28</f>
        <v>0</v>
      </c>
      <c r="AI28" s="91">
        <f>'7'!AI28+'8'!AI28+'9'!AI28</f>
        <v>0</v>
      </c>
      <c r="AJ28" s="91">
        <f>'7'!AJ28+'8'!AJ28+'9'!AJ28</f>
        <v>0</v>
      </c>
      <c r="AK28" s="91">
        <f>'7'!AK28+'8'!AK28+'9'!AK28</f>
        <v>0</v>
      </c>
      <c r="AL28" s="91">
        <f>'7'!AL28+'8'!AL28+'9'!AL28</f>
        <v>0</v>
      </c>
      <c r="AM28" s="91">
        <f>'7'!AM28+'8'!AM28+'9'!AM28</f>
        <v>0</v>
      </c>
      <c r="AN28" s="91">
        <f>'7'!AN28+'8'!AN28+'9'!AN28</f>
        <v>0</v>
      </c>
      <c r="AO28" s="91">
        <f>'7'!AO28+'8'!AO28+'9'!AO28</f>
        <v>0</v>
      </c>
      <c r="AP28" s="91">
        <f>'7'!AP28+'8'!AP28+'9'!AP28</f>
        <v>0</v>
      </c>
      <c r="AQ28" s="16">
        <f t="shared" si="3"/>
        <v>0</v>
      </c>
      <c r="AR28" s="17">
        <f t="shared" si="11"/>
        <v>0</v>
      </c>
      <c r="AS28" s="91">
        <f t="shared" si="15"/>
        <v>0</v>
      </c>
      <c r="AT28" s="15"/>
      <c r="AU28" s="92">
        <f t="shared" si="16"/>
        <v>0</v>
      </c>
      <c r="AV28" s="92">
        <f t="shared" si="5"/>
        <v>0</v>
      </c>
      <c r="AW28" s="92">
        <f t="shared" si="17"/>
        <v>0</v>
      </c>
      <c r="AX28" s="92">
        <f t="shared" si="18"/>
        <v>0</v>
      </c>
      <c r="AY28" s="82">
        <f t="shared" si="20"/>
        <v>0</v>
      </c>
      <c r="AZ28" s="82">
        <f t="shared" si="20"/>
        <v>0</v>
      </c>
      <c r="BA28" s="95">
        <f t="shared" si="19"/>
        <v>0</v>
      </c>
      <c r="BB28" s="139"/>
      <c r="BC28"/>
    </row>
    <row r="29" spans="1:55" ht="15" hidden="1" customHeight="1" x14ac:dyDescent="0.3">
      <c r="A29" s="72" t="s">
        <v>32</v>
      </c>
      <c r="B29" s="111"/>
      <c r="C29" s="111">
        <v>40</v>
      </c>
      <c r="D29" s="121">
        <f t="shared" si="21"/>
        <v>0</v>
      </c>
      <c r="E29" s="16">
        <f t="shared" si="22"/>
        <v>0</v>
      </c>
      <c r="F29" s="91">
        <f>'7'!F29+'8'!F29+'9'!F29</f>
        <v>0</v>
      </c>
      <c r="G29" s="91">
        <f>'7'!G29+'8'!G29+'9'!G29</f>
        <v>0</v>
      </c>
      <c r="H29" s="135">
        <f>'7'!H29+'8'!H29+'9'!H29</f>
        <v>0</v>
      </c>
      <c r="I29" s="135">
        <f>'7'!I29+'8'!I29+'9'!I29</f>
        <v>0</v>
      </c>
      <c r="J29" s="9" t="s">
        <v>68</v>
      </c>
      <c r="K29" s="133">
        <f>'7'!K29+'8'!K29+'9'!K29</f>
        <v>0</v>
      </c>
      <c r="L29" s="133">
        <f>'7'!L29+'8'!L29+'9'!L29</f>
        <v>0</v>
      </c>
      <c r="M29" s="91">
        <f>'7'!M29+'8'!M29+'9'!M29</f>
        <v>0</v>
      </c>
      <c r="N29" s="91">
        <f>'7'!N29+'8'!N29+'9'!N29</f>
        <v>0</v>
      </c>
      <c r="O29" s="91">
        <f>'7'!O29+'8'!O29+'9'!O29</f>
        <v>0</v>
      </c>
      <c r="P29" s="91">
        <f>'7'!P29+'8'!P29+'9'!P29</f>
        <v>0</v>
      </c>
      <c r="Q29" s="91">
        <f>'7'!Q29+'8'!Q29+'9'!Q29</f>
        <v>0</v>
      </c>
      <c r="R29" s="91">
        <f>'7'!R29+'8'!R29+'9'!R29</f>
        <v>0</v>
      </c>
      <c r="S29" s="91">
        <f>'7'!S29+'8'!S29+'9'!S29</f>
        <v>0</v>
      </c>
      <c r="T29" s="91">
        <f>'7'!T29+'8'!T29+'9'!T29</f>
        <v>0</v>
      </c>
      <c r="U29" s="91">
        <f>'7'!U29+'8'!U29+'9'!U29</f>
        <v>0</v>
      </c>
      <c r="V29" s="91">
        <f>'7'!V29+'8'!V29+'9'!V29</f>
        <v>0</v>
      </c>
      <c r="W29" s="91">
        <f>'7'!W29+'8'!W29+'9'!W29</f>
        <v>0</v>
      </c>
      <c r="X29" s="91">
        <f>'7'!X29+'8'!X29+'9'!X29</f>
        <v>0</v>
      </c>
      <c r="Y29" s="91">
        <f>'7'!Y29+'8'!Y29+'9'!Y29</f>
        <v>0</v>
      </c>
      <c r="Z29" s="91">
        <f>'7'!Z29+'8'!Z29+'9'!Z29</f>
        <v>0</v>
      </c>
      <c r="AA29" s="91">
        <f>'7'!AA29+'8'!AA29+'9'!AA29</f>
        <v>0</v>
      </c>
      <c r="AB29" s="91">
        <f>'7'!AB29+'8'!AB29+'9'!AB29</f>
        <v>0</v>
      </c>
      <c r="AC29" s="91">
        <f>'7'!AC29+'8'!AC29+'9'!AC29</f>
        <v>0</v>
      </c>
      <c r="AD29" s="91">
        <f>'7'!AD29+'8'!AD29+'9'!AD29</f>
        <v>0</v>
      </c>
      <c r="AE29" s="91">
        <f>'7'!AE29+'8'!AE29+'9'!AE29</f>
        <v>0</v>
      </c>
      <c r="AF29" s="91">
        <f>'7'!AF29+'8'!AF29+'9'!AF29</f>
        <v>0</v>
      </c>
      <c r="AG29" s="91">
        <f>'7'!AG29+'8'!AG29+'9'!AG29</f>
        <v>0</v>
      </c>
      <c r="AH29" s="91">
        <f>'7'!AH29+'8'!AH29+'9'!AH29</f>
        <v>0</v>
      </c>
      <c r="AI29" s="91">
        <f>'7'!AI29+'8'!AI29+'9'!AI29</f>
        <v>0</v>
      </c>
      <c r="AJ29" s="91">
        <f>'7'!AJ29+'8'!AJ29+'9'!AJ29</f>
        <v>0</v>
      </c>
      <c r="AK29" s="91">
        <f>'7'!AK29+'8'!AK29+'9'!AK29</f>
        <v>0</v>
      </c>
      <c r="AL29" s="91">
        <f>'7'!AL29+'8'!AL29+'9'!AL29</f>
        <v>0</v>
      </c>
      <c r="AM29" s="91">
        <f>'7'!AM29+'8'!AM29+'9'!AM29</f>
        <v>0</v>
      </c>
      <c r="AN29" s="91">
        <f>'7'!AN29+'8'!AN29+'9'!AN29</f>
        <v>0</v>
      </c>
      <c r="AO29" s="91">
        <f>'7'!AO29+'8'!AO29+'9'!AO29</f>
        <v>0</v>
      </c>
      <c r="AP29" s="91">
        <f>'7'!AP29+'8'!AP29+'9'!AP29</f>
        <v>0</v>
      </c>
      <c r="AQ29" s="16">
        <f t="shared" si="3"/>
        <v>0</v>
      </c>
      <c r="AR29" s="17">
        <f t="shared" si="11"/>
        <v>0</v>
      </c>
      <c r="AS29" s="91">
        <f t="shared" si="15"/>
        <v>0</v>
      </c>
      <c r="AT29" s="15"/>
      <c r="AU29" s="92">
        <f t="shared" si="16"/>
        <v>0</v>
      </c>
      <c r="AV29" s="92">
        <f t="shared" si="5"/>
        <v>0</v>
      </c>
      <c r="AW29" s="92">
        <f t="shared" si="17"/>
        <v>0</v>
      </c>
      <c r="AX29" s="92">
        <f t="shared" si="18"/>
        <v>0</v>
      </c>
      <c r="AY29" s="82">
        <f t="shared" si="20"/>
        <v>0</v>
      </c>
      <c r="AZ29" s="82">
        <f t="shared" si="20"/>
        <v>0</v>
      </c>
      <c r="BA29" s="95">
        <f t="shared" si="19"/>
        <v>0</v>
      </c>
      <c r="BB29" s="139"/>
      <c r="BC29"/>
    </row>
    <row r="30" spans="1:55" ht="15" hidden="1" customHeight="1" x14ac:dyDescent="0.3">
      <c r="A30" s="72" t="s">
        <v>33</v>
      </c>
      <c r="B30" s="111"/>
      <c r="C30" s="111">
        <v>41</v>
      </c>
      <c r="D30" s="121">
        <f t="shared" si="21"/>
        <v>0</v>
      </c>
      <c r="E30" s="16">
        <f t="shared" si="22"/>
        <v>0</v>
      </c>
      <c r="F30" s="91">
        <f>'7'!F30+'8'!F30+'9'!F30</f>
        <v>0</v>
      </c>
      <c r="G30" s="91">
        <f>'7'!G30+'8'!G30+'9'!G30</f>
        <v>0</v>
      </c>
      <c r="H30" s="135">
        <f>'7'!H30+'8'!H30+'9'!H30</f>
        <v>0</v>
      </c>
      <c r="I30" s="135">
        <f>'7'!I30+'8'!I30+'9'!I30</f>
        <v>0</v>
      </c>
      <c r="J30" s="9" t="s">
        <v>68</v>
      </c>
      <c r="K30" s="133">
        <f>'7'!K30+'8'!K30+'9'!K30</f>
        <v>0</v>
      </c>
      <c r="L30" s="133">
        <f>'7'!L30+'8'!L30+'9'!L30</f>
        <v>0</v>
      </c>
      <c r="M30" s="91">
        <f>'7'!M30+'8'!M30+'9'!M30</f>
        <v>0</v>
      </c>
      <c r="N30" s="91">
        <f>'7'!N30+'8'!N30+'9'!N30</f>
        <v>0</v>
      </c>
      <c r="O30" s="91">
        <f>'7'!O30+'8'!O30+'9'!O30</f>
        <v>0</v>
      </c>
      <c r="P30" s="91">
        <f>'7'!P30+'8'!P30+'9'!P30</f>
        <v>0</v>
      </c>
      <c r="Q30" s="91">
        <f>'7'!Q30+'8'!Q30+'9'!Q30</f>
        <v>0</v>
      </c>
      <c r="R30" s="91">
        <f>'7'!R30+'8'!R30+'9'!R30</f>
        <v>0</v>
      </c>
      <c r="S30" s="91">
        <f>'7'!S30+'8'!S30+'9'!S30</f>
        <v>0</v>
      </c>
      <c r="T30" s="91">
        <f>'7'!T30+'8'!T30+'9'!T30</f>
        <v>0</v>
      </c>
      <c r="U30" s="91">
        <f>'7'!U30+'8'!U30+'9'!U30</f>
        <v>0</v>
      </c>
      <c r="V30" s="91">
        <f>'7'!V30+'8'!V30+'9'!V30</f>
        <v>0</v>
      </c>
      <c r="W30" s="91">
        <f>'7'!W30+'8'!W30+'9'!W30</f>
        <v>0</v>
      </c>
      <c r="X30" s="91">
        <f>'7'!X30+'8'!X30+'9'!X30</f>
        <v>0</v>
      </c>
      <c r="Y30" s="91">
        <f>'7'!Y30+'8'!Y30+'9'!Y30</f>
        <v>0</v>
      </c>
      <c r="Z30" s="91">
        <f>'7'!Z30+'8'!Z30+'9'!Z30</f>
        <v>0</v>
      </c>
      <c r="AA30" s="91">
        <f>'7'!AA30+'8'!AA30+'9'!AA30</f>
        <v>0</v>
      </c>
      <c r="AB30" s="91">
        <f>'7'!AB30+'8'!AB30+'9'!AB30</f>
        <v>0</v>
      </c>
      <c r="AC30" s="91">
        <f>'7'!AC30+'8'!AC30+'9'!AC30</f>
        <v>0</v>
      </c>
      <c r="AD30" s="91">
        <f>'7'!AD30+'8'!AD30+'9'!AD30</f>
        <v>0</v>
      </c>
      <c r="AE30" s="91">
        <f>'7'!AE30+'8'!AE30+'9'!AE30</f>
        <v>0</v>
      </c>
      <c r="AF30" s="91">
        <f>'7'!AF30+'8'!AF30+'9'!AF30</f>
        <v>0</v>
      </c>
      <c r="AG30" s="91">
        <f>'7'!AG30+'8'!AG30+'9'!AG30</f>
        <v>0</v>
      </c>
      <c r="AH30" s="91">
        <f>'7'!AH30+'8'!AH30+'9'!AH30</f>
        <v>0</v>
      </c>
      <c r="AI30" s="91">
        <f>'7'!AI30+'8'!AI30+'9'!AI30</f>
        <v>0</v>
      </c>
      <c r="AJ30" s="91">
        <f>'7'!AJ30+'8'!AJ30+'9'!AJ30</f>
        <v>0</v>
      </c>
      <c r="AK30" s="91">
        <f>'7'!AK30+'8'!AK30+'9'!AK30</f>
        <v>0</v>
      </c>
      <c r="AL30" s="91">
        <f>'7'!AL30+'8'!AL30+'9'!AL30</f>
        <v>0</v>
      </c>
      <c r="AM30" s="91">
        <f>'7'!AM30+'8'!AM30+'9'!AM30</f>
        <v>0</v>
      </c>
      <c r="AN30" s="91">
        <f>'7'!AN30+'8'!AN30+'9'!AN30</f>
        <v>0</v>
      </c>
      <c r="AO30" s="91">
        <f>'7'!AO30+'8'!AO30+'9'!AO30</f>
        <v>0</v>
      </c>
      <c r="AP30" s="91">
        <f>'7'!AP30+'8'!AP30+'9'!AP30</f>
        <v>0</v>
      </c>
      <c r="AQ30" s="16">
        <f t="shared" si="3"/>
        <v>0</v>
      </c>
      <c r="AR30" s="17">
        <f t="shared" si="11"/>
        <v>0</v>
      </c>
      <c r="AS30" s="91">
        <f t="shared" si="15"/>
        <v>0</v>
      </c>
      <c r="AT30" s="15"/>
      <c r="AU30" s="92">
        <f t="shared" si="16"/>
        <v>0</v>
      </c>
      <c r="AV30" s="92">
        <f t="shared" si="5"/>
        <v>0</v>
      </c>
      <c r="AW30" s="92">
        <f t="shared" si="17"/>
        <v>0</v>
      </c>
      <c r="AX30" s="92">
        <f t="shared" si="18"/>
        <v>0</v>
      </c>
      <c r="AY30" s="82">
        <f t="shared" si="20"/>
        <v>0</v>
      </c>
      <c r="AZ30" s="82">
        <f t="shared" si="20"/>
        <v>0</v>
      </c>
      <c r="BA30" s="95">
        <f t="shared" si="19"/>
        <v>0</v>
      </c>
      <c r="BB30" s="139"/>
      <c r="BC30"/>
    </row>
    <row r="31" spans="1:55" ht="15" hidden="1" customHeight="1" x14ac:dyDescent="0.3">
      <c r="A31" s="72" t="s">
        <v>34</v>
      </c>
      <c r="B31" s="111"/>
      <c r="C31" s="111">
        <v>42</v>
      </c>
      <c r="D31" s="121">
        <f t="shared" si="21"/>
        <v>0</v>
      </c>
      <c r="E31" s="16">
        <f t="shared" si="22"/>
        <v>0</v>
      </c>
      <c r="F31" s="91">
        <f>'7'!F31+'8'!F31+'9'!F31</f>
        <v>0</v>
      </c>
      <c r="G31" s="91">
        <f>'7'!G31+'8'!G31+'9'!G31</f>
        <v>0</v>
      </c>
      <c r="H31" s="135">
        <f>'7'!H31+'8'!H31+'9'!H31</f>
        <v>0</v>
      </c>
      <c r="I31" s="135">
        <f>'7'!I31+'8'!I31+'9'!I31</f>
        <v>0</v>
      </c>
      <c r="J31" s="9" t="s">
        <v>68</v>
      </c>
      <c r="K31" s="133">
        <f>'7'!K31+'8'!K31+'9'!K31</f>
        <v>0</v>
      </c>
      <c r="L31" s="133">
        <f>'7'!L31+'8'!L31+'9'!L31</f>
        <v>0</v>
      </c>
      <c r="M31" s="91">
        <f>'7'!M31+'8'!M31+'9'!M31</f>
        <v>0</v>
      </c>
      <c r="N31" s="91">
        <f>'7'!N31+'8'!N31+'9'!N31</f>
        <v>0</v>
      </c>
      <c r="O31" s="91">
        <f>'7'!O31+'8'!O31+'9'!O31</f>
        <v>0</v>
      </c>
      <c r="P31" s="91">
        <f>'7'!P31+'8'!P31+'9'!P31</f>
        <v>0</v>
      </c>
      <c r="Q31" s="91">
        <f>'7'!Q31+'8'!Q31+'9'!Q31</f>
        <v>0</v>
      </c>
      <c r="R31" s="91">
        <f>'7'!R31+'8'!R31+'9'!R31</f>
        <v>0</v>
      </c>
      <c r="S31" s="91">
        <f>'7'!S31+'8'!S31+'9'!S31</f>
        <v>0</v>
      </c>
      <c r="T31" s="91">
        <f>'7'!T31+'8'!T31+'9'!T31</f>
        <v>0</v>
      </c>
      <c r="U31" s="91">
        <f>'7'!U31+'8'!U31+'9'!U31</f>
        <v>0</v>
      </c>
      <c r="V31" s="91">
        <f>'7'!V31+'8'!V31+'9'!V31</f>
        <v>0</v>
      </c>
      <c r="W31" s="91">
        <f>'7'!W31+'8'!W31+'9'!W31</f>
        <v>0</v>
      </c>
      <c r="X31" s="91">
        <f>'7'!X31+'8'!X31+'9'!X31</f>
        <v>0</v>
      </c>
      <c r="Y31" s="91">
        <f>'7'!Y31+'8'!Y31+'9'!Y31</f>
        <v>0</v>
      </c>
      <c r="Z31" s="91">
        <f>'7'!Z31+'8'!Z31+'9'!Z31</f>
        <v>0</v>
      </c>
      <c r="AA31" s="91">
        <f>'7'!AA31+'8'!AA31+'9'!AA31</f>
        <v>0</v>
      </c>
      <c r="AB31" s="91">
        <f>'7'!AB31+'8'!AB31+'9'!AB31</f>
        <v>0</v>
      </c>
      <c r="AC31" s="91">
        <f>'7'!AC31+'8'!AC31+'9'!AC31</f>
        <v>0</v>
      </c>
      <c r="AD31" s="91">
        <f>'7'!AD31+'8'!AD31+'9'!AD31</f>
        <v>0</v>
      </c>
      <c r="AE31" s="91">
        <f>'7'!AE31+'8'!AE31+'9'!AE31</f>
        <v>0</v>
      </c>
      <c r="AF31" s="91">
        <f>'7'!AF31+'8'!AF31+'9'!AF31</f>
        <v>0</v>
      </c>
      <c r="AG31" s="91">
        <f>'7'!AG31+'8'!AG31+'9'!AG31</f>
        <v>0</v>
      </c>
      <c r="AH31" s="91">
        <f>'7'!AH31+'8'!AH31+'9'!AH31</f>
        <v>0</v>
      </c>
      <c r="AI31" s="91">
        <f>'7'!AI31+'8'!AI31+'9'!AI31</f>
        <v>0</v>
      </c>
      <c r="AJ31" s="91">
        <f>'7'!AJ31+'8'!AJ31+'9'!AJ31</f>
        <v>0</v>
      </c>
      <c r="AK31" s="91">
        <f>'7'!AK31+'8'!AK31+'9'!AK31</f>
        <v>0</v>
      </c>
      <c r="AL31" s="91">
        <f>'7'!AL31+'8'!AL31+'9'!AL31</f>
        <v>0</v>
      </c>
      <c r="AM31" s="91">
        <f>'7'!AM31+'8'!AM31+'9'!AM31</f>
        <v>0</v>
      </c>
      <c r="AN31" s="91">
        <f>'7'!AN31+'8'!AN31+'9'!AN31</f>
        <v>0</v>
      </c>
      <c r="AO31" s="91">
        <f>'7'!AO31+'8'!AO31+'9'!AO31</f>
        <v>0</v>
      </c>
      <c r="AP31" s="91">
        <f>'7'!AP31+'8'!AP31+'9'!AP31</f>
        <v>0</v>
      </c>
      <c r="AQ31" s="16">
        <f t="shared" si="3"/>
        <v>0</v>
      </c>
      <c r="AR31" s="17">
        <f t="shared" si="11"/>
        <v>0</v>
      </c>
      <c r="AS31" s="91">
        <f t="shared" si="15"/>
        <v>0</v>
      </c>
      <c r="AT31" s="15"/>
      <c r="AU31" s="92">
        <f t="shared" si="16"/>
        <v>0</v>
      </c>
      <c r="AV31" s="92">
        <f t="shared" si="5"/>
        <v>0</v>
      </c>
      <c r="AW31" s="92">
        <f t="shared" si="17"/>
        <v>0</v>
      </c>
      <c r="AX31" s="92">
        <f t="shared" si="18"/>
        <v>0</v>
      </c>
      <c r="AY31" s="82">
        <f t="shared" si="20"/>
        <v>0</v>
      </c>
      <c r="AZ31" s="82">
        <f t="shared" si="20"/>
        <v>0</v>
      </c>
      <c r="BA31" s="95">
        <f t="shared" si="19"/>
        <v>0</v>
      </c>
      <c r="BB31" s="139"/>
      <c r="BC31"/>
    </row>
    <row r="32" spans="1:55" ht="15" hidden="1" customHeight="1" x14ac:dyDescent="0.3">
      <c r="A32" s="72" t="s">
        <v>35</v>
      </c>
      <c r="B32" s="111"/>
      <c r="C32" s="111">
        <v>43</v>
      </c>
      <c r="D32" s="121">
        <f t="shared" si="21"/>
        <v>0</v>
      </c>
      <c r="E32" s="16">
        <f t="shared" si="22"/>
        <v>0</v>
      </c>
      <c r="F32" s="91">
        <f>'7'!F32+'8'!F32+'9'!F32</f>
        <v>0</v>
      </c>
      <c r="G32" s="91">
        <f>'7'!G32+'8'!G32+'9'!G32</f>
        <v>0</v>
      </c>
      <c r="H32" s="135">
        <f>'7'!H32+'8'!H32+'9'!H32</f>
        <v>0</v>
      </c>
      <c r="I32" s="135">
        <f>'7'!I32+'8'!I32+'9'!I32</f>
        <v>0</v>
      </c>
      <c r="J32" s="9" t="s">
        <v>68</v>
      </c>
      <c r="K32" s="133">
        <f>'7'!K32+'8'!K32+'9'!K32</f>
        <v>0</v>
      </c>
      <c r="L32" s="133">
        <f>'7'!L32+'8'!L32+'9'!L32</f>
        <v>0</v>
      </c>
      <c r="M32" s="91">
        <f>'7'!M32+'8'!M32+'9'!M32</f>
        <v>0</v>
      </c>
      <c r="N32" s="91">
        <f>'7'!N32+'8'!N32+'9'!N32</f>
        <v>0</v>
      </c>
      <c r="O32" s="91">
        <f>'7'!O32+'8'!O32+'9'!O32</f>
        <v>0</v>
      </c>
      <c r="P32" s="91">
        <f>'7'!P32+'8'!P32+'9'!P32</f>
        <v>0</v>
      </c>
      <c r="Q32" s="91">
        <f>'7'!Q32+'8'!Q32+'9'!Q32</f>
        <v>0</v>
      </c>
      <c r="R32" s="91">
        <f>'7'!R32+'8'!R32+'9'!R32</f>
        <v>0</v>
      </c>
      <c r="S32" s="91">
        <f>'7'!S32+'8'!S32+'9'!S32</f>
        <v>0</v>
      </c>
      <c r="T32" s="91">
        <f>'7'!T32+'8'!T32+'9'!T32</f>
        <v>0</v>
      </c>
      <c r="U32" s="91">
        <f>'7'!U32+'8'!U32+'9'!U32</f>
        <v>0</v>
      </c>
      <c r="V32" s="91">
        <f>'7'!V32+'8'!V32+'9'!V32</f>
        <v>0</v>
      </c>
      <c r="W32" s="91">
        <f>'7'!W32+'8'!W32+'9'!W32</f>
        <v>0</v>
      </c>
      <c r="X32" s="91">
        <f>'7'!X32+'8'!X32+'9'!X32</f>
        <v>0</v>
      </c>
      <c r="Y32" s="91">
        <f>'7'!Y32+'8'!Y32+'9'!Y32</f>
        <v>0</v>
      </c>
      <c r="Z32" s="91">
        <f>'7'!Z32+'8'!Z32+'9'!Z32</f>
        <v>0</v>
      </c>
      <c r="AA32" s="91">
        <f>'7'!AA32+'8'!AA32+'9'!AA32</f>
        <v>0</v>
      </c>
      <c r="AB32" s="91">
        <f>'7'!AB32+'8'!AB32+'9'!AB32</f>
        <v>0</v>
      </c>
      <c r="AC32" s="91">
        <f>'7'!AC32+'8'!AC32+'9'!AC32</f>
        <v>0</v>
      </c>
      <c r="AD32" s="91">
        <f>'7'!AD32+'8'!AD32+'9'!AD32</f>
        <v>0</v>
      </c>
      <c r="AE32" s="91">
        <f>'7'!AE32+'8'!AE32+'9'!AE32</f>
        <v>0</v>
      </c>
      <c r="AF32" s="91">
        <f>'7'!AF32+'8'!AF32+'9'!AF32</f>
        <v>0</v>
      </c>
      <c r="AG32" s="91">
        <f>'7'!AG32+'8'!AG32+'9'!AG32</f>
        <v>0</v>
      </c>
      <c r="AH32" s="91">
        <f>'7'!AH32+'8'!AH32+'9'!AH32</f>
        <v>0</v>
      </c>
      <c r="AI32" s="91">
        <f>'7'!AI32+'8'!AI32+'9'!AI32</f>
        <v>0</v>
      </c>
      <c r="AJ32" s="91">
        <f>'7'!AJ32+'8'!AJ32+'9'!AJ32</f>
        <v>0</v>
      </c>
      <c r="AK32" s="91">
        <f>'7'!AK32+'8'!AK32+'9'!AK32</f>
        <v>0</v>
      </c>
      <c r="AL32" s="91">
        <f>'7'!AL32+'8'!AL32+'9'!AL32</f>
        <v>0</v>
      </c>
      <c r="AM32" s="91">
        <f>'7'!AM32+'8'!AM32+'9'!AM32</f>
        <v>0</v>
      </c>
      <c r="AN32" s="91">
        <f>'7'!AN32+'8'!AN32+'9'!AN32</f>
        <v>0</v>
      </c>
      <c r="AO32" s="91">
        <f>'7'!AO32+'8'!AO32+'9'!AO32</f>
        <v>0</v>
      </c>
      <c r="AP32" s="91">
        <f>'7'!AP32+'8'!AP32+'9'!AP32</f>
        <v>0</v>
      </c>
      <c r="AQ32" s="16">
        <f t="shared" si="3"/>
        <v>0</v>
      </c>
      <c r="AR32" s="17">
        <f t="shared" si="11"/>
        <v>0</v>
      </c>
      <c r="AS32" s="91">
        <f t="shared" si="15"/>
        <v>0</v>
      </c>
      <c r="AT32" s="15"/>
      <c r="AU32" s="92">
        <f t="shared" si="16"/>
        <v>0</v>
      </c>
      <c r="AV32" s="92">
        <f t="shared" si="5"/>
        <v>0</v>
      </c>
      <c r="AW32" s="92">
        <f t="shared" si="17"/>
        <v>0</v>
      </c>
      <c r="AX32" s="92">
        <f t="shared" si="18"/>
        <v>0</v>
      </c>
      <c r="AY32" s="82">
        <f t="shared" si="20"/>
        <v>0</v>
      </c>
      <c r="AZ32" s="82">
        <f t="shared" si="20"/>
        <v>0</v>
      </c>
      <c r="BA32" s="95">
        <f t="shared" si="19"/>
        <v>0</v>
      </c>
      <c r="BB32" s="139"/>
      <c r="BC32"/>
    </row>
    <row r="33" spans="1:55" ht="15" hidden="1" customHeight="1" x14ac:dyDescent="0.3">
      <c r="A33" s="72" t="s">
        <v>36</v>
      </c>
      <c r="B33" s="111"/>
      <c r="C33" s="111">
        <v>44</v>
      </c>
      <c r="D33" s="121">
        <f t="shared" si="21"/>
        <v>0</v>
      </c>
      <c r="E33" s="16">
        <f t="shared" si="22"/>
        <v>0</v>
      </c>
      <c r="F33" s="91">
        <f>'7'!F33+'8'!F33+'9'!F33</f>
        <v>0</v>
      </c>
      <c r="G33" s="91">
        <f>'7'!G33+'8'!G33+'9'!G33</f>
        <v>0</v>
      </c>
      <c r="H33" s="135">
        <f>'7'!H33+'8'!H33+'9'!H33</f>
        <v>0</v>
      </c>
      <c r="I33" s="135">
        <f>'7'!I33+'8'!I33+'9'!I33</f>
        <v>0</v>
      </c>
      <c r="J33" s="9" t="s">
        <v>68</v>
      </c>
      <c r="K33" s="133">
        <f>'7'!K33+'8'!K33+'9'!K33</f>
        <v>0</v>
      </c>
      <c r="L33" s="133">
        <f>'7'!L33+'8'!L33+'9'!L33</f>
        <v>0</v>
      </c>
      <c r="M33" s="91">
        <f>'7'!M33+'8'!M33+'9'!M33</f>
        <v>0</v>
      </c>
      <c r="N33" s="91">
        <f>'7'!N33+'8'!N33+'9'!N33</f>
        <v>0</v>
      </c>
      <c r="O33" s="91">
        <f>'7'!O33+'8'!O33+'9'!O33</f>
        <v>0</v>
      </c>
      <c r="P33" s="91">
        <f>'7'!P33+'8'!P33+'9'!P33</f>
        <v>0</v>
      </c>
      <c r="Q33" s="91">
        <f>'7'!Q33+'8'!Q33+'9'!Q33</f>
        <v>0</v>
      </c>
      <c r="R33" s="91">
        <f>'7'!R33+'8'!R33+'9'!R33</f>
        <v>0</v>
      </c>
      <c r="S33" s="91">
        <f>'7'!S33+'8'!S33+'9'!S33</f>
        <v>0</v>
      </c>
      <c r="T33" s="91">
        <f>'7'!T33+'8'!T33+'9'!T33</f>
        <v>0</v>
      </c>
      <c r="U33" s="91">
        <f>'7'!U33+'8'!U33+'9'!U33</f>
        <v>0</v>
      </c>
      <c r="V33" s="91">
        <f>'7'!V33+'8'!V33+'9'!V33</f>
        <v>0</v>
      </c>
      <c r="W33" s="91">
        <f>'7'!W33+'8'!W33+'9'!W33</f>
        <v>0</v>
      </c>
      <c r="X33" s="91">
        <f>'7'!X33+'8'!X33+'9'!X33</f>
        <v>0</v>
      </c>
      <c r="Y33" s="91">
        <f>'7'!Y33+'8'!Y33+'9'!Y33</f>
        <v>0</v>
      </c>
      <c r="Z33" s="91">
        <f>'7'!Z33+'8'!Z33+'9'!Z33</f>
        <v>0</v>
      </c>
      <c r="AA33" s="91">
        <f>'7'!AA33+'8'!AA33+'9'!AA33</f>
        <v>0</v>
      </c>
      <c r="AB33" s="91">
        <f>'7'!AB33+'8'!AB33+'9'!AB33</f>
        <v>0</v>
      </c>
      <c r="AC33" s="91">
        <f>'7'!AC33+'8'!AC33+'9'!AC33</f>
        <v>0</v>
      </c>
      <c r="AD33" s="91">
        <f>'7'!AD33+'8'!AD33+'9'!AD33</f>
        <v>0</v>
      </c>
      <c r="AE33" s="91">
        <f>'7'!AE33+'8'!AE33+'9'!AE33</f>
        <v>0</v>
      </c>
      <c r="AF33" s="91">
        <f>'7'!AF33+'8'!AF33+'9'!AF33</f>
        <v>0</v>
      </c>
      <c r="AG33" s="91">
        <f>'7'!AG33+'8'!AG33+'9'!AG33</f>
        <v>0</v>
      </c>
      <c r="AH33" s="91">
        <f>'7'!AH33+'8'!AH33+'9'!AH33</f>
        <v>0</v>
      </c>
      <c r="AI33" s="91">
        <f>'7'!AI33+'8'!AI33+'9'!AI33</f>
        <v>0</v>
      </c>
      <c r="AJ33" s="91">
        <f>'7'!AJ33+'8'!AJ33+'9'!AJ33</f>
        <v>0</v>
      </c>
      <c r="AK33" s="91">
        <f>'7'!AK33+'8'!AK33+'9'!AK33</f>
        <v>0</v>
      </c>
      <c r="AL33" s="91">
        <f>'7'!AL33+'8'!AL33+'9'!AL33</f>
        <v>0</v>
      </c>
      <c r="AM33" s="91">
        <f>'7'!AM33+'8'!AM33+'9'!AM33</f>
        <v>0</v>
      </c>
      <c r="AN33" s="91">
        <f>'7'!AN33+'8'!AN33+'9'!AN33</f>
        <v>0</v>
      </c>
      <c r="AO33" s="91">
        <f>'7'!AO33+'8'!AO33+'9'!AO33</f>
        <v>0</v>
      </c>
      <c r="AP33" s="91">
        <f>'7'!AP33+'8'!AP33+'9'!AP33</f>
        <v>0</v>
      </c>
      <c r="AQ33" s="16">
        <f t="shared" si="3"/>
        <v>0</v>
      </c>
      <c r="AR33" s="17">
        <f t="shared" si="11"/>
        <v>0</v>
      </c>
      <c r="AS33" s="91">
        <f t="shared" si="15"/>
        <v>0</v>
      </c>
      <c r="AT33" s="15"/>
      <c r="AU33" s="92">
        <f t="shared" si="16"/>
        <v>0</v>
      </c>
      <c r="AV33" s="92">
        <f t="shared" si="5"/>
        <v>0</v>
      </c>
      <c r="AW33" s="92">
        <f t="shared" si="17"/>
        <v>0</v>
      </c>
      <c r="AX33" s="92">
        <f t="shared" si="18"/>
        <v>0</v>
      </c>
      <c r="AY33" s="82">
        <f t="shared" si="20"/>
        <v>0</v>
      </c>
      <c r="AZ33" s="82">
        <f t="shared" si="20"/>
        <v>0</v>
      </c>
      <c r="BA33" s="95">
        <f t="shared" si="19"/>
        <v>0</v>
      </c>
      <c r="BB33" s="139"/>
      <c r="BC33"/>
    </row>
    <row r="34" spans="1:55" ht="15" hidden="1" customHeight="1" x14ac:dyDescent="0.3">
      <c r="A34" s="72" t="s">
        <v>37</v>
      </c>
      <c r="B34" s="111"/>
      <c r="C34" s="111">
        <v>45</v>
      </c>
      <c r="D34" s="121">
        <f t="shared" si="21"/>
        <v>0</v>
      </c>
      <c r="E34" s="16">
        <f t="shared" si="22"/>
        <v>0</v>
      </c>
      <c r="F34" s="91">
        <f>'7'!F34+'8'!F34+'9'!F34</f>
        <v>0</v>
      </c>
      <c r="G34" s="91">
        <f>'7'!G34+'8'!G34+'9'!G34</f>
        <v>0</v>
      </c>
      <c r="H34" s="135">
        <f>'7'!H34+'8'!H34+'9'!H34</f>
        <v>0</v>
      </c>
      <c r="I34" s="135">
        <f>'7'!I34+'8'!I34+'9'!I34</f>
        <v>0</v>
      </c>
      <c r="J34" s="9" t="s">
        <v>68</v>
      </c>
      <c r="K34" s="133">
        <f>'7'!K34+'8'!K34+'9'!K34</f>
        <v>0</v>
      </c>
      <c r="L34" s="133">
        <f>'7'!L34+'8'!L34+'9'!L34</f>
        <v>0</v>
      </c>
      <c r="M34" s="91">
        <f>'7'!M34+'8'!M34+'9'!M34</f>
        <v>0</v>
      </c>
      <c r="N34" s="91">
        <f>'7'!N34+'8'!N34+'9'!N34</f>
        <v>0</v>
      </c>
      <c r="O34" s="91">
        <f>'7'!O34+'8'!O34+'9'!O34</f>
        <v>0</v>
      </c>
      <c r="P34" s="91">
        <f>'7'!P34+'8'!P34+'9'!P34</f>
        <v>0</v>
      </c>
      <c r="Q34" s="91">
        <f>'7'!Q34+'8'!Q34+'9'!Q34</f>
        <v>0</v>
      </c>
      <c r="R34" s="91">
        <f>'7'!R34+'8'!R34+'9'!R34</f>
        <v>0</v>
      </c>
      <c r="S34" s="91">
        <f>'7'!S34+'8'!S34+'9'!S34</f>
        <v>0</v>
      </c>
      <c r="T34" s="91">
        <f>'7'!T34+'8'!T34+'9'!T34</f>
        <v>0</v>
      </c>
      <c r="U34" s="91">
        <f>'7'!U34+'8'!U34+'9'!U34</f>
        <v>0</v>
      </c>
      <c r="V34" s="91">
        <f>'7'!V34+'8'!V34+'9'!V34</f>
        <v>0</v>
      </c>
      <c r="W34" s="91">
        <f>'7'!W34+'8'!W34+'9'!W34</f>
        <v>0</v>
      </c>
      <c r="X34" s="91">
        <f>'7'!X34+'8'!X34+'9'!X34</f>
        <v>0</v>
      </c>
      <c r="Y34" s="91">
        <f>'7'!Y34+'8'!Y34+'9'!Y34</f>
        <v>0</v>
      </c>
      <c r="Z34" s="91">
        <f>'7'!Z34+'8'!Z34+'9'!Z34</f>
        <v>0</v>
      </c>
      <c r="AA34" s="91">
        <f>'7'!AA34+'8'!AA34+'9'!AA34</f>
        <v>0</v>
      </c>
      <c r="AB34" s="91">
        <f>'7'!AB34+'8'!AB34+'9'!AB34</f>
        <v>0</v>
      </c>
      <c r="AC34" s="91">
        <f>'7'!AC34+'8'!AC34+'9'!AC34</f>
        <v>0</v>
      </c>
      <c r="AD34" s="91">
        <f>'7'!AD34+'8'!AD34+'9'!AD34</f>
        <v>0</v>
      </c>
      <c r="AE34" s="91">
        <f>'7'!AE34+'8'!AE34+'9'!AE34</f>
        <v>0</v>
      </c>
      <c r="AF34" s="91">
        <f>'7'!AF34+'8'!AF34+'9'!AF34</f>
        <v>0</v>
      </c>
      <c r="AG34" s="91">
        <f>'7'!AG34+'8'!AG34+'9'!AG34</f>
        <v>0</v>
      </c>
      <c r="AH34" s="91">
        <f>'7'!AH34+'8'!AH34+'9'!AH34</f>
        <v>0</v>
      </c>
      <c r="AI34" s="91">
        <f>'7'!AI34+'8'!AI34+'9'!AI34</f>
        <v>0</v>
      </c>
      <c r="AJ34" s="91">
        <f>'7'!AJ34+'8'!AJ34+'9'!AJ34</f>
        <v>0</v>
      </c>
      <c r="AK34" s="91">
        <f>'7'!AK34+'8'!AK34+'9'!AK34</f>
        <v>0</v>
      </c>
      <c r="AL34" s="91">
        <f>'7'!AL34+'8'!AL34+'9'!AL34</f>
        <v>0</v>
      </c>
      <c r="AM34" s="91">
        <f>'7'!AM34+'8'!AM34+'9'!AM34</f>
        <v>0</v>
      </c>
      <c r="AN34" s="91">
        <f>'7'!AN34+'8'!AN34+'9'!AN34</f>
        <v>0</v>
      </c>
      <c r="AO34" s="91">
        <f>'7'!AO34+'8'!AO34+'9'!AO34</f>
        <v>0</v>
      </c>
      <c r="AP34" s="91">
        <f>'7'!AP34+'8'!AP34+'9'!AP34</f>
        <v>0</v>
      </c>
      <c r="AQ34" s="16">
        <f t="shared" si="3"/>
        <v>0</v>
      </c>
      <c r="AR34" s="17">
        <f t="shared" si="11"/>
        <v>0</v>
      </c>
      <c r="AS34" s="91">
        <f t="shared" si="15"/>
        <v>0</v>
      </c>
      <c r="AT34" s="15"/>
      <c r="AU34" s="92">
        <f t="shared" si="16"/>
        <v>0</v>
      </c>
      <c r="AV34" s="92">
        <f t="shared" si="5"/>
        <v>0</v>
      </c>
      <c r="AW34" s="92">
        <f t="shared" si="17"/>
        <v>0</v>
      </c>
      <c r="AX34" s="92">
        <f t="shared" si="18"/>
        <v>0</v>
      </c>
      <c r="AY34" s="82">
        <f t="shared" si="20"/>
        <v>0</v>
      </c>
      <c r="AZ34" s="82">
        <f t="shared" si="20"/>
        <v>0</v>
      </c>
      <c r="BA34" s="95">
        <f t="shared" si="19"/>
        <v>0</v>
      </c>
      <c r="BB34" s="139"/>
      <c r="BC34"/>
    </row>
    <row r="35" spans="1:55" ht="15" hidden="1" customHeight="1" x14ac:dyDescent="0.3">
      <c r="A35" s="72" t="s">
        <v>38</v>
      </c>
      <c r="B35" s="111"/>
      <c r="C35" s="111">
        <v>46</v>
      </c>
      <c r="D35" s="121">
        <f t="shared" si="21"/>
        <v>0</v>
      </c>
      <c r="E35" s="16">
        <f t="shared" si="22"/>
        <v>0</v>
      </c>
      <c r="F35" s="91">
        <f>'7'!F35+'8'!F35+'9'!F35</f>
        <v>0</v>
      </c>
      <c r="G35" s="91">
        <f>'7'!G35+'8'!G35+'9'!G35</f>
        <v>0</v>
      </c>
      <c r="H35" s="135">
        <f>'7'!H35+'8'!H35+'9'!H35</f>
        <v>0</v>
      </c>
      <c r="I35" s="135">
        <f>'7'!I35+'8'!I35+'9'!I35</f>
        <v>0</v>
      </c>
      <c r="J35" s="9" t="s">
        <v>68</v>
      </c>
      <c r="K35" s="133">
        <f>'7'!K35+'8'!K35+'9'!K35</f>
        <v>0</v>
      </c>
      <c r="L35" s="133">
        <f>'7'!L35+'8'!L35+'9'!L35</f>
        <v>0</v>
      </c>
      <c r="M35" s="91">
        <f>'7'!M35+'8'!M35+'9'!M35</f>
        <v>0</v>
      </c>
      <c r="N35" s="91">
        <f>'7'!N35+'8'!N35+'9'!N35</f>
        <v>0</v>
      </c>
      <c r="O35" s="91">
        <f>'7'!O35+'8'!O35+'9'!O35</f>
        <v>0</v>
      </c>
      <c r="P35" s="91">
        <f>'7'!P35+'8'!P35+'9'!P35</f>
        <v>0</v>
      </c>
      <c r="Q35" s="91">
        <f>'7'!Q35+'8'!Q35+'9'!Q35</f>
        <v>0</v>
      </c>
      <c r="R35" s="91">
        <f>'7'!R35+'8'!R35+'9'!R35</f>
        <v>0</v>
      </c>
      <c r="S35" s="91">
        <f>'7'!S35+'8'!S35+'9'!S35</f>
        <v>0</v>
      </c>
      <c r="T35" s="91">
        <f>'7'!T35+'8'!T35+'9'!T35</f>
        <v>0</v>
      </c>
      <c r="U35" s="91">
        <f>'7'!U35+'8'!U35+'9'!U35</f>
        <v>0</v>
      </c>
      <c r="V35" s="91">
        <f>'7'!V35+'8'!V35+'9'!V35</f>
        <v>0</v>
      </c>
      <c r="W35" s="91">
        <f>'7'!W35+'8'!W35+'9'!W35</f>
        <v>0</v>
      </c>
      <c r="X35" s="91">
        <f>'7'!X35+'8'!X35+'9'!X35</f>
        <v>0</v>
      </c>
      <c r="Y35" s="91">
        <f>'7'!Y35+'8'!Y35+'9'!Y35</f>
        <v>0</v>
      </c>
      <c r="Z35" s="91">
        <f>'7'!Z35+'8'!Z35+'9'!Z35</f>
        <v>0</v>
      </c>
      <c r="AA35" s="91">
        <f>'7'!AA35+'8'!AA35+'9'!AA35</f>
        <v>0</v>
      </c>
      <c r="AB35" s="91">
        <f>'7'!AB35+'8'!AB35+'9'!AB35</f>
        <v>0</v>
      </c>
      <c r="AC35" s="91">
        <f>'7'!AC35+'8'!AC35+'9'!AC35</f>
        <v>0</v>
      </c>
      <c r="AD35" s="91">
        <f>'7'!AD35+'8'!AD35+'9'!AD35</f>
        <v>0</v>
      </c>
      <c r="AE35" s="91">
        <f>'7'!AE35+'8'!AE35+'9'!AE35</f>
        <v>0</v>
      </c>
      <c r="AF35" s="91">
        <f>'7'!AF35+'8'!AF35+'9'!AF35</f>
        <v>0</v>
      </c>
      <c r="AG35" s="91">
        <f>'7'!AG35+'8'!AG35+'9'!AG35</f>
        <v>0</v>
      </c>
      <c r="AH35" s="91">
        <f>'7'!AH35+'8'!AH35+'9'!AH35</f>
        <v>0</v>
      </c>
      <c r="AI35" s="91">
        <f>'7'!AI35+'8'!AI35+'9'!AI35</f>
        <v>0</v>
      </c>
      <c r="AJ35" s="91">
        <f>'7'!AJ35+'8'!AJ35+'9'!AJ35</f>
        <v>0</v>
      </c>
      <c r="AK35" s="91">
        <f>'7'!AK35+'8'!AK35+'9'!AK35</f>
        <v>0</v>
      </c>
      <c r="AL35" s="91">
        <f>'7'!AL35+'8'!AL35+'9'!AL35</f>
        <v>0</v>
      </c>
      <c r="AM35" s="91">
        <f>'7'!AM35+'8'!AM35+'9'!AM35</f>
        <v>0</v>
      </c>
      <c r="AN35" s="91">
        <f>'7'!AN35+'8'!AN35+'9'!AN35</f>
        <v>0</v>
      </c>
      <c r="AO35" s="91">
        <f>'7'!AO35+'8'!AO35+'9'!AO35</f>
        <v>0</v>
      </c>
      <c r="AP35" s="91">
        <f>'7'!AP35+'8'!AP35+'9'!AP35</f>
        <v>0</v>
      </c>
      <c r="AQ35" s="16">
        <f t="shared" si="3"/>
        <v>0</v>
      </c>
      <c r="AR35" s="17">
        <f t="shared" si="11"/>
        <v>0</v>
      </c>
      <c r="AS35" s="91">
        <f t="shared" si="15"/>
        <v>0</v>
      </c>
      <c r="AT35" s="15"/>
      <c r="AU35" s="92">
        <f t="shared" si="16"/>
        <v>0</v>
      </c>
      <c r="AV35" s="92">
        <f t="shared" si="5"/>
        <v>0</v>
      </c>
      <c r="AW35" s="92">
        <f t="shared" si="17"/>
        <v>0</v>
      </c>
      <c r="AX35" s="92">
        <f t="shared" si="18"/>
        <v>0</v>
      </c>
      <c r="AY35" s="82">
        <f t="shared" si="20"/>
        <v>0</v>
      </c>
      <c r="AZ35" s="82">
        <f t="shared" si="20"/>
        <v>0</v>
      </c>
      <c r="BA35" s="95">
        <f t="shared" si="19"/>
        <v>0</v>
      </c>
      <c r="BB35" s="139"/>
      <c r="BC35"/>
    </row>
    <row r="36" spans="1:55" ht="15" hidden="1" customHeight="1" x14ac:dyDescent="0.3">
      <c r="A36" s="72" t="s">
        <v>39</v>
      </c>
      <c r="B36" s="111"/>
      <c r="C36" s="111">
        <v>47</v>
      </c>
      <c r="D36" s="121">
        <f t="shared" si="21"/>
        <v>0</v>
      </c>
      <c r="E36" s="16">
        <f t="shared" si="22"/>
        <v>0</v>
      </c>
      <c r="F36" s="91">
        <f>'7'!F36+'8'!F36+'9'!F36</f>
        <v>0</v>
      </c>
      <c r="G36" s="91">
        <f>'7'!G36+'8'!G36+'9'!G36</f>
        <v>0</v>
      </c>
      <c r="H36" s="135">
        <f>'7'!H36+'8'!H36+'9'!H36</f>
        <v>0</v>
      </c>
      <c r="I36" s="135">
        <f>'7'!I36+'8'!I36+'9'!I36</f>
        <v>0</v>
      </c>
      <c r="J36" s="9" t="s">
        <v>68</v>
      </c>
      <c r="K36" s="133">
        <f>'7'!K36+'8'!K36+'9'!K36</f>
        <v>0</v>
      </c>
      <c r="L36" s="133">
        <f>'7'!L36+'8'!L36+'9'!L36</f>
        <v>0</v>
      </c>
      <c r="M36" s="91">
        <f>'7'!M36+'8'!M36+'9'!M36</f>
        <v>0</v>
      </c>
      <c r="N36" s="91">
        <f>'7'!N36+'8'!N36+'9'!N36</f>
        <v>0</v>
      </c>
      <c r="O36" s="91">
        <f>'7'!O36+'8'!O36+'9'!O36</f>
        <v>0</v>
      </c>
      <c r="P36" s="91">
        <f>'7'!P36+'8'!P36+'9'!P36</f>
        <v>0</v>
      </c>
      <c r="Q36" s="91">
        <f>'7'!Q36+'8'!Q36+'9'!Q36</f>
        <v>0</v>
      </c>
      <c r="R36" s="91">
        <f>'7'!R36+'8'!R36+'9'!R36</f>
        <v>0</v>
      </c>
      <c r="S36" s="91">
        <f>'7'!S36+'8'!S36+'9'!S36</f>
        <v>0</v>
      </c>
      <c r="T36" s="91">
        <f>'7'!T36+'8'!T36+'9'!T36</f>
        <v>0</v>
      </c>
      <c r="U36" s="91">
        <f>'7'!U36+'8'!U36+'9'!U36</f>
        <v>0</v>
      </c>
      <c r="V36" s="91">
        <f>'7'!V36+'8'!V36+'9'!V36</f>
        <v>0</v>
      </c>
      <c r="W36" s="91">
        <f>'7'!W36+'8'!W36+'9'!W36</f>
        <v>0</v>
      </c>
      <c r="X36" s="91">
        <f>'7'!X36+'8'!X36+'9'!X36</f>
        <v>0</v>
      </c>
      <c r="Y36" s="91">
        <f>'7'!Y36+'8'!Y36+'9'!Y36</f>
        <v>0</v>
      </c>
      <c r="Z36" s="91">
        <f>'7'!Z36+'8'!Z36+'9'!Z36</f>
        <v>0</v>
      </c>
      <c r="AA36" s="91">
        <f>'7'!AA36+'8'!AA36+'9'!AA36</f>
        <v>0</v>
      </c>
      <c r="AB36" s="91">
        <f>'7'!AB36+'8'!AB36+'9'!AB36</f>
        <v>0</v>
      </c>
      <c r="AC36" s="91">
        <f>'7'!AC36+'8'!AC36+'9'!AC36</f>
        <v>0</v>
      </c>
      <c r="AD36" s="91">
        <f>'7'!AD36+'8'!AD36+'9'!AD36</f>
        <v>0</v>
      </c>
      <c r="AE36" s="91">
        <f>'7'!AE36+'8'!AE36+'9'!AE36</f>
        <v>0</v>
      </c>
      <c r="AF36" s="91">
        <f>'7'!AF36+'8'!AF36+'9'!AF36</f>
        <v>0</v>
      </c>
      <c r="AG36" s="91">
        <f>'7'!AG36+'8'!AG36+'9'!AG36</f>
        <v>0</v>
      </c>
      <c r="AH36" s="91">
        <f>'7'!AH36+'8'!AH36+'9'!AH36</f>
        <v>0</v>
      </c>
      <c r="AI36" s="91">
        <f>'7'!AI36+'8'!AI36+'9'!AI36</f>
        <v>0</v>
      </c>
      <c r="AJ36" s="91">
        <f>'7'!AJ36+'8'!AJ36+'9'!AJ36</f>
        <v>0</v>
      </c>
      <c r="AK36" s="91">
        <f>'7'!AK36+'8'!AK36+'9'!AK36</f>
        <v>0</v>
      </c>
      <c r="AL36" s="91">
        <f>'7'!AL36+'8'!AL36+'9'!AL36</f>
        <v>0</v>
      </c>
      <c r="AM36" s="91">
        <f>'7'!AM36+'8'!AM36+'9'!AM36</f>
        <v>0</v>
      </c>
      <c r="AN36" s="91">
        <f>'7'!AN36+'8'!AN36+'9'!AN36</f>
        <v>0</v>
      </c>
      <c r="AO36" s="91">
        <f>'7'!AO36+'8'!AO36+'9'!AO36</f>
        <v>0</v>
      </c>
      <c r="AP36" s="91">
        <f>'7'!AP36+'8'!AP36+'9'!AP36</f>
        <v>0</v>
      </c>
      <c r="AQ36" s="16">
        <f t="shared" si="3"/>
        <v>0</v>
      </c>
      <c r="AR36" s="17">
        <f t="shared" si="11"/>
        <v>0</v>
      </c>
      <c r="AS36" s="91">
        <f t="shared" si="15"/>
        <v>0</v>
      </c>
      <c r="AT36" s="15"/>
      <c r="AU36" s="92">
        <f t="shared" si="16"/>
        <v>0</v>
      </c>
      <c r="AV36" s="92">
        <f t="shared" si="5"/>
        <v>0</v>
      </c>
      <c r="AW36" s="92">
        <f t="shared" si="17"/>
        <v>0</v>
      </c>
      <c r="AX36" s="92">
        <f t="shared" si="18"/>
        <v>0</v>
      </c>
      <c r="AY36" s="82">
        <f t="shared" si="20"/>
        <v>0</v>
      </c>
      <c r="AZ36" s="82">
        <f t="shared" si="20"/>
        <v>0</v>
      </c>
      <c r="BA36" s="95">
        <f t="shared" si="19"/>
        <v>0</v>
      </c>
      <c r="BB36" s="139"/>
      <c r="BC36"/>
    </row>
    <row r="37" spans="1:55" ht="15" hidden="1" customHeight="1" x14ac:dyDescent="0.3">
      <c r="A37" s="72" t="s">
        <v>40</v>
      </c>
      <c r="B37" s="111"/>
      <c r="C37" s="111">
        <v>48</v>
      </c>
      <c r="D37" s="121">
        <f t="shared" si="21"/>
        <v>0</v>
      </c>
      <c r="E37" s="16">
        <f t="shared" si="22"/>
        <v>0</v>
      </c>
      <c r="F37" s="91">
        <f>'7'!F37+'8'!F37+'9'!F37</f>
        <v>0</v>
      </c>
      <c r="G37" s="91">
        <f>'7'!G37+'8'!G37+'9'!G37</f>
        <v>0</v>
      </c>
      <c r="H37" s="135">
        <f>'7'!H37+'8'!H37+'9'!H37</f>
        <v>0</v>
      </c>
      <c r="I37" s="135">
        <f>'7'!I37+'8'!I37+'9'!I37</f>
        <v>0</v>
      </c>
      <c r="J37" s="9" t="s">
        <v>68</v>
      </c>
      <c r="K37" s="133">
        <f>'7'!K37+'8'!K37+'9'!K37</f>
        <v>0</v>
      </c>
      <c r="L37" s="133">
        <f>'7'!L37+'8'!L37+'9'!L37</f>
        <v>0</v>
      </c>
      <c r="M37" s="91">
        <f>'7'!M37+'8'!M37+'9'!M37</f>
        <v>0</v>
      </c>
      <c r="N37" s="91">
        <f>'7'!N37+'8'!N37+'9'!N37</f>
        <v>0</v>
      </c>
      <c r="O37" s="91">
        <f>'7'!O37+'8'!O37+'9'!O37</f>
        <v>0</v>
      </c>
      <c r="P37" s="91">
        <f>'7'!P37+'8'!P37+'9'!P37</f>
        <v>0</v>
      </c>
      <c r="Q37" s="91">
        <f>'7'!Q37+'8'!Q37+'9'!Q37</f>
        <v>0</v>
      </c>
      <c r="R37" s="91">
        <f>'7'!R37+'8'!R37+'9'!R37</f>
        <v>0</v>
      </c>
      <c r="S37" s="91">
        <f>'7'!S37+'8'!S37+'9'!S37</f>
        <v>0</v>
      </c>
      <c r="T37" s="91">
        <f>'7'!T37+'8'!T37+'9'!T37</f>
        <v>0</v>
      </c>
      <c r="U37" s="91">
        <f>'7'!U37+'8'!U37+'9'!U37</f>
        <v>0</v>
      </c>
      <c r="V37" s="91">
        <f>'7'!V37+'8'!V37+'9'!V37</f>
        <v>0</v>
      </c>
      <c r="W37" s="91">
        <f>'7'!W37+'8'!W37+'9'!W37</f>
        <v>0</v>
      </c>
      <c r="X37" s="91">
        <f>'7'!X37+'8'!X37+'9'!X37</f>
        <v>0</v>
      </c>
      <c r="Y37" s="91">
        <f>'7'!Y37+'8'!Y37+'9'!Y37</f>
        <v>0</v>
      </c>
      <c r="Z37" s="91">
        <f>'7'!Z37+'8'!Z37+'9'!Z37</f>
        <v>0</v>
      </c>
      <c r="AA37" s="91">
        <f>'7'!AA37+'8'!AA37+'9'!AA37</f>
        <v>0</v>
      </c>
      <c r="AB37" s="91">
        <f>'7'!AB37+'8'!AB37+'9'!AB37</f>
        <v>0</v>
      </c>
      <c r="AC37" s="91">
        <f>'7'!AC37+'8'!AC37+'9'!AC37</f>
        <v>0</v>
      </c>
      <c r="AD37" s="91">
        <f>'7'!AD37+'8'!AD37+'9'!AD37</f>
        <v>0</v>
      </c>
      <c r="AE37" s="91">
        <f>'7'!AE37+'8'!AE37+'9'!AE37</f>
        <v>0</v>
      </c>
      <c r="AF37" s="91">
        <f>'7'!AF37+'8'!AF37+'9'!AF37</f>
        <v>0</v>
      </c>
      <c r="AG37" s="91">
        <f>'7'!AG37+'8'!AG37+'9'!AG37</f>
        <v>0</v>
      </c>
      <c r="AH37" s="91">
        <f>'7'!AH37+'8'!AH37+'9'!AH37</f>
        <v>0</v>
      </c>
      <c r="AI37" s="91">
        <f>'7'!AI37+'8'!AI37+'9'!AI37</f>
        <v>0</v>
      </c>
      <c r="AJ37" s="91">
        <f>'7'!AJ37+'8'!AJ37+'9'!AJ37</f>
        <v>0</v>
      </c>
      <c r="AK37" s="91">
        <f>'7'!AK37+'8'!AK37+'9'!AK37</f>
        <v>0</v>
      </c>
      <c r="AL37" s="91">
        <f>'7'!AL37+'8'!AL37+'9'!AL37</f>
        <v>0</v>
      </c>
      <c r="AM37" s="91">
        <f>'7'!AM37+'8'!AM37+'9'!AM37</f>
        <v>0</v>
      </c>
      <c r="AN37" s="91">
        <f>'7'!AN37+'8'!AN37+'9'!AN37</f>
        <v>0</v>
      </c>
      <c r="AO37" s="91">
        <f>'7'!AO37+'8'!AO37+'9'!AO37</f>
        <v>0</v>
      </c>
      <c r="AP37" s="91">
        <f>'7'!AP37+'8'!AP37+'9'!AP37</f>
        <v>0</v>
      </c>
      <c r="AQ37" s="16">
        <f t="shared" si="3"/>
        <v>0</v>
      </c>
      <c r="AR37" s="17">
        <f t="shared" si="11"/>
        <v>0</v>
      </c>
      <c r="AS37" s="91">
        <f t="shared" si="15"/>
        <v>0</v>
      </c>
      <c r="AT37" s="15"/>
      <c r="AU37" s="92">
        <f t="shared" si="16"/>
        <v>0</v>
      </c>
      <c r="AV37" s="92">
        <f t="shared" si="5"/>
        <v>0</v>
      </c>
      <c r="AW37" s="92">
        <f t="shared" si="17"/>
        <v>0</v>
      </c>
      <c r="AX37" s="92">
        <f t="shared" si="18"/>
        <v>0</v>
      </c>
      <c r="AY37" s="82">
        <f t="shared" si="20"/>
        <v>0</v>
      </c>
      <c r="AZ37" s="82">
        <f t="shared" si="20"/>
        <v>0</v>
      </c>
      <c r="BA37" s="95">
        <f t="shared" si="19"/>
        <v>0</v>
      </c>
      <c r="BB37" s="139"/>
      <c r="BC37"/>
    </row>
    <row r="38" spans="1:55" ht="15" hidden="1" customHeight="1" x14ac:dyDescent="0.3">
      <c r="A38" s="72" t="s">
        <v>41</v>
      </c>
      <c r="B38" s="111"/>
      <c r="C38" s="111">
        <v>49</v>
      </c>
      <c r="D38" s="121">
        <f t="shared" si="21"/>
        <v>0</v>
      </c>
      <c r="E38" s="16">
        <f t="shared" si="22"/>
        <v>0</v>
      </c>
      <c r="F38" s="91">
        <f>'7'!F38+'8'!F38+'9'!F38</f>
        <v>0</v>
      </c>
      <c r="G38" s="91">
        <f>'7'!G38+'8'!G38+'9'!G38</f>
        <v>0</v>
      </c>
      <c r="H38" s="135">
        <f>'7'!H38+'8'!H38+'9'!H38</f>
        <v>0</v>
      </c>
      <c r="I38" s="135">
        <f>'7'!I38+'8'!I38+'9'!I38</f>
        <v>0</v>
      </c>
      <c r="J38" s="9" t="s">
        <v>68</v>
      </c>
      <c r="K38" s="133">
        <f>'7'!K38+'8'!K38+'9'!K38</f>
        <v>0</v>
      </c>
      <c r="L38" s="133">
        <f>'7'!L38+'8'!L38+'9'!L38</f>
        <v>0</v>
      </c>
      <c r="M38" s="91">
        <f>'7'!M38+'8'!M38+'9'!M38</f>
        <v>0</v>
      </c>
      <c r="N38" s="91">
        <f>'7'!N38+'8'!N38+'9'!N38</f>
        <v>0</v>
      </c>
      <c r="O38" s="91">
        <f>'7'!O38+'8'!O38+'9'!O38</f>
        <v>0</v>
      </c>
      <c r="P38" s="91">
        <f>'7'!P38+'8'!P38+'9'!P38</f>
        <v>0</v>
      </c>
      <c r="Q38" s="91">
        <f>'7'!Q38+'8'!Q38+'9'!Q38</f>
        <v>0</v>
      </c>
      <c r="R38" s="91">
        <f>'7'!R38+'8'!R38+'9'!R38</f>
        <v>0</v>
      </c>
      <c r="S38" s="91">
        <f>'7'!S38+'8'!S38+'9'!S38</f>
        <v>0</v>
      </c>
      <c r="T38" s="91">
        <f>'7'!T38+'8'!T38+'9'!T38</f>
        <v>0</v>
      </c>
      <c r="U38" s="91">
        <f>'7'!U38+'8'!U38+'9'!U38</f>
        <v>0</v>
      </c>
      <c r="V38" s="91">
        <f>'7'!V38+'8'!V38+'9'!V38</f>
        <v>0</v>
      </c>
      <c r="W38" s="91">
        <f>'7'!W38+'8'!W38+'9'!W38</f>
        <v>0</v>
      </c>
      <c r="X38" s="91">
        <f>'7'!X38+'8'!X38+'9'!X38</f>
        <v>0</v>
      </c>
      <c r="Y38" s="91">
        <f>'7'!Y38+'8'!Y38+'9'!Y38</f>
        <v>0</v>
      </c>
      <c r="Z38" s="91">
        <f>'7'!Z38+'8'!Z38+'9'!Z38</f>
        <v>0</v>
      </c>
      <c r="AA38" s="91">
        <f>'7'!AA38+'8'!AA38+'9'!AA38</f>
        <v>0</v>
      </c>
      <c r="AB38" s="91">
        <f>'7'!AB38+'8'!AB38+'9'!AB38</f>
        <v>0</v>
      </c>
      <c r="AC38" s="91">
        <f>'7'!AC38+'8'!AC38+'9'!AC38</f>
        <v>0</v>
      </c>
      <c r="AD38" s="91">
        <f>'7'!AD38+'8'!AD38+'9'!AD38</f>
        <v>0</v>
      </c>
      <c r="AE38" s="91">
        <f>'7'!AE38+'8'!AE38+'9'!AE38</f>
        <v>0</v>
      </c>
      <c r="AF38" s="91">
        <f>'7'!AF38+'8'!AF38+'9'!AF38</f>
        <v>0</v>
      </c>
      <c r="AG38" s="91">
        <f>'7'!AG38+'8'!AG38+'9'!AG38</f>
        <v>0</v>
      </c>
      <c r="AH38" s="91">
        <f>'7'!AH38+'8'!AH38+'9'!AH38</f>
        <v>0</v>
      </c>
      <c r="AI38" s="91">
        <f>'7'!AI38+'8'!AI38+'9'!AI38</f>
        <v>0</v>
      </c>
      <c r="AJ38" s="91">
        <f>'7'!AJ38+'8'!AJ38+'9'!AJ38</f>
        <v>0</v>
      </c>
      <c r="AK38" s="91">
        <f>'7'!AK38+'8'!AK38+'9'!AK38</f>
        <v>0</v>
      </c>
      <c r="AL38" s="91">
        <f>'7'!AL38+'8'!AL38+'9'!AL38</f>
        <v>0</v>
      </c>
      <c r="AM38" s="91">
        <f>'7'!AM38+'8'!AM38+'9'!AM38</f>
        <v>0</v>
      </c>
      <c r="AN38" s="91">
        <f>'7'!AN38+'8'!AN38+'9'!AN38</f>
        <v>0</v>
      </c>
      <c r="AO38" s="91">
        <f>'7'!AO38+'8'!AO38+'9'!AO38</f>
        <v>0</v>
      </c>
      <c r="AP38" s="91">
        <f>'7'!AP38+'8'!AP38+'9'!AP38</f>
        <v>0</v>
      </c>
      <c r="AQ38" s="16">
        <f t="shared" si="3"/>
        <v>0</v>
      </c>
      <c r="AR38" s="17">
        <f t="shared" si="11"/>
        <v>0</v>
      </c>
      <c r="AS38" s="91">
        <f t="shared" si="15"/>
        <v>0</v>
      </c>
      <c r="AT38" s="15"/>
      <c r="AU38" s="92">
        <f t="shared" si="16"/>
        <v>0</v>
      </c>
      <c r="AV38" s="92">
        <f t="shared" si="5"/>
        <v>0</v>
      </c>
      <c r="AW38" s="92">
        <f t="shared" si="17"/>
        <v>0</v>
      </c>
      <c r="AX38" s="92">
        <f t="shared" si="18"/>
        <v>0</v>
      </c>
      <c r="AY38" s="82">
        <f t="shared" si="20"/>
        <v>0</v>
      </c>
      <c r="AZ38" s="82">
        <f t="shared" si="20"/>
        <v>0</v>
      </c>
      <c r="BA38" s="95">
        <f t="shared" si="19"/>
        <v>0</v>
      </c>
      <c r="BB38" s="139"/>
      <c r="BC38"/>
    </row>
    <row r="39" spans="1:55" ht="15" hidden="1" customHeight="1" x14ac:dyDescent="0.3">
      <c r="A39" s="72" t="s">
        <v>42</v>
      </c>
      <c r="B39" s="111"/>
      <c r="C39" s="111">
        <v>50</v>
      </c>
      <c r="D39" s="121">
        <f t="shared" si="21"/>
        <v>0</v>
      </c>
      <c r="E39" s="16">
        <f t="shared" si="22"/>
        <v>0</v>
      </c>
      <c r="F39" s="91">
        <f>'7'!F39+'8'!F39+'9'!F39</f>
        <v>0</v>
      </c>
      <c r="G39" s="91">
        <f>'7'!G39+'8'!G39+'9'!G39</f>
        <v>0</v>
      </c>
      <c r="H39" s="135">
        <f>'7'!H39+'8'!H39+'9'!H39</f>
        <v>0</v>
      </c>
      <c r="I39" s="135">
        <f>'7'!I39+'8'!I39+'9'!I39</f>
        <v>0</v>
      </c>
      <c r="J39" s="9" t="s">
        <v>68</v>
      </c>
      <c r="K39" s="133">
        <f>'7'!K39+'8'!K39+'9'!K39</f>
        <v>0</v>
      </c>
      <c r="L39" s="133">
        <f>'7'!L39+'8'!L39+'9'!L39</f>
        <v>0</v>
      </c>
      <c r="M39" s="91">
        <f>'7'!M39+'8'!M39+'9'!M39</f>
        <v>0</v>
      </c>
      <c r="N39" s="91">
        <f>'7'!N39+'8'!N39+'9'!N39</f>
        <v>0</v>
      </c>
      <c r="O39" s="91">
        <f>'7'!O39+'8'!O39+'9'!O39</f>
        <v>0</v>
      </c>
      <c r="P39" s="91">
        <f>'7'!P39+'8'!P39+'9'!P39</f>
        <v>0</v>
      </c>
      <c r="Q39" s="91">
        <f>'7'!Q39+'8'!Q39+'9'!Q39</f>
        <v>0</v>
      </c>
      <c r="R39" s="91">
        <f>'7'!R39+'8'!R39+'9'!R39</f>
        <v>0</v>
      </c>
      <c r="S39" s="91">
        <f>'7'!S39+'8'!S39+'9'!S39</f>
        <v>0</v>
      </c>
      <c r="T39" s="91">
        <f>'7'!T39+'8'!T39+'9'!T39</f>
        <v>0</v>
      </c>
      <c r="U39" s="91">
        <f>'7'!U39+'8'!U39+'9'!U39</f>
        <v>0</v>
      </c>
      <c r="V39" s="91">
        <f>'7'!V39+'8'!V39+'9'!V39</f>
        <v>0</v>
      </c>
      <c r="W39" s="91">
        <f>'7'!W39+'8'!W39+'9'!W39</f>
        <v>0</v>
      </c>
      <c r="X39" s="91">
        <f>'7'!X39+'8'!X39+'9'!X39</f>
        <v>0</v>
      </c>
      <c r="Y39" s="91">
        <f>'7'!Y39+'8'!Y39+'9'!Y39</f>
        <v>0</v>
      </c>
      <c r="Z39" s="91">
        <f>'7'!Z39+'8'!Z39+'9'!Z39</f>
        <v>0</v>
      </c>
      <c r="AA39" s="91">
        <f>'7'!AA39+'8'!AA39+'9'!AA39</f>
        <v>0</v>
      </c>
      <c r="AB39" s="91">
        <f>'7'!AB39+'8'!AB39+'9'!AB39</f>
        <v>0</v>
      </c>
      <c r="AC39" s="91">
        <f>'7'!AC39+'8'!AC39+'9'!AC39</f>
        <v>0</v>
      </c>
      <c r="AD39" s="91">
        <f>'7'!AD39+'8'!AD39+'9'!AD39</f>
        <v>0</v>
      </c>
      <c r="AE39" s="91">
        <f>'7'!AE39+'8'!AE39+'9'!AE39</f>
        <v>0</v>
      </c>
      <c r="AF39" s="91">
        <f>'7'!AF39+'8'!AF39+'9'!AF39</f>
        <v>0</v>
      </c>
      <c r="AG39" s="91">
        <f>'7'!AG39+'8'!AG39+'9'!AG39</f>
        <v>0</v>
      </c>
      <c r="AH39" s="91">
        <f>'7'!AH39+'8'!AH39+'9'!AH39</f>
        <v>0</v>
      </c>
      <c r="AI39" s="91">
        <f>'7'!AI39+'8'!AI39+'9'!AI39</f>
        <v>0</v>
      </c>
      <c r="AJ39" s="91">
        <f>'7'!AJ39+'8'!AJ39+'9'!AJ39</f>
        <v>0</v>
      </c>
      <c r="AK39" s="91">
        <f>'7'!AK39+'8'!AK39+'9'!AK39</f>
        <v>0</v>
      </c>
      <c r="AL39" s="91">
        <f>'7'!AL39+'8'!AL39+'9'!AL39</f>
        <v>0</v>
      </c>
      <c r="AM39" s="91">
        <f>'7'!AM39+'8'!AM39+'9'!AM39</f>
        <v>0</v>
      </c>
      <c r="AN39" s="91">
        <f>'7'!AN39+'8'!AN39+'9'!AN39</f>
        <v>0</v>
      </c>
      <c r="AO39" s="91">
        <f>'7'!AO39+'8'!AO39+'9'!AO39</f>
        <v>0</v>
      </c>
      <c r="AP39" s="91">
        <f>'7'!AP39+'8'!AP39+'9'!AP39</f>
        <v>0</v>
      </c>
      <c r="AQ39" s="16">
        <f t="shared" si="3"/>
        <v>0</v>
      </c>
      <c r="AR39" s="17">
        <f t="shared" si="11"/>
        <v>0</v>
      </c>
      <c r="AS39" s="91">
        <f t="shared" si="15"/>
        <v>0</v>
      </c>
      <c r="AT39" s="15"/>
      <c r="AU39" s="92">
        <f t="shared" si="16"/>
        <v>0</v>
      </c>
      <c r="AV39" s="92">
        <f t="shared" si="5"/>
        <v>0</v>
      </c>
      <c r="AW39" s="92">
        <f t="shared" si="17"/>
        <v>0</v>
      </c>
      <c r="AX39" s="92">
        <f t="shared" si="18"/>
        <v>0</v>
      </c>
      <c r="AY39" s="82">
        <f t="shared" si="20"/>
        <v>0</v>
      </c>
      <c r="AZ39" s="82">
        <f t="shared" si="20"/>
        <v>0</v>
      </c>
      <c r="BA39" s="95">
        <f t="shared" si="19"/>
        <v>0</v>
      </c>
      <c r="BB39" s="139"/>
      <c r="BC39"/>
    </row>
    <row r="40" spans="1:55" ht="15" hidden="1" customHeight="1" x14ac:dyDescent="0.3">
      <c r="A40" s="72" t="s">
        <v>43</v>
      </c>
      <c r="B40" s="111"/>
      <c r="C40" s="111">
        <v>51</v>
      </c>
      <c r="D40" s="121">
        <f t="shared" si="21"/>
        <v>0</v>
      </c>
      <c r="E40" s="16">
        <f t="shared" si="22"/>
        <v>0</v>
      </c>
      <c r="F40" s="91">
        <f>'7'!F40+'8'!F40+'9'!F40</f>
        <v>0</v>
      </c>
      <c r="G40" s="91">
        <f>'7'!G40+'8'!G40+'9'!G40</f>
        <v>0</v>
      </c>
      <c r="H40" s="135">
        <f>'7'!H40+'8'!H40+'9'!H40</f>
        <v>0</v>
      </c>
      <c r="I40" s="135">
        <f>'7'!I40+'8'!I40+'9'!I40</f>
        <v>0</v>
      </c>
      <c r="J40" s="9" t="s">
        <v>68</v>
      </c>
      <c r="K40" s="133">
        <f>'7'!K40+'8'!K40+'9'!K40</f>
        <v>0</v>
      </c>
      <c r="L40" s="133">
        <f>'7'!L40+'8'!L40+'9'!L40</f>
        <v>0</v>
      </c>
      <c r="M40" s="91">
        <f>'7'!M40+'8'!M40+'9'!M40</f>
        <v>0</v>
      </c>
      <c r="N40" s="91">
        <f>'7'!N40+'8'!N40+'9'!N40</f>
        <v>0</v>
      </c>
      <c r="O40" s="91">
        <f>'7'!O40+'8'!O40+'9'!O40</f>
        <v>0</v>
      </c>
      <c r="P40" s="91">
        <f>'7'!P40+'8'!P40+'9'!P40</f>
        <v>0</v>
      </c>
      <c r="Q40" s="91">
        <f>'7'!Q40+'8'!Q40+'9'!Q40</f>
        <v>0</v>
      </c>
      <c r="R40" s="91">
        <f>'7'!R40+'8'!R40+'9'!R40</f>
        <v>0</v>
      </c>
      <c r="S40" s="91">
        <f>'7'!S40+'8'!S40+'9'!S40</f>
        <v>0</v>
      </c>
      <c r="T40" s="91">
        <f>'7'!T40+'8'!T40+'9'!T40</f>
        <v>0</v>
      </c>
      <c r="U40" s="91">
        <f>'7'!U40+'8'!U40+'9'!U40</f>
        <v>0</v>
      </c>
      <c r="V40" s="91">
        <f>'7'!V40+'8'!V40+'9'!V40</f>
        <v>0</v>
      </c>
      <c r="W40" s="91">
        <f>'7'!W40+'8'!W40+'9'!W40</f>
        <v>0</v>
      </c>
      <c r="X40" s="91">
        <f>'7'!X40+'8'!X40+'9'!X40</f>
        <v>0</v>
      </c>
      <c r="Y40" s="91">
        <f>'7'!Y40+'8'!Y40+'9'!Y40</f>
        <v>0</v>
      </c>
      <c r="Z40" s="91">
        <f>'7'!Z40+'8'!Z40+'9'!Z40</f>
        <v>0</v>
      </c>
      <c r="AA40" s="91">
        <f>'7'!AA40+'8'!AA40+'9'!AA40</f>
        <v>0</v>
      </c>
      <c r="AB40" s="91">
        <f>'7'!AB40+'8'!AB40+'9'!AB40</f>
        <v>0</v>
      </c>
      <c r="AC40" s="91">
        <f>'7'!AC40+'8'!AC40+'9'!AC40</f>
        <v>0</v>
      </c>
      <c r="AD40" s="91">
        <f>'7'!AD40+'8'!AD40+'9'!AD40</f>
        <v>0</v>
      </c>
      <c r="AE40" s="91">
        <f>'7'!AE40+'8'!AE40+'9'!AE40</f>
        <v>0</v>
      </c>
      <c r="AF40" s="91">
        <f>'7'!AF40+'8'!AF40+'9'!AF40</f>
        <v>0</v>
      </c>
      <c r="AG40" s="91">
        <f>'7'!AG40+'8'!AG40+'9'!AG40</f>
        <v>0</v>
      </c>
      <c r="AH40" s="91">
        <f>'7'!AH40+'8'!AH40+'9'!AH40</f>
        <v>0</v>
      </c>
      <c r="AI40" s="91">
        <f>'7'!AI40+'8'!AI40+'9'!AI40</f>
        <v>0</v>
      </c>
      <c r="AJ40" s="91">
        <f>'7'!AJ40+'8'!AJ40+'9'!AJ40</f>
        <v>0</v>
      </c>
      <c r="AK40" s="91">
        <f>'7'!AK40+'8'!AK40+'9'!AK40</f>
        <v>0</v>
      </c>
      <c r="AL40" s="91">
        <f>'7'!AL40+'8'!AL40+'9'!AL40</f>
        <v>0</v>
      </c>
      <c r="AM40" s="91">
        <f>'7'!AM40+'8'!AM40+'9'!AM40</f>
        <v>0</v>
      </c>
      <c r="AN40" s="91">
        <f>'7'!AN40+'8'!AN40+'9'!AN40</f>
        <v>0</v>
      </c>
      <c r="AO40" s="91">
        <f>'7'!AO40+'8'!AO40+'9'!AO40</f>
        <v>0</v>
      </c>
      <c r="AP40" s="91">
        <f>'7'!AP40+'8'!AP40+'9'!AP40</f>
        <v>0</v>
      </c>
      <c r="AQ40" s="16">
        <f t="shared" si="3"/>
        <v>0</v>
      </c>
      <c r="AR40" s="17">
        <f t="shared" si="11"/>
        <v>0</v>
      </c>
      <c r="AS40" s="91">
        <f t="shared" si="15"/>
        <v>0</v>
      </c>
      <c r="AT40" s="15"/>
      <c r="AU40" s="92">
        <f t="shared" si="16"/>
        <v>0</v>
      </c>
      <c r="AV40" s="92">
        <f t="shared" si="5"/>
        <v>0</v>
      </c>
      <c r="AW40" s="92">
        <f t="shared" si="17"/>
        <v>0</v>
      </c>
      <c r="AX40" s="92">
        <f t="shared" si="18"/>
        <v>0</v>
      </c>
      <c r="AY40" s="82">
        <f t="shared" si="20"/>
        <v>0</v>
      </c>
      <c r="AZ40" s="82">
        <f t="shared" si="20"/>
        <v>0</v>
      </c>
      <c r="BA40" s="95">
        <f t="shared" si="19"/>
        <v>0</v>
      </c>
      <c r="BB40" s="139"/>
      <c r="BC40"/>
    </row>
    <row r="41" spans="1:55" ht="15" hidden="1" customHeight="1" thickBot="1" x14ac:dyDescent="0.3">
      <c r="A41" s="100" t="s">
        <v>44</v>
      </c>
      <c r="B41" s="116"/>
      <c r="C41" s="116">
        <v>52</v>
      </c>
      <c r="D41" s="121">
        <f t="shared" si="21"/>
        <v>0</v>
      </c>
      <c r="E41" s="16">
        <f t="shared" si="22"/>
        <v>0</v>
      </c>
      <c r="F41" s="91">
        <f>'7'!F41+'8'!F41+'9'!F41</f>
        <v>0</v>
      </c>
      <c r="G41" s="91">
        <f>'7'!G41+'8'!G41+'9'!G41</f>
        <v>0</v>
      </c>
      <c r="H41" s="135">
        <f>'7'!H41+'8'!H41+'9'!H41</f>
        <v>0</v>
      </c>
      <c r="I41" s="135">
        <f>'7'!I41+'8'!I41+'9'!I41</f>
        <v>0</v>
      </c>
      <c r="J41" s="101" t="s">
        <v>68</v>
      </c>
      <c r="K41" s="133">
        <f>'7'!K41+'8'!K41+'9'!K41</f>
        <v>0</v>
      </c>
      <c r="L41" s="133">
        <f>'7'!L41+'8'!L41+'9'!L41</f>
        <v>0</v>
      </c>
      <c r="M41" s="91">
        <f>'7'!M41+'8'!M41+'9'!M41</f>
        <v>0</v>
      </c>
      <c r="N41" s="91">
        <f>'7'!N41+'8'!N41+'9'!N41</f>
        <v>0</v>
      </c>
      <c r="O41" s="91">
        <f>'7'!O41+'8'!O41+'9'!O41</f>
        <v>0</v>
      </c>
      <c r="P41" s="91">
        <f>'7'!P41+'8'!P41+'9'!P41</f>
        <v>0</v>
      </c>
      <c r="Q41" s="91">
        <f>'7'!Q41+'8'!Q41+'9'!Q41</f>
        <v>0</v>
      </c>
      <c r="R41" s="91">
        <f>'7'!R41+'8'!R41+'9'!R41</f>
        <v>0</v>
      </c>
      <c r="S41" s="91">
        <f>'7'!S41+'8'!S41+'9'!S41</f>
        <v>0</v>
      </c>
      <c r="T41" s="91">
        <f>'7'!T41+'8'!T41+'9'!T41</f>
        <v>0</v>
      </c>
      <c r="U41" s="91">
        <f>'7'!U41+'8'!U41+'9'!U41</f>
        <v>0</v>
      </c>
      <c r="V41" s="91">
        <f>'7'!V41+'8'!V41+'9'!V41</f>
        <v>0</v>
      </c>
      <c r="W41" s="91">
        <f>'7'!W41+'8'!W41+'9'!W41</f>
        <v>0</v>
      </c>
      <c r="X41" s="91">
        <f>'7'!X41+'8'!X41+'9'!X41</f>
        <v>0</v>
      </c>
      <c r="Y41" s="91">
        <f>'7'!Y41+'8'!Y41+'9'!Y41</f>
        <v>0</v>
      </c>
      <c r="Z41" s="91">
        <f>'7'!Z41+'8'!Z41+'9'!Z41</f>
        <v>0</v>
      </c>
      <c r="AA41" s="91">
        <f>'7'!AA41+'8'!AA41+'9'!AA41</f>
        <v>0</v>
      </c>
      <c r="AB41" s="91">
        <f>'7'!AB41+'8'!AB41+'9'!AB41</f>
        <v>0</v>
      </c>
      <c r="AC41" s="91">
        <f>'7'!AC41+'8'!AC41+'9'!AC41</f>
        <v>0</v>
      </c>
      <c r="AD41" s="91">
        <f>'7'!AD41+'8'!AD41+'9'!AD41</f>
        <v>0</v>
      </c>
      <c r="AE41" s="91">
        <f>'7'!AE41+'8'!AE41+'9'!AE41</f>
        <v>0</v>
      </c>
      <c r="AF41" s="91">
        <f>'7'!AF41+'8'!AF41+'9'!AF41</f>
        <v>0</v>
      </c>
      <c r="AG41" s="91">
        <f>'7'!AG41+'8'!AG41+'9'!AG41</f>
        <v>0</v>
      </c>
      <c r="AH41" s="91">
        <f>'7'!AH41+'8'!AH41+'9'!AH41</f>
        <v>0</v>
      </c>
      <c r="AI41" s="91">
        <f>'7'!AI41+'8'!AI41+'9'!AI41</f>
        <v>0</v>
      </c>
      <c r="AJ41" s="91">
        <f>'7'!AJ41+'8'!AJ41+'9'!AJ41</f>
        <v>0</v>
      </c>
      <c r="AK41" s="91">
        <f>'7'!AK41+'8'!AK41+'9'!AK41</f>
        <v>0</v>
      </c>
      <c r="AL41" s="91">
        <f>'7'!AL41+'8'!AL41+'9'!AL41</f>
        <v>0</v>
      </c>
      <c r="AM41" s="91">
        <f>'7'!AM41+'8'!AM41+'9'!AM41</f>
        <v>0</v>
      </c>
      <c r="AN41" s="91">
        <f>'7'!AN41+'8'!AN41+'9'!AN41</f>
        <v>0</v>
      </c>
      <c r="AO41" s="91">
        <f>'7'!AO41+'8'!AO41+'9'!AO41</f>
        <v>0</v>
      </c>
      <c r="AP41" s="91">
        <f>'7'!AP41+'8'!AP41+'9'!AP41</f>
        <v>0</v>
      </c>
      <c r="AQ41" s="16">
        <f t="shared" si="3"/>
        <v>0</v>
      </c>
      <c r="AR41" s="17">
        <f t="shared" si="11"/>
        <v>0</v>
      </c>
      <c r="AS41" s="91">
        <f t="shared" si="15"/>
        <v>0</v>
      </c>
      <c r="AT41" s="16"/>
      <c r="AU41" s="92">
        <f t="shared" si="16"/>
        <v>0</v>
      </c>
      <c r="AV41" s="92">
        <f t="shared" si="5"/>
        <v>0</v>
      </c>
      <c r="AW41" s="92">
        <f t="shared" si="17"/>
        <v>0</v>
      </c>
      <c r="AX41" s="92">
        <f t="shared" si="18"/>
        <v>0</v>
      </c>
      <c r="AY41" s="82">
        <f t="shared" si="20"/>
        <v>0</v>
      </c>
      <c r="AZ41" s="82">
        <f t="shared" si="20"/>
        <v>0</v>
      </c>
      <c r="BA41" s="95">
        <f t="shared" si="19"/>
        <v>0</v>
      </c>
      <c r="BB41" s="140"/>
      <c r="BC41"/>
    </row>
    <row r="42" spans="1:55" ht="15" customHeight="1" thickBot="1" x14ac:dyDescent="0.3">
      <c r="A42" s="102" t="s">
        <v>81</v>
      </c>
      <c r="B42" s="124"/>
      <c r="C42" s="87"/>
      <c r="D42" s="129">
        <f t="shared" ref="D42:AP42" si="23">SUM(D43:D45)</f>
        <v>0</v>
      </c>
      <c r="E42" s="129">
        <f t="shared" si="23"/>
        <v>0</v>
      </c>
      <c r="F42" s="129">
        <f t="shared" si="23"/>
        <v>0</v>
      </c>
      <c r="G42" s="129">
        <f t="shared" si="23"/>
        <v>0</v>
      </c>
      <c r="H42" s="131">
        <f t="shared" si="23"/>
        <v>0</v>
      </c>
      <c r="I42" s="131">
        <f t="shared" si="23"/>
        <v>0</v>
      </c>
      <c r="J42" s="129">
        <f t="shared" si="23"/>
        <v>0</v>
      </c>
      <c r="K42" s="130">
        <f t="shared" si="23"/>
        <v>0</v>
      </c>
      <c r="L42" s="130">
        <f t="shared" si="23"/>
        <v>0</v>
      </c>
      <c r="M42" s="129">
        <f t="shared" si="23"/>
        <v>0</v>
      </c>
      <c r="N42" s="129">
        <f t="shared" si="23"/>
        <v>0</v>
      </c>
      <c r="O42" s="129">
        <f t="shared" si="23"/>
        <v>0</v>
      </c>
      <c r="P42" s="129">
        <f t="shared" si="23"/>
        <v>0</v>
      </c>
      <c r="Q42" s="129">
        <f t="shared" si="23"/>
        <v>0</v>
      </c>
      <c r="R42" s="129">
        <f t="shared" si="23"/>
        <v>0</v>
      </c>
      <c r="S42" s="129">
        <f t="shared" si="23"/>
        <v>0</v>
      </c>
      <c r="T42" s="129">
        <f t="shared" si="23"/>
        <v>0</v>
      </c>
      <c r="U42" s="129">
        <f t="shared" si="23"/>
        <v>0</v>
      </c>
      <c r="V42" s="129">
        <f t="shared" si="23"/>
        <v>0</v>
      </c>
      <c r="W42" s="129">
        <f t="shared" si="23"/>
        <v>0</v>
      </c>
      <c r="X42" s="129">
        <f t="shared" si="23"/>
        <v>0</v>
      </c>
      <c r="Y42" s="129">
        <f t="shared" si="23"/>
        <v>0</v>
      </c>
      <c r="Z42" s="129">
        <f t="shared" si="23"/>
        <v>0</v>
      </c>
      <c r="AA42" s="129">
        <f t="shared" si="23"/>
        <v>0</v>
      </c>
      <c r="AB42" s="129">
        <f t="shared" si="23"/>
        <v>0</v>
      </c>
      <c r="AC42" s="129">
        <f t="shared" si="23"/>
        <v>0</v>
      </c>
      <c r="AD42" s="129">
        <f t="shared" si="23"/>
        <v>0</v>
      </c>
      <c r="AE42" s="129">
        <f t="shared" si="23"/>
        <v>0</v>
      </c>
      <c r="AF42" s="129">
        <f t="shared" si="23"/>
        <v>0</v>
      </c>
      <c r="AG42" s="129">
        <f t="shared" si="23"/>
        <v>0</v>
      </c>
      <c r="AH42" s="129">
        <f t="shared" si="23"/>
        <v>0</v>
      </c>
      <c r="AI42" s="129">
        <f t="shared" si="23"/>
        <v>0</v>
      </c>
      <c r="AJ42" s="129">
        <f t="shared" si="23"/>
        <v>0</v>
      </c>
      <c r="AK42" s="129">
        <f t="shared" si="23"/>
        <v>0</v>
      </c>
      <c r="AL42" s="129">
        <f t="shared" si="23"/>
        <v>0</v>
      </c>
      <c r="AM42" s="129">
        <f t="shared" si="23"/>
        <v>0</v>
      </c>
      <c r="AN42" s="129">
        <f t="shared" si="23"/>
        <v>0</v>
      </c>
      <c r="AO42" s="129">
        <f t="shared" si="23"/>
        <v>0</v>
      </c>
      <c r="AP42" s="129">
        <f t="shared" si="23"/>
        <v>0</v>
      </c>
      <c r="AQ42" s="129">
        <f t="shared" si="3"/>
        <v>0</v>
      </c>
      <c r="AR42" s="129">
        <f t="shared" si="11"/>
        <v>0</v>
      </c>
      <c r="AS42" s="129">
        <f t="shared" si="15"/>
        <v>0</v>
      </c>
      <c r="AT42" s="129">
        <f>SUM(AT43:AT45)</f>
        <v>0</v>
      </c>
      <c r="AU42" s="131">
        <f t="shared" si="16"/>
        <v>0</v>
      </c>
      <c r="AV42" s="131">
        <f t="shared" si="5"/>
        <v>0</v>
      </c>
      <c r="AW42" s="131">
        <f t="shared" si="17"/>
        <v>0</v>
      </c>
      <c r="AX42" s="131">
        <f t="shared" si="18"/>
        <v>0</v>
      </c>
      <c r="AY42" s="131">
        <f>SUM(AY43:AY45)</f>
        <v>0</v>
      </c>
      <c r="AZ42" s="131">
        <f>SUM(AZ43:AZ45)</f>
        <v>0</v>
      </c>
      <c r="BA42" s="129">
        <f t="shared" si="19"/>
        <v>0</v>
      </c>
      <c r="BB42" s="141"/>
      <c r="BC42"/>
    </row>
    <row r="43" spans="1:55" ht="15" customHeight="1" x14ac:dyDescent="0.25">
      <c r="A43" s="97" t="s">
        <v>66</v>
      </c>
      <c r="B43" s="123" t="s">
        <v>139</v>
      </c>
      <c r="C43" s="115">
        <v>25</v>
      </c>
      <c r="D43" s="121">
        <f>AT43*AU43*AW43</f>
        <v>0</v>
      </c>
      <c r="E43" s="16">
        <f>ROUND(AT43*AV43*AX43,4)</f>
        <v>0</v>
      </c>
      <c r="F43" s="91">
        <f>'7'!F43+'8'!F43+'9'!F43</f>
        <v>0</v>
      </c>
      <c r="G43" s="91">
        <f>'7'!G43+'8'!G43+'9'!G43</f>
        <v>0</v>
      </c>
      <c r="H43" s="135">
        <f>'7'!H43+'8'!H43+'9'!H43</f>
        <v>0</v>
      </c>
      <c r="I43" s="135">
        <f>'7'!I43+'8'!I43+'9'!I43</f>
        <v>0</v>
      </c>
      <c r="J43" s="14" t="s">
        <v>55</v>
      </c>
      <c r="K43" s="133">
        <f>'7'!K43+'8'!K43+'9'!K43</f>
        <v>0</v>
      </c>
      <c r="L43" s="133">
        <f>'7'!L43+'8'!L43+'9'!L43</f>
        <v>0</v>
      </c>
      <c r="M43" s="91">
        <f>'7'!M43+'8'!M43+'9'!M43</f>
        <v>0</v>
      </c>
      <c r="N43" s="91">
        <f>'7'!N43+'8'!N43+'9'!N43</f>
        <v>0</v>
      </c>
      <c r="O43" s="91">
        <f>'7'!O43+'8'!O43+'9'!O43</f>
        <v>0</v>
      </c>
      <c r="P43" s="91">
        <f>'7'!P43+'8'!P43+'9'!P43</f>
        <v>0</v>
      </c>
      <c r="Q43" s="91">
        <f>'7'!Q43+'8'!Q43+'9'!Q43</f>
        <v>0</v>
      </c>
      <c r="R43" s="91">
        <f>'7'!R43+'8'!R43+'9'!R43</f>
        <v>0</v>
      </c>
      <c r="S43" s="91">
        <f>'7'!S43+'8'!S43+'9'!S43</f>
        <v>0</v>
      </c>
      <c r="T43" s="91">
        <f>'7'!T43+'8'!T43+'9'!T43</f>
        <v>0</v>
      </c>
      <c r="U43" s="91">
        <f>'7'!U43+'8'!U43+'9'!U43</f>
        <v>0</v>
      </c>
      <c r="V43" s="91">
        <f>'7'!V43+'8'!V43+'9'!V43</f>
        <v>0</v>
      </c>
      <c r="W43" s="91">
        <f>'7'!W43+'8'!W43+'9'!W43</f>
        <v>0</v>
      </c>
      <c r="X43" s="91">
        <f>'7'!X43+'8'!X43+'9'!X43</f>
        <v>0</v>
      </c>
      <c r="Y43" s="91">
        <f>'7'!Y43+'8'!Y43+'9'!Y43</f>
        <v>0</v>
      </c>
      <c r="Z43" s="91">
        <f>'7'!Z43+'8'!Z43+'9'!Z43</f>
        <v>0</v>
      </c>
      <c r="AA43" s="91">
        <f>'7'!AA43+'8'!AA43+'9'!AA43</f>
        <v>0</v>
      </c>
      <c r="AB43" s="91">
        <f>'7'!AB43+'8'!AB43+'9'!AB43</f>
        <v>0</v>
      </c>
      <c r="AC43" s="91">
        <f>'7'!AC43+'8'!AC43+'9'!AC43</f>
        <v>0</v>
      </c>
      <c r="AD43" s="91">
        <f>'7'!AD43+'8'!AD43+'9'!AD43</f>
        <v>0</v>
      </c>
      <c r="AE43" s="91">
        <f>'7'!AE43+'8'!AE43+'9'!AE43</f>
        <v>0</v>
      </c>
      <c r="AF43" s="91">
        <f>'7'!AF43+'8'!AF43+'9'!AF43</f>
        <v>0</v>
      </c>
      <c r="AG43" s="91">
        <f>'7'!AG43+'8'!AG43+'9'!AG43</f>
        <v>0</v>
      </c>
      <c r="AH43" s="91">
        <f>'7'!AH43+'8'!AH43+'9'!AH43</f>
        <v>0</v>
      </c>
      <c r="AI43" s="91">
        <f>'7'!AI43+'8'!AI43+'9'!AI43</f>
        <v>0</v>
      </c>
      <c r="AJ43" s="91">
        <f>'7'!AJ43+'8'!AJ43+'9'!AJ43</f>
        <v>0</v>
      </c>
      <c r="AK43" s="91">
        <f>'7'!AK43+'8'!AK43+'9'!AK43</f>
        <v>0</v>
      </c>
      <c r="AL43" s="91">
        <f>'7'!AL43+'8'!AL43+'9'!AL43</f>
        <v>0</v>
      </c>
      <c r="AM43" s="91">
        <f>'7'!AM43+'8'!AM43+'9'!AM43</f>
        <v>0</v>
      </c>
      <c r="AN43" s="91">
        <f>'7'!AN43+'8'!AN43+'9'!AN43</f>
        <v>0</v>
      </c>
      <c r="AO43" s="91">
        <f>'7'!AO43+'8'!AO43+'9'!AO43</f>
        <v>0</v>
      </c>
      <c r="AP43" s="91">
        <f>'7'!AP43+'8'!AP43+'9'!AP43</f>
        <v>0</v>
      </c>
      <c r="AQ43" s="16">
        <f t="shared" si="3"/>
        <v>0</v>
      </c>
      <c r="AR43" s="17">
        <f t="shared" si="11"/>
        <v>0</v>
      </c>
      <c r="AS43" s="91">
        <f t="shared" si="15"/>
        <v>0</v>
      </c>
      <c r="AT43" s="91">
        <f>'7'!AT43+'8'!AT43+'9'!AT43</f>
        <v>0</v>
      </c>
      <c r="AU43" s="92">
        <f t="shared" si="16"/>
        <v>0</v>
      </c>
      <c r="AV43" s="92">
        <f t="shared" si="5"/>
        <v>0</v>
      </c>
      <c r="AW43" s="92">
        <f t="shared" si="17"/>
        <v>0</v>
      </c>
      <c r="AX43" s="92">
        <f t="shared" si="18"/>
        <v>0</v>
      </c>
      <c r="AY43" s="92">
        <f>IF(D43=0,0,K43/D43/24)</f>
        <v>0</v>
      </c>
      <c r="AZ43" s="92">
        <f>IF(E43=0,0,L43/E43/24)</f>
        <v>0</v>
      </c>
      <c r="BA43" s="95">
        <f t="shared" si="19"/>
        <v>0</v>
      </c>
      <c r="BB43" s="138"/>
      <c r="BC43"/>
    </row>
    <row r="44" spans="1:55" ht="15" hidden="1" customHeight="1" x14ac:dyDescent="0.25">
      <c r="A44" s="72" t="s">
        <v>67</v>
      </c>
      <c r="B44" s="123"/>
      <c r="C44" s="111">
        <v>31</v>
      </c>
      <c r="D44" s="121">
        <f t="shared" ref="D44:D45" si="24">AT44*AU44*AW44</f>
        <v>0</v>
      </c>
      <c r="E44" s="16">
        <f t="shared" ref="E44:E45" si="25">ROUND(AT44*AV44*AX44,4)</f>
        <v>0</v>
      </c>
      <c r="F44" s="91">
        <f>'7'!F44+'8'!F44+'9'!F44</f>
        <v>0</v>
      </c>
      <c r="G44" s="91">
        <f>'7'!G44+'8'!G44+'9'!G44</f>
        <v>0</v>
      </c>
      <c r="H44" s="135">
        <f>'7'!H44+'8'!H44+'9'!H44</f>
        <v>0</v>
      </c>
      <c r="I44" s="135">
        <f>'7'!I44+'8'!I44+'9'!I44</f>
        <v>0</v>
      </c>
      <c r="J44" s="14" t="s">
        <v>55</v>
      </c>
      <c r="K44" s="133">
        <f>'7'!K44+'8'!K44+'9'!K44</f>
        <v>0</v>
      </c>
      <c r="L44" s="133">
        <f>'7'!L44+'8'!L44+'9'!L44</f>
        <v>0</v>
      </c>
      <c r="M44" s="91">
        <f>'7'!M44+'8'!M44+'9'!M44</f>
        <v>0</v>
      </c>
      <c r="N44" s="91">
        <f>'7'!N44+'8'!N44+'9'!N44</f>
        <v>0</v>
      </c>
      <c r="O44" s="91">
        <f>'7'!O44+'8'!O44+'9'!O44</f>
        <v>0</v>
      </c>
      <c r="P44" s="91">
        <f>'7'!P44+'8'!P44+'9'!P44</f>
        <v>0</v>
      </c>
      <c r="Q44" s="91">
        <f>'7'!Q44+'8'!Q44+'9'!Q44</f>
        <v>0</v>
      </c>
      <c r="R44" s="91">
        <f>'7'!R44+'8'!R44+'9'!R44</f>
        <v>0</v>
      </c>
      <c r="S44" s="91">
        <f>'7'!S44+'8'!S44+'9'!S44</f>
        <v>0</v>
      </c>
      <c r="T44" s="91">
        <f>'7'!T44+'8'!T44+'9'!T44</f>
        <v>0</v>
      </c>
      <c r="U44" s="91">
        <f>'7'!U44+'8'!U44+'9'!U44</f>
        <v>0</v>
      </c>
      <c r="V44" s="91">
        <f>'7'!V44+'8'!V44+'9'!V44</f>
        <v>0</v>
      </c>
      <c r="W44" s="91">
        <f>'7'!W44+'8'!W44+'9'!W44</f>
        <v>0</v>
      </c>
      <c r="X44" s="91">
        <f>'7'!X44+'8'!X44+'9'!X44</f>
        <v>0</v>
      </c>
      <c r="Y44" s="91">
        <f>'7'!Y44+'8'!Y44+'9'!Y44</f>
        <v>0</v>
      </c>
      <c r="Z44" s="91">
        <f>'7'!Z44+'8'!Z44+'9'!Z44</f>
        <v>0</v>
      </c>
      <c r="AA44" s="91">
        <f>'7'!AA44+'8'!AA44+'9'!AA44</f>
        <v>0</v>
      </c>
      <c r="AB44" s="91">
        <f>'7'!AB44+'8'!AB44+'9'!AB44</f>
        <v>0</v>
      </c>
      <c r="AC44" s="91">
        <f>'7'!AC44+'8'!AC44+'9'!AC44</f>
        <v>0</v>
      </c>
      <c r="AD44" s="91">
        <f>'7'!AD44+'8'!AD44+'9'!AD44</f>
        <v>0</v>
      </c>
      <c r="AE44" s="91">
        <f>'7'!AE44+'8'!AE44+'9'!AE44</f>
        <v>0</v>
      </c>
      <c r="AF44" s="91">
        <f>'7'!AF44+'8'!AF44+'9'!AF44</f>
        <v>0</v>
      </c>
      <c r="AG44" s="91">
        <f>'7'!AG44+'8'!AG44+'9'!AG44</f>
        <v>0</v>
      </c>
      <c r="AH44" s="91">
        <f>'7'!AH44+'8'!AH44+'9'!AH44</f>
        <v>0</v>
      </c>
      <c r="AI44" s="91">
        <f>'7'!AI44+'8'!AI44+'9'!AI44</f>
        <v>0</v>
      </c>
      <c r="AJ44" s="91">
        <f>'7'!AJ44+'8'!AJ44+'9'!AJ44</f>
        <v>0</v>
      </c>
      <c r="AK44" s="91">
        <f>'7'!AK44+'8'!AK44+'9'!AK44</f>
        <v>0</v>
      </c>
      <c r="AL44" s="91">
        <f>'7'!AL44+'8'!AL44+'9'!AL44</f>
        <v>0</v>
      </c>
      <c r="AM44" s="91">
        <f>'7'!AM44+'8'!AM44+'9'!AM44</f>
        <v>0</v>
      </c>
      <c r="AN44" s="91">
        <f>'7'!AN44+'8'!AN44+'9'!AN44</f>
        <v>0</v>
      </c>
      <c r="AO44" s="91">
        <f>'7'!AO44+'8'!AO44+'9'!AO44</f>
        <v>0</v>
      </c>
      <c r="AP44" s="91">
        <f>'7'!AP44+'8'!AP44+'9'!AP44</f>
        <v>0</v>
      </c>
      <c r="AQ44" s="16">
        <f t="shared" si="3"/>
        <v>0</v>
      </c>
      <c r="AR44" s="17">
        <f t="shared" si="11"/>
        <v>0</v>
      </c>
      <c r="AS44" s="91">
        <f t="shared" si="15"/>
        <v>0</v>
      </c>
      <c r="AT44" s="15"/>
      <c r="AU44" s="92">
        <f t="shared" si="16"/>
        <v>0</v>
      </c>
      <c r="AV44" s="92">
        <f t="shared" si="5"/>
        <v>0</v>
      </c>
      <c r="AW44" s="92">
        <f t="shared" si="17"/>
        <v>0</v>
      </c>
      <c r="AX44" s="92">
        <f t="shared" si="18"/>
        <v>0</v>
      </c>
      <c r="AY44" s="92">
        <f t="shared" ref="AY44:AZ45" si="26">IF(D44=0,0,K44/D44/24)</f>
        <v>0</v>
      </c>
      <c r="AZ44" s="92">
        <f t="shared" si="26"/>
        <v>0</v>
      </c>
      <c r="BA44" s="95">
        <f t="shared" si="19"/>
        <v>0</v>
      </c>
      <c r="BB44" s="139"/>
      <c r="BC44"/>
    </row>
    <row r="45" spans="1:55" ht="15" customHeight="1" thickBot="1" x14ac:dyDescent="0.3">
      <c r="A45" s="103" t="s">
        <v>67</v>
      </c>
      <c r="B45" s="123" t="s">
        <v>140</v>
      </c>
      <c r="C45" s="114">
        <v>38</v>
      </c>
      <c r="D45" s="121">
        <f t="shared" si="24"/>
        <v>0</v>
      </c>
      <c r="E45" s="16">
        <f t="shared" si="25"/>
        <v>0</v>
      </c>
      <c r="F45" s="91">
        <f>'7'!F45+'8'!F45+'9'!F45</f>
        <v>0</v>
      </c>
      <c r="G45" s="91">
        <f>'7'!G45+'8'!G45+'9'!G45</f>
        <v>0</v>
      </c>
      <c r="H45" s="135">
        <f>'7'!H45+'8'!H45+'9'!H45</f>
        <v>0</v>
      </c>
      <c r="I45" s="135">
        <f>'7'!I45+'8'!I45+'9'!I45</f>
        <v>0</v>
      </c>
      <c r="J45" s="14" t="s">
        <v>55</v>
      </c>
      <c r="K45" s="133">
        <f>'7'!K45+'8'!K45+'9'!K45</f>
        <v>0</v>
      </c>
      <c r="L45" s="133">
        <f>'7'!L45+'8'!L45+'9'!L45</f>
        <v>0</v>
      </c>
      <c r="M45" s="91">
        <f>'7'!M45+'8'!M45+'9'!M45</f>
        <v>0</v>
      </c>
      <c r="N45" s="91">
        <f>'7'!N45+'8'!N45+'9'!N45</f>
        <v>0</v>
      </c>
      <c r="O45" s="91">
        <f>'7'!O45+'8'!O45+'9'!O45</f>
        <v>0</v>
      </c>
      <c r="P45" s="91">
        <f>'7'!P45+'8'!P45+'9'!P45</f>
        <v>0</v>
      </c>
      <c r="Q45" s="91">
        <f>'7'!Q45+'8'!Q45+'9'!Q45</f>
        <v>0</v>
      </c>
      <c r="R45" s="91">
        <f>'7'!R45+'8'!R45+'9'!R45</f>
        <v>0</v>
      </c>
      <c r="S45" s="91">
        <f>'7'!S45+'8'!S45+'9'!S45</f>
        <v>0</v>
      </c>
      <c r="T45" s="91">
        <f>'7'!T45+'8'!T45+'9'!T45</f>
        <v>0</v>
      </c>
      <c r="U45" s="91">
        <f>'7'!U45+'8'!U45+'9'!U45</f>
        <v>0</v>
      </c>
      <c r="V45" s="91">
        <f>'7'!V45+'8'!V45+'9'!V45</f>
        <v>0</v>
      </c>
      <c r="W45" s="91">
        <f>'7'!W45+'8'!W45+'9'!W45</f>
        <v>0</v>
      </c>
      <c r="X45" s="91">
        <f>'7'!X45+'8'!X45+'9'!X45</f>
        <v>0</v>
      </c>
      <c r="Y45" s="91">
        <f>'7'!Y45+'8'!Y45+'9'!Y45</f>
        <v>0</v>
      </c>
      <c r="Z45" s="91">
        <f>'7'!Z45+'8'!Z45+'9'!Z45</f>
        <v>0</v>
      </c>
      <c r="AA45" s="91">
        <f>'7'!AA45+'8'!AA45+'9'!AA45</f>
        <v>0</v>
      </c>
      <c r="AB45" s="91">
        <f>'7'!AB45+'8'!AB45+'9'!AB45</f>
        <v>0</v>
      </c>
      <c r="AC45" s="91">
        <f>'7'!AC45+'8'!AC45+'9'!AC45</f>
        <v>0</v>
      </c>
      <c r="AD45" s="91">
        <f>'7'!AD45+'8'!AD45+'9'!AD45</f>
        <v>0</v>
      </c>
      <c r="AE45" s="91">
        <f>'7'!AE45+'8'!AE45+'9'!AE45</f>
        <v>0</v>
      </c>
      <c r="AF45" s="91">
        <f>'7'!AF45+'8'!AF45+'9'!AF45</f>
        <v>0</v>
      </c>
      <c r="AG45" s="91">
        <f>'7'!AG45+'8'!AG45+'9'!AG45</f>
        <v>0</v>
      </c>
      <c r="AH45" s="91">
        <f>'7'!AH45+'8'!AH45+'9'!AH45</f>
        <v>0</v>
      </c>
      <c r="AI45" s="91">
        <f>'7'!AI45+'8'!AI45+'9'!AI45</f>
        <v>0</v>
      </c>
      <c r="AJ45" s="91">
        <f>'7'!AJ45+'8'!AJ45+'9'!AJ45</f>
        <v>0</v>
      </c>
      <c r="AK45" s="91">
        <f>'7'!AK45+'8'!AK45+'9'!AK45</f>
        <v>0</v>
      </c>
      <c r="AL45" s="91">
        <f>'7'!AL45+'8'!AL45+'9'!AL45</f>
        <v>0</v>
      </c>
      <c r="AM45" s="91">
        <f>'7'!AM45+'8'!AM45+'9'!AM45</f>
        <v>0</v>
      </c>
      <c r="AN45" s="91">
        <f>'7'!AN45+'8'!AN45+'9'!AN45</f>
        <v>0</v>
      </c>
      <c r="AO45" s="91">
        <f>'7'!AO45+'8'!AO45+'9'!AO45</f>
        <v>0</v>
      </c>
      <c r="AP45" s="91">
        <f>'7'!AP45+'8'!AP45+'9'!AP45</f>
        <v>0</v>
      </c>
      <c r="AQ45" s="16">
        <f t="shared" si="3"/>
        <v>0</v>
      </c>
      <c r="AR45" s="17">
        <f t="shared" si="11"/>
        <v>0</v>
      </c>
      <c r="AS45" s="91">
        <f t="shared" si="15"/>
        <v>0</v>
      </c>
      <c r="AT45" s="91">
        <f>'7'!AT45+'8'!AT45+'9'!AT45</f>
        <v>0</v>
      </c>
      <c r="AU45" s="92">
        <f t="shared" si="16"/>
        <v>0</v>
      </c>
      <c r="AV45" s="92">
        <f t="shared" si="5"/>
        <v>0</v>
      </c>
      <c r="AW45" s="92">
        <f t="shared" si="17"/>
        <v>0</v>
      </c>
      <c r="AX45" s="92">
        <f t="shared" si="18"/>
        <v>0</v>
      </c>
      <c r="AY45" s="92">
        <f t="shared" si="26"/>
        <v>0</v>
      </c>
      <c r="AZ45" s="92">
        <f t="shared" si="26"/>
        <v>0</v>
      </c>
      <c r="BA45" s="95">
        <f t="shared" si="19"/>
        <v>0</v>
      </c>
      <c r="BB45" s="140"/>
      <c r="BC45"/>
    </row>
    <row r="46" spans="1:55" ht="15" customHeight="1" thickBot="1" x14ac:dyDescent="0.3">
      <c r="A46" s="102" t="s">
        <v>82</v>
      </c>
      <c r="B46" s="124"/>
      <c r="C46" s="87"/>
      <c r="D46" s="129">
        <f t="shared" ref="D46:E46" si="27">SUM(D47:D51)</f>
        <v>0</v>
      </c>
      <c r="E46" s="129">
        <f t="shared" si="27"/>
        <v>0</v>
      </c>
      <c r="F46" s="129">
        <f>SUM(F47:F51)</f>
        <v>0</v>
      </c>
      <c r="G46" s="129">
        <f t="shared" ref="G46:AP46" si="28">SUM(G47:G51)</f>
        <v>0</v>
      </c>
      <c r="H46" s="131">
        <f t="shared" si="28"/>
        <v>0</v>
      </c>
      <c r="I46" s="131">
        <f t="shared" si="28"/>
        <v>0</v>
      </c>
      <c r="J46" s="129">
        <f t="shared" si="28"/>
        <v>0</v>
      </c>
      <c r="K46" s="130">
        <f t="shared" si="28"/>
        <v>0</v>
      </c>
      <c r="L46" s="130">
        <f t="shared" si="28"/>
        <v>0</v>
      </c>
      <c r="M46" s="129">
        <f t="shared" si="28"/>
        <v>0</v>
      </c>
      <c r="N46" s="129">
        <f t="shared" si="28"/>
        <v>0</v>
      </c>
      <c r="O46" s="129">
        <f t="shared" si="28"/>
        <v>0</v>
      </c>
      <c r="P46" s="129">
        <f t="shared" si="28"/>
        <v>0</v>
      </c>
      <c r="Q46" s="129">
        <f t="shared" si="28"/>
        <v>0</v>
      </c>
      <c r="R46" s="129">
        <f t="shared" si="28"/>
        <v>0</v>
      </c>
      <c r="S46" s="129">
        <f t="shared" si="28"/>
        <v>0</v>
      </c>
      <c r="T46" s="129">
        <f t="shared" si="28"/>
        <v>0</v>
      </c>
      <c r="U46" s="129">
        <f t="shared" si="28"/>
        <v>0</v>
      </c>
      <c r="V46" s="129">
        <f t="shared" si="28"/>
        <v>0</v>
      </c>
      <c r="W46" s="129">
        <f t="shared" si="28"/>
        <v>0</v>
      </c>
      <c r="X46" s="129">
        <f t="shared" si="28"/>
        <v>0</v>
      </c>
      <c r="Y46" s="129">
        <f t="shared" si="28"/>
        <v>0</v>
      </c>
      <c r="Z46" s="129">
        <f t="shared" si="28"/>
        <v>0</v>
      </c>
      <c r="AA46" s="129">
        <f t="shared" si="28"/>
        <v>0</v>
      </c>
      <c r="AB46" s="129">
        <f t="shared" si="28"/>
        <v>0</v>
      </c>
      <c r="AC46" s="129">
        <f t="shared" si="28"/>
        <v>0</v>
      </c>
      <c r="AD46" s="129">
        <f t="shared" si="28"/>
        <v>0</v>
      </c>
      <c r="AE46" s="129">
        <f t="shared" si="28"/>
        <v>0</v>
      </c>
      <c r="AF46" s="129">
        <f t="shared" si="28"/>
        <v>0</v>
      </c>
      <c r="AG46" s="129">
        <f t="shared" si="28"/>
        <v>0</v>
      </c>
      <c r="AH46" s="129">
        <f t="shared" si="28"/>
        <v>0</v>
      </c>
      <c r="AI46" s="129">
        <f t="shared" si="28"/>
        <v>0</v>
      </c>
      <c r="AJ46" s="129">
        <f t="shared" si="28"/>
        <v>0</v>
      </c>
      <c r="AK46" s="129">
        <f t="shared" si="28"/>
        <v>0</v>
      </c>
      <c r="AL46" s="129">
        <f t="shared" si="28"/>
        <v>0</v>
      </c>
      <c r="AM46" s="129">
        <f t="shared" si="28"/>
        <v>0</v>
      </c>
      <c r="AN46" s="129">
        <f t="shared" si="28"/>
        <v>0</v>
      </c>
      <c r="AO46" s="129">
        <f t="shared" si="28"/>
        <v>0</v>
      </c>
      <c r="AP46" s="129">
        <f t="shared" si="28"/>
        <v>0</v>
      </c>
      <c r="AQ46" s="129">
        <f t="shared" si="3"/>
        <v>0</v>
      </c>
      <c r="AR46" s="129">
        <f t="shared" si="11"/>
        <v>0</v>
      </c>
      <c r="AS46" s="129">
        <f t="shared" si="15"/>
        <v>0</v>
      </c>
      <c r="AT46" s="129">
        <f>SUM(AT47:AT51)</f>
        <v>0</v>
      </c>
      <c r="AU46" s="131">
        <f t="shared" si="16"/>
        <v>0</v>
      </c>
      <c r="AV46" s="131">
        <f t="shared" si="5"/>
        <v>0</v>
      </c>
      <c r="AW46" s="131">
        <f t="shared" si="17"/>
        <v>0</v>
      </c>
      <c r="AX46" s="131">
        <f t="shared" si="18"/>
        <v>0</v>
      </c>
      <c r="AY46" s="131">
        <f>SUM(AY47:AY51)</f>
        <v>0</v>
      </c>
      <c r="AZ46" s="131">
        <f>SUM(AZ47:AZ51)</f>
        <v>0</v>
      </c>
      <c r="BA46" s="129">
        <f t="shared" si="19"/>
        <v>0</v>
      </c>
      <c r="BB46" s="141"/>
      <c r="BC46"/>
    </row>
    <row r="47" spans="1:55" ht="15" customHeight="1" x14ac:dyDescent="0.25">
      <c r="A47" s="97" t="s">
        <v>46</v>
      </c>
      <c r="B47" s="123" t="s">
        <v>141</v>
      </c>
      <c r="C47" s="115">
        <v>28</v>
      </c>
      <c r="D47" s="121">
        <f>AT47*AU47*AW47</f>
        <v>0</v>
      </c>
      <c r="E47" s="16">
        <f>ROUND(AT47*AV47*AX47,4)</f>
        <v>0</v>
      </c>
      <c r="F47" s="91">
        <f>'7'!F47+'8'!F47+'9'!F47</f>
        <v>0</v>
      </c>
      <c r="G47" s="91">
        <f>'7'!G47+'8'!G47+'9'!G47</f>
        <v>0</v>
      </c>
      <c r="H47" s="135">
        <f>'7'!H47+'8'!H47+'9'!H47</f>
        <v>0</v>
      </c>
      <c r="I47" s="135">
        <f>'7'!I47+'8'!I47+'9'!I47</f>
        <v>0</v>
      </c>
      <c r="J47" s="14" t="s">
        <v>55</v>
      </c>
      <c r="K47" s="133">
        <f>'7'!K47+'8'!K47+'9'!K47</f>
        <v>0</v>
      </c>
      <c r="L47" s="133">
        <f>'7'!L47+'8'!L47+'9'!L47</f>
        <v>0</v>
      </c>
      <c r="M47" s="91">
        <f>'7'!M47+'8'!M47+'9'!M47</f>
        <v>0</v>
      </c>
      <c r="N47" s="91">
        <f>'7'!N47+'8'!N47+'9'!N47</f>
        <v>0</v>
      </c>
      <c r="O47" s="91">
        <f>'7'!O47+'8'!O47+'9'!O47</f>
        <v>0</v>
      </c>
      <c r="P47" s="91">
        <f>'7'!P47+'8'!P47+'9'!P47</f>
        <v>0</v>
      </c>
      <c r="Q47" s="91">
        <f>'7'!Q47+'8'!Q47+'9'!Q47</f>
        <v>0</v>
      </c>
      <c r="R47" s="91">
        <f>'7'!R47+'8'!R47+'9'!R47</f>
        <v>0</v>
      </c>
      <c r="S47" s="91">
        <f>'7'!S47+'8'!S47+'9'!S47</f>
        <v>0</v>
      </c>
      <c r="T47" s="91">
        <f>'7'!T47+'8'!T47+'9'!T47</f>
        <v>0</v>
      </c>
      <c r="U47" s="91">
        <f>'7'!U47+'8'!U47+'9'!U47</f>
        <v>0</v>
      </c>
      <c r="V47" s="91">
        <f>'7'!V47+'8'!V47+'9'!V47</f>
        <v>0</v>
      </c>
      <c r="W47" s="91">
        <f>'7'!W47+'8'!W47+'9'!W47</f>
        <v>0</v>
      </c>
      <c r="X47" s="91">
        <f>'7'!X47+'8'!X47+'9'!X47</f>
        <v>0</v>
      </c>
      <c r="Y47" s="91">
        <f>'7'!Y47+'8'!Y47+'9'!Y47</f>
        <v>0</v>
      </c>
      <c r="Z47" s="91">
        <f>'7'!Z47+'8'!Z47+'9'!Z47</f>
        <v>0</v>
      </c>
      <c r="AA47" s="91">
        <f>'7'!AA47+'8'!AA47+'9'!AA47</f>
        <v>0</v>
      </c>
      <c r="AB47" s="91">
        <f>'7'!AB47+'8'!AB47+'9'!AB47</f>
        <v>0</v>
      </c>
      <c r="AC47" s="91">
        <f>'7'!AC47+'8'!AC47+'9'!AC47</f>
        <v>0</v>
      </c>
      <c r="AD47" s="91">
        <f>'7'!AD47+'8'!AD47+'9'!AD47</f>
        <v>0</v>
      </c>
      <c r="AE47" s="91">
        <f>'7'!AE47+'8'!AE47+'9'!AE47</f>
        <v>0</v>
      </c>
      <c r="AF47" s="91">
        <f>'7'!AF47+'8'!AF47+'9'!AF47</f>
        <v>0</v>
      </c>
      <c r="AG47" s="91">
        <f>'7'!AG47+'8'!AG47+'9'!AG47</f>
        <v>0</v>
      </c>
      <c r="AH47" s="91">
        <f>'7'!AH47+'8'!AH47+'9'!AH47</f>
        <v>0</v>
      </c>
      <c r="AI47" s="91">
        <f>'7'!AI47+'8'!AI47+'9'!AI47</f>
        <v>0</v>
      </c>
      <c r="AJ47" s="91">
        <f>'7'!AJ47+'8'!AJ47+'9'!AJ47</f>
        <v>0</v>
      </c>
      <c r="AK47" s="91">
        <f>'7'!AK47+'8'!AK47+'9'!AK47</f>
        <v>0</v>
      </c>
      <c r="AL47" s="91">
        <f>'7'!AL47+'8'!AL47+'9'!AL47</f>
        <v>0</v>
      </c>
      <c r="AM47" s="91">
        <f>'7'!AM47+'8'!AM47+'9'!AM47</f>
        <v>0</v>
      </c>
      <c r="AN47" s="91">
        <f>'7'!AN47+'8'!AN47+'9'!AN47</f>
        <v>0</v>
      </c>
      <c r="AO47" s="91">
        <f>'7'!AO47+'8'!AO47+'9'!AO47</f>
        <v>0</v>
      </c>
      <c r="AP47" s="91">
        <f>'7'!AP47+'8'!AP47+'9'!AP47</f>
        <v>0</v>
      </c>
      <c r="AQ47" s="16">
        <f t="shared" si="3"/>
        <v>0</v>
      </c>
      <c r="AR47" s="17">
        <f t="shared" si="11"/>
        <v>0</v>
      </c>
      <c r="AS47" s="91">
        <f t="shared" si="15"/>
        <v>0</v>
      </c>
      <c r="AT47" s="91">
        <f>'7'!AT47+'8'!AT47+'9'!AT47</f>
        <v>0</v>
      </c>
      <c r="AU47" s="92">
        <f t="shared" si="16"/>
        <v>0</v>
      </c>
      <c r="AV47" s="92">
        <f t="shared" si="5"/>
        <v>0</v>
      </c>
      <c r="AW47" s="92">
        <f t="shared" si="17"/>
        <v>0</v>
      </c>
      <c r="AX47" s="92">
        <f t="shared" si="18"/>
        <v>0</v>
      </c>
      <c r="AY47" s="92">
        <f>IF(D47=0,0,K47/D47/24)</f>
        <v>0</v>
      </c>
      <c r="AZ47" s="92">
        <f>IF(E47=0,0,L47/E47/24)</f>
        <v>0</v>
      </c>
      <c r="BA47" s="95">
        <f t="shared" si="19"/>
        <v>0</v>
      </c>
      <c r="BB47" s="138"/>
      <c r="BC47"/>
    </row>
    <row r="48" spans="1:55" ht="15" customHeight="1" thickBot="1" x14ac:dyDescent="0.3">
      <c r="A48" s="71" t="s">
        <v>45</v>
      </c>
      <c r="B48" s="123" t="s">
        <v>142</v>
      </c>
      <c r="C48" s="112">
        <v>33</v>
      </c>
      <c r="D48" s="121">
        <f t="shared" ref="D48:D51" si="29">AT48*AU48*AW48</f>
        <v>0</v>
      </c>
      <c r="E48" s="16">
        <f t="shared" ref="E48:E51" si="30">ROUND(AT48*AV48*AX48,4)</f>
        <v>0</v>
      </c>
      <c r="F48" s="91">
        <f>'7'!F48+'8'!F48+'9'!F48</f>
        <v>0</v>
      </c>
      <c r="G48" s="91">
        <f>'7'!G48+'8'!G48+'9'!G48</f>
        <v>0</v>
      </c>
      <c r="H48" s="135">
        <f>'7'!H48+'8'!H48+'9'!H48</f>
        <v>0</v>
      </c>
      <c r="I48" s="135">
        <f>'7'!I48+'8'!I48+'9'!I48</f>
        <v>0</v>
      </c>
      <c r="J48" s="14" t="s">
        <v>55</v>
      </c>
      <c r="K48" s="133">
        <f>'7'!K48+'8'!K48+'9'!K48</f>
        <v>0</v>
      </c>
      <c r="L48" s="133">
        <f>'7'!L48+'8'!L48+'9'!L48</f>
        <v>0</v>
      </c>
      <c r="M48" s="91">
        <f>'7'!M48+'8'!M48+'9'!M48</f>
        <v>0</v>
      </c>
      <c r="N48" s="91">
        <f>'7'!N48+'8'!N48+'9'!N48</f>
        <v>0</v>
      </c>
      <c r="O48" s="91">
        <f>'7'!O48+'8'!O48+'9'!O48</f>
        <v>0</v>
      </c>
      <c r="P48" s="91">
        <f>'7'!P48+'8'!P48+'9'!P48</f>
        <v>0</v>
      </c>
      <c r="Q48" s="91">
        <f>'7'!Q48+'8'!Q48+'9'!Q48</f>
        <v>0</v>
      </c>
      <c r="R48" s="91">
        <f>'7'!R48+'8'!R48+'9'!R48</f>
        <v>0</v>
      </c>
      <c r="S48" s="91">
        <f>'7'!S48+'8'!S48+'9'!S48</f>
        <v>0</v>
      </c>
      <c r="T48" s="91">
        <f>'7'!T48+'8'!T48+'9'!T48</f>
        <v>0</v>
      </c>
      <c r="U48" s="91">
        <f>'7'!U48+'8'!U48+'9'!U48</f>
        <v>0</v>
      </c>
      <c r="V48" s="91">
        <f>'7'!V48+'8'!V48+'9'!V48</f>
        <v>0</v>
      </c>
      <c r="W48" s="91">
        <f>'7'!W48+'8'!W48+'9'!W48</f>
        <v>0</v>
      </c>
      <c r="X48" s="91">
        <f>'7'!X48+'8'!X48+'9'!X48</f>
        <v>0</v>
      </c>
      <c r="Y48" s="91">
        <f>'7'!Y48+'8'!Y48+'9'!Y48</f>
        <v>0</v>
      </c>
      <c r="Z48" s="91">
        <f>'7'!Z48+'8'!Z48+'9'!Z48</f>
        <v>0</v>
      </c>
      <c r="AA48" s="91">
        <f>'7'!AA48+'8'!AA48+'9'!AA48</f>
        <v>0</v>
      </c>
      <c r="AB48" s="91">
        <f>'7'!AB48+'8'!AB48+'9'!AB48</f>
        <v>0</v>
      </c>
      <c r="AC48" s="91">
        <f>'7'!AC48+'8'!AC48+'9'!AC48</f>
        <v>0</v>
      </c>
      <c r="AD48" s="91">
        <f>'7'!AD48+'8'!AD48+'9'!AD48</f>
        <v>0</v>
      </c>
      <c r="AE48" s="91">
        <f>'7'!AE48+'8'!AE48+'9'!AE48</f>
        <v>0</v>
      </c>
      <c r="AF48" s="91">
        <f>'7'!AF48+'8'!AF48+'9'!AF48</f>
        <v>0</v>
      </c>
      <c r="AG48" s="91">
        <f>'7'!AG48+'8'!AG48+'9'!AG48</f>
        <v>0</v>
      </c>
      <c r="AH48" s="91">
        <f>'7'!AH48+'8'!AH48+'9'!AH48</f>
        <v>0</v>
      </c>
      <c r="AI48" s="91">
        <f>'7'!AI48+'8'!AI48+'9'!AI48</f>
        <v>0</v>
      </c>
      <c r="AJ48" s="91">
        <f>'7'!AJ48+'8'!AJ48+'9'!AJ48</f>
        <v>0</v>
      </c>
      <c r="AK48" s="91">
        <f>'7'!AK48+'8'!AK48+'9'!AK48</f>
        <v>0</v>
      </c>
      <c r="AL48" s="91">
        <f>'7'!AL48+'8'!AL48+'9'!AL48</f>
        <v>0</v>
      </c>
      <c r="AM48" s="91">
        <f>'7'!AM48+'8'!AM48+'9'!AM48</f>
        <v>0</v>
      </c>
      <c r="AN48" s="91">
        <f>'7'!AN48+'8'!AN48+'9'!AN48</f>
        <v>0</v>
      </c>
      <c r="AO48" s="91">
        <f>'7'!AO48+'8'!AO48+'9'!AO48</f>
        <v>0</v>
      </c>
      <c r="AP48" s="91">
        <f>'7'!AP48+'8'!AP48+'9'!AP48</f>
        <v>0</v>
      </c>
      <c r="AQ48" s="16">
        <f t="shared" si="3"/>
        <v>0</v>
      </c>
      <c r="AR48" s="17">
        <f t="shared" si="11"/>
        <v>0</v>
      </c>
      <c r="AS48" s="91">
        <f t="shared" si="15"/>
        <v>0</v>
      </c>
      <c r="AT48" s="91">
        <f>'7'!AT48+'8'!AT48+'9'!AT48</f>
        <v>0</v>
      </c>
      <c r="AU48" s="92">
        <f t="shared" si="16"/>
        <v>0</v>
      </c>
      <c r="AV48" s="92">
        <f t="shared" si="5"/>
        <v>0</v>
      </c>
      <c r="AW48" s="92">
        <f t="shared" si="17"/>
        <v>0</v>
      </c>
      <c r="AX48" s="92">
        <f t="shared" si="18"/>
        <v>0</v>
      </c>
      <c r="AY48" s="92">
        <f>IF(D48=0,0,K48/D48/24)</f>
        <v>0</v>
      </c>
      <c r="AZ48" s="92">
        <f>IF(E48=0,0,L48/E48/24)</f>
        <v>0</v>
      </c>
      <c r="BA48" s="95">
        <f t="shared" si="19"/>
        <v>0</v>
      </c>
      <c r="BB48" s="139"/>
      <c r="BC48"/>
    </row>
    <row r="49" spans="1:55" ht="15" hidden="1" customHeight="1" x14ac:dyDescent="0.3">
      <c r="A49" s="72" t="s">
        <v>48</v>
      </c>
      <c r="B49" s="111"/>
      <c r="C49" s="111">
        <v>35</v>
      </c>
      <c r="D49" s="121">
        <f t="shared" si="29"/>
        <v>0</v>
      </c>
      <c r="E49" s="16">
        <f t="shared" si="30"/>
        <v>0</v>
      </c>
      <c r="F49" s="91">
        <f>'7'!F49+'8'!F49+'9'!F49</f>
        <v>0</v>
      </c>
      <c r="G49" s="91">
        <f>'7'!G49+'8'!G49+'9'!G49</f>
        <v>0</v>
      </c>
      <c r="H49" s="135">
        <f>'7'!H49+'8'!H49+'9'!H49</f>
        <v>0</v>
      </c>
      <c r="I49" s="135">
        <f>'7'!I49+'8'!I49+'9'!I49</f>
        <v>0</v>
      </c>
      <c r="J49" s="14" t="s">
        <v>55</v>
      </c>
      <c r="K49" s="133">
        <f>'7'!K49+'8'!K49+'9'!K49</f>
        <v>0</v>
      </c>
      <c r="L49" s="133">
        <f>'7'!L49+'8'!L49+'9'!L49</f>
        <v>0</v>
      </c>
      <c r="M49" s="91">
        <f>'7'!M49+'8'!M49+'9'!M49</f>
        <v>0</v>
      </c>
      <c r="N49" s="91">
        <f>'7'!N49+'8'!N49+'9'!N49</f>
        <v>0</v>
      </c>
      <c r="O49" s="91">
        <f>'7'!O49+'8'!O49+'9'!O49</f>
        <v>0</v>
      </c>
      <c r="P49" s="91">
        <f>'7'!P49+'8'!P49+'9'!P49</f>
        <v>0</v>
      </c>
      <c r="Q49" s="91">
        <f>'7'!Q49+'8'!Q49+'9'!Q49</f>
        <v>0</v>
      </c>
      <c r="R49" s="91">
        <f>'7'!R49+'8'!R49+'9'!R49</f>
        <v>0</v>
      </c>
      <c r="S49" s="91">
        <f>'7'!S49+'8'!S49+'9'!S49</f>
        <v>0</v>
      </c>
      <c r="T49" s="91">
        <f>'7'!T49+'8'!T49+'9'!T49</f>
        <v>0</v>
      </c>
      <c r="U49" s="91">
        <f>'7'!U49+'8'!U49+'9'!U49</f>
        <v>0</v>
      </c>
      <c r="V49" s="91">
        <f>'7'!V49+'8'!V49+'9'!V49</f>
        <v>0</v>
      </c>
      <c r="W49" s="91">
        <f>'7'!W49+'8'!W49+'9'!W49</f>
        <v>0</v>
      </c>
      <c r="X49" s="91">
        <f>'7'!X49+'8'!X49+'9'!X49</f>
        <v>0</v>
      </c>
      <c r="Y49" s="91">
        <f>'7'!Y49+'8'!Y49+'9'!Y49</f>
        <v>0</v>
      </c>
      <c r="Z49" s="91">
        <f>'7'!Z49+'8'!Z49+'9'!Z49</f>
        <v>0</v>
      </c>
      <c r="AA49" s="91">
        <f>'7'!AA49+'8'!AA49+'9'!AA49</f>
        <v>0</v>
      </c>
      <c r="AB49" s="91">
        <f>'7'!AB49+'8'!AB49+'9'!AB49</f>
        <v>0</v>
      </c>
      <c r="AC49" s="91">
        <f>'7'!AC49+'8'!AC49+'9'!AC49</f>
        <v>0</v>
      </c>
      <c r="AD49" s="91">
        <f>'7'!AD49+'8'!AD49+'9'!AD49</f>
        <v>0</v>
      </c>
      <c r="AE49" s="91">
        <f>'7'!AE49+'8'!AE49+'9'!AE49</f>
        <v>0</v>
      </c>
      <c r="AF49" s="91">
        <f>'7'!AF49+'8'!AF49+'9'!AF49</f>
        <v>0</v>
      </c>
      <c r="AG49" s="91">
        <f>'7'!AG49+'8'!AG49+'9'!AG49</f>
        <v>0</v>
      </c>
      <c r="AH49" s="91">
        <f>'7'!AH49+'8'!AH49+'9'!AH49</f>
        <v>0</v>
      </c>
      <c r="AI49" s="91">
        <f>'7'!AI49+'8'!AI49+'9'!AI49</f>
        <v>0</v>
      </c>
      <c r="AJ49" s="91">
        <f>'7'!AJ49+'8'!AJ49+'9'!AJ49</f>
        <v>0</v>
      </c>
      <c r="AK49" s="91">
        <f>'7'!AK49+'8'!AK49+'9'!AK49</f>
        <v>0</v>
      </c>
      <c r="AL49" s="91">
        <f>'7'!AL49+'8'!AL49+'9'!AL49</f>
        <v>0</v>
      </c>
      <c r="AM49" s="91">
        <f>'7'!AM49+'8'!AM49+'9'!AM49</f>
        <v>0</v>
      </c>
      <c r="AN49" s="91">
        <f>'7'!AN49+'8'!AN49+'9'!AN49</f>
        <v>0</v>
      </c>
      <c r="AO49" s="91">
        <f>'7'!AO49+'8'!AO49+'9'!AO49</f>
        <v>0</v>
      </c>
      <c r="AP49" s="91">
        <f>'7'!AP49+'8'!AP49+'9'!AP49</f>
        <v>0</v>
      </c>
      <c r="AQ49" s="16">
        <f t="shared" si="3"/>
        <v>0</v>
      </c>
      <c r="AR49" s="17">
        <f t="shared" si="11"/>
        <v>0</v>
      </c>
      <c r="AS49" s="91">
        <f t="shared" si="15"/>
        <v>0</v>
      </c>
      <c r="AT49" s="15"/>
      <c r="AU49" s="92">
        <f t="shared" si="16"/>
        <v>0</v>
      </c>
      <c r="AV49" s="92">
        <f t="shared" si="5"/>
        <v>0</v>
      </c>
      <c r="AW49" s="92">
        <f t="shared" si="17"/>
        <v>0</v>
      </c>
      <c r="AX49" s="92">
        <f t="shared" si="18"/>
        <v>0</v>
      </c>
      <c r="AY49" s="18">
        <f t="shared" ref="AY49:AZ51" si="31">IF(D49=0,0,K49/D49/24)</f>
        <v>0</v>
      </c>
      <c r="AZ49" s="18">
        <f t="shared" si="31"/>
        <v>0</v>
      </c>
      <c r="BA49" s="95">
        <f t="shared" si="19"/>
        <v>0</v>
      </c>
      <c r="BB49" s="139"/>
      <c r="BC49"/>
    </row>
    <row r="50" spans="1:55" ht="15" hidden="1" customHeight="1" x14ac:dyDescent="0.3">
      <c r="A50" s="72" t="s">
        <v>47</v>
      </c>
      <c r="B50" s="111"/>
      <c r="C50" s="111">
        <v>36</v>
      </c>
      <c r="D50" s="121">
        <f t="shared" si="29"/>
        <v>0</v>
      </c>
      <c r="E50" s="16">
        <f t="shared" si="30"/>
        <v>0</v>
      </c>
      <c r="F50" s="91">
        <f>'7'!F50+'8'!F50+'9'!F50</f>
        <v>0</v>
      </c>
      <c r="G50" s="91">
        <f>'7'!G50+'8'!G50+'9'!G50</f>
        <v>0</v>
      </c>
      <c r="H50" s="135">
        <f>'7'!H50+'8'!H50+'9'!H50</f>
        <v>0</v>
      </c>
      <c r="I50" s="135">
        <f>'7'!I50+'8'!I50+'9'!I50</f>
        <v>0</v>
      </c>
      <c r="J50" s="14" t="s">
        <v>55</v>
      </c>
      <c r="K50" s="133">
        <f>'7'!K50+'8'!K50+'9'!K50</f>
        <v>0</v>
      </c>
      <c r="L50" s="133">
        <f>'7'!L50+'8'!L50+'9'!L50</f>
        <v>0</v>
      </c>
      <c r="M50" s="91">
        <f>'7'!M50+'8'!M50+'9'!M50</f>
        <v>0</v>
      </c>
      <c r="N50" s="91">
        <f>'7'!N50+'8'!N50+'9'!N50</f>
        <v>0</v>
      </c>
      <c r="O50" s="91">
        <f>'7'!O50+'8'!O50+'9'!O50</f>
        <v>0</v>
      </c>
      <c r="P50" s="91">
        <f>'7'!P50+'8'!P50+'9'!P50</f>
        <v>0</v>
      </c>
      <c r="Q50" s="91">
        <f>'7'!Q50+'8'!Q50+'9'!Q50</f>
        <v>0</v>
      </c>
      <c r="R50" s="91">
        <f>'7'!R50+'8'!R50+'9'!R50</f>
        <v>0</v>
      </c>
      <c r="S50" s="91">
        <f>'7'!S50+'8'!S50+'9'!S50</f>
        <v>0</v>
      </c>
      <c r="T50" s="91">
        <f>'7'!T50+'8'!T50+'9'!T50</f>
        <v>0</v>
      </c>
      <c r="U50" s="91">
        <f>'7'!U50+'8'!U50+'9'!U50</f>
        <v>0</v>
      </c>
      <c r="V50" s="91">
        <f>'7'!V50+'8'!V50+'9'!V50</f>
        <v>0</v>
      </c>
      <c r="W50" s="91">
        <f>'7'!W50+'8'!W50+'9'!W50</f>
        <v>0</v>
      </c>
      <c r="X50" s="91">
        <f>'7'!X50+'8'!X50+'9'!X50</f>
        <v>0</v>
      </c>
      <c r="Y50" s="91">
        <f>'7'!Y50+'8'!Y50+'9'!Y50</f>
        <v>0</v>
      </c>
      <c r="Z50" s="91">
        <f>'7'!Z50+'8'!Z50+'9'!Z50</f>
        <v>0</v>
      </c>
      <c r="AA50" s="91">
        <f>'7'!AA50+'8'!AA50+'9'!AA50</f>
        <v>0</v>
      </c>
      <c r="AB50" s="91">
        <f>'7'!AB50+'8'!AB50+'9'!AB50</f>
        <v>0</v>
      </c>
      <c r="AC50" s="91">
        <f>'7'!AC50+'8'!AC50+'9'!AC50</f>
        <v>0</v>
      </c>
      <c r="AD50" s="91">
        <f>'7'!AD50+'8'!AD50+'9'!AD50</f>
        <v>0</v>
      </c>
      <c r="AE50" s="91">
        <f>'7'!AE50+'8'!AE50+'9'!AE50</f>
        <v>0</v>
      </c>
      <c r="AF50" s="91">
        <f>'7'!AF50+'8'!AF50+'9'!AF50</f>
        <v>0</v>
      </c>
      <c r="AG50" s="91">
        <f>'7'!AG50+'8'!AG50+'9'!AG50</f>
        <v>0</v>
      </c>
      <c r="AH50" s="91">
        <f>'7'!AH50+'8'!AH50+'9'!AH50</f>
        <v>0</v>
      </c>
      <c r="AI50" s="91">
        <f>'7'!AI50+'8'!AI50+'9'!AI50</f>
        <v>0</v>
      </c>
      <c r="AJ50" s="91">
        <f>'7'!AJ50+'8'!AJ50+'9'!AJ50</f>
        <v>0</v>
      </c>
      <c r="AK50" s="91">
        <f>'7'!AK50+'8'!AK50+'9'!AK50</f>
        <v>0</v>
      </c>
      <c r="AL50" s="91">
        <f>'7'!AL50+'8'!AL50+'9'!AL50</f>
        <v>0</v>
      </c>
      <c r="AM50" s="91">
        <f>'7'!AM50+'8'!AM50+'9'!AM50</f>
        <v>0</v>
      </c>
      <c r="AN50" s="91">
        <f>'7'!AN50+'8'!AN50+'9'!AN50</f>
        <v>0</v>
      </c>
      <c r="AO50" s="91">
        <f>'7'!AO50+'8'!AO50+'9'!AO50</f>
        <v>0</v>
      </c>
      <c r="AP50" s="91">
        <f>'7'!AP50+'8'!AP50+'9'!AP50</f>
        <v>0</v>
      </c>
      <c r="AQ50" s="16">
        <f t="shared" si="3"/>
        <v>0</v>
      </c>
      <c r="AR50" s="17">
        <f t="shared" si="11"/>
        <v>0</v>
      </c>
      <c r="AS50" s="91">
        <f t="shared" si="15"/>
        <v>0</v>
      </c>
      <c r="AT50" s="15"/>
      <c r="AU50" s="92">
        <f t="shared" si="16"/>
        <v>0</v>
      </c>
      <c r="AV50" s="92">
        <f t="shared" si="5"/>
        <v>0</v>
      </c>
      <c r="AW50" s="92">
        <f t="shared" si="17"/>
        <v>0</v>
      </c>
      <c r="AX50" s="92">
        <f t="shared" si="18"/>
        <v>0</v>
      </c>
      <c r="AY50" s="18">
        <f t="shared" si="31"/>
        <v>0</v>
      </c>
      <c r="AZ50" s="18">
        <f t="shared" si="31"/>
        <v>0</v>
      </c>
      <c r="BA50" s="95">
        <f t="shared" si="19"/>
        <v>0</v>
      </c>
      <c r="BB50" s="139"/>
      <c r="BC50"/>
    </row>
    <row r="51" spans="1:55" ht="15" hidden="1" customHeight="1" thickBot="1" x14ac:dyDescent="0.3">
      <c r="A51" s="100" t="s">
        <v>64</v>
      </c>
      <c r="B51" s="116"/>
      <c r="C51" s="116">
        <v>37</v>
      </c>
      <c r="D51" s="121">
        <f t="shared" si="29"/>
        <v>0</v>
      </c>
      <c r="E51" s="16">
        <f t="shared" si="30"/>
        <v>0</v>
      </c>
      <c r="F51" s="91">
        <f>'7'!F51+'8'!F51+'9'!F51</f>
        <v>0</v>
      </c>
      <c r="G51" s="91">
        <f>'7'!G51+'8'!G51+'9'!G51</f>
        <v>0</v>
      </c>
      <c r="H51" s="135">
        <f>'7'!H51+'8'!H51+'9'!H51</f>
        <v>0</v>
      </c>
      <c r="I51" s="135">
        <f>'7'!I51+'8'!I51+'9'!I51</f>
        <v>0</v>
      </c>
      <c r="J51" s="14" t="s">
        <v>55</v>
      </c>
      <c r="K51" s="133">
        <f>'7'!K51+'8'!K51+'9'!K51</f>
        <v>0</v>
      </c>
      <c r="L51" s="133">
        <f>'7'!L51+'8'!L51+'9'!L51</f>
        <v>0</v>
      </c>
      <c r="M51" s="91">
        <f>'7'!M51+'8'!M51+'9'!M51</f>
        <v>0</v>
      </c>
      <c r="N51" s="91">
        <f>'7'!N51+'8'!N51+'9'!N51</f>
        <v>0</v>
      </c>
      <c r="O51" s="91">
        <f>'7'!O51+'8'!O51+'9'!O51</f>
        <v>0</v>
      </c>
      <c r="P51" s="91">
        <f>'7'!P51+'8'!P51+'9'!P51</f>
        <v>0</v>
      </c>
      <c r="Q51" s="91">
        <f>'7'!Q51+'8'!Q51+'9'!Q51</f>
        <v>0</v>
      </c>
      <c r="R51" s="91">
        <f>'7'!R51+'8'!R51+'9'!R51</f>
        <v>0</v>
      </c>
      <c r="S51" s="91">
        <f>'7'!S51+'8'!S51+'9'!S51</f>
        <v>0</v>
      </c>
      <c r="T51" s="91">
        <f>'7'!T51+'8'!T51+'9'!T51</f>
        <v>0</v>
      </c>
      <c r="U51" s="91">
        <f>'7'!U51+'8'!U51+'9'!U51</f>
        <v>0</v>
      </c>
      <c r="V51" s="91">
        <f>'7'!V51+'8'!V51+'9'!V51</f>
        <v>0</v>
      </c>
      <c r="W51" s="91">
        <f>'7'!W51+'8'!W51+'9'!W51</f>
        <v>0</v>
      </c>
      <c r="X51" s="91">
        <f>'7'!X51+'8'!X51+'9'!X51</f>
        <v>0</v>
      </c>
      <c r="Y51" s="91">
        <f>'7'!Y51+'8'!Y51+'9'!Y51</f>
        <v>0</v>
      </c>
      <c r="Z51" s="91">
        <f>'7'!Z51+'8'!Z51+'9'!Z51</f>
        <v>0</v>
      </c>
      <c r="AA51" s="91">
        <f>'7'!AA51+'8'!AA51+'9'!AA51</f>
        <v>0</v>
      </c>
      <c r="AB51" s="91">
        <f>'7'!AB51+'8'!AB51+'9'!AB51</f>
        <v>0</v>
      </c>
      <c r="AC51" s="91">
        <f>'7'!AC51+'8'!AC51+'9'!AC51</f>
        <v>0</v>
      </c>
      <c r="AD51" s="91">
        <f>'7'!AD51+'8'!AD51+'9'!AD51</f>
        <v>0</v>
      </c>
      <c r="AE51" s="91">
        <f>'7'!AE51+'8'!AE51+'9'!AE51</f>
        <v>0</v>
      </c>
      <c r="AF51" s="91">
        <f>'7'!AF51+'8'!AF51+'9'!AF51</f>
        <v>0</v>
      </c>
      <c r="AG51" s="91">
        <f>'7'!AG51+'8'!AG51+'9'!AG51</f>
        <v>0</v>
      </c>
      <c r="AH51" s="91">
        <f>'7'!AH51+'8'!AH51+'9'!AH51</f>
        <v>0</v>
      </c>
      <c r="AI51" s="91">
        <f>'7'!AI51+'8'!AI51+'9'!AI51</f>
        <v>0</v>
      </c>
      <c r="AJ51" s="91">
        <f>'7'!AJ51+'8'!AJ51+'9'!AJ51</f>
        <v>0</v>
      </c>
      <c r="AK51" s="91">
        <f>'7'!AK51+'8'!AK51+'9'!AK51</f>
        <v>0</v>
      </c>
      <c r="AL51" s="91">
        <f>'7'!AL51+'8'!AL51+'9'!AL51</f>
        <v>0</v>
      </c>
      <c r="AM51" s="91">
        <f>'7'!AM51+'8'!AM51+'9'!AM51</f>
        <v>0</v>
      </c>
      <c r="AN51" s="91">
        <f>'7'!AN51+'8'!AN51+'9'!AN51</f>
        <v>0</v>
      </c>
      <c r="AO51" s="91">
        <f>'7'!AO51+'8'!AO51+'9'!AO51</f>
        <v>0</v>
      </c>
      <c r="AP51" s="91">
        <f>'7'!AP51+'8'!AP51+'9'!AP51</f>
        <v>0</v>
      </c>
      <c r="AQ51" s="16">
        <f t="shared" si="3"/>
        <v>0</v>
      </c>
      <c r="AR51" s="17">
        <f t="shared" si="11"/>
        <v>0</v>
      </c>
      <c r="AS51" s="91">
        <f t="shared" si="15"/>
        <v>0</v>
      </c>
      <c r="AT51" s="16"/>
      <c r="AU51" s="92">
        <f t="shared" si="16"/>
        <v>0</v>
      </c>
      <c r="AV51" s="92">
        <f t="shared" si="5"/>
        <v>0</v>
      </c>
      <c r="AW51" s="92">
        <f t="shared" si="17"/>
        <v>0</v>
      </c>
      <c r="AX51" s="92">
        <f t="shared" si="18"/>
        <v>0</v>
      </c>
      <c r="AY51" s="92">
        <f t="shared" si="31"/>
        <v>0</v>
      </c>
      <c r="AZ51" s="92">
        <f t="shared" si="31"/>
        <v>0</v>
      </c>
      <c r="BA51" s="95">
        <f t="shared" si="19"/>
        <v>0</v>
      </c>
      <c r="BB51" s="140"/>
      <c r="BC51"/>
    </row>
    <row r="52" spans="1:55" ht="15" customHeight="1" thickBot="1" x14ac:dyDescent="0.3">
      <c r="A52" s="102" t="s">
        <v>49</v>
      </c>
      <c r="B52" s="124"/>
      <c r="C52" s="87"/>
      <c r="D52" s="129">
        <f t="shared" ref="D52:E52" si="32">SUM(D53:D54)</f>
        <v>0</v>
      </c>
      <c r="E52" s="129">
        <f t="shared" si="32"/>
        <v>0</v>
      </c>
      <c r="F52" s="129">
        <f>SUM(F53:F54)</f>
        <v>0</v>
      </c>
      <c r="G52" s="129">
        <f t="shared" ref="G52:AP52" si="33">SUM(G53:G54)</f>
        <v>0</v>
      </c>
      <c r="H52" s="131">
        <f t="shared" si="33"/>
        <v>0</v>
      </c>
      <c r="I52" s="131">
        <f t="shared" si="33"/>
        <v>0</v>
      </c>
      <c r="J52" s="129">
        <f t="shared" si="33"/>
        <v>0</v>
      </c>
      <c r="K52" s="130">
        <f t="shared" si="33"/>
        <v>0</v>
      </c>
      <c r="L52" s="130">
        <f t="shared" si="33"/>
        <v>0</v>
      </c>
      <c r="M52" s="129">
        <f t="shared" si="33"/>
        <v>0</v>
      </c>
      <c r="N52" s="129">
        <f t="shared" si="33"/>
        <v>0</v>
      </c>
      <c r="O52" s="129">
        <f t="shared" si="33"/>
        <v>0</v>
      </c>
      <c r="P52" s="129">
        <f t="shared" si="33"/>
        <v>0</v>
      </c>
      <c r="Q52" s="129">
        <f t="shared" si="33"/>
        <v>0</v>
      </c>
      <c r="R52" s="129">
        <f t="shared" si="33"/>
        <v>0</v>
      </c>
      <c r="S52" s="129">
        <f t="shared" si="33"/>
        <v>0</v>
      </c>
      <c r="T52" s="129">
        <f t="shared" si="33"/>
        <v>0</v>
      </c>
      <c r="U52" s="129">
        <f t="shared" si="33"/>
        <v>0</v>
      </c>
      <c r="V52" s="129">
        <f t="shared" si="33"/>
        <v>0</v>
      </c>
      <c r="W52" s="129">
        <f t="shared" si="33"/>
        <v>0</v>
      </c>
      <c r="X52" s="129">
        <f t="shared" si="33"/>
        <v>0</v>
      </c>
      <c r="Y52" s="129">
        <f t="shared" si="33"/>
        <v>0</v>
      </c>
      <c r="Z52" s="129">
        <f t="shared" si="33"/>
        <v>0</v>
      </c>
      <c r="AA52" s="129">
        <f t="shared" si="33"/>
        <v>0</v>
      </c>
      <c r="AB52" s="129">
        <f t="shared" si="33"/>
        <v>0</v>
      </c>
      <c r="AC52" s="129">
        <f t="shared" si="33"/>
        <v>0</v>
      </c>
      <c r="AD52" s="129">
        <f t="shared" si="33"/>
        <v>0</v>
      </c>
      <c r="AE52" s="129">
        <f t="shared" si="33"/>
        <v>0</v>
      </c>
      <c r="AF52" s="129">
        <f t="shared" si="33"/>
        <v>0</v>
      </c>
      <c r="AG52" s="129">
        <f t="shared" si="33"/>
        <v>0</v>
      </c>
      <c r="AH52" s="129">
        <f t="shared" si="33"/>
        <v>0</v>
      </c>
      <c r="AI52" s="129">
        <f t="shared" si="33"/>
        <v>0</v>
      </c>
      <c r="AJ52" s="129">
        <f t="shared" si="33"/>
        <v>0</v>
      </c>
      <c r="AK52" s="129">
        <f t="shared" si="33"/>
        <v>0</v>
      </c>
      <c r="AL52" s="129">
        <f t="shared" si="33"/>
        <v>0</v>
      </c>
      <c r="AM52" s="129">
        <f t="shared" si="33"/>
        <v>0</v>
      </c>
      <c r="AN52" s="129">
        <f t="shared" si="33"/>
        <v>0</v>
      </c>
      <c r="AO52" s="129">
        <f t="shared" si="33"/>
        <v>0</v>
      </c>
      <c r="AP52" s="129">
        <f t="shared" si="33"/>
        <v>0</v>
      </c>
      <c r="AQ52" s="129">
        <f t="shared" si="3"/>
        <v>0</v>
      </c>
      <c r="AR52" s="129">
        <f t="shared" si="11"/>
        <v>0</v>
      </c>
      <c r="AS52" s="129">
        <f t="shared" si="15"/>
        <v>0</v>
      </c>
      <c r="AT52" s="129">
        <f>SUM(AT53:AT54)</f>
        <v>0</v>
      </c>
      <c r="AU52" s="131">
        <f t="shared" si="16"/>
        <v>0</v>
      </c>
      <c r="AV52" s="131">
        <f t="shared" si="5"/>
        <v>0</v>
      </c>
      <c r="AW52" s="131">
        <f t="shared" si="17"/>
        <v>0</v>
      </c>
      <c r="AX52" s="131">
        <f t="shared" si="18"/>
        <v>0</v>
      </c>
      <c r="AY52" s="131">
        <f>SUM(AY53:AY54)</f>
        <v>0</v>
      </c>
      <c r="AZ52" s="131">
        <f>SUM(AZ53:AZ54)</f>
        <v>0</v>
      </c>
      <c r="BA52" s="129">
        <f t="shared" si="19"/>
        <v>0</v>
      </c>
      <c r="BB52" s="141"/>
      <c r="BC52"/>
    </row>
    <row r="53" spans="1:55" ht="15" customHeight="1" x14ac:dyDescent="0.25">
      <c r="A53" s="97" t="s">
        <v>51</v>
      </c>
      <c r="B53" s="123" t="s">
        <v>143</v>
      </c>
      <c r="C53" s="115">
        <v>4</v>
      </c>
      <c r="D53" s="121">
        <f>AT53*AU53*AW53</f>
        <v>0</v>
      </c>
      <c r="E53" s="16">
        <f>ROUND(AT53*AV53*AX53,4)</f>
        <v>0</v>
      </c>
      <c r="F53" s="91">
        <f>'7'!F53+'8'!F53+'9'!F53</f>
        <v>0</v>
      </c>
      <c r="G53" s="91">
        <f>'7'!G53+'8'!G53+'9'!G53</f>
        <v>0</v>
      </c>
      <c r="H53" s="135">
        <f>'7'!H53+'8'!H53+'9'!H53</f>
        <v>0</v>
      </c>
      <c r="I53" s="135">
        <f>'7'!I53+'8'!I53+'9'!I53</f>
        <v>0</v>
      </c>
      <c r="J53" s="14" t="s">
        <v>83</v>
      </c>
      <c r="K53" s="133">
        <f>'7'!K53+'8'!K53+'9'!K53</f>
        <v>0</v>
      </c>
      <c r="L53" s="133">
        <f>'7'!L53+'8'!L53+'9'!L53</f>
        <v>0</v>
      </c>
      <c r="M53" s="91">
        <f>'7'!M53+'8'!M53+'9'!M53</f>
        <v>0</v>
      </c>
      <c r="N53" s="91">
        <f>'7'!N53+'8'!N53+'9'!N53</f>
        <v>0</v>
      </c>
      <c r="O53" s="91">
        <f>'7'!O53+'8'!O53+'9'!O53</f>
        <v>0</v>
      </c>
      <c r="P53" s="91">
        <f>'7'!P53+'8'!P53+'9'!P53</f>
        <v>0</v>
      </c>
      <c r="Q53" s="91">
        <f>'7'!Q53+'8'!Q53+'9'!Q53</f>
        <v>0</v>
      </c>
      <c r="R53" s="91">
        <f>'7'!R53+'8'!R53+'9'!R53</f>
        <v>0</v>
      </c>
      <c r="S53" s="91">
        <f>'7'!S53+'8'!S53+'9'!S53</f>
        <v>0</v>
      </c>
      <c r="T53" s="91">
        <f>'7'!T53+'8'!T53+'9'!T53</f>
        <v>0</v>
      </c>
      <c r="U53" s="91">
        <f>'7'!U53+'8'!U53+'9'!U53</f>
        <v>0</v>
      </c>
      <c r="V53" s="91">
        <f>'7'!V53+'8'!V53+'9'!V53</f>
        <v>0</v>
      </c>
      <c r="W53" s="91">
        <f>'7'!W53+'8'!W53+'9'!W53</f>
        <v>0</v>
      </c>
      <c r="X53" s="91">
        <f>'7'!X53+'8'!X53+'9'!X53</f>
        <v>0</v>
      </c>
      <c r="Y53" s="91">
        <f>'7'!Y53+'8'!Y53+'9'!Y53</f>
        <v>0</v>
      </c>
      <c r="Z53" s="91">
        <f>'7'!Z53+'8'!Z53+'9'!Z53</f>
        <v>0</v>
      </c>
      <c r="AA53" s="91">
        <f>'7'!AA53+'8'!AA53+'9'!AA53</f>
        <v>0</v>
      </c>
      <c r="AB53" s="91">
        <f>'7'!AB53+'8'!AB53+'9'!AB53</f>
        <v>0</v>
      </c>
      <c r="AC53" s="91">
        <f>'7'!AC53+'8'!AC53+'9'!AC53</f>
        <v>0</v>
      </c>
      <c r="AD53" s="91">
        <f>'7'!AD53+'8'!AD53+'9'!AD53</f>
        <v>0</v>
      </c>
      <c r="AE53" s="91">
        <f>'7'!AE53+'8'!AE53+'9'!AE53</f>
        <v>0</v>
      </c>
      <c r="AF53" s="91">
        <f>'7'!AF53+'8'!AF53+'9'!AF53</f>
        <v>0</v>
      </c>
      <c r="AG53" s="91">
        <f>'7'!AG53+'8'!AG53+'9'!AG53</f>
        <v>0</v>
      </c>
      <c r="AH53" s="91">
        <f>'7'!AH53+'8'!AH53+'9'!AH53</f>
        <v>0</v>
      </c>
      <c r="AI53" s="91">
        <f>'7'!AI53+'8'!AI53+'9'!AI53</f>
        <v>0</v>
      </c>
      <c r="AJ53" s="91">
        <f>'7'!AJ53+'8'!AJ53+'9'!AJ53</f>
        <v>0</v>
      </c>
      <c r="AK53" s="91">
        <f>'7'!AK53+'8'!AK53+'9'!AK53</f>
        <v>0</v>
      </c>
      <c r="AL53" s="91">
        <f>'7'!AL53+'8'!AL53+'9'!AL53</f>
        <v>0</v>
      </c>
      <c r="AM53" s="91">
        <f>'7'!AM53+'8'!AM53+'9'!AM53</f>
        <v>0</v>
      </c>
      <c r="AN53" s="91">
        <f>'7'!AN53+'8'!AN53+'9'!AN53</f>
        <v>0</v>
      </c>
      <c r="AO53" s="91">
        <f>'7'!AO53+'8'!AO53+'9'!AO53</f>
        <v>0</v>
      </c>
      <c r="AP53" s="91">
        <f>'7'!AP53+'8'!AP53+'9'!AP53</f>
        <v>0</v>
      </c>
      <c r="AQ53" s="16">
        <f t="shared" si="3"/>
        <v>0</v>
      </c>
      <c r="AR53" s="17">
        <f t="shared" si="11"/>
        <v>0</v>
      </c>
      <c r="AS53" s="91">
        <f t="shared" si="15"/>
        <v>0</v>
      </c>
      <c r="AT53" s="91">
        <f>'7'!AT53+'8'!AT53+'9'!AT53</f>
        <v>0</v>
      </c>
      <c r="AU53" s="92">
        <f t="shared" si="16"/>
        <v>0</v>
      </c>
      <c r="AV53" s="92">
        <f t="shared" si="5"/>
        <v>0</v>
      </c>
      <c r="AW53" s="92">
        <f t="shared" si="17"/>
        <v>0</v>
      </c>
      <c r="AX53" s="92">
        <f t="shared" si="18"/>
        <v>0</v>
      </c>
      <c r="AY53" s="92">
        <f>IF(D53=0,0,K53/D53/24)</f>
        <v>0</v>
      </c>
      <c r="AZ53" s="92">
        <f>IF(E53=0,0,L53/E53/24)</f>
        <v>0</v>
      </c>
      <c r="BA53" s="95">
        <f t="shared" si="19"/>
        <v>0</v>
      </c>
      <c r="BB53" s="138"/>
      <c r="BC53"/>
    </row>
    <row r="54" spans="1:55" ht="15" customHeight="1" thickBot="1" x14ac:dyDescent="0.3">
      <c r="A54" s="104" t="s">
        <v>50</v>
      </c>
      <c r="B54" s="123" t="s">
        <v>153</v>
      </c>
      <c r="C54" s="117">
        <v>5</v>
      </c>
      <c r="D54" s="121">
        <f>AT54*AU54*AW54</f>
        <v>0</v>
      </c>
      <c r="E54" s="16">
        <f>ROUND(AT54*AV54*AX54,4)</f>
        <v>0</v>
      </c>
      <c r="F54" s="91">
        <f>'7'!F54+'8'!F54+'9'!F54</f>
        <v>0</v>
      </c>
      <c r="G54" s="91">
        <f>'7'!G54+'8'!G54+'9'!G54</f>
        <v>0</v>
      </c>
      <c r="H54" s="135">
        <f>'7'!H54+'8'!H54+'9'!H54</f>
        <v>0</v>
      </c>
      <c r="I54" s="135">
        <f>'7'!I54+'8'!I54+'9'!I54</f>
        <v>0</v>
      </c>
      <c r="J54" s="13" t="s">
        <v>83</v>
      </c>
      <c r="K54" s="133">
        <f>'7'!K54+'8'!K54+'9'!K54</f>
        <v>0</v>
      </c>
      <c r="L54" s="133">
        <f>'7'!L54+'8'!L54+'9'!L54</f>
        <v>0</v>
      </c>
      <c r="M54" s="91">
        <f>'7'!M54+'8'!M54+'9'!M54</f>
        <v>0</v>
      </c>
      <c r="N54" s="91">
        <f>'7'!N54+'8'!N54+'9'!N54</f>
        <v>0</v>
      </c>
      <c r="O54" s="91">
        <f>'7'!O54+'8'!O54+'9'!O54</f>
        <v>0</v>
      </c>
      <c r="P54" s="91">
        <f>'7'!P54+'8'!P54+'9'!P54</f>
        <v>0</v>
      </c>
      <c r="Q54" s="91">
        <f>'7'!Q54+'8'!Q54+'9'!Q54</f>
        <v>0</v>
      </c>
      <c r="R54" s="91">
        <f>'7'!R54+'8'!R54+'9'!R54</f>
        <v>0</v>
      </c>
      <c r="S54" s="91">
        <f>'7'!S54+'8'!S54+'9'!S54</f>
        <v>0</v>
      </c>
      <c r="T54" s="91">
        <f>'7'!T54+'8'!T54+'9'!T54</f>
        <v>0</v>
      </c>
      <c r="U54" s="91">
        <f>'7'!U54+'8'!U54+'9'!U54</f>
        <v>0</v>
      </c>
      <c r="V54" s="91">
        <f>'7'!V54+'8'!V54+'9'!V54</f>
        <v>0</v>
      </c>
      <c r="W54" s="91">
        <f>'7'!W54+'8'!W54+'9'!W54</f>
        <v>0</v>
      </c>
      <c r="X54" s="91">
        <f>'7'!X54+'8'!X54+'9'!X54</f>
        <v>0</v>
      </c>
      <c r="Y54" s="91">
        <f>'7'!Y54+'8'!Y54+'9'!Y54</f>
        <v>0</v>
      </c>
      <c r="Z54" s="91">
        <f>'7'!Z54+'8'!Z54+'9'!Z54</f>
        <v>0</v>
      </c>
      <c r="AA54" s="91">
        <f>'7'!AA54+'8'!AA54+'9'!AA54</f>
        <v>0</v>
      </c>
      <c r="AB54" s="91">
        <f>'7'!AB54+'8'!AB54+'9'!AB54</f>
        <v>0</v>
      </c>
      <c r="AC54" s="91">
        <f>'7'!AC54+'8'!AC54+'9'!AC54</f>
        <v>0</v>
      </c>
      <c r="AD54" s="91">
        <f>'7'!AD54+'8'!AD54+'9'!AD54</f>
        <v>0</v>
      </c>
      <c r="AE54" s="91">
        <f>'7'!AE54+'8'!AE54+'9'!AE54</f>
        <v>0</v>
      </c>
      <c r="AF54" s="91">
        <f>'7'!AF54+'8'!AF54+'9'!AF54</f>
        <v>0</v>
      </c>
      <c r="AG54" s="91">
        <f>'7'!AG54+'8'!AG54+'9'!AG54</f>
        <v>0</v>
      </c>
      <c r="AH54" s="91">
        <f>'7'!AH54+'8'!AH54+'9'!AH54</f>
        <v>0</v>
      </c>
      <c r="AI54" s="91">
        <f>'7'!AI54+'8'!AI54+'9'!AI54</f>
        <v>0</v>
      </c>
      <c r="AJ54" s="91">
        <f>'7'!AJ54+'8'!AJ54+'9'!AJ54</f>
        <v>0</v>
      </c>
      <c r="AK54" s="91">
        <f>'7'!AK54+'8'!AK54+'9'!AK54</f>
        <v>0</v>
      </c>
      <c r="AL54" s="91">
        <f>'7'!AL54+'8'!AL54+'9'!AL54</f>
        <v>0</v>
      </c>
      <c r="AM54" s="91">
        <f>'7'!AM54+'8'!AM54+'9'!AM54</f>
        <v>0</v>
      </c>
      <c r="AN54" s="91">
        <f>'7'!AN54+'8'!AN54+'9'!AN54</f>
        <v>0</v>
      </c>
      <c r="AO54" s="91">
        <f>'7'!AO54+'8'!AO54+'9'!AO54</f>
        <v>0</v>
      </c>
      <c r="AP54" s="91">
        <f>'7'!AP54+'8'!AP54+'9'!AP54</f>
        <v>0</v>
      </c>
      <c r="AQ54" s="16">
        <f t="shared" si="3"/>
        <v>0</v>
      </c>
      <c r="AR54" s="17">
        <f t="shared" si="11"/>
        <v>0</v>
      </c>
      <c r="AS54" s="91">
        <f t="shared" si="15"/>
        <v>0</v>
      </c>
      <c r="AT54" s="91">
        <f>'7'!AT54+'8'!AT54+'9'!AT54</f>
        <v>0</v>
      </c>
      <c r="AU54" s="92">
        <f t="shared" si="16"/>
        <v>0</v>
      </c>
      <c r="AV54" s="92">
        <f t="shared" si="5"/>
        <v>0</v>
      </c>
      <c r="AW54" s="92">
        <f t="shared" si="17"/>
        <v>0</v>
      </c>
      <c r="AX54" s="92">
        <f t="shared" si="18"/>
        <v>0</v>
      </c>
      <c r="AY54" s="92">
        <f>IF(D54=0,0,K54/D54/24)</f>
        <v>0</v>
      </c>
      <c r="AZ54" s="92">
        <f>IF(E54=0,0,L54/E54/24)</f>
        <v>0</v>
      </c>
      <c r="BA54" s="95">
        <f t="shared" si="19"/>
        <v>0</v>
      </c>
      <c r="BB54" s="140"/>
      <c r="BC54"/>
    </row>
    <row r="55" spans="1:55" ht="15" customHeight="1" thickBot="1" x14ac:dyDescent="0.3">
      <c r="A55" s="87" t="s">
        <v>52</v>
      </c>
      <c r="B55" s="124"/>
      <c r="C55" s="87"/>
      <c r="D55" s="129">
        <f t="shared" ref="D55:E55" si="34">SUM(D56:D61)</f>
        <v>0</v>
      </c>
      <c r="E55" s="129">
        <f t="shared" si="34"/>
        <v>0</v>
      </c>
      <c r="F55" s="129">
        <f>SUM(F56:F61)</f>
        <v>0</v>
      </c>
      <c r="G55" s="129">
        <f t="shared" ref="G55:AP55" si="35">SUM(G56:G61)</f>
        <v>0</v>
      </c>
      <c r="H55" s="131">
        <f t="shared" si="35"/>
        <v>0</v>
      </c>
      <c r="I55" s="131">
        <f t="shared" si="35"/>
        <v>0</v>
      </c>
      <c r="J55" s="129">
        <f t="shared" si="35"/>
        <v>0</v>
      </c>
      <c r="K55" s="130">
        <f t="shared" si="35"/>
        <v>0</v>
      </c>
      <c r="L55" s="130">
        <f t="shared" si="35"/>
        <v>0</v>
      </c>
      <c r="M55" s="129">
        <f t="shared" si="35"/>
        <v>0</v>
      </c>
      <c r="N55" s="129">
        <f t="shared" si="35"/>
        <v>0</v>
      </c>
      <c r="O55" s="129">
        <f t="shared" si="35"/>
        <v>0</v>
      </c>
      <c r="P55" s="129">
        <f t="shared" si="35"/>
        <v>0</v>
      </c>
      <c r="Q55" s="129">
        <f t="shared" si="35"/>
        <v>0</v>
      </c>
      <c r="R55" s="129">
        <f t="shared" si="35"/>
        <v>0</v>
      </c>
      <c r="S55" s="129">
        <f t="shared" si="35"/>
        <v>0</v>
      </c>
      <c r="T55" s="129">
        <f t="shared" si="35"/>
        <v>0</v>
      </c>
      <c r="U55" s="129">
        <f t="shared" si="35"/>
        <v>0</v>
      </c>
      <c r="V55" s="129">
        <f t="shared" si="35"/>
        <v>0</v>
      </c>
      <c r="W55" s="129">
        <f t="shared" si="35"/>
        <v>0</v>
      </c>
      <c r="X55" s="129">
        <f t="shared" si="35"/>
        <v>0</v>
      </c>
      <c r="Y55" s="129">
        <f t="shared" si="35"/>
        <v>0</v>
      </c>
      <c r="Z55" s="129">
        <f t="shared" si="35"/>
        <v>0</v>
      </c>
      <c r="AA55" s="129">
        <f t="shared" si="35"/>
        <v>0</v>
      </c>
      <c r="AB55" s="129">
        <f t="shared" si="35"/>
        <v>0</v>
      </c>
      <c r="AC55" s="129">
        <f t="shared" si="35"/>
        <v>0</v>
      </c>
      <c r="AD55" s="129">
        <f t="shared" si="35"/>
        <v>0</v>
      </c>
      <c r="AE55" s="129">
        <f t="shared" si="35"/>
        <v>0</v>
      </c>
      <c r="AF55" s="129">
        <f t="shared" si="35"/>
        <v>0</v>
      </c>
      <c r="AG55" s="129">
        <f t="shared" si="35"/>
        <v>0</v>
      </c>
      <c r="AH55" s="129">
        <f t="shared" si="35"/>
        <v>0</v>
      </c>
      <c r="AI55" s="129">
        <f t="shared" si="35"/>
        <v>0</v>
      </c>
      <c r="AJ55" s="129">
        <f t="shared" si="35"/>
        <v>0</v>
      </c>
      <c r="AK55" s="129">
        <f t="shared" si="35"/>
        <v>0</v>
      </c>
      <c r="AL55" s="129">
        <f t="shared" si="35"/>
        <v>0</v>
      </c>
      <c r="AM55" s="129">
        <f t="shared" si="35"/>
        <v>0</v>
      </c>
      <c r="AN55" s="129">
        <f t="shared" si="35"/>
        <v>0</v>
      </c>
      <c r="AO55" s="129">
        <f t="shared" si="35"/>
        <v>0</v>
      </c>
      <c r="AP55" s="129">
        <f t="shared" si="35"/>
        <v>0</v>
      </c>
      <c r="AQ55" s="129">
        <f t="shared" si="3"/>
        <v>0</v>
      </c>
      <c r="AR55" s="129">
        <f t="shared" si="11"/>
        <v>0</v>
      </c>
      <c r="AS55" s="129">
        <f t="shared" si="15"/>
        <v>0</v>
      </c>
      <c r="AT55" s="129">
        <f>SUM(AT56:AT61)</f>
        <v>0</v>
      </c>
      <c r="AU55" s="131">
        <f t="shared" si="16"/>
        <v>0</v>
      </c>
      <c r="AV55" s="131">
        <f>IF(AT55=0,0,(AT55-N55-P55-R55-AC55-AD55-AE55-AF55-AG55-AH55-AI55-AJ55-AL55)/AT55)</f>
        <v>0</v>
      </c>
      <c r="AW55" s="131">
        <f t="shared" si="17"/>
        <v>0</v>
      </c>
      <c r="AX55" s="131">
        <f t="shared" si="18"/>
        <v>0</v>
      </c>
      <c r="AY55" s="131">
        <f>SUM(AY56:AY61)</f>
        <v>0</v>
      </c>
      <c r="AZ55" s="131">
        <f>SUM(AZ56:AZ61)</f>
        <v>0</v>
      </c>
      <c r="BA55" s="129">
        <f t="shared" si="19"/>
        <v>0</v>
      </c>
      <c r="BB55" s="141"/>
      <c r="BC55"/>
    </row>
    <row r="56" spans="1:55" ht="15" customHeight="1" x14ac:dyDescent="0.25">
      <c r="A56" s="97" t="s">
        <v>53</v>
      </c>
      <c r="B56" s="123" t="s">
        <v>144</v>
      </c>
      <c r="C56" s="115">
        <v>15</v>
      </c>
      <c r="D56" s="121">
        <f>AT56*AU56*AW56</f>
        <v>0</v>
      </c>
      <c r="E56" s="16">
        <f>ROUND(AT56*AV56*AX56,4)</f>
        <v>0</v>
      </c>
      <c r="F56" s="91">
        <f>'7'!F56+'8'!F56+'9'!F56</f>
        <v>0</v>
      </c>
      <c r="G56" s="91">
        <f>'7'!G56+'8'!G56+'9'!G56</f>
        <v>0</v>
      </c>
      <c r="H56" s="135">
        <f>'7'!H56+'8'!H56+'9'!H56</f>
        <v>0</v>
      </c>
      <c r="I56" s="135">
        <f>'7'!I56+'8'!I56+'9'!I56</f>
        <v>0</v>
      </c>
      <c r="J56" s="14" t="s">
        <v>55</v>
      </c>
      <c r="K56" s="133">
        <f>'7'!K56+'8'!K56+'9'!K56</f>
        <v>0</v>
      </c>
      <c r="L56" s="133">
        <f>'7'!L56+'8'!L56+'9'!L56</f>
        <v>0</v>
      </c>
      <c r="M56" s="91">
        <f>'7'!M56+'8'!M56+'9'!M56</f>
        <v>0</v>
      </c>
      <c r="N56" s="91">
        <f>'7'!N56+'8'!N56+'9'!N56</f>
        <v>0</v>
      </c>
      <c r="O56" s="91">
        <f>'7'!O56+'8'!O56+'9'!O56</f>
        <v>0</v>
      </c>
      <c r="P56" s="91">
        <f>'7'!P56+'8'!P56+'9'!P56</f>
        <v>0</v>
      </c>
      <c r="Q56" s="91">
        <f>'7'!Q56+'8'!Q56+'9'!Q56</f>
        <v>0</v>
      </c>
      <c r="R56" s="91">
        <f>'7'!R56+'8'!R56+'9'!R56</f>
        <v>0</v>
      </c>
      <c r="S56" s="91">
        <f>'7'!S56+'8'!S56+'9'!S56</f>
        <v>0</v>
      </c>
      <c r="T56" s="91">
        <f>'7'!T56+'8'!T56+'9'!T56</f>
        <v>0</v>
      </c>
      <c r="U56" s="91">
        <f>'7'!U56+'8'!U56+'9'!U56</f>
        <v>0</v>
      </c>
      <c r="V56" s="91">
        <f>'7'!V56+'8'!V56+'9'!V56</f>
        <v>0</v>
      </c>
      <c r="W56" s="91">
        <f>'7'!W56+'8'!W56+'9'!W56</f>
        <v>0</v>
      </c>
      <c r="X56" s="91">
        <f>'7'!X56+'8'!X56+'9'!X56</f>
        <v>0</v>
      </c>
      <c r="Y56" s="91">
        <f>'7'!Y56+'8'!Y56+'9'!Y56</f>
        <v>0</v>
      </c>
      <c r="Z56" s="91">
        <f>'7'!Z56+'8'!Z56+'9'!Z56</f>
        <v>0</v>
      </c>
      <c r="AA56" s="91">
        <f>'7'!AA56+'8'!AA56+'9'!AA56</f>
        <v>0</v>
      </c>
      <c r="AB56" s="91">
        <f>'7'!AB56+'8'!AB56+'9'!AB56</f>
        <v>0</v>
      </c>
      <c r="AC56" s="91">
        <f>'7'!AC56+'8'!AC56+'9'!AC56</f>
        <v>0</v>
      </c>
      <c r="AD56" s="91">
        <f>'7'!AD56+'8'!AD56+'9'!AD56</f>
        <v>0</v>
      </c>
      <c r="AE56" s="91">
        <f>'7'!AE56+'8'!AE56+'9'!AE56</f>
        <v>0</v>
      </c>
      <c r="AF56" s="91">
        <f>'7'!AF56+'8'!AF56+'9'!AF56</f>
        <v>0</v>
      </c>
      <c r="AG56" s="91">
        <f>'7'!AG56+'8'!AG56+'9'!AG56</f>
        <v>0</v>
      </c>
      <c r="AH56" s="91">
        <f>'7'!AH56+'8'!AH56+'9'!AH56</f>
        <v>0</v>
      </c>
      <c r="AI56" s="91">
        <f>'7'!AI56+'8'!AI56+'9'!AI56</f>
        <v>0</v>
      </c>
      <c r="AJ56" s="91">
        <f>'7'!AJ56+'8'!AJ56+'9'!AJ56</f>
        <v>0</v>
      </c>
      <c r="AK56" s="91">
        <f>'7'!AK56+'8'!AK56+'9'!AK56</f>
        <v>0</v>
      </c>
      <c r="AL56" s="91">
        <f>'7'!AL56+'8'!AL56+'9'!AL56</f>
        <v>0</v>
      </c>
      <c r="AM56" s="91">
        <f>'7'!AM56+'8'!AM56+'9'!AM56</f>
        <v>0</v>
      </c>
      <c r="AN56" s="91">
        <f>'7'!AN56+'8'!AN56+'9'!AN56</f>
        <v>0</v>
      </c>
      <c r="AO56" s="91">
        <f>'7'!AO56+'8'!AO56+'9'!AO56</f>
        <v>0</v>
      </c>
      <c r="AP56" s="91">
        <f>'7'!AP56+'8'!AP56+'9'!AP56</f>
        <v>0</v>
      </c>
      <c r="AQ56" s="16">
        <f t="shared" si="3"/>
        <v>0</v>
      </c>
      <c r="AR56" s="17">
        <f t="shared" si="11"/>
        <v>0</v>
      </c>
      <c r="AS56" s="91">
        <f t="shared" si="15"/>
        <v>0</v>
      </c>
      <c r="AT56" s="91">
        <f>'7'!AT56+'8'!AT56+'9'!AT56</f>
        <v>0</v>
      </c>
      <c r="AU56" s="92">
        <f t="shared" si="16"/>
        <v>0</v>
      </c>
      <c r="AV56" s="92">
        <f t="shared" si="5"/>
        <v>0</v>
      </c>
      <c r="AW56" s="92">
        <f t="shared" si="17"/>
        <v>0</v>
      </c>
      <c r="AX56" s="92">
        <f t="shared" si="18"/>
        <v>0</v>
      </c>
      <c r="AY56" s="92">
        <f t="shared" ref="AY56:AZ58" si="36">IF(D56=0,0,K56/D56/24)</f>
        <v>0</v>
      </c>
      <c r="AZ56" s="92">
        <f t="shared" si="36"/>
        <v>0</v>
      </c>
      <c r="BA56" s="95">
        <f t="shared" si="19"/>
        <v>0</v>
      </c>
      <c r="BB56" s="138"/>
      <c r="BC56"/>
    </row>
    <row r="57" spans="1:55" ht="15" customHeight="1" x14ac:dyDescent="0.25">
      <c r="A57" s="71" t="s">
        <v>54</v>
      </c>
      <c r="B57" s="123" t="s">
        <v>145</v>
      </c>
      <c r="C57" s="112">
        <v>16</v>
      </c>
      <c r="D57" s="121">
        <f>AT57*AU57*AW57</f>
        <v>0</v>
      </c>
      <c r="E57" s="16">
        <f>ROUND(AT57*AV57*AX57,4)</f>
        <v>0</v>
      </c>
      <c r="F57" s="91">
        <f>'7'!F57+'8'!F57+'9'!F57</f>
        <v>0</v>
      </c>
      <c r="G57" s="91">
        <f>'7'!G57+'8'!G57+'9'!G57</f>
        <v>0</v>
      </c>
      <c r="H57" s="135">
        <f>'7'!H57+'8'!H57+'9'!H57</f>
        <v>0</v>
      </c>
      <c r="I57" s="135">
        <f>'7'!I57+'8'!I57+'9'!I57</f>
        <v>0</v>
      </c>
      <c r="J57" s="7" t="s">
        <v>55</v>
      </c>
      <c r="K57" s="133">
        <f>'7'!K57+'8'!K57+'9'!K57</f>
        <v>0</v>
      </c>
      <c r="L57" s="133">
        <f>'7'!L57+'8'!L57+'9'!L57</f>
        <v>0</v>
      </c>
      <c r="M57" s="91">
        <f>'7'!M57+'8'!M57+'9'!M57</f>
        <v>0</v>
      </c>
      <c r="N57" s="91">
        <f>'7'!N57+'8'!N57+'9'!N57</f>
        <v>0</v>
      </c>
      <c r="O57" s="91">
        <f>'7'!O57+'8'!O57+'9'!O57</f>
        <v>0</v>
      </c>
      <c r="P57" s="91">
        <f>'7'!P57+'8'!P57+'9'!P57</f>
        <v>0</v>
      </c>
      <c r="Q57" s="91">
        <f>'7'!Q57+'8'!Q57+'9'!Q57</f>
        <v>0</v>
      </c>
      <c r="R57" s="91">
        <f>'7'!R57+'8'!R57+'9'!R57</f>
        <v>0</v>
      </c>
      <c r="S57" s="91">
        <f>'7'!S57+'8'!S57+'9'!S57</f>
        <v>0</v>
      </c>
      <c r="T57" s="91">
        <f>'7'!T57+'8'!T57+'9'!T57</f>
        <v>0</v>
      </c>
      <c r="U57" s="91">
        <f>'7'!U57+'8'!U57+'9'!U57</f>
        <v>0</v>
      </c>
      <c r="V57" s="91">
        <f>'7'!V57+'8'!V57+'9'!V57</f>
        <v>0</v>
      </c>
      <c r="W57" s="91">
        <f>'7'!W57+'8'!W57+'9'!W57</f>
        <v>0</v>
      </c>
      <c r="X57" s="91">
        <f>'7'!X57+'8'!X57+'9'!X57</f>
        <v>0</v>
      </c>
      <c r="Y57" s="91">
        <f>'7'!Y57+'8'!Y57+'9'!Y57</f>
        <v>0</v>
      </c>
      <c r="Z57" s="91">
        <f>'7'!Z57+'8'!Z57+'9'!Z57</f>
        <v>0</v>
      </c>
      <c r="AA57" s="91">
        <f>'7'!AA57+'8'!AA57+'9'!AA57</f>
        <v>0</v>
      </c>
      <c r="AB57" s="91">
        <f>'7'!AB57+'8'!AB57+'9'!AB57</f>
        <v>0</v>
      </c>
      <c r="AC57" s="91">
        <f>'7'!AC57+'8'!AC57+'9'!AC57</f>
        <v>0</v>
      </c>
      <c r="AD57" s="91">
        <f>'7'!AD57+'8'!AD57+'9'!AD57</f>
        <v>0</v>
      </c>
      <c r="AE57" s="91">
        <f>'7'!AE57+'8'!AE57+'9'!AE57</f>
        <v>0</v>
      </c>
      <c r="AF57" s="91">
        <f>'7'!AF57+'8'!AF57+'9'!AF57</f>
        <v>0</v>
      </c>
      <c r="AG57" s="91">
        <f>'7'!AG57+'8'!AG57+'9'!AG57</f>
        <v>0</v>
      </c>
      <c r="AH57" s="91">
        <f>'7'!AH57+'8'!AH57+'9'!AH57</f>
        <v>0</v>
      </c>
      <c r="AI57" s="91">
        <f>'7'!AI57+'8'!AI57+'9'!AI57</f>
        <v>0</v>
      </c>
      <c r="AJ57" s="91">
        <f>'7'!AJ57+'8'!AJ57+'9'!AJ57</f>
        <v>0</v>
      </c>
      <c r="AK57" s="91">
        <f>'7'!AK57+'8'!AK57+'9'!AK57</f>
        <v>0</v>
      </c>
      <c r="AL57" s="91">
        <f>'7'!AL57+'8'!AL57+'9'!AL57</f>
        <v>0</v>
      </c>
      <c r="AM57" s="91">
        <f>'7'!AM57+'8'!AM57+'9'!AM57</f>
        <v>0</v>
      </c>
      <c r="AN57" s="91">
        <f>'7'!AN57+'8'!AN57+'9'!AN57</f>
        <v>0</v>
      </c>
      <c r="AO57" s="91">
        <f>'7'!AO57+'8'!AO57+'9'!AO57</f>
        <v>0</v>
      </c>
      <c r="AP57" s="91">
        <f>'7'!AP57+'8'!AP57+'9'!AP57</f>
        <v>0</v>
      </c>
      <c r="AQ57" s="16">
        <f t="shared" si="3"/>
        <v>0</v>
      </c>
      <c r="AR57" s="17">
        <f t="shared" si="11"/>
        <v>0</v>
      </c>
      <c r="AS57" s="91">
        <f t="shared" si="15"/>
        <v>0</v>
      </c>
      <c r="AT57" s="91">
        <f>'7'!AT57+'8'!AT57+'9'!AT57</f>
        <v>0</v>
      </c>
      <c r="AU57" s="92">
        <f t="shared" si="16"/>
        <v>0</v>
      </c>
      <c r="AV57" s="92">
        <f t="shared" si="5"/>
        <v>0</v>
      </c>
      <c r="AW57" s="92">
        <f t="shared" si="17"/>
        <v>0</v>
      </c>
      <c r="AX57" s="92">
        <f t="shared" si="18"/>
        <v>0</v>
      </c>
      <c r="AY57" s="92">
        <f t="shared" si="36"/>
        <v>0</v>
      </c>
      <c r="AZ57" s="92">
        <f t="shared" si="36"/>
        <v>0</v>
      </c>
      <c r="BA57" s="95">
        <f t="shared" si="19"/>
        <v>0</v>
      </c>
      <c r="BB57" s="139"/>
      <c r="BC57"/>
    </row>
    <row r="58" spans="1:55" ht="15" customHeight="1" x14ac:dyDescent="0.25">
      <c r="A58" s="73" t="s">
        <v>124</v>
      </c>
      <c r="B58" s="123" t="s">
        <v>146</v>
      </c>
      <c r="C58" s="113">
        <v>26</v>
      </c>
      <c r="D58" s="121">
        <f>AT58*AU58*AW58</f>
        <v>0</v>
      </c>
      <c r="E58" s="16">
        <f>ROUND(AT58*AV58*AX58,4)</f>
        <v>0</v>
      </c>
      <c r="F58" s="91">
        <f>'7'!F58+'8'!F58+'9'!F58</f>
        <v>0</v>
      </c>
      <c r="G58" s="91">
        <f>'7'!G58+'8'!G58+'9'!G58</f>
        <v>0</v>
      </c>
      <c r="H58" s="135">
        <f>'7'!H58+'8'!H58+'9'!H58</f>
        <v>0</v>
      </c>
      <c r="I58" s="135">
        <f>'7'!I58+'8'!I58+'9'!I58</f>
        <v>0</v>
      </c>
      <c r="J58" s="7" t="s">
        <v>55</v>
      </c>
      <c r="K58" s="133">
        <f>'7'!K58+'8'!K58+'9'!K58</f>
        <v>0</v>
      </c>
      <c r="L58" s="133">
        <f>'7'!L58+'8'!L58+'9'!L58</f>
        <v>0</v>
      </c>
      <c r="M58" s="91">
        <f>'7'!M58+'8'!M58+'9'!M58</f>
        <v>0</v>
      </c>
      <c r="N58" s="91">
        <f>'7'!N58+'8'!N58+'9'!N58</f>
        <v>0</v>
      </c>
      <c r="O58" s="91">
        <f>'7'!O58+'8'!O58+'9'!O58</f>
        <v>0</v>
      </c>
      <c r="P58" s="91">
        <f>'7'!P58+'8'!P58+'9'!P58</f>
        <v>0</v>
      </c>
      <c r="Q58" s="91">
        <f>'7'!Q58+'8'!Q58+'9'!Q58</f>
        <v>0</v>
      </c>
      <c r="R58" s="91">
        <f>'7'!R58+'8'!R58+'9'!R58</f>
        <v>0</v>
      </c>
      <c r="S58" s="91">
        <f>'7'!S58+'8'!S58+'9'!S58</f>
        <v>0</v>
      </c>
      <c r="T58" s="91">
        <f>'7'!T58+'8'!T58+'9'!T58</f>
        <v>0</v>
      </c>
      <c r="U58" s="91">
        <f>'7'!U58+'8'!U58+'9'!U58</f>
        <v>0</v>
      </c>
      <c r="V58" s="91">
        <f>'7'!V58+'8'!V58+'9'!V58</f>
        <v>0</v>
      </c>
      <c r="W58" s="91">
        <f>'7'!W58+'8'!W58+'9'!W58</f>
        <v>0</v>
      </c>
      <c r="X58" s="91">
        <f>'7'!X58+'8'!X58+'9'!X58</f>
        <v>0</v>
      </c>
      <c r="Y58" s="91">
        <f>'7'!Y58+'8'!Y58+'9'!Y58</f>
        <v>0</v>
      </c>
      <c r="Z58" s="91">
        <f>'7'!Z58+'8'!Z58+'9'!Z58</f>
        <v>0</v>
      </c>
      <c r="AA58" s="91">
        <f>'7'!AA58+'8'!AA58+'9'!AA58</f>
        <v>0</v>
      </c>
      <c r="AB58" s="91">
        <f>'7'!AB58+'8'!AB58+'9'!AB58</f>
        <v>0</v>
      </c>
      <c r="AC58" s="91">
        <f>'7'!AC58+'8'!AC58+'9'!AC58</f>
        <v>0</v>
      </c>
      <c r="AD58" s="91">
        <f>'7'!AD58+'8'!AD58+'9'!AD58</f>
        <v>0</v>
      </c>
      <c r="AE58" s="91">
        <f>'7'!AE58+'8'!AE58+'9'!AE58</f>
        <v>0</v>
      </c>
      <c r="AF58" s="91">
        <f>'7'!AF58+'8'!AF58+'9'!AF58</f>
        <v>0</v>
      </c>
      <c r="AG58" s="91">
        <f>'7'!AG58+'8'!AG58+'9'!AG58</f>
        <v>0</v>
      </c>
      <c r="AH58" s="91">
        <f>'7'!AH58+'8'!AH58+'9'!AH58</f>
        <v>0</v>
      </c>
      <c r="AI58" s="91">
        <f>'7'!AI58+'8'!AI58+'9'!AI58</f>
        <v>0</v>
      </c>
      <c r="AJ58" s="91">
        <f>'7'!AJ58+'8'!AJ58+'9'!AJ58</f>
        <v>0</v>
      </c>
      <c r="AK58" s="91">
        <f>'7'!AK58+'8'!AK58+'9'!AK58</f>
        <v>0</v>
      </c>
      <c r="AL58" s="91">
        <f>'7'!AL58+'8'!AL58+'9'!AL58</f>
        <v>0</v>
      </c>
      <c r="AM58" s="91">
        <f>'7'!AM58+'8'!AM58+'9'!AM58</f>
        <v>0</v>
      </c>
      <c r="AN58" s="91">
        <f>'7'!AN58+'8'!AN58+'9'!AN58</f>
        <v>0</v>
      </c>
      <c r="AO58" s="91">
        <f>'7'!AO58+'8'!AO58+'9'!AO58</f>
        <v>0</v>
      </c>
      <c r="AP58" s="91">
        <f>'7'!AP58+'8'!AP58+'9'!AP58</f>
        <v>0</v>
      </c>
      <c r="AQ58" s="16">
        <f t="shared" si="3"/>
        <v>0</v>
      </c>
      <c r="AR58" s="17">
        <f t="shared" si="11"/>
        <v>0</v>
      </c>
      <c r="AS58" s="91">
        <f t="shared" si="15"/>
        <v>0</v>
      </c>
      <c r="AT58" s="91">
        <f>'7'!AT58+'8'!AT58+'9'!AT58</f>
        <v>0</v>
      </c>
      <c r="AU58" s="92">
        <f t="shared" si="16"/>
        <v>0</v>
      </c>
      <c r="AV58" s="92">
        <f t="shared" si="5"/>
        <v>0</v>
      </c>
      <c r="AW58" s="92">
        <f t="shared" si="17"/>
        <v>0</v>
      </c>
      <c r="AX58" s="92">
        <f t="shared" si="18"/>
        <v>0</v>
      </c>
      <c r="AY58" s="92">
        <f t="shared" si="36"/>
        <v>0</v>
      </c>
      <c r="AZ58" s="92">
        <f t="shared" si="36"/>
        <v>0</v>
      </c>
      <c r="BA58" s="95">
        <f t="shared" si="19"/>
        <v>0</v>
      </c>
      <c r="BB58" s="139"/>
      <c r="BC58"/>
    </row>
    <row r="59" spans="1:55" ht="15" customHeight="1" x14ac:dyDescent="0.25">
      <c r="A59" s="73" t="s">
        <v>125</v>
      </c>
      <c r="B59" s="123" t="s">
        <v>147</v>
      </c>
      <c r="C59" s="112">
        <v>30</v>
      </c>
      <c r="D59" s="121">
        <f t="shared" ref="D59:D61" si="37">AT59*AU59*AW59</f>
        <v>0</v>
      </c>
      <c r="E59" s="16">
        <f t="shared" ref="E59:E61" si="38">ROUND(AT59*AV59*AX59,4)</f>
        <v>0</v>
      </c>
      <c r="F59" s="91">
        <f>'7'!F59+'8'!F59+'9'!F59</f>
        <v>0</v>
      </c>
      <c r="G59" s="91">
        <f>'7'!G59+'8'!G59+'9'!G59</f>
        <v>0</v>
      </c>
      <c r="H59" s="135">
        <f>'7'!H59+'8'!H59+'9'!H59</f>
        <v>0</v>
      </c>
      <c r="I59" s="135">
        <f>'7'!I59+'8'!I59+'9'!I59</f>
        <v>0</v>
      </c>
      <c r="J59" s="7" t="s">
        <v>55</v>
      </c>
      <c r="K59" s="133">
        <f>'7'!K59+'8'!K59+'9'!K59</f>
        <v>0</v>
      </c>
      <c r="L59" s="133">
        <f>'7'!L59+'8'!L59+'9'!L59</f>
        <v>0</v>
      </c>
      <c r="M59" s="91">
        <f>'7'!M59+'8'!M59+'9'!M59</f>
        <v>0</v>
      </c>
      <c r="N59" s="91">
        <f>'7'!N59+'8'!N59+'9'!N59</f>
        <v>0</v>
      </c>
      <c r="O59" s="91">
        <f>'7'!O59+'8'!O59+'9'!O59</f>
        <v>0</v>
      </c>
      <c r="P59" s="91">
        <f>'7'!P59+'8'!P59+'9'!P59</f>
        <v>0</v>
      </c>
      <c r="Q59" s="91">
        <f>'7'!Q59+'8'!Q59+'9'!Q59</f>
        <v>0</v>
      </c>
      <c r="R59" s="91">
        <f>'7'!R59+'8'!R59+'9'!R59</f>
        <v>0</v>
      </c>
      <c r="S59" s="91">
        <f>'7'!S59+'8'!S59+'9'!S59</f>
        <v>0</v>
      </c>
      <c r="T59" s="91">
        <f>'7'!T59+'8'!T59+'9'!T59</f>
        <v>0</v>
      </c>
      <c r="U59" s="91">
        <f>'7'!U59+'8'!U59+'9'!U59</f>
        <v>0</v>
      </c>
      <c r="V59" s="91">
        <f>'7'!V59+'8'!V59+'9'!V59</f>
        <v>0</v>
      </c>
      <c r="W59" s="91">
        <f>'7'!W59+'8'!W59+'9'!W59</f>
        <v>0</v>
      </c>
      <c r="X59" s="91">
        <f>'7'!X59+'8'!X59+'9'!X59</f>
        <v>0</v>
      </c>
      <c r="Y59" s="91">
        <f>'7'!Y59+'8'!Y59+'9'!Y59</f>
        <v>0</v>
      </c>
      <c r="Z59" s="91">
        <f>'7'!Z59+'8'!Z59+'9'!Z59</f>
        <v>0</v>
      </c>
      <c r="AA59" s="91">
        <f>'7'!AA59+'8'!AA59+'9'!AA59</f>
        <v>0</v>
      </c>
      <c r="AB59" s="91">
        <f>'7'!AB59+'8'!AB59+'9'!AB59</f>
        <v>0</v>
      </c>
      <c r="AC59" s="91">
        <f>'7'!AC59+'8'!AC59+'9'!AC59</f>
        <v>0</v>
      </c>
      <c r="AD59" s="91">
        <f>'7'!AD59+'8'!AD59+'9'!AD59</f>
        <v>0</v>
      </c>
      <c r="AE59" s="91">
        <f>'7'!AE59+'8'!AE59+'9'!AE59</f>
        <v>0</v>
      </c>
      <c r="AF59" s="91">
        <f>'7'!AF59+'8'!AF59+'9'!AF59</f>
        <v>0</v>
      </c>
      <c r="AG59" s="91">
        <f>'7'!AG59+'8'!AG59+'9'!AG59</f>
        <v>0</v>
      </c>
      <c r="AH59" s="91">
        <f>'7'!AH59+'8'!AH59+'9'!AH59</f>
        <v>0</v>
      </c>
      <c r="AI59" s="91">
        <f>'7'!AI59+'8'!AI59+'9'!AI59</f>
        <v>0</v>
      </c>
      <c r="AJ59" s="91">
        <f>'7'!AJ59+'8'!AJ59+'9'!AJ59</f>
        <v>0</v>
      </c>
      <c r="AK59" s="91">
        <f>'7'!AK59+'8'!AK59+'9'!AK59</f>
        <v>0</v>
      </c>
      <c r="AL59" s="91">
        <f>'7'!AL59+'8'!AL59+'9'!AL59</f>
        <v>0</v>
      </c>
      <c r="AM59" s="91">
        <f>'7'!AM59+'8'!AM59+'9'!AM59</f>
        <v>0</v>
      </c>
      <c r="AN59" s="91">
        <f>'7'!AN59+'8'!AN59+'9'!AN59</f>
        <v>0</v>
      </c>
      <c r="AO59" s="91">
        <f>'7'!AO59+'8'!AO59+'9'!AO59</f>
        <v>0</v>
      </c>
      <c r="AP59" s="91">
        <f>'7'!AP59+'8'!AP59+'9'!AP59</f>
        <v>0</v>
      </c>
      <c r="AQ59" s="16">
        <f t="shared" ref="AQ59:AQ61" si="39">M59+O59+S59+U59+W59+AA59+Q59+Y59</f>
        <v>0</v>
      </c>
      <c r="AR59" s="17">
        <f t="shared" ref="AR59:AR61" si="40">N59+P59+R59+AC59+AD59+AE59+AF59+AG59+AH59+AI59+AJ59+AK59+AL59+AM59+AN59+AO59+AP59+T59+V59+AB59</f>
        <v>0</v>
      </c>
      <c r="AS59" s="91">
        <f t="shared" ref="AS59:AS61" si="41">AT59</f>
        <v>0</v>
      </c>
      <c r="AT59" s="91">
        <f>'7'!AT59+'8'!AT59+'9'!AT59</f>
        <v>0</v>
      </c>
      <c r="AU59" s="92">
        <f t="shared" ref="AU59:AU61" si="42">IF(AT59-AQ59=0,0,(AT59-M59-O59-Q59)/AT59)</f>
        <v>0</v>
      </c>
      <c r="AV59" s="92">
        <f t="shared" ref="AV59:AV61" si="43">IF(AT59=0,0,(AT59-N59-P59-R59-AC59-AD59-AE59-AF59-AG59-AH59-AI59-AJ59-AL59)/AT59)</f>
        <v>0</v>
      </c>
      <c r="AW59" s="92">
        <f t="shared" ref="AW59:AW61" si="44">IF(OR(AT59=0,AU59=0),0,((AT59*AU59)-S59-U59-W59-AA59-Y59)/(AT59*AU59))</f>
        <v>0</v>
      </c>
      <c r="AX59" s="92">
        <f t="shared" ref="AX59:AX61" si="45">IF(OR(AT59=0,AV59=0),0,((AT59*AV59)-AK59-AM59-AN59-AO59-AP59-T59-V59-X59-Z59-AB59)/(AT59*AV59))</f>
        <v>0</v>
      </c>
      <c r="AY59" s="92">
        <f t="shared" ref="AY59:AY61" si="46">IF(D59=0,0,K59/D59/24)</f>
        <v>0</v>
      </c>
      <c r="AZ59" s="92">
        <f t="shared" ref="AZ59:AZ61" si="47">IF(E59=0,0,L59/E59/24)</f>
        <v>0</v>
      </c>
      <c r="BA59" s="95">
        <f t="shared" ref="BA59:BA61" si="48">ROUND(AT59-E59-AR59,4)</f>
        <v>0</v>
      </c>
      <c r="BB59" s="139"/>
      <c r="BC59"/>
    </row>
    <row r="60" spans="1:55" ht="15" customHeight="1" x14ac:dyDescent="0.25">
      <c r="A60" s="73" t="s">
        <v>151</v>
      </c>
      <c r="B60" s="148" t="s">
        <v>150</v>
      </c>
      <c r="C60" s="112">
        <v>32</v>
      </c>
      <c r="D60" s="121">
        <f t="shared" si="37"/>
        <v>0</v>
      </c>
      <c r="E60" s="16">
        <f t="shared" si="38"/>
        <v>0</v>
      </c>
      <c r="F60" s="91">
        <f>'7'!F60+'8'!F60+'9'!F60</f>
        <v>0</v>
      </c>
      <c r="G60" s="91">
        <f>'7'!G60+'8'!G60+'9'!G60</f>
        <v>0</v>
      </c>
      <c r="H60" s="135">
        <f>'7'!H60+'8'!H60+'9'!H60</f>
        <v>0</v>
      </c>
      <c r="I60" s="135">
        <f>'7'!I60+'8'!I60+'9'!I60</f>
        <v>0</v>
      </c>
      <c r="J60" s="7" t="s">
        <v>55</v>
      </c>
      <c r="K60" s="133">
        <f>'7'!K60+'8'!K60+'9'!K60</f>
        <v>0</v>
      </c>
      <c r="L60" s="133">
        <f>'7'!L60+'8'!L60+'9'!L60</f>
        <v>0</v>
      </c>
      <c r="M60" s="91">
        <f>'7'!M60+'8'!M60+'9'!M60</f>
        <v>0</v>
      </c>
      <c r="N60" s="91">
        <f>'7'!N60+'8'!N60+'9'!N60</f>
        <v>0</v>
      </c>
      <c r="O60" s="91">
        <f>'7'!O60+'8'!O60+'9'!O60</f>
        <v>0</v>
      </c>
      <c r="P60" s="91">
        <f>'7'!P60+'8'!P60+'9'!P60</f>
        <v>0</v>
      </c>
      <c r="Q60" s="91">
        <f>'7'!Q60+'8'!Q60+'9'!Q60</f>
        <v>0</v>
      </c>
      <c r="R60" s="91">
        <f>'7'!R60+'8'!R60+'9'!R60</f>
        <v>0</v>
      </c>
      <c r="S60" s="91">
        <f>'7'!S60+'8'!S60+'9'!S60</f>
        <v>0</v>
      </c>
      <c r="T60" s="91">
        <f>'7'!T60+'8'!T60+'9'!T60</f>
        <v>0</v>
      </c>
      <c r="U60" s="91">
        <f>'7'!U60+'8'!U60+'9'!U60</f>
        <v>0</v>
      </c>
      <c r="V60" s="91">
        <f>'7'!V60+'8'!V60+'9'!V60</f>
        <v>0</v>
      </c>
      <c r="W60" s="91">
        <f>'7'!W60+'8'!W60+'9'!W60</f>
        <v>0</v>
      </c>
      <c r="X60" s="91">
        <f>'7'!X60+'8'!X60+'9'!X60</f>
        <v>0</v>
      </c>
      <c r="Y60" s="91">
        <f>'7'!Y60+'8'!Y60+'9'!Y60</f>
        <v>0</v>
      </c>
      <c r="Z60" s="91">
        <f>'7'!Z60+'8'!Z60+'9'!Z60</f>
        <v>0</v>
      </c>
      <c r="AA60" s="91">
        <f>'7'!AA60+'8'!AA60+'9'!AA60</f>
        <v>0</v>
      </c>
      <c r="AB60" s="91">
        <f>'7'!AB60+'8'!AB60+'9'!AB60</f>
        <v>0</v>
      </c>
      <c r="AC60" s="91">
        <f>'7'!AC60+'8'!AC60+'9'!AC60</f>
        <v>0</v>
      </c>
      <c r="AD60" s="91">
        <f>'7'!AD60+'8'!AD60+'9'!AD60</f>
        <v>0</v>
      </c>
      <c r="AE60" s="91">
        <f>'7'!AE60+'8'!AE60+'9'!AE60</f>
        <v>0</v>
      </c>
      <c r="AF60" s="91">
        <f>'7'!AF60+'8'!AF60+'9'!AF60</f>
        <v>0</v>
      </c>
      <c r="AG60" s="91">
        <f>'7'!AG60+'8'!AG60+'9'!AG60</f>
        <v>0</v>
      </c>
      <c r="AH60" s="91">
        <f>'7'!AH60+'8'!AH60+'9'!AH60</f>
        <v>0</v>
      </c>
      <c r="AI60" s="91">
        <f>'7'!AI60+'8'!AI60+'9'!AI60</f>
        <v>0</v>
      </c>
      <c r="AJ60" s="91">
        <f>'7'!AJ60+'8'!AJ60+'9'!AJ60</f>
        <v>0</v>
      </c>
      <c r="AK60" s="91">
        <f>'7'!AK60+'8'!AK60+'9'!AK60</f>
        <v>0</v>
      </c>
      <c r="AL60" s="91">
        <f>'7'!AL60+'8'!AL60+'9'!AL60</f>
        <v>0</v>
      </c>
      <c r="AM60" s="91">
        <f>'7'!AM60+'8'!AM60+'9'!AM60</f>
        <v>0</v>
      </c>
      <c r="AN60" s="91">
        <f>'7'!AN60+'8'!AN60+'9'!AN60</f>
        <v>0</v>
      </c>
      <c r="AO60" s="91">
        <f>'7'!AO60+'8'!AO60+'9'!AO60</f>
        <v>0</v>
      </c>
      <c r="AP60" s="91">
        <f>'7'!AP60+'8'!AP60+'9'!AP60</f>
        <v>0</v>
      </c>
      <c r="AQ60" s="16">
        <f t="shared" si="39"/>
        <v>0</v>
      </c>
      <c r="AR60" s="17">
        <f t="shared" si="40"/>
        <v>0</v>
      </c>
      <c r="AS60" s="91">
        <f t="shared" si="41"/>
        <v>0</v>
      </c>
      <c r="AT60" s="91">
        <f>'7'!AT60+'8'!AT60+'9'!AT60</f>
        <v>0</v>
      </c>
      <c r="AU60" s="92">
        <f t="shared" si="42"/>
        <v>0</v>
      </c>
      <c r="AV60" s="92">
        <f t="shared" si="43"/>
        <v>0</v>
      </c>
      <c r="AW60" s="92">
        <f t="shared" si="44"/>
        <v>0</v>
      </c>
      <c r="AX60" s="92">
        <f t="shared" si="45"/>
        <v>0</v>
      </c>
      <c r="AY60" s="92">
        <f t="shared" si="46"/>
        <v>0</v>
      </c>
      <c r="AZ60" s="92">
        <f t="shared" si="47"/>
        <v>0</v>
      </c>
      <c r="BA60" s="95">
        <f t="shared" si="48"/>
        <v>0</v>
      </c>
      <c r="BB60" s="139"/>
      <c r="BC60"/>
    </row>
    <row r="61" spans="1:55" ht="15" customHeight="1" thickBot="1" x14ac:dyDescent="0.3">
      <c r="A61" s="143" t="s">
        <v>152</v>
      </c>
      <c r="B61" s="125" t="s">
        <v>154</v>
      </c>
      <c r="C61" s="144">
        <v>24</v>
      </c>
      <c r="D61" s="122">
        <f t="shared" si="37"/>
        <v>0</v>
      </c>
      <c r="E61" s="63">
        <f t="shared" si="38"/>
        <v>0</v>
      </c>
      <c r="F61" s="64">
        <f>'7'!F61+'8'!F61+'9'!F61</f>
        <v>0</v>
      </c>
      <c r="G61" s="64">
        <f>'7'!G61+'8'!G61+'9'!G61</f>
        <v>0</v>
      </c>
      <c r="H61" s="136">
        <f>'7'!H61+'8'!H61+'9'!H61</f>
        <v>0</v>
      </c>
      <c r="I61" s="136">
        <f>'7'!I61+'8'!I61+'9'!I61</f>
        <v>0</v>
      </c>
      <c r="J61" s="66" t="s">
        <v>55</v>
      </c>
      <c r="K61" s="134">
        <f>'7'!K61+'8'!K61+'9'!K61</f>
        <v>0</v>
      </c>
      <c r="L61" s="134">
        <f>'7'!L61+'8'!L61+'9'!L61</f>
        <v>0</v>
      </c>
      <c r="M61" s="64">
        <f>'7'!M61+'8'!M61+'9'!M61</f>
        <v>0</v>
      </c>
      <c r="N61" s="64">
        <f>'7'!N61+'8'!N61+'9'!N61</f>
        <v>0</v>
      </c>
      <c r="O61" s="64">
        <f>'7'!O61+'8'!O61+'9'!O61</f>
        <v>0</v>
      </c>
      <c r="P61" s="64">
        <f>'7'!P61+'8'!P61+'9'!P61</f>
        <v>0</v>
      </c>
      <c r="Q61" s="64">
        <f>'7'!Q61+'8'!Q61+'9'!Q61</f>
        <v>0</v>
      </c>
      <c r="R61" s="64">
        <f>'7'!R61+'8'!R61+'9'!R61</f>
        <v>0</v>
      </c>
      <c r="S61" s="64">
        <f>'7'!S61+'8'!S61+'9'!S61</f>
        <v>0</v>
      </c>
      <c r="T61" s="64">
        <f>'7'!T61+'8'!T61+'9'!T61</f>
        <v>0</v>
      </c>
      <c r="U61" s="64">
        <f>'7'!U61+'8'!U61+'9'!U61</f>
        <v>0</v>
      </c>
      <c r="V61" s="64">
        <f>'7'!V61+'8'!V61+'9'!V61</f>
        <v>0</v>
      </c>
      <c r="W61" s="64">
        <f>'7'!W61+'8'!W61+'9'!W61</f>
        <v>0</v>
      </c>
      <c r="X61" s="64">
        <f>'7'!X61+'8'!X61+'9'!X61</f>
        <v>0</v>
      </c>
      <c r="Y61" s="64">
        <f>'7'!Y61+'8'!Y61+'9'!Y61</f>
        <v>0</v>
      </c>
      <c r="Z61" s="64">
        <f>'7'!Z61+'8'!Z61+'9'!Z61</f>
        <v>0</v>
      </c>
      <c r="AA61" s="64">
        <f>'7'!AA61+'8'!AA61+'9'!AA61</f>
        <v>0</v>
      </c>
      <c r="AB61" s="64">
        <f>'7'!AB61+'8'!AB61+'9'!AB61</f>
        <v>0</v>
      </c>
      <c r="AC61" s="64">
        <f>'7'!AC61+'8'!AC61+'9'!AC61</f>
        <v>0</v>
      </c>
      <c r="AD61" s="64">
        <f>'7'!AD61+'8'!AD61+'9'!AD61</f>
        <v>0</v>
      </c>
      <c r="AE61" s="64">
        <f>'7'!AE61+'8'!AE61+'9'!AE61</f>
        <v>0</v>
      </c>
      <c r="AF61" s="64">
        <f>'7'!AF61+'8'!AF61+'9'!AF61</f>
        <v>0</v>
      </c>
      <c r="AG61" s="64">
        <f>'7'!AG61+'8'!AG61+'9'!AG61</f>
        <v>0</v>
      </c>
      <c r="AH61" s="64">
        <f>'7'!AH61+'8'!AH61+'9'!AH61</f>
        <v>0</v>
      </c>
      <c r="AI61" s="64">
        <f>'7'!AI61+'8'!AI61+'9'!AI61</f>
        <v>0</v>
      </c>
      <c r="AJ61" s="64">
        <f>'7'!AJ61+'8'!AJ61+'9'!AJ61</f>
        <v>0</v>
      </c>
      <c r="AK61" s="64">
        <f>'7'!AK61+'8'!AK61+'9'!AK61</f>
        <v>0</v>
      </c>
      <c r="AL61" s="64">
        <f>'7'!AL61+'8'!AL61+'9'!AL61</f>
        <v>0</v>
      </c>
      <c r="AM61" s="64">
        <f>'7'!AM61+'8'!AM61+'9'!AM61</f>
        <v>0</v>
      </c>
      <c r="AN61" s="64">
        <f>'7'!AN61+'8'!AN61+'9'!AN61</f>
        <v>0</v>
      </c>
      <c r="AO61" s="64">
        <f>'7'!AO61+'8'!AO61+'9'!AO61</f>
        <v>0</v>
      </c>
      <c r="AP61" s="64">
        <f>'7'!AP61+'8'!AP61+'9'!AP61</f>
        <v>0</v>
      </c>
      <c r="AQ61" s="63">
        <f t="shared" si="39"/>
        <v>0</v>
      </c>
      <c r="AR61" s="149">
        <f t="shared" si="40"/>
        <v>0</v>
      </c>
      <c r="AS61" s="64">
        <f t="shared" si="41"/>
        <v>0</v>
      </c>
      <c r="AT61" s="64">
        <f>'7'!AT61+'8'!AT61+'9'!AT61</f>
        <v>0</v>
      </c>
      <c r="AU61" s="65">
        <f t="shared" si="42"/>
        <v>0</v>
      </c>
      <c r="AV61" s="65">
        <f t="shared" si="43"/>
        <v>0</v>
      </c>
      <c r="AW61" s="65">
        <f t="shared" si="44"/>
        <v>0</v>
      </c>
      <c r="AX61" s="65">
        <f t="shared" si="45"/>
        <v>0</v>
      </c>
      <c r="AY61" s="65">
        <f t="shared" si="46"/>
        <v>0</v>
      </c>
      <c r="AZ61" s="65">
        <f t="shared" si="47"/>
        <v>0</v>
      </c>
      <c r="BA61" s="151">
        <f t="shared" si="48"/>
        <v>0</v>
      </c>
      <c r="BB61" s="142"/>
      <c r="BC61"/>
    </row>
    <row r="62" spans="1:55" x14ac:dyDescent="0.25">
      <c r="C62" s="2"/>
      <c r="D62" s="3"/>
      <c r="F62" s="2"/>
      <c r="G62" s="2"/>
      <c r="H62" s="1"/>
      <c r="I62" s="1"/>
      <c r="M62" s="5"/>
      <c r="O62" s="4"/>
      <c r="P62" s="5"/>
      <c r="Q62" s="5"/>
      <c r="U62" s="2"/>
      <c r="V62" s="2"/>
      <c r="W62" s="2"/>
      <c r="X62" s="2"/>
      <c r="Y62" s="1"/>
      <c r="Z62" s="1"/>
      <c r="AA62" s="1"/>
      <c r="AB62" s="1"/>
    </row>
    <row r="63" spans="1:55" x14ac:dyDescent="0.25">
      <c r="A63" s="10"/>
      <c r="B63" s="10"/>
      <c r="C63" s="10"/>
      <c r="D63" s="3"/>
      <c r="F63" s="2"/>
      <c r="G63" s="2"/>
      <c r="H63" s="1"/>
      <c r="I63" s="1"/>
      <c r="M63" s="5"/>
      <c r="O63" s="4"/>
      <c r="P63" s="5"/>
      <c r="Q63" s="5"/>
      <c r="U63" s="2"/>
      <c r="V63" s="2"/>
      <c r="W63" s="2"/>
      <c r="X63" s="2"/>
      <c r="Y63" s="1"/>
      <c r="Z63" s="1"/>
      <c r="AA63" s="1"/>
      <c r="AB63" s="1"/>
    </row>
    <row r="64" spans="1:55" x14ac:dyDescent="0.2">
      <c r="A64" s="6" t="s">
        <v>126</v>
      </c>
      <c r="B64" s="6"/>
      <c r="C64" s="6"/>
      <c r="D64" s="6"/>
      <c r="F64" s="2"/>
      <c r="G64" s="2"/>
      <c r="H64" s="1"/>
      <c r="I64" s="1"/>
      <c r="M64" s="5"/>
      <c r="O64" s="4"/>
      <c r="P64" s="5"/>
      <c r="Q64" s="5"/>
      <c r="U64" s="2"/>
      <c r="V64" s="2"/>
      <c r="W64" s="2"/>
      <c r="X64" s="2"/>
      <c r="Y64" s="1"/>
      <c r="Z64" s="1"/>
      <c r="AA64" s="1"/>
      <c r="AB64" s="1"/>
    </row>
    <row r="65" spans="1:28" x14ac:dyDescent="0.2">
      <c r="A65" s="6"/>
      <c r="B65" s="6"/>
      <c r="C65" s="6"/>
      <c r="D65" s="6"/>
      <c r="F65" s="2"/>
      <c r="G65" s="2"/>
      <c r="H65" s="1"/>
      <c r="I65" s="1"/>
      <c r="M65" s="5"/>
      <c r="O65" s="4"/>
      <c r="P65" s="5"/>
      <c r="Q65" s="5"/>
      <c r="U65" s="2"/>
      <c r="V65" s="2"/>
      <c r="W65" s="2"/>
      <c r="X65" s="2"/>
      <c r="Y65" s="1"/>
      <c r="Z65" s="1"/>
      <c r="AA65" s="1"/>
      <c r="AB65" s="1"/>
    </row>
    <row r="66" spans="1:28" x14ac:dyDescent="0.2">
      <c r="A66" s="6" t="s">
        <v>128</v>
      </c>
      <c r="B66" s="6"/>
      <c r="C66" s="6"/>
      <c r="D66" s="6"/>
      <c r="F66" s="2"/>
      <c r="G66" s="2"/>
      <c r="H66" s="1"/>
      <c r="I66" s="1"/>
      <c r="M66" s="5"/>
      <c r="O66" s="4"/>
      <c r="P66" s="5"/>
      <c r="Q66" s="5"/>
      <c r="U66" s="2"/>
      <c r="V66" s="2"/>
      <c r="W66" s="2"/>
      <c r="X66" s="2"/>
      <c r="Y66" s="1"/>
      <c r="Z66" s="1"/>
      <c r="AA66" s="1"/>
      <c r="AB66" s="1"/>
    </row>
    <row r="67" spans="1:28" x14ac:dyDescent="0.2">
      <c r="A67" s="6"/>
      <c r="B67" s="6"/>
      <c r="C67" s="6"/>
      <c r="D67" s="6"/>
      <c r="F67" s="2"/>
      <c r="G67" s="2"/>
      <c r="H67" s="1"/>
      <c r="I67" s="1"/>
      <c r="M67" s="5"/>
      <c r="O67" s="4"/>
      <c r="P67" s="5"/>
      <c r="Q67" s="5"/>
      <c r="U67" s="2"/>
      <c r="V67" s="2"/>
      <c r="W67" s="2"/>
      <c r="X67" s="2"/>
      <c r="Y67" s="1"/>
      <c r="Z67" s="1"/>
      <c r="AA67" s="1"/>
      <c r="AB67" s="1"/>
    </row>
    <row r="68" spans="1:28" x14ac:dyDescent="0.2">
      <c r="A68" s="6" t="s">
        <v>127</v>
      </c>
      <c r="B68" s="6"/>
      <c r="C68" s="6"/>
      <c r="D68" s="6"/>
      <c r="F68" s="2"/>
      <c r="G68" s="2"/>
      <c r="H68" s="1"/>
      <c r="I68" s="1"/>
      <c r="M68" s="5"/>
      <c r="O68" s="4"/>
      <c r="P68" s="5"/>
      <c r="Q68" s="5"/>
      <c r="U68" s="2"/>
      <c r="V68" s="2"/>
      <c r="W68" s="2"/>
      <c r="X68" s="2"/>
      <c r="Y68" s="1"/>
      <c r="Z68" s="1"/>
      <c r="AA68" s="1"/>
      <c r="AB68" s="1"/>
    </row>
    <row r="69" spans="1:28" x14ac:dyDescent="0.25">
      <c r="A69" s="10"/>
      <c r="B69" s="10"/>
    </row>
    <row r="72" spans="1:28" x14ac:dyDescent="0.25">
      <c r="A72" s="10"/>
      <c r="B72" s="10"/>
    </row>
    <row r="73" spans="1:28" x14ac:dyDescent="0.25">
      <c r="A73" s="10"/>
      <c r="B73" s="10"/>
    </row>
    <row r="74" spans="1:28" x14ac:dyDescent="0.25">
      <c r="A74" s="10"/>
      <c r="B74" s="10"/>
    </row>
    <row r="75" spans="1:28" x14ac:dyDescent="0.25">
      <c r="A75" s="10"/>
      <c r="B75" s="10"/>
    </row>
    <row r="76" spans="1:28" x14ac:dyDescent="0.25">
      <c r="A76" s="10"/>
      <c r="B76" s="10"/>
    </row>
    <row r="77" spans="1:28" x14ac:dyDescent="0.25">
      <c r="A77" s="10"/>
      <c r="B77" s="10"/>
    </row>
    <row r="78" spans="1:28" x14ac:dyDescent="0.25">
      <c r="A78" s="10"/>
      <c r="B78" s="10"/>
    </row>
    <row r="79" spans="1:28" x14ac:dyDescent="0.25">
      <c r="A79" s="10"/>
      <c r="B79" s="10"/>
    </row>
  </sheetData>
  <mergeCells count="32">
    <mergeCell ref="A7:BB7"/>
    <mergeCell ref="A9:BB9"/>
    <mergeCell ref="C12:C15"/>
    <mergeCell ref="D12:E14"/>
    <mergeCell ref="H12:I14"/>
    <mergeCell ref="J12:J15"/>
    <mergeCell ref="K12:L14"/>
    <mergeCell ref="M12:AP12"/>
    <mergeCell ref="AQ12:AR14"/>
    <mergeCell ref="AS12:AT14"/>
    <mergeCell ref="AU12:AV14"/>
    <mergeCell ref="AW12:AX14"/>
    <mergeCell ref="AY12:AZ14"/>
    <mergeCell ref="BA12:BA15"/>
    <mergeCell ref="BB12:BB15"/>
    <mergeCell ref="M13:AB13"/>
    <mergeCell ref="AC13:AP13"/>
    <mergeCell ref="AP14:AP15"/>
    <mergeCell ref="A12:A15"/>
    <mergeCell ref="B12:B15"/>
    <mergeCell ref="F12:G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J14"/>
    <mergeCell ref="AK14:AN14"/>
    <mergeCell ref="AO14:AO15"/>
  </mergeCells>
  <conditionalFormatting sqref="AQ18:AQ23 AQ25:AQ41 AQ43:AQ45 AQ47:AQ51 AQ53:AQ54 AQ56:AQ61">
    <cfRule type="expression" dxfId="39" priority="8" stopIfTrue="1">
      <formula>100*(1-AQ18/AP18)&gt;5</formula>
    </cfRule>
  </conditionalFormatting>
  <conditionalFormatting sqref="AS18 AS20:AS22">
    <cfRule type="expression" dxfId="38" priority="7" stopIfTrue="1">
      <formula>100*(1-AS18/AR18)&gt;5</formula>
    </cfRule>
  </conditionalFormatting>
  <conditionalFormatting sqref="AS19">
    <cfRule type="expression" dxfId="37" priority="6" stopIfTrue="1">
      <formula>100*(1-AS19/AR19)&gt;5</formula>
    </cfRule>
  </conditionalFormatting>
  <conditionalFormatting sqref="AQ24:AR24">
    <cfRule type="expression" dxfId="36" priority="5" stopIfTrue="1">
      <formula>100*(1-AQ24/AP24)&gt;5</formula>
    </cfRule>
  </conditionalFormatting>
  <conditionalFormatting sqref="AQ42:AR42">
    <cfRule type="expression" dxfId="35" priority="4" stopIfTrue="1">
      <formula>100*(1-AQ42/AP42)&gt;5</formula>
    </cfRule>
  </conditionalFormatting>
  <conditionalFormatting sqref="AQ46:AR46">
    <cfRule type="expression" dxfId="34" priority="3" stopIfTrue="1">
      <formula>100*(1-AQ46/AP46)&gt;5</formula>
    </cfRule>
  </conditionalFormatting>
  <conditionalFormatting sqref="AQ52:AR52">
    <cfRule type="expression" dxfId="33" priority="2" stopIfTrue="1">
      <formula>100*(1-AQ52/AP52)&gt;5</formula>
    </cfRule>
  </conditionalFormatting>
  <conditionalFormatting sqref="AQ55:AR55">
    <cfRule type="expression" dxfId="32" priority="1" stopIfTrue="1">
      <formula>100*(1-AQ55/AP55)&gt;5</formula>
    </cfRule>
  </conditionalFormatting>
  <pageMargins left="0.7" right="0.7" top="0.75" bottom="0.75" header="0.3" footer="0.3"/>
  <pageSetup paperSize="9" orientation="portrait" r:id="rId1"/>
  <ignoredErrors>
    <ignoredError sqref="AY42:AZ55 D24:E52 AY24:AZ24 D54:E55 D53" formula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9"/>
  <sheetViews>
    <sheetView showZeros="0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9" sqref="A9:BB9"/>
    </sheetView>
  </sheetViews>
  <sheetFormatPr defaultRowHeight="14.25" x14ac:dyDescent="0.25"/>
  <cols>
    <col min="1" max="1" width="30.7109375" style="2" customWidth="1"/>
    <col min="2" max="2" width="10.7109375" style="2" customWidth="1"/>
    <col min="3" max="3" width="9.7109375" style="3" customWidth="1"/>
    <col min="4" max="5" width="9.7109375" style="2" customWidth="1"/>
    <col min="6" max="7" width="9.7109375" style="1" customWidth="1"/>
    <col min="8" max="9" width="9.7109375" style="5" customWidth="1"/>
    <col min="10" max="10" width="8.7109375" style="5" customWidth="1"/>
    <col min="11" max="12" width="14.7109375" style="5" customWidth="1"/>
    <col min="13" max="13" width="9.7109375" style="4" customWidth="1"/>
    <col min="14" max="15" width="9.7109375" style="5" customWidth="1"/>
    <col min="16" max="20" width="9.7109375" style="2" customWidth="1"/>
    <col min="21" max="24" width="9.7109375" style="1" customWidth="1"/>
    <col min="25" max="54" width="9.7109375" style="2" customWidth="1"/>
    <col min="55" max="16384" width="9.140625" style="2"/>
  </cols>
  <sheetData>
    <row r="1" spans="1:55" ht="12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/>
      <c r="AJ1"/>
      <c r="AK1"/>
      <c r="AL1"/>
      <c r="AM1"/>
    </row>
    <row r="2" spans="1:55" ht="12.75" customHeight="1" x14ac:dyDescent="0.25">
      <c r="A2" s="11" t="s">
        <v>134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X2" s="11" t="s">
        <v>56</v>
      </c>
      <c r="AY2"/>
      <c r="AZ2"/>
      <c r="BA2"/>
      <c r="BB2"/>
      <c r="BC2"/>
    </row>
    <row r="3" spans="1:55" s="6" customFormat="1" ht="12.75" customHeight="1" x14ac:dyDescent="0.25">
      <c r="A3" s="11" t="s">
        <v>57</v>
      </c>
      <c r="AX3" s="11" t="s">
        <v>65</v>
      </c>
      <c r="AY3"/>
      <c r="AZ3"/>
      <c r="BA3"/>
      <c r="BB3"/>
      <c r="BC3"/>
    </row>
    <row r="4" spans="1:55" s="6" customFormat="1" ht="12.75" customHeight="1" x14ac:dyDescent="0.25">
      <c r="AX4" s="24" t="s">
        <v>123</v>
      </c>
      <c r="AY4"/>
      <c r="AZ4"/>
      <c r="BA4"/>
      <c r="BB4"/>
      <c r="BC4"/>
    </row>
    <row r="5" spans="1:55" s="6" customFormat="1" ht="12.75" customHeight="1" x14ac:dyDescent="0.25">
      <c r="AY5"/>
      <c r="AZ5"/>
      <c r="BA5"/>
      <c r="BB5"/>
      <c r="BC5"/>
    </row>
    <row r="6" spans="1:55" s="6" customFormat="1" ht="15" x14ac:dyDescent="0.25">
      <c r="AX6" s="25" t="s">
        <v>85</v>
      </c>
      <c r="AY6"/>
      <c r="AZ6"/>
      <c r="BA6"/>
      <c r="BB6"/>
      <c r="BC6"/>
    </row>
    <row r="7" spans="1:55" s="6" customFormat="1" ht="15.75" customHeight="1" x14ac:dyDescent="0.2">
      <c r="A7" s="184" t="s">
        <v>58</v>
      </c>
      <c r="B7" s="184"/>
      <c r="C7" s="184"/>
      <c r="D7" s="184"/>
      <c r="E7" s="184"/>
      <c r="F7" s="184"/>
      <c r="G7" s="184"/>
      <c r="H7" s="184"/>
      <c r="I7" s="184"/>
      <c r="J7" s="184"/>
      <c r="K7" s="184"/>
      <c r="L7" s="184"/>
      <c r="M7" s="184"/>
      <c r="N7" s="184"/>
      <c r="O7" s="184"/>
      <c r="P7" s="184"/>
      <c r="Q7" s="184"/>
      <c r="R7" s="184"/>
      <c r="S7" s="184"/>
      <c r="T7" s="184"/>
      <c r="U7" s="184"/>
      <c r="V7" s="184"/>
      <c r="W7" s="184"/>
      <c r="X7" s="184"/>
      <c r="Y7" s="184"/>
      <c r="Z7" s="184"/>
      <c r="AA7" s="184"/>
      <c r="AB7" s="184"/>
      <c r="AC7" s="184"/>
      <c r="AD7" s="184"/>
      <c r="AE7" s="184"/>
      <c r="AF7" s="184"/>
      <c r="AG7" s="184"/>
      <c r="AH7" s="184"/>
      <c r="AI7" s="184"/>
      <c r="AJ7" s="184"/>
      <c r="AK7" s="184"/>
      <c r="AL7" s="184"/>
      <c r="AM7" s="184"/>
      <c r="AN7" s="184"/>
      <c r="AO7" s="184"/>
      <c r="AP7" s="184"/>
      <c r="AQ7" s="184"/>
      <c r="AR7" s="184"/>
      <c r="AS7" s="184"/>
      <c r="AT7" s="184"/>
      <c r="AU7" s="184"/>
      <c r="AV7" s="184"/>
      <c r="AW7" s="184"/>
      <c r="AX7" s="184"/>
      <c r="AY7" s="184"/>
      <c r="AZ7" s="184"/>
      <c r="BA7" s="184"/>
      <c r="BB7" s="184"/>
      <c r="BC7" s="109"/>
    </row>
    <row r="8" spans="1:55" s="6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55" ht="15.75" x14ac:dyDescent="0.25">
      <c r="A9" s="185"/>
      <c r="B9" s="185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  <c r="Z9" s="185"/>
      <c r="AA9" s="185"/>
      <c r="AB9" s="185"/>
      <c r="AC9" s="185"/>
      <c r="AD9" s="185"/>
      <c r="AE9" s="185"/>
      <c r="AF9" s="185"/>
      <c r="AG9" s="185"/>
      <c r="AH9" s="185"/>
      <c r="AI9" s="185"/>
      <c r="AJ9" s="185"/>
      <c r="AK9" s="185"/>
      <c r="AL9" s="185"/>
      <c r="AM9" s="185"/>
      <c r="AN9" s="185"/>
      <c r="AO9" s="185"/>
      <c r="AP9" s="185"/>
      <c r="AQ9" s="185"/>
      <c r="AR9" s="185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08"/>
    </row>
    <row r="10" spans="1:55" s="6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55" ht="12.7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3"/>
      <c r="L11" s="2"/>
      <c r="M11" s="2"/>
      <c r="N11" s="2"/>
      <c r="O11" s="2"/>
      <c r="U11" s="2"/>
      <c r="V11" s="2"/>
      <c r="W11" s="2"/>
      <c r="X11" s="2"/>
    </row>
    <row r="12" spans="1:55" ht="14.25" customHeight="1" x14ac:dyDescent="0.25">
      <c r="A12" s="190" t="s">
        <v>2</v>
      </c>
      <c r="B12" s="163" t="s">
        <v>129</v>
      </c>
      <c r="C12" s="163" t="s">
        <v>3</v>
      </c>
      <c r="D12" s="177" t="s">
        <v>60</v>
      </c>
      <c r="E12" s="194"/>
      <c r="F12" s="154" t="s">
        <v>131</v>
      </c>
      <c r="G12" s="155"/>
      <c r="H12" s="194" t="s">
        <v>1</v>
      </c>
      <c r="I12" s="194"/>
      <c r="J12" s="186" t="s">
        <v>135</v>
      </c>
      <c r="K12" s="154" t="s">
        <v>4</v>
      </c>
      <c r="L12" s="155"/>
      <c r="M12" s="154" t="s">
        <v>62</v>
      </c>
      <c r="N12" s="195"/>
      <c r="O12" s="195"/>
      <c r="P12" s="195"/>
      <c r="Q12" s="195"/>
      <c r="R12" s="195"/>
      <c r="S12" s="195"/>
      <c r="T12" s="195"/>
      <c r="U12" s="195"/>
      <c r="V12" s="195"/>
      <c r="W12" s="195"/>
      <c r="X12" s="195"/>
      <c r="Y12" s="195"/>
      <c r="Z12" s="195"/>
      <c r="AA12" s="195"/>
      <c r="AB12" s="195"/>
      <c r="AC12" s="195"/>
      <c r="AD12" s="195"/>
      <c r="AE12" s="195"/>
      <c r="AF12" s="195"/>
      <c r="AG12" s="195"/>
      <c r="AH12" s="195"/>
      <c r="AI12" s="195"/>
      <c r="AJ12" s="195"/>
      <c r="AK12" s="195"/>
      <c r="AL12" s="195"/>
      <c r="AM12" s="195"/>
      <c r="AN12" s="195"/>
      <c r="AO12" s="195"/>
      <c r="AP12" s="155"/>
      <c r="AQ12" s="195" t="s">
        <v>69</v>
      </c>
      <c r="AR12" s="155"/>
      <c r="AS12" s="154" t="s">
        <v>59</v>
      </c>
      <c r="AT12" s="155"/>
      <c r="AU12" s="154" t="s">
        <v>70</v>
      </c>
      <c r="AV12" s="155"/>
      <c r="AW12" s="154" t="s">
        <v>71</v>
      </c>
      <c r="AX12" s="155"/>
      <c r="AY12" s="154" t="s">
        <v>72</v>
      </c>
      <c r="AZ12" s="155"/>
      <c r="BA12" s="154" t="s">
        <v>73</v>
      </c>
      <c r="BB12" s="198" t="s">
        <v>133</v>
      </c>
      <c r="BC12"/>
    </row>
    <row r="13" spans="1:55" ht="14.25" customHeight="1" x14ac:dyDescent="0.25">
      <c r="A13" s="191"/>
      <c r="B13" s="164"/>
      <c r="C13" s="164"/>
      <c r="D13" s="153"/>
      <c r="E13" s="189"/>
      <c r="F13" s="156"/>
      <c r="G13" s="157"/>
      <c r="H13" s="189"/>
      <c r="I13" s="189"/>
      <c r="J13" s="187"/>
      <c r="K13" s="156"/>
      <c r="L13" s="157"/>
      <c r="M13" s="152" t="s">
        <v>5</v>
      </c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  <c r="AA13" s="178"/>
      <c r="AB13" s="153"/>
      <c r="AC13" s="189" t="s">
        <v>6</v>
      </c>
      <c r="AD13" s="189"/>
      <c r="AE13" s="189"/>
      <c r="AF13" s="189"/>
      <c r="AG13" s="189"/>
      <c r="AH13" s="189"/>
      <c r="AI13" s="189"/>
      <c r="AJ13" s="189"/>
      <c r="AK13" s="189"/>
      <c r="AL13" s="189"/>
      <c r="AM13" s="189"/>
      <c r="AN13" s="189"/>
      <c r="AO13" s="189"/>
      <c r="AP13" s="189"/>
      <c r="AQ13" s="196"/>
      <c r="AR13" s="157"/>
      <c r="AS13" s="156"/>
      <c r="AT13" s="157"/>
      <c r="AU13" s="156"/>
      <c r="AV13" s="157"/>
      <c r="AW13" s="156"/>
      <c r="AX13" s="157"/>
      <c r="AY13" s="156"/>
      <c r="AZ13" s="157"/>
      <c r="BA13" s="156"/>
      <c r="BB13" s="199"/>
      <c r="BC13"/>
    </row>
    <row r="14" spans="1:55" ht="63.75" customHeight="1" x14ac:dyDescent="0.25">
      <c r="A14" s="191"/>
      <c r="B14" s="164"/>
      <c r="C14" s="164"/>
      <c r="D14" s="153"/>
      <c r="E14" s="189"/>
      <c r="F14" s="158"/>
      <c r="G14" s="159"/>
      <c r="H14" s="189"/>
      <c r="I14" s="189"/>
      <c r="J14" s="187"/>
      <c r="K14" s="158"/>
      <c r="L14" s="159"/>
      <c r="M14" s="152" t="s">
        <v>10</v>
      </c>
      <c r="N14" s="153"/>
      <c r="O14" s="152" t="s">
        <v>74</v>
      </c>
      <c r="P14" s="153"/>
      <c r="Q14" s="152" t="s">
        <v>75</v>
      </c>
      <c r="R14" s="153"/>
      <c r="S14" s="152" t="s">
        <v>86</v>
      </c>
      <c r="T14" s="153"/>
      <c r="U14" s="152" t="s">
        <v>136</v>
      </c>
      <c r="V14" s="153"/>
      <c r="W14" s="193" t="s">
        <v>132</v>
      </c>
      <c r="X14" s="193"/>
      <c r="Y14" s="152" t="s">
        <v>84</v>
      </c>
      <c r="Z14" s="153"/>
      <c r="AA14" s="152" t="s">
        <v>76</v>
      </c>
      <c r="AB14" s="153"/>
      <c r="AC14" s="152" t="s">
        <v>7</v>
      </c>
      <c r="AD14" s="178"/>
      <c r="AE14" s="178"/>
      <c r="AF14" s="178"/>
      <c r="AG14" s="178"/>
      <c r="AH14" s="178"/>
      <c r="AI14" s="178"/>
      <c r="AJ14" s="153"/>
      <c r="AK14" s="152" t="s">
        <v>8</v>
      </c>
      <c r="AL14" s="178"/>
      <c r="AM14" s="178"/>
      <c r="AN14" s="153"/>
      <c r="AO14" s="171" t="s">
        <v>77</v>
      </c>
      <c r="AP14" s="173" t="s">
        <v>18</v>
      </c>
      <c r="AQ14" s="196"/>
      <c r="AR14" s="157"/>
      <c r="AS14" s="156"/>
      <c r="AT14" s="157"/>
      <c r="AU14" s="156"/>
      <c r="AV14" s="157"/>
      <c r="AW14" s="156"/>
      <c r="AX14" s="157"/>
      <c r="AY14" s="156"/>
      <c r="AZ14" s="157"/>
      <c r="BA14" s="156"/>
      <c r="BB14" s="199"/>
      <c r="BC14"/>
    </row>
    <row r="15" spans="1:55" ht="38.25" customHeight="1" thickBot="1" x14ac:dyDescent="0.3">
      <c r="A15" s="192"/>
      <c r="B15" s="165"/>
      <c r="C15" s="165"/>
      <c r="D15" s="118" t="s">
        <v>61</v>
      </c>
      <c r="E15" s="77" t="s">
        <v>9</v>
      </c>
      <c r="F15" s="77" t="s">
        <v>11</v>
      </c>
      <c r="G15" s="77" t="s">
        <v>130</v>
      </c>
      <c r="H15" s="77" t="s">
        <v>0</v>
      </c>
      <c r="I15" s="77" t="s">
        <v>78</v>
      </c>
      <c r="J15" s="188"/>
      <c r="K15" s="77" t="s">
        <v>61</v>
      </c>
      <c r="L15" s="77" t="s">
        <v>9</v>
      </c>
      <c r="M15" s="77" t="s">
        <v>61</v>
      </c>
      <c r="N15" s="77" t="s">
        <v>9</v>
      </c>
      <c r="O15" s="77" t="s">
        <v>61</v>
      </c>
      <c r="P15" s="77" t="s">
        <v>9</v>
      </c>
      <c r="Q15" s="77" t="s">
        <v>61</v>
      </c>
      <c r="R15" s="77" t="s">
        <v>9</v>
      </c>
      <c r="S15" s="77" t="s">
        <v>61</v>
      </c>
      <c r="T15" s="77" t="s">
        <v>9</v>
      </c>
      <c r="U15" s="77" t="s">
        <v>61</v>
      </c>
      <c r="V15" s="77" t="s">
        <v>9</v>
      </c>
      <c r="W15" s="77" t="s">
        <v>61</v>
      </c>
      <c r="X15" s="77" t="s">
        <v>9</v>
      </c>
      <c r="Y15" s="77" t="s">
        <v>61</v>
      </c>
      <c r="Z15" s="77" t="s">
        <v>9</v>
      </c>
      <c r="AA15" s="77" t="s">
        <v>61</v>
      </c>
      <c r="AB15" s="77" t="s">
        <v>9</v>
      </c>
      <c r="AC15" s="77" t="s">
        <v>11</v>
      </c>
      <c r="AD15" s="77" t="s">
        <v>12</v>
      </c>
      <c r="AE15" s="77" t="s">
        <v>13</v>
      </c>
      <c r="AF15" s="77" t="s">
        <v>14</v>
      </c>
      <c r="AG15" s="77" t="s">
        <v>15</v>
      </c>
      <c r="AH15" s="77" t="s">
        <v>16</v>
      </c>
      <c r="AI15" s="107" t="s">
        <v>18</v>
      </c>
      <c r="AJ15" s="107" t="s">
        <v>17</v>
      </c>
      <c r="AK15" s="77" t="s">
        <v>19</v>
      </c>
      <c r="AL15" s="77" t="s">
        <v>20</v>
      </c>
      <c r="AM15" s="77" t="s">
        <v>21</v>
      </c>
      <c r="AN15" s="77" t="s">
        <v>22</v>
      </c>
      <c r="AO15" s="172"/>
      <c r="AP15" s="174"/>
      <c r="AQ15" s="77" t="s">
        <v>61</v>
      </c>
      <c r="AR15" s="77" t="s">
        <v>9</v>
      </c>
      <c r="AS15" s="77" t="s">
        <v>61</v>
      </c>
      <c r="AT15" s="77" t="s">
        <v>9</v>
      </c>
      <c r="AU15" s="77" t="s">
        <v>61</v>
      </c>
      <c r="AV15" s="77" t="s">
        <v>9</v>
      </c>
      <c r="AW15" s="77" t="s">
        <v>61</v>
      </c>
      <c r="AX15" s="77" t="s">
        <v>9</v>
      </c>
      <c r="AY15" s="77" t="s">
        <v>61</v>
      </c>
      <c r="AZ15" s="77" t="s">
        <v>9</v>
      </c>
      <c r="BA15" s="197"/>
      <c r="BB15" s="200"/>
      <c r="BC15"/>
    </row>
    <row r="16" spans="1:55" ht="15" customHeight="1" thickBot="1" x14ac:dyDescent="0.3">
      <c r="A16" s="106">
        <v>1</v>
      </c>
      <c r="B16" s="106">
        <v>2</v>
      </c>
      <c r="C16" s="106">
        <v>3</v>
      </c>
      <c r="D16" s="105">
        <v>4</v>
      </c>
      <c r="E16" s="78">
        <v>5</v>
      </c>
      <c r="F16" s="78">
        <v>6</v>
      </c>
      <c r="G16" s="78">
        <v>7</v>
      </c>
      <c r="H16" s="78">
        <v>8</v>
      </c>
      <c r="I16" s="78">
        <v>9</v>
      </c>
      <c r="J16" s="78">
        <v>10</v>
      </c>
      <c r="K16" s="78">
        <v>11</v>
      </c>
      <c r="L16" s="78">
        <v>12</v>
      </c>
      <c r="M16" s="78">
        <v>13</v>
      </c>
      <c r="N16" s="78">
        <v>14</v>
      </c>
      <c r="O16" s="78">
        <v>15</v>
      </c>
      <c r="P16" s="78">
        <v>16</v>
      </c>
      <c r="Q16" s="78">
        <v>17</v>
      </c>
      <c r="R16" s="78">
        <v>18</v>
      </c>
      <c r="S16" s="78">
        <v>19</v>
      </c>
      <c r="T16" s="78">
        <v>20</v>
      </c>
      <c r="U16" s="78">
        <v>21</v>
      </c>
      <c r="V16" s="78">
        <v>22</v>
      </c>
      <c r="W16" s="78">
        <v>23</v>
      </c>
      <c r="X16" s="78">
        <v>24</v>
      </c>
      <c r="Y16" s="78">
        <v>25</v>
      </c>
      <c r="Z16" s="78">
        <v>26</v>
      </c>
      <c r="AA16" s="78">
        <v>27</v>
      </c>
      <c r="AB16" s="78">
        <v>28</v>
      </c>
      <c r="AC16" s="78">
        <v>29</v>
      </c>
      <c r="AD16" s="78">
        <v>30</v>
      </c>
      <c r="AE16" s="78">
        <v>31</v>
      </c>
      <c r="AF16" s="78">
        <v>32</v>
      </c>
      <c r="AG16" s="78">
        <v>33</v>
      </c>
      <c r="AH16" s="78">
        <v>34</v>
      </c>
      <c r="AI16" s="78">
        <v>35</v>
      </c>
      <c r="AJ16" s="78">
        <v>36</v>
      </c>
      <c r="AK16" s="78">
        <v>37</v>
      </c>
      <c r="AL16" s="78">
        <v>38</v>
      </c>
      <c r="AM16" s="78">
        <v>39</v>
      </c>
      <c r="AN16" s="78">
        <v>40</v>
      </c>
      <c r="AO16" s="78">
        <v>41</v>
      </c>
      <c r="AP16" s="78">
        <v>42</v>
      </c>
      <c r="AQ16" s="78">
        <v>43</v>
      </c>
      <c r="AR16" s="78">
        <v>44</v>
      </c>
      <c r="AS16" s="78">
        <v>45</v>
      </c>
      <c r="AT16" s="78">
        <v>46</v>
      </c>
      <c r="AU16" s="78">
        <v>47</v>
      </c>
      <c r="AV16" s="78">
        <v>48</v>
      </c>
      <c r="AW16" s="78">
        <v>49</v>
      </c>
      <c r="AX16" s="78">
        <v>50</v>
      </c>
      <c r="AY16" s="78">
        <v>51</v>
      </c>
      <c r="AZ16" s="78">
        <v>52</v>
      </c>
      <c r="BA16" s="78">
        <v>53</v>
      </c>
      <c r="BB16" s="79">
        <v>54</v>
      </c>
      <c r="BC16"/>
    </row>
    <row r="17" spans="1:55" ht="15" customHeight="1" thickBot="1" x14ac:dyDescent="0.3">
      <c r="A17" s="87" t="s">
        <v>79</v>
      </c>
      <c r="B17" s="87"/>
      <c r="C17" s="87"/>
      <c r="D17" s="129">
        <f t="shared" ref="D17:E17" si="0">SUM(D18:D23)</f>
        <v>0</v>
      </c>
      <c r="E17" s="129">
        <f t="shared" si="0"/>
        <v>0</v>
      </c>
      <c r="F17" s="129">
        <f>SUM(F18:F23)</f>
        <v>0</v>
      </c>
      <c r="G17" s="129">
        <f t="shared" ref="G17:I17" si="1">SUM(G18:G23)</f>
        <v>0</v>
      </c>
      <c r="H17" s="131">
        <f t="shared" si="1"/>
        <v>0</v>
      </c>
      <c r="I17" s="131">
        <f t="shared" si="1"/>
        <v>0</v>
      </c>
      <c r="J17" s="129"/>
      <c r="K17" s="130">
        <f t="shared" ref="K17:AP17" si="2">SUM(K18:K23)</f>
        <v>0</v>
      </c>
      <c r="L17" s="130">
        <f t="shared" si="2"/>
        <v>0</v>
      </c>
      <c r="M17" s="129">
        <f t="shared" si="2"/>
        <v>0</v>
      </c>
      <c r="N17" s="129">
        <f t="shared" si="2"/>
        <v>0</v>
      </c>
      <c r="O17" s="129">
        <f t="shared" si="2"/>
        <v>0</v>
      </c>
      <c r="P17" s="129">
        <f t="shared" si="2"/>
        <v>0</v>
      </c>
      <c r="Q17" s="129">
        <f t="shared" si="2"/>
        <v>0</v>
      </c>
      <c r="R17" s="129">
        <f t="shared" si="2"/>
        <v>0</v>
      </c>
      <c r="S17" s="129">
        <f t="shared" si="2"/>
        <v>0</v>
      </c>
      <c r="T17" s="129">
        <f t="shared" si="2"/>
        <v>0</v>
      </c>
      <c r="U17" s="129">
        <f t="shared" si="2"/>
        <v>0</v>
      </c>
      <c r="V17" s="129">
        <f t="shared" si="2"/>
        <v>0</v>
      </c>
      <c r="W17" s="129">
        <f t="shared" si="2"/>
        <v>0</v>
      </c>
      <c r="X17" s="129">
        <f t="shared" si="2"/>
        <v>0</v>
      </c>
      <c r="Y17" s="129">
        <f t="shared" si="2"/>
        <v>0</v>
      </c>
      <c r="Z17" s="129">
        <f t="shared" si="2"/>
        <v>0</v>
      </c>
      <c r="AA17" s="129">
        <f t="shared" si="2"/>
        <v>0</v>
      </c>
      <c r="AB17" s="129">
        <f t="shared" si="2"/>
        <v>0</v>
      </c>
      <c r="AC17" s="129">
        <f t="shared" si="2"/>
        <v>0</v>
      </c>
      <c r="AD17" s="129">
        <f t="shared" si="2"/>
        <v>0</v>
      </c>
      <c r="AE17" s="129">
        <f t="shared" si="2"/>
        <v>0</v>
      </c>
      <c r="AF17" s="129">
        <f t="shared" si="2"/>
        <v>0</v>
      </c>
      <c r="AG17" s="129">
        <f t="shared" si="2"/>
        <v>0</v>
      </c>
      <c r="AH17" s="129">
        <f t="shared" si="2"/>
        <v>0</v>
      </c>
      <c r="AI17" s="129">
        <f t="shared" si="2"/>
        <v>0</v>
      </c>
      <c r="AJ17" s="129">
        <f t="shared" si="2"/>
        <v>0</v>
      </c>
      <c r="AK17" s="129">
        <f t="shared" si="2"/>
        <v>0</v>
      </c>
      <c r="AL17" s="129">
        <f t="shared" si="2"/>
        <v>0</v>
      </c>
      <c r="AM17" s="129">
        <f t="shared" si="2"/>
        <v>0</v>
      </c>
      <c r="AN17" s="129">
        <f t="shared" si="2"/>
        <v>0</v>
      </c>
      <c r="AO17" s="129">
        <f t="shared" si="2"/>
        <v>0</v>
      </c>
      <c r="AP17" s="129">
        <f t="shared" si="2"/>
        <v>0</v>
      </c>
      <c r="AQ17" s="129">
        <f t="shared" ref="AQ17:AQ59" si="3">M17+O17+S17+U17+W17+AA17+Q17+Y17</f>
        <v>0</v>
      </c>
      <c r="AR17" s="129">
        <f>N17+P17+R17+AC17+AD17+AE17+AF17+AG17+AH17+AI17+AJ17+AK17+AL17+AM17+AN17+AO17+AP17+T17+V17+AB17</f>
        <v>0</v>
      </c>
      <c r="AS17" s="129">
        <f>AT17</f>
        <v>0</v>
      </c>
      <c r="AT17" s="129">
        <f>SUM(AT18:AT23)</f>
        <v>0</v>
      </c>
      <c r="AU17" s="131">
        <f t="shared" ref="AU17:AU22" si="4">IF(AT17-AQ17=0,0,(AT17-M17-O17-Q17)/AT17)</f>
        <v>0</v>
      </c>
      <c r="AV17" s="131">
        <f t="shared" ref="AV17:AV59" si="5">IF(AT17=0,0,(AT17-N17-P17-R17-AC17-AD17-AE17-AF17-AG17-AH17-AI17-AJ17-AL17)/AT17)</f>
        <v>0</v>
      </c>
      <c r="AW17" s="131">
        <f t="shared" ref="AW17:AW22" si="6">IF(OR(AT17=0,AU17=0),0,((AT17*AU17)-S17-U17-W17-AA17-Y17)/(AT17*AU17))</f>
        <v>0</v>
      </c>
      <c r="AX17" s="131">
        <f t="shared" ref="AX17:AX22" si="7">IF(OR(AT17=0,AV17=0),0,((AT17*AV17)-AK17-AM17-AN17-AO17-AP17-T17-V17-X17-Z17-AB17)/(AT17*AV17))</f>
        <v>0</v>
      </c>
      <c r="AY17" s="131">
        <f>SUM(AY18:AY23)</f>
        <v>0</v>
      </c>
      <c r="AZ17" s="131">
        <f>SUM(AZ18:AZ23)</f>
        <v>0</v>
      </c>
      <c r="BA17" s="129">
        <f>ROUND(AS17-E17-AR17,4)</f>
        <v>0</v>
      </c>
      <c r="BB17" s="137"/>
      <c r="BC17"/>
    </row>
    <row r="18" spans="1:55" ht="15" hidden="1" customHeight="1" x14ac:dyDescent="0.25">
      <c r="A18" s="80" t="s">
        <v>23</v>
      </c>
      <c r="B18" s="110">
        <v>22</v>
      </c>
      <c r="C18" s="110">
        <v>22</v>
      </c>
      <c r="D18" s="121">
        <f t="shared" ref="D18:D22" si="8">AT18*AU18*AW18</f>
        <v>0</v>
      </c>
      <c r="E18" s="16">
        <f t="shared" ref="E18:E22" si="9">ROUND(AT18*AV18*AX18,4)</f>
        <v>0</v>
      </c>
      <c r="F18" s="91">
        <f>'10'!F18+'11'!F18+'12'!F18</f>
        <v>0</v>
      </c>
      <c r="G18" s="91">
        <f>'10'!G18+'11'!G18+'12'!G18</f>
        <v>0</v>
      </c>
      <c r="H18" s="135">
        <f>'10'!H18+'11'!H18+'12'!H18</f>
        <v>0</v>
      </c>
      <c r="I18" s="135">
        <f>'10'!I18+'11'!I18+'12'!I18</f>
        <v>0</v>
      </c>
      <c r="J18" s="83" t="s">
        <v>55</v>
      </c>
      <c r="K18" s="133">
        <f>'10'!K18+'11'!K18+'12'!K18</f>
        <v>0</v>
      </c>
      <c r="L18" s="133">
        <f>'10'!L18+'11'!L18+'12'!L18</f>
        <v>0</v>
      </c>
      <c r="M18" s="91">
        <f>'10'!M18+'11'!M18+'12'!M18</f>
        <v>0</v>
      </c>
      <c r="N18" s="91">
        <f>'10'!N18+'11'!N18+'12'!N18</f>
        <v>0</v>
      </c>
      <c r="O18" s="91">
        <f>'10'!O18+'11'!O18+'12'!O18</f>
        <v>0</v>
      </c>
      <c r="P18" s="91">
        <f>'10'!P18+'11'!P18+'12'!P18</f>
        <v>0</v>
      </c>
      <c r="Q18" s="91">
        <f>'10'!Q18+'11'!Q18+'12'!Q18</f>
        <v>0</v>
      </c>
      <c r="R18" s="91">
        <f>'10'!R18+'11'!R18+'12'!R18</f>
        <v>0</v>
      </c>
      <c r="S18" s="91">
        <f>'10'!S18+'11'!S18+'12'!S18</f>
        <v>0</v>
      </c>
      <c r="T18" s="91">
        <f>'10'!T18+'11'!T18+'12'!T18</f>
        <v>0</v>
      </c>
      <c r="U18" s="91">
        <f>'10'!U18+'11'!U18+'12'!U18</f>
        <v>0</v>
      </c>
      <c r="V18" s="91">
        <f>'10'!V18+'11'!V18+'12'!V18</f>
        <v>0</v>
      </c>
      <c r="W18" s="91">
        <f>'10'!W18+'11'!W18+'12'!W18</f>
        <v>0</v>
      </c>
      <c r="X18" s="91">
        <f>'10'!X18+'11'!X18+'12'!X18</f>
        <v>0</v>
      </c>
      <c r="Y18" s="91">
        <f>'10'!Y18+'11'!Y18+'12'!Y18</f>
        <v>0</v>
      </c>
      <c r="Z18" s="91">
        <f>'10'!Z18+'11'!Z18+'12'!Z18</f>
        <v>0</v>
      </c>
      <c r="AA18" s="91">
        <f>'10'!AA18+'11'!AA18+'12'!AA18</f>
        <v>0</v>
      </c>
      <c r="AB18" s="91">
        <f>'10'!AB18+'11'!AB18+'12'!AB18</f>
        <v>0</v>
      </c>
      <c r="AC18" s="91">
        <f>'10'!AC18+'11'!AC18+'12'!AC18</f>
        <v>0</v>
      </c>
      <c r="AD18" s="91">
        <f>'10'!AD18+'11'!AD18+'12'!AD18</f>
        <v>0</v>
      </c>
      <c r="AE18" s="91">
        <f>'10'!AE18+'11'!AE18+'12'!AE18</f>
        <v>0</v>
      </c>
      <c r="AF18" s="91">
        <f>'10'!AF18+'11'!AF18+'12'!AF18</f>
        <v>0</v>
      </c>
      <c r="AG18" s="91">
        <f>'10'!AG18+'11'!AG18+'12'!AG18</f>
        <v>0</v>
      </c>
      <c r="AH18" s="91">
        <f>'10'!AH18+'11'!AH18+'12'!AH18</f>
        <v>0</v>
      </c>
      <c r="AI18" s="91">
        <f>'10'!AI18+'11'!AI18+'12'!AI18</f>
        <v>0</v>
      </c>
      <c r="AJ18" s="91">
        <f>'10'!AJ18+'11'!AJ18+'12'!AJ18</f>
        <v>0</v>
      </c>
      <c r="AK18" s="91">
        <f>'10'!AK18+'11'!AK18+'12'!AK18</f>
        <v>0</v>
      </c>
      <c r="AL18" s="91">
        <f>'10'!AL18+'11'!AL18+'12'!AL18</f>
        <v>0</v>
      </c>
      <c r="AM18" s="91">
        <f>'10'!AM18+'11'!AM18+'12'!AM18</f>
        <v>0</v>
      </c>
      <c r="AN18" s="91">
        <f>'10'!AN18+'11'!AN18+'12'!AN18</f>
        <v>0</v>
      </c>
      <c r="AO18" s="91">
        <f>'10'!AO18+'11'!AO18+'12'!AO18</f>
        <v>0</v>
      </c>
      <c r="AP18" s="91">
        <f>'10'!AP18+'11'!AP18+'12'!AP18</f>
        <v>0</v>
      </c>
      <c r="AQ18" s="16">
        <f t="shared" si="3"/>
        <v>0</v>
      </c>
      <c r="AR18" s="17">
        <f>N18+P18+R18+AC18+AD18+AE18+AF18+AG18+AH18+AI18+AJ18+AK18+AL18+AM18+AN18+AO18+AP18+T18+V18+AB18</f>
        <v>0</v>
      </c>
      <c r="AS18" s="17"/>
      <c r="AT18" s="17"/>
      <c r="AU18" s="92">
        <f t="shared" si="4"/>
        <v>0</v>
      </c>
      <c r="AV18" s="92">
        <f t="shared" si="5"/>
        <v>0</v>
      </c>
      <c r="AW18" s="92">
        <f t="shared" si="6"/>
        <v>0</v>
      </c>
      <c r="AX18" s="92">
        <f t="shared" si="7"/>
        <v>0</v>
      </c>
      <c r="AY18" s="82">
        <f t="shared" ref="AY18:AZ22" si="10">IF(K18=0,0,K18/(D18-Y18)/24)</f>
        <v>0</v>
      </c>
      <c r="AZ18" s="82">
        <f t="shared" si="10"/>
        <v>0</v>
      </c>
      <c r="BA18" s="85">
        <f>ROUND(AS18-E18-AR18,4)</f>
        <v>0</v>
      </c>
      <c r="BB18" s="138"/>
      <c r="BC18"/>
    </row>
    <row r="19" spans="1:55" ht="15" hidden="1" customHeight="1" x14ac:dyDescent="0.25">
      <c r="A19" s="68" t="s">
        <v>24</v>
      </c>
      <c r="B19" s="111">
        <v>23</v>
      </c>
      <c r="C19" s="111">
        <v>23</v>
      </c>
      <c r="D19" s="121">
        <f t="shared" si="8"/>
        <v>0</v>
      </c>
      <c r="E19" s="16">
        <f t="shared" si="9"/>
        <v>0</v>
      </c>
      <c r="F19" s="91">
        <f>'10'!F19+'11'!F19+'12'!F19</f>
        <v>0</v>
      </c>
      <c r="G19" s="91">
        <f>'10'!G19+'11'!G19+'12'!G19</f>
        <v>0</v>
      </c>
      <c r="H19" s="135">
        <f>'10'!H19+'11'!H19+'12'!H19</f>
        <v>0</v>
      </c>
      <c r="I19" s="135">
        <f>'10'!I19+'11'!I19+'12'!I19</f>
        <v>0</v>
      </c>
      <c r="J19" s="8" t="s">
        <v>55</v>
      </c>
      <c r="K19" s="133">
        <f>'10'!K19+'11'!K19+'12'!K19</f>
        <v>0</v>
      </c>
      <c r="L19" s="133">
        <f>'10'!L19+'11'!L19+'12'!L19</f>
        <v>0</v>
      </c>
      <c r="M19" s="91">
        <f>'10'!M19+'11'!M19+'12'!M19</f>
        <v>0</v>
      </c>
      <c r="N19" s="91">
        <f>'10'!N19+'11'!N19+'12'!N19</f>
        <v>0</v>
      </c>
      <c r="O19" s="91">
        <f>'10'!O19+'11'!O19+'12'!O19</f>
        <v>0</v>
      </c>
      <c r="P19" s="91">
        <f>'10'!P19+'11'!P19+'12'!P19</f>
        <v>0</v>
      </c>
      <c r="Q19" s="91">
        <f>'10'!Q19+'11'!Q19+'12'!Q19</f>
        <v>0</v>
      </c>
      <c r="R19" s="91">
        <f>'10'!R19+'11'!R19+'12'!R19</f>
        <v>0</v>
      </c>
      <c r="S19" s="91">
        <f>'10'!S19+'11'!S19+'12'!S19</f>
        <v>0</v>
      </c>
      <c r="T19" s="91">
        <f>'10'!T19+'11'!T19+'12'!T19</f>
        <v>0</v>
      </c>
      <c r="U19" s="91">
        <f>'10'!U19+'11'!U19+'12'!U19</f>
        <v>0</v>
      </c>
      <c r="V19" s="91">
        <f>'10'!V19+'11'!V19+'12'!V19</f>
        <v>0</v>
      </c>
      <c r="W19" s="91">
        <f>'10'!W19+'11'!W19+'12'!W19</f>
        <v>0</v>
      </c>
      <c r="X19" s="91">
        <f>'10'!X19+'11'!X19+'12'!X19</f>
        <v>0</v>
      </c>
      <c r="Y19" s="91">
        <f>'10'!Y19+'11'!Y19+'12'!Y19</f>
        <v>0</v>
      </c>
      <c r="Z19" s="91">
        <f>'10'!Z19+'11'!Z19+'12'!Z19</f>
        <v>0</v>
      </c>
      <c r="AA19" s="91">
        <f>'10'!AA19+'11'!AA19+'12'!AA19</f>
        <v>0</v>
      </c>
      <c r="AB19" s="91">
        <f>'10'!AB19+'11'!AB19+'12'!AB19</f>
        <v>0</v>
      </c>
      <c r="AC19" s="91">
        <f>'10'!AC19+'11'!AC19+'12'!AC19</f>
        <v>0</v>
      </c>
      <c r="AD19" s="91">
        <f>'10'!AD19+'11'!AD19+'12'!AD19</f>
        <v>0</v>
      </c>
      <c r="AE19" s="91">
        <f>'10'!AE19+'11'!AE19+'12'!AE19</f>
        <v>0</v>
      </c>
      <c r="AF19" s="91">
        <f>'10'!AF19+'11'!AF19+'12'!AF19</f>
        <v>0</v>
      </c>
      <c r="AG19" s="91">
        <f>'10'!AG19+'11'!AG19+'12'!AG19</f>
        <v>0</v>
      </c>
      <c r="AH19" s="91">
        <f>'10'!AH19+'11'!AH19+'12'!AH19</f>
        <v>0</v>
      </c>
      <c r="AI19" s="91">
        <f>'10'!AI19+'11'!AI19+'12'!AI19</f>
        <v>0</v>
      </c>
      <c r="AJ19" s="91">
        <f>'10'!AJ19+'11'!AJ19+'12'!AJ19</f>
        <v>0</v>
      </c>
      <c r="AK19" s="91">
        <f>'10'!AK19+'11'!AK19+'12'!AK19</f>
        <v>0</v>
      </c>
      <c r="AL19" s="91">
        <f>'10'!AL19+'11'!AL19+'12'!AL19</f>
        <v>0</v>
      </c>
      <c r="AM19" s="91">
        <f>'10'!AM19+'11'!AM19+'12'!AM19</f>
        <v>0</v>
      </c>
      <c r="AN19" s="91">
        <f>'10'!AN19+'11'!AN19+'12'!AN19</f>
        <v>0</v>
      </c>
      <c r="AO19" s="91">
        <f>'10'!AO19+'11'!AO19+'12'!AO19</f>
        <v>0</v>
      </c>
      <c r="AP19" s="91">
        <f>'10'!AP19+'11'!AP19+'12'!AP19</f>
        <v>0</v>
      </c>
      <c r="AQ19" s="16">
        <f t="shared" si="3"/>
        <v>0</v>
      </c>
      <c r="AR19" s="17">
        <f t="shared" ref="AR19:AR59" si="11">N19+P19+R19+AC19+AD19+AE19+AF19+AG19+AH19+AI19+AJ19+AK19+AL19+AM19+AN19+AO19+AP19+T19+V19+AB19</f>
        <v>0</v>
      </c>
      <c r="AS19" s="15"/>
      <c r="AT19" s="15"/>
      <c r="AU19" s="92">
        <f t="shared" si="4"/>
        <v>0</v>
      </c>
      <c r="AV19" s="92">
        <f t="shared" si="5"/>
        <v>0</v>
      </c>
      <c r="AW19" s="92">
        <f t="shared" si="6"/>
        <v>0</v>
      </c>
      <c r="AX19" s="92">
        <f t="shared" si="7"/>
        <v>0</v>
      </c>
      <c r="AY19" s="18">
        <f t="shared" si="10"/>
        <v>0</v>
      </c>
      <c r="AZ19" s="18">
        <f t="shared" si="10"/>
        <v>0</v>
      </c>
      <c r="BA19" s="74">
        <f>ROUND(AS19-E19-AR19,4)</f>
        <v>0</v>
      </c>
      <c r="BB19" s="139"/>
      <c r="BC19"/>
    </row>
    <row r="20" spans="1:55" ht="15" hidden="1" customHeight="1" x14ac:dyDescent="0.25">
      <c r="A20" s="69" t="s">
        <v>25</v>
      </c>
      <c r="B20" s="112"/>
      <c r="C20" s="112">
        <v>24</v>
      </c>
      <c r="D20" s="121">
        <f t="shared" si="8"/>
        <v>0</v>
      </c>
      <c r="E20" s="16">
        <f t="shared" si="9"/>
        <v>0</v>
      </c>
      <c r="F20" s="91">
        <f>'10'!F20+'11'!F20+'12'!F20</f>
        <v>0</v>
      </c>
      <c r="G20" s="91">
        <f>'10'!G20+'11'!G20+'12'!G20</f>
        <v>0</v>
      </c>
      <c r="H20" s="135">
        <f>'10'!H20+'11'!H20+'12'!H20</f>
        <v>0</v>
      </c>
      <c r="I20" s="135">
        <f>'10'!I20+'11'!I20+'12'!I20</f>
        <v>0</v>
      </c>
      <c r="J20" s="8" t="s">
        <v>55</v>
      </c>
      <c r="K20" s="133">
        <f>'10'!K20+'11'!K20+'12'!K20</f>
        <v>0</v>
      </c>
      <c r="L20" s="133">
        <f>'10'!L20+'11'!L20+'12'!L20</f>
        <v>0</v>
      </c>
      <c r="M20" s="91">
        <f>'10'!M20+'11'!M20+'12'!M20</f>
        <v>0</v>
      </c>
      <c r="N20" s="91">
        <f>'10'!N20+'11'!N20+'12'!N20</f>
        <v>0</v>
      </c>
      <c r="O20" s="91">
        <f>'10'!O20+'11'!O20+'12'!O20</f>
        <v>0</v>
      </c>
      <c r="P20" s="91">
        <f>'10'!P20+'11'!P20+'12'!P20</f>
        <v>0</v>
      </c>
      <c r="Q20" s="91">
        <f>'10'!Q20+'11'!Q20+'12'!Q20</f>
        <v>0</v>
      </c>
      <c r="R20" s="91">
        <f>'10'!R20+'11'!R20+'12'!R20</f>
        <v>0</v>
      </c>
      <c r="S20" s="91">
        <f>'10'!S20+'11'!S20+'12'!S20</f>
        <v>0</v>
      </c>
      <c r="T20" s="91">
        <f>'10'!T20+'11'!T20+'12'!T20</f>
        <v>0</v>
      </c>
      <c r="U20" s="91">
        <f>'10'!U20+'11'!U20+'12'!U20</f>
        <v>0</v>
      </c>
      <c r="V20" s="91">
        <f>'10'!V20+'11'!V20+'12'!V20</f>
        <v>0</v>
      </c>
      <c r="W20" s="91">
        <f>'10'!W20+'11'!W20+'12'!W20</f>
        <v>0</v>
      </c>
      <c r="X20" s="91">
        <f>'10'!X20+'11'!X20+'12'!X20</f>
        <v>0</v>
      </c>
      <c r="Y20" s="91">
        <f>'10'!Y20+'11'!Y20+'12'!Y20</f>
        <v>0</v>
      </c>
      <c r="Z20" s="91">
        <f>'10'!Z20+'11'!Z20+'12'!Z20</f>
        <v>0</v>
      </c>
      <c r="AA20" s="91">
        <f>'10'!AA20+'11'!AA20+'12'!AA20</f>
        <v>0</v>
      </c>
      <c r="AB20" s="91">
        <f>'10'!AB20+'11'!AB20+'12'!AB20</f>
        <v>0</v>
      </c>
      <c r="AC20" s="91">
        <f>'10'!AC20+'11'!AC20+'12'!AC20</f>
        <v>0</v>
      </c>
      <c r="AD20" s="91">
        <f>'10'!AD20+'11'!AD20+'12'!AD20</f>
        <v>0</v>
      </c>
      <c r="AE20" s="91">
        <f>'10'!AE20+'11'!AE20+'12'!AE20</f>
        <v>0</v>
      </c>
      <c r="AF20" s="91">
        <f>'10'!AF20+'11'!AF20+'12'!AF20</f>
        <v>0</v>
      </c>
      <c r="AG20" s="91">
        <f>'10'!AG20+'11'!AG20+'12'!AG20</f>
        <v>0</v>
      </c>
      <c r="AH20" s="91">
        <f>'10'!AH20+'11'!AH20+'12'!AH20</f>
        <v>0</v>
      </c>
      <c r="AI20" s="91">
        <f>'10'!AI20+'11'!AI20+'12'!AI20</f>
        <v>0</v>
      </c>
      <c r="AJ20" s="91">
        <f>'10'!AJ20+'11'!AJ20+'12'!AJ20</f>
        <v>0</v>
      </c>
      <c r="AK20" s="91">
        <f>'10'!AK20+'11'!AK20+'12'!AK20</f>
        <v>0</v>
      </c>
      <c r="AL20" s="91">
        <f>'10'!AL20+'11'!AL20+'12'!AL20</f>
        <v>0</v>
      </c>
      <c r="AM20" s="91">
        <f>'10'!AM20+'11'!AM20+'12'!AM20</f>
        <v>0</v>
      </c>
      <c r="AN20" s="91">
        <f>'10'!AN20+'11'!AN20+'12'!AN20</f>
        <v>0</v>
      </c>
      <c r="AO20" s="91">
        <f>'10'!AO20+'11'!AO20+'12'!AO20</f>
        <v>0</v>
      </c>
      <c r="AP20" s="91">
        <f>'10'!AP20+'11'!AP20+'12'!AP20</f>
        <v>0</v>
      </c>
      <c r="AQ20" s="16">
        <f t="shared" si="3"/>
        <v>0</v>
      </c>
      <c r="AR20" s="17">
        <f t="shared" si="11"/>
        <v>0</v>
      </c>
      <c r="AS20" s="15"/>
      <c r="AT20" s="15"/>
      <c r="AU20" s="92">
        <f t="shared" si="4"/>
        <v>0</v>
      </c>
      <c r="AV20" s="92">
        <f t="shared" si="5"/>
        <v>0</v>
      </c>
      <c r="AW20" s="92">
        <f t="shared" si="6"/>
        <v>0</v>
      </c>
      <c r="AX20" s="92">
        <f t="shared" si="7"/>
        <v>0</v>
      </c>
      <c r="AY20" s="18">
        <f t="shared" si="10"/>
        <v>0</v>
      </c>
      <c r="AZ20" s="18">
        <f t="shared" si="10"/>
        <v>0</v>
      </c>
      <c r="BA20" s="74">
        <f t="shared" ref="BA20:BA22" si="12">ROUND(AS20-E20-AR20,4)</f>
        <v>0</v>
      </c>
      <c r="BB20" s="139"/>
      <c r="BC20"/>
    </row>
    <row r="21" spans="1:55" ht="15" hidden="1" customHeight="1" x14ac:dyDescent="0.25">
      <c r="A21" s="68" t="s">
        <v>26</v>
      </c>
      <c r="B21" s="111"/>
      <c r="C21" s="111">
        <v>24</v>
      </c>
      <c r="D21" s="121">
        <f t="shared" si="8"/>
        <v>0</v>
      </c>
      <c r="E21" s="16">
        <f t="shared" si="9"/>
        <v>0</v>
      </c>
      <c r="F21" s="91">
        <f>'10'!F21+'11'!F21+'12'!F21</f>
        <v>0</v>
      </c>
      <c r="G21" s="91">
        <f>'10'!G21+'11'!G21+'12'!G21</f>
        <v>0</v>
      </c>
      <c r="H21" s="135">
        <f>'10'!H21+'11'!H21+'12'!H21</f>
        <v>0</v>
      </c>
      <c r="I21" s="135">
        <f>'10'!I21+'11'!I21+'12'!I21</f>
        <v>0</v>
      </c>
      <c r="J21" s="8" t="s">
        <v>55</v>
      </c>
      <c r="K21" s="133">
        <f>'10'!K21+'11'!K21+'12'!K21</f>
        <v>0</v>
      </c>
      <c r="L21" s="133">
        <f>'10'!L21+'11'!L21+'12'!L21</f>
        <v>0</v>
      </c>
      <c r="M21" s="91">
        <f>'10'!M21+'11'!M21+'12'!M21</f>
        <v>0</v>
      </c>
      <c r="N21" s="91">
        <f>'10'!N21+'11'!N21+'12'!N21</f>
        <v>0</v>
      </c>
      <c r="O21" s="91">
        <f>'10'!O21+'11'!O21+'12'!O21</f>
        <v>0</v>
      </c>
      <c r="P21" s="91">
        <f>'10'!P21+'11'!P21+'12'!P21</f>
        <v>0</v>
      </c>
      <c r="Q21" s="91">
        <f>'10'!Q21+'11'!Q21+'12'!Q21</f>
        <v>0</v>
      </c>
      <c r="R21" s="91">
        <f>'10'!R21+'11'!R21+'12'!R21</f>
        <v>0</v>
      </c>
      <c r="S21" s="91">
        <f>'10'!S21+'11'!S21+'12'!S21</f>
        <v>0</v>
      </c>
      <c r="T21" s="91">
        <f>'10'!T21+'11'!T21+'12'!T21</f>
        <v>0</v>
      </c>
      <c r="U21" s="91">
        <f>'10'!U21+'11'!U21+'12'!U21</f>
        <v>0</v>
      </c>
      <c r="V21" s="91">
        <f>'10'!V21+'11'!V21+'12'!V21</f>
        <v>0</v>
      </c>
      <c r="W21" s="91">
        <f>'10'!W21+'11'!W21+'12'!W21</f>
        <v>0</v>
      </c>
      <c r="X21" s="91">
        <f>'10'!X21+'11'!X21+'12'!X21</f>
        <v>0</v>
      </c>
      <c r="Y21" s="91">
        <f>'10'!Y21+'11'!Y21+'12'!Y21</f>
        <v>0</v>
      </c>
      <c r="Z21" s="91">
        <f>'10'!Z21+'11'!Z21+'12'!Z21</f>
        <v>0</v>
      </c>
      <c r="AA21" s="91">
        <f>'10'!AA21+'11'!AA21+'12'!AA21</f>
        <v>0</v>
      </c>
      <c r="AB21" s="91">
        <f>'10'!AB21+'11'!AB21+'12'!AB21</f>
        <v>0</v>
      </c>
      <c r="AC21" s="91">
        <f>'10'!AC21+'11'!AC21+'12'!AC21</f>
        <v>0</v>
      </c>
      <c r="AD21" s="91">
        <f>'10'!AD21+'11'!AD21+'12'!AD21</f>
        <v>0</v>
      </c>
      <c r="AE21" s="91">
        <f>'10'!AE21+'11'!AE21+'12'!AE21</f>
        <v>0</v>
      </c>
      <c r="AF21" s="91">
        <f>'10'!AF21+'11'!AF21+'12'!AF21</f>
        <v>0</v>
      </c>
      <c r="AG21" s="91">
        <f>'10'!AG21+'11'!AG21+'12'!AG21</f>
        <v>0</v>
      </c>
      <c r="AH21" s="91">
        <f>'10'!AH21+'11'!AH21+'12'!AH21</f>
        <v>0</v>
      </c>
      <c r="AI21" s="91">
        <f>'10'!AI21+'11'!AI21+'12'!AI21</f>
        <v>0</v>
      </c>
      <c r="AJ21" s="91">
        <f>'10'!AJ21+'11'!AJ21+'12'!AJ21</f>
        <v>0</v>
      </c>
      <c r="AK21" s="91">
        <f>'10'!AK21+'11'!AK21+'12'!AK21</f>
        <v>0</v>
      </c>
      <c r="AL21" s="91">
        <f>'10'!AL21+'11'!AL21+'12'!AL21</f>
        <v>0</v>
      </c>
      <c r="AM21" s="91">
        <f>'10'!AM21+'11'!AM21+'12'!AM21</f>
        <v>0</v>
      </c>
      <c r="AN21" s="91">
        <f>'10'!AN21+'11'!AN21+'12'!AN21</f>
        <v>0</v>
      </c>
      <c r="AO21" s="91">
        <f>'10'!AO21+'11'!AO21+'12'!AO21</f>
        <v>0</v>
      </c>
      <c r="AP21" s="91">
        <f>'10'!AP21+'11'!AP21+'12'!AP21</f>
        <v>0</v>
      </c>
      <c r="AQ21" s="16">
        <f t="shared" si="3"/>
        <v>0</v>
      </c>
      <c r="AR21" s="17">
        <f t="shared" si="11"/>
        <v>0</v>
      </c>
      <c r="AS21" s="15"/>
      <c r="AT21" s="15"/>
      <c r="AU21" s="92">
        <f t="shared" si="4"/>
        <v>0</v>
      </c>
      <c r="AV21" s="92">
        <f t="shared" si="5"/>
        <v>0</v>
      </c>
      <c r="AW21" s="92">
        <f t="shared" si="6"/>
        <v>0</v>
      </c>
      <c r="AX21" s="92">
        <f t="shared" si="7"/>
        <v>0</v>
      </c>
      <c r="AY21" s="18">
        <f t="shared" si="10"/>
        <v>0</v>
      </c>
      <c r="AZ21" s="18">
        <f t="shared" si="10"/>
        <v>0</v>
      </c>
      <c r="BA21" s="74">
        <f t="shared" si="12"/>
        <v>0</v>
      </c>
      <c r="BB21" s="139"/>
      <c r="BC21"/>
    </row>
    <row r="22" spans="1:55" ht="15" hidden="1" customHeight="1" x14ac:dyDescent="0.25">
      <c r="A22" s="70" t="s">
        <v>63</v>
      </c>
      <c r="B22" s="113"/>
      <c r="C22" s="113">
        <v>25</v>
      </c>
      <c r="D22" s="121">
        <f t="shared" si="8"/>
        <v>0</v>
      </c>
      <c r="E22" s="16">
        <f t="shared" si="9"/>
        <v>0</v>
      </c>
      <c r="F22" s="91">
        <f>'10'!F22+'11'!F22+'12'!F22</f>
        <v>0</v>
      </c>
      <c r="G22" s="91">
        <f>'10'!G22+'11'!G22+'12'!G22</f>
        <v>0</v>
      </c>
      <c r="H22" s="135">
        <f>'10'!H22+'11'!H22+'12'!H22</f>
        <v>0</v>
      </c>
      <c r="I22" s="135">
        <f>'10'!I22+'11'!I22+'12'!I22</f>
        <v>0</v>
      </c>
      <c r="J22" s="8" t="s">
        <v>55</v>
      </c>
      <c r="K22" s="133">
        <f>'10'!K22+'11'!K22+'12'!K22</f>
        <v>0</v>
      </c>
      <c r="L22" s="133">
        <f>'10'!L22+'11'!L22+'12'!L22</f>
        <v>0</v>
      </c>
      <c r="M22" s="91">
        <f>'10'!M22+'11'!M22+'12'!M22</f>
        <v>0</v>
      </c>
      <c r="N22" s="91">
        <f>'10'!N22+'11'!N22+'12'!N22</f>
        <v>0</v>
      </c>
      <c r="O22" s="91">
        <f>'10'!O22+'11'!O22+'12'!O22</f>
        <v>0</v>
      </c>
      <c r="P22" s="91">
        <f>'10'!P22+'11'!P22+'12'!P22</f>
        <v>0</v>
      </c>
      <c r="Q22" s="91">
        <f>'10'!Q22+'11'!Q22+'12'!Q22</f>
        <v>0</v>
      </c>
      <c r="R22" s="91">
        <f>'10'!R22+'11'!R22+'12'!R22</f>
        <v>0</v>
      </c>
      <c r="S22" s="91">
        <f>'10'!S22+'11'!S22+'12'!S22</f>
        <v>0</v>
      </c>
      <c r="T22" s="91">
        <f>'10'!T22+'11'!T22+'12'!T22</f>
        <v>0</v>
      </c>
      <c r="U22" s="91">
        <f>'10'!U22+'11'!U22+'12'!U22</f>
        <v>0</v>
      </c>
      <c r="V22" s="91">
        <f>'10'!V22+'11'!V22+'12'!V22</f>
        <v>0</v>
      </c>
      <c r="W22" s="91">
        <f>'10'!W22+'11'!W22+'12'!W22</f>
        <v>0</v>
      </c>
      <c r="X22" s="91">
        <f>'10'!X22+'11'!X22+'12'!X22</f>
        <v>0</v>
      </c>
      <c r="Y22" s="91">
        <f>'10'!Y22+'11'!Y22+'12'!Y22</f>
        <v>0</v>
      </c>
      <c r="Z22" s="91">
        <f>'10'!Z22+'11'!Z22+'12'!Z22</f>
        <v>0</v>
      </c>
      <c r="AA22" s="91">
        <f>'10'!AA22+'11'!AA22+'12'!AA22</f>
        <v>0</v>
      </c>
      <c r="AB22" s="91">
        <f>'10'!AB22+'11'!AB22+'12'!AB22</f>
        <v>0</v>
      </c>
      <c r="AC22" s="91">
        <f>'10'!AC22+'11'!AC22+'12'!AC22</f>
        <v>0</v>
      </c>
      <c r="AD22" s="91">
        <f>'10'!AD22+'11'!AD22+'12'!AD22</f>
        <v>0</v>
      </c>
      <c r="AE22" s="91">
        <f>'10'!AE22+'11'!AE22+'12'!AE22</f>
        <v>0</v>
      </c>
      <c r="AF22" s="91">
        <f>'10'!AF22+'11'!AF22+'12'!AF22</f>
        <v>0</v>
      </c>
      <c r="AG22" s="91">
        <f>'10'!AG22+'11'!AG22+'12'!AG22</f>
        <v>0</v>
      </c>
      <c r="AH22" s="91">
        <f>'10'!AH22+'11'!AH22+'12'!AH22</f>
        <v>0</v>
      </c>
      <c r="AI22" s="91">
        <f>'10'!AI22+'11'!AI22+'12'!AI22</f>
        <v>0</v>
      </c>
      <c r="AJ22" s="91">
        <f>'10'!AJ22+'11'!AJ22+'12'!AJ22</f>
        <v>0</v>
      </c>
      <c r="AK22" s="91">
        <f>'10'!AK22+'11'!AK22+'12'!AK22</f>
        <v>0</v>
      </c>
      <c r="AL22" s="91">
        <f>'10'!AL22+'11'!AL22+'12'!AL22</f>
        <v>0</v>
      </c>
      <c r="AM22" s="91">
        <f>'10'!AM22+'11'!AM22+'12'!AM22</f>
        <v>0</v>
      </c>
      <c r="AN22" s="91">
        <f>'10'!AN22+'11'!AN22+'12'!AN22</f>
        <v>0</v>
      </c>
      <c r="AO22" s="91">
        <f>'10'!AO22+'11'!AO22+'12'!AO22</f>
        <v>0</v>
      </c>
      <c r="AP22" s="91">
        <f>'10'!AP22+'11'!AP22+'12'!AP22</f>
        <v>0</v>
      </c>
      <c r="AQ22" s="16">
        <f t="shared" si="3"/>
        <v>0</v>
      </c>
      <c r="AR22" s="17">
        <f t="shared" si="11"/>
        <v>0</v>
      </c>
      <c r="AS22" s="15"/>
      <c r="AT22" s="15"/>
      <c r="AU22" s="92">
        <f t="shared" si="4"/>
        <v>0</v>
      </c>
      <c r="AV22" s="92">
        <f t="shared" si="5"/>
        <v>0</v>
      </c>
      <c r="AW22" s="92">
        <f t="shared" si="6"/>
        <v>0</v>
      </c>
      <c r="AX22" s="92">
        <f t="shared" si="7"/>
        <v>0</v>
      </c>
      <c r="AY22" s="18">
        <f t="shared" si="10"/>
        <v>0</v>
      </c>
      <c r="AZ22" s="18">
        <f t="shared" si="10"/>
        <v>0</v>
      </c>
      <c r="BA22" s="74">
        <f t="shared" si="12"/>
        <v>0</v>
      </c>
      <c r="BB22" s="139"/>
      <c r="BC22"/>
    </row>
    <row r="23" spans="1:55" ht="15" customHeight="1" thickBot="1" x14ac:dyDescent="0.3">
      <c r="A23" s="90" t="s">
        <v>27</v>
      </c>
      <c r="B23" s="123" t="s">
        <v>148</v>
      </c>
      <c r="C23" s="114">
        <v>17</v>
      </c>
      <c r="D23" s="121">
        <f>AT23*AU23*AW23</f>
        <v>0</v>
      </c>
      <c r="E23" s="16">
        <f>ROUND(AT23*AV23*AX23,4)</f>
        <v>0</v>
      </c>
      <c r="F23" s="91">
        <f>'10'!F23+'11'!F23+'12'!F23</f>
        <v>0</v>
      </c>
      <c r="G23" s="91">
        <f>'10'!G23+'11'!G23+'12'!G23</f>
        <v>0</v>
      </c>
      <c r="H23" s="135">
        <f>'10'!H23+'11'!H23+'12'!H23</f>
        <v>0</v>
      </c>
      <c r="I23" s="135">
        <f>'10'!I23+'11'!I23+'12'!I23</f>
        <v>0</v>
      </c>
      <c r="J23" s="93" t="s">
        <v>55</v>
      </c>
      <c r="K23" s="133">
        <f>'10'!K23+'11'!K23+'12'!K23</f>
        <v>0</v>
      </c>
      <c r="L23" s="133">
        <f>'10'!L23+'11'!L23+'12'!L23</f>
        <v>0</v>
      </c>
      <c r="M23" s="91">
        <f>'10'!M23+'11'!M23+'12'!M23</f>
        <v>0</v>
      </c>
      <c r="N23" s="91">
        <f>'10'!N23+'11'!N23+'12'!N23</f>
        <v>0</v>
      </c>
      <c r="O23" s="91">
        <f>'10'!O23+'11'!O23+'12'!O23</f>
        <v>0</v>
      </c>
      <c r="P23" s="91">
        <f>'10'!P23+'11'!P23+'12'!P23</f>
        <v>0</v>
      </c>
      <c r="Q23" s="91">
        <f>'10'!Q23+'11'!Q23+'12'!Q23</f>
        <v>0</v>
      </c>
      <c r="R23" s="91">
        <f>'10'!R23+'11'!R23+'12'!R23</f>
        <v>0</v>
      </c>
      <c r="S23" s="91">
        <f>'10'!S23+'11'!S23+'12'!S23</f>
        <v>0</v>
      </c>
      <c r="T23" s="91">
        <f>'10'!T23+'11'!T23+'12'!T23</f>
        <v>0</v>
      </c>
      <c r="U23" s="91">
        <f>'10'!U23+'11'!U23+'12'!U23</f>
        <v>0</v>
      </c>
      <c r="V23" s="91">
        <f>'10'!V23+'11'!V23+'12'!V23</f>
        <v>0</v>
      </c>
      <c r="W23" s="91">
        <f>'10'!W23+'11'!W23+'12'!W23</f>
        <v>0</v>
      </c>
      <c r="X23" s="91">
        <f>'10'!X23+'11'!X23+'12'!X23</f>
        <v>0</v>
      </c>
      <c r="Y23" s="91">
        <f>'10'!Y23+'11'!Y23+'12'!Y23</f>
        <v>0</v>
      </c>
      <c r="Z23" s="91">
        <f>'10'!Z23+'11'!Z23+'12'!Z23</f>
        <v>0</v>
      </c>
      <c r="AA23" s="91">
        <f>'10'!AA23+'11'!AA23+'12'!AA23</f>
        <v>0</v>
      </c>
      <c r="AB23" s="91">
        <f>'10'!AB23+'11'!AB23+'12'!AB23</f>
        <v>0</v>
      </c>
      <c r="AC23" s="91">
        <f>'10'!AC23+'11'!AC23+'12'!AC23</f>
        <v>0</v>
      </c>
      <c r="AD23" s="91">
        <f>'10'!AD23+'11'!AD23+'12'!AD23</f>
        <v>0</v>
      </c>
      <c r="AE23" s="91">
        <f>'10'!AE23+'11'!AE23+'12'!AE23</f>
        <v>0</v>
      </c>
      <c r="AF23" s="91">
        <f>'10'!AF23+'11'!AF23+'12'!AF23</f>
        <v>0</v>
      </c>
      <c r="AG23" s="91">
        <f>'10'!AG23+'11'!AG23+'12'!AG23</f>
        <v>0</v>
      </c>
      <c r="AH23" s="91">
        <f>'10'!AH23+'11'!AH23+'12'!AH23</f>
        <v>0</v>
      </c>
      <c r="AI23" s="91">
        <f>'10'!AI23+'11'!AI23+'12'!AI23</f>
        <v>0</v>
      </c>
      <c r="AJ23" s="91">
        <f>'10'!AJ23+'11'!AJ23+'12'!AJ23</f>
        <v>0</v>
      </c>
      <c r="AK23" s="91">
        <f>'10'!AK23+'11'!AK23+'12'!AK23</f>
        <v>0</v>
      </c>
      <c r="AL23" s="91">
        <f>'10'!AL23+'11'!AL23+'12'!AL23</f>
        <v>0</v>
      </c>
      <c r="AM23" s="91">
        <f>'10'!AM23+'11'!AM23+'12'!AM23</f>
        <v>0</v>
      </c>
      <c r="AN23" s="91">
        <f>'10'!AN23+'11'!AN23+'12'!AN23</f>
        <v>0</v>
      </c>
      <c r="AO23" s="91">
        <f>'10'!AO23+'11'!AO23+'12'!AO23</f>
        <v>0</v>
      </c>
      <c r="AP23" s="91">
        <f>'10'!AP23+'11'!AP23+'12'!AP23</f>
        <v>0</v>
      </c>
      <c r="AQ23" s="16">
        <f t="shared" si="3"/>
        <v>0</v>
      </c>
      <c r="AR23" s="17">
        <f t="shared" si="11"/>
        <v>0</v>
      </c>
      <c r="AS23" s="91">
        <f>AT23</f>
        <v>0</v>
      </c>
      <c r="AT23" s="91">
        <f>'10'!AT23+'11'!AT23+'12'!AT23</f>
        <v>0</v>
      </c>
      <c r="AU23" s="92">
        <f>IF(AT23-AQ23=0,0,(AT23-M23-O23-Q23)/AT23)</f>
        <v>0</v>
      </c>
      <c r="AV23" s="92">
        <f>IF(AT23=0,0,(AT23-N23-P23-R23-AC23-AD23-AE23-AF23-AG23-AH23-AI23-AJ23-AL23)/AT23)</f>
        <v>0</v>
      </c>
      <c r="AW23" s="92">
        <f>IF(OR(AT23=0,AU23=0),0,((AT23*AU23)-S23-U23-W23-AA23-Y23)/(AT23*AU23))</f>
        <v>0</v>
      </c>
      <c r="AX23" s="92">
        <f>IF(OR(AT23=0,AV23=0),0,((AT23*AV23)-AK23-AM23-AN23-AO23-AP23-T23-V23-X23-Z23-AB23)/(AT23*AV23))</f>
        <v>0</v>
      </c>
      <c r="AY23" s="92">
        <f>IF(D23=0,0,K23/D23/24)</f>
        <v>0</v>
      </c>
      <c r="AZ23" s="92">
        <f>IF(E23=0,0,L23/E23/24)</f>
        <v>0</v>
      </c>
      <c r="BA23" s="95">
        <f>ROUND(AT23-E23-AR23,4)</f>
        <v>0</v>
      </c>
      <c r="BB23" s="140"/>
      <c r="BC23"/>
    </row>
    <row r="24" spans="1:55" ht="15" customHeight="1" thickBot="1" x14ac:dyDescent="0.3">
      <c r="A24" s="87" t="s">
        <v>80</v>
      </c>
      <c r="B24" s="124"/>
      <c r="C24" s="87"/>
      <c r="D24" s="129">
        <f t="shared" ref="D24" si="13">SUM(D25:D41)</f>
        <v>0</v>
      </c>
      <c r="E24" s="129">
        <f>SUM(E25:E41)</f>
        <v>0</v>
      </c>
      <c r="F24" s="129">
        <f>SUM(F25:F41)</f>
        <v>0</v>
      </c>
      <c r="G24" s="129">
        <f t="shared" ref="G24:AP24" si="14">SUM(G25:G41)</f>
        <v>0</v>
      </c>
      <c r="H24" s="131">
        <f t="shared" si="14"/>
        <v>0</v>
      </c>
      <c r="I24" s="131">
        <f t="shared" si="14"/>
        <v>0</v>
      </c>
      <c r="J24" s="129">
        <f t="shared" si="14"/>
        <v>0</v>
      </c>
      <c r="K24" s="130">
        <f t="shared" si="14"/>
        <v>0</v>
      </c>
      <c r="L24" s="130">
        <f t="shared" si="14"/>
        <v>0</v>
      </c>
      <c r="M24" s="129">
        <f t="shared" si="14"/>
        <v>0</v>
      </c>
      <c r="N24" s="129">
        <f t="shared" si="14"/>
        <v>0</v>
      </c>
      <c r="O24" s="129">
        <f t="shared" si="14"/>
        <v>0</v>
      </c>
      <c r="P24" s="129">
        <f t="shared" si="14"/>
        <v>0</v>
      </c>
      <c r="Q24" s="129">
        <f t="shared" si="14"/>
        <v>0</v>
      </c>
      <c r="R24" s="129">
        <f t="shared" si="14"/>
        <v>0</v>
      </c>
      <c r="S24" s="129">
        <f t="shared" si="14"/>
        <v>0</v>
      </c>
      <c r="T24" s="129">
        <f t="shared" si="14"/>
        <v>0</v>
      </c>
      <c r="U24" s="129">
        <f t="shared" si="14"/>
        <v>0</v>
      </c>
      <c r="V24" s="129">
        <f t="shared" si="14"/>
        <v>0</v>
      </c>
      <c r="W24" s="129">
        <f t="shared" si="14"/>
        <v>0</v>
      </c>
      <c r="X24" s="129">
        <f t="shared" si="14"/>
        <v>0</v>
      </c>
      <c r="Y24" s="129">
        <f t="shared" si="14"/>
        <v>0</v>
      </c>
      <c r="Z24" s="129">
        <f t="shared" si="14"/>
        <v>0</v>
      </c>
      <c r="AA24" s="129">
        <f t="shared" si="14"/>
        <v>0</v>
      </c>
      <c r="AB24" s="129">
        <f t="shared" si="14"/>
        <v>0</v>
      </c>
      <c r="AC24" s="129">
        <f t="shared" si="14"/>
        <v>0</v>
      </c>
      <c r="AD24" s="129">
        <f t="shared" si="14"/>
        <v>0</v>
      </c>
      <c r="AE24" s="129">
        <f t="shared" si="14"/>
        <v>0</v>
      </c>
      <c r="AF24" s="129">
        <f t="shared" si="14"/>
        <v>0</v>
      </c>
      <c r="AG24" s="129">
        <f t="shared" si="14"/>
        <v>0</v>
      </c>
      <c r="AH24" s="129">
        <f t="shared" si="14"/>
        <v>0</v>
      </c>
      <c r="AI24" s="129">
        <f t="shared" si="14"/>
        <v>0</v>
      </c>
      <c r="AJ24" s="129">
        <f t="shared" si="14"/>
        <v>0</v>
      </c>
      <c r="AK24" s="129">
        <f t="shared" si="14"/>
        <v>0</v>
      </c>
      <c r="AL24" s="129">
        <f>SUM(AL25:AL41)</f>
        <v>0</v>
      </c>
      <c r="AM24" s="129">
        <f t="shared" si="14"/>
        <v>0</v>
      </c>
      <c r="AN24" s="129">
        <f t="shared" si="14"/>
        <v>0</v>
      </c>
      <c r="AO24" s="129">
        <f t="shared" si="14"/>
        <v>0</v>
      </c>
      <c r="AP24" s="129">
        <f t="shared" si="14"/>
        <v>0</v>
      </c>
      <c r="AQ24" s="129">
        <f t="shared" si="3"/>
        <v>0</v>
      </c>
      <c r="AR24" s="129">
        <f t="shared" si="11"/>
        <v>0</v>
      </c>
      <c r="AS24" s="129">
        <f t="shared" ref="AS24:AS59" si="15">AT24</f>
        <v>0</v>
      </c>
      <c r="AT24" s="129">
        <f>SUM(AT25:AT41)</f>
        <v>0</v>
      </c>
      <c r="AU24" s="131">
        <f t="shared" ref="AU24:AU59" si="16">IF(AT24-AQ24=0,0,(AT24-M24-O24-Q24)/AT24)</f>
        <v>0</v>
      </c>
      <c r="AV24" s="131">
        <f t="shared" si="5"/>
        <v>0</v>
      </c>
      <c r="AW24" s="131">
        <f t="shared" ref="AW24:AW59" si="17">IF(OR(AT24=0,AU24=0),0,((AT24*AU24)-S24-U24-W24-AA24-Y24)/(AT24*AU24))</f>
        <v>0</v>
      </c>
      <c r="AX24" s="131">
        <f t="shared" ref="AX24:AX59" si="18">IF(OR(AT24=0,AV24=0),0,((AT24*AV24)-AK24-AM24-AN24-AO24-AP24-T24-V24-X24-Z24-AB24)/(AT24*AV24))</f>
        <v>0</v>
      </c>
      <c r="AY24" s="131">
        <f>SUM(AY25:AY41)</f>
        <v>0</v>
      </c>
      <c r="AZ24" s="131">
        <f>SUM(AZ25:AZ41)</f>
        <v>0</v>
      </c>
      <c r="BA24" s="129">
        <f t="shared" ref="BA24:BA59" si="19">ROUND(AT24-E24-AR24,4)</f>
        <v>0</v>
      </c>
      <c r="BB24" s="141"/>
      <c r="BC24"/>
    </row>
    <row r="25" spans="1:55" ht="15" hidden="1" customHeight="1" x14ac:dyDescent="0.25">
      <c r="A25" s="97" t="s">
        <v>28</v>
      </c>
      <c r="B25" s="115"/>
      <c r="C25" s="115">
        <v>30</v>
      </c>
      <c r="D25" s="121">
        <f>AT25*AU25*AW25</f>
        <v>0</v>
      </c>
      <c r="E25" s="16">
        <f>ROUND(AT25*AV25*AX25,4)</f>
        <v>0</v>
      </c>
      <c r="F25" s="91">
        <f>'10'!F25+'11'!F25+'12'!F25</f>
        <v>0</v>
      </c>
      <c r="G25" s="91">
        <f>'10'!G25+'11'!G25+'12'!G25</f>
        <v>0</v>
      </c>
      <c r="H25" s="135">
        <f>'10'!H25+'11'!H25+'12'!H25</f>
        <v>0</v>
      </c>
      <c r="I25" s="135">
        <f>'10'!I25+'11'!I25+'12'!I25</f>
        <v>0</v>
      </c>
      <c r="J25" s="98" t="s">
        <v>68</v>
      </c>
      <c r="K25" s="133">
        <f>'10'!K25+'11'!K25+'12'!K25</f>
        <v>0</v>
      </c>
      <c r="L25" s="133">
        <f>'10'!L25+'11'!L25+'12'!L25</f>
        <v>0</v>
      </c>
      <c r="M25" s="91">
        <f>'10'!M25+'11'!M25+'12'!M25</f>
        <v>0</v>
      </c>
      <c r="N25" s="91">
        <f>'10'!N25+'11'!N25+'12'!N25</f>
        <v>0</v>
      </c>
      <c r="O25" s="91">
        <f>'10'!O25+'11'!O25+'12'!O25</f>
        <v>0</v>
      </c>
      <c r="P25" s="91">
        <f>'10'!P25+'11'!P25+'12'!P25</f>
        <v>0</v>
      </c>
      <c r="Q25" s="91">
        <f>'10'!Q25+'11'!Q25+'12'!Q25</f>
        <v>0</v>
      </c>
      <c r="R25" s="91">
        <f>'10'!R25+'11'!R25+'12'!R25</f>
        <v>0</v>
      </c>
      <c r="S25" s="91">
        <f>'10'!S25+'11'!S25+'12'!S25</f>
        <v>0</v>
      </c>
      <c r="T25" s="91">
        <f>'10'!T25+'11'!T25+'12'!T25</f>
        <v>0</v>
      </c>
      <c r="U25" s="91">
        <f>'10'!U25+'11'!U25+'12'!U25</f>
        <v>0</v>
      </c>
      <c r="V25" s="91">
        <f>'10'!V25+'11'!V25+'12'!V25</f>
        <v>0</v>
      </c>
      <c r="W25" s="91">
        <f>'10'!W25+'11'!W25+'12'!W25</f>
        <v>0</v>
      </c>
      <c r="X25" s="91">
        <f>'10'!X25+'11'!X25+'12'!X25</f>
        <v>0</v>
      </c>
      <c r="Y25" s="91">
        <f>'10'!Y25+'11'!Y25+'12'!Y25</f>
        <v>0</v>
      </c>
      <c r="Z25" s="91">
        <f>'10'!Z25+'11'!Z25+'12'!Z25</f>
        <v>0</v>
      </c>
      <c r="AA25" s="91">
        <f>'10'!AA25+'11'!AA25+'12'!AA25</f>
        <v>0</v>
      </c>
      <c r="AB25" s="91">
        <f>'10'!AB25+'11'!AB25+'12'!AB25</f>
        <v>0</v>
      </c>
      <c r="AC25" s="91">
        <f>'10'!AC25+'11'!AC25+'12'!AC25</f>
        <v>0</v>
      </c>
      <c r="AD25" s="91">
        <f>'10'!AD25+'11'!AD25+'12'!AD25</f>
        <v>0</v>
      </c>
      <c r="AE25" s="91">
        <f>'10'!AE25+'11'!AE25+'12'!AE25</f>
        <v>0</v>
      </c>
      <c r="AF25" s="91">
        <f>'10'!AF25+'11'!AF25+'12'!AF25</f>
        <v>0</v>
      </c>
      <c r="AG25" s="91">
        <f>'10'!AG25+'11'!AG25+'12'!AG25</f>
        <v>0</v>
      </c>
      <c r="AH25" s="91">
        <f>'10'!AH25+'11'!AH25+'12'!AH25</f>
        <v>0</v>
      </c>
      <c r="AI25" s="91">
        <f>'10'!AI25+'11'!AI25+'12'!AI25</f>
        <v>0</v>
      </c>
      <c r="AJ25" s="91">
        <f>'10'!AJ25+'11'!AJ25+'12'!AJ25</f>
        <v>0</v>
      </c>
      <c r="AK25" s="91">
        <f>'10'!AK25+'11'!AK25+'12'!AK25</f>
        <v>0</v>
      </c>
      <c r="AL25" s="91">
        <f>'10'!AL25+'11'!AL25+'12'!AL25</f>
        <v>0</v>
      </c>
      <c r="AM25" s="91">
        <f>'10'!AM25+'11'!AM25+'12'!AM25</f>
        <v>0</v>
      </c>
      <c r="AN25" s="91">
        <f>'10'!AN25+'11'!AN25+'12'!AN25</f>
        <v>0</v>
      </c>
      <c r="AO25" s="91">
        <f>'10'!AO25+'11'!AO25+'12'!AO25</f>
        <v>0</v>
      </c>
      <c r="AP25" s="91">
        <f>'10'!AP25+'11'!AP25+'12'!AP25</f>
        <v>0</v>
      </c>
      <c r="AQ25" s="16">
        <f t="shared" si="3"/>
        <v>0</v>
      </c>
      <c r="AR25" s="17">
        <f t="shared" si="11"/>
        <v>0</v>
      </c>
      <c r="AS25" s="91">
        <f t="shared" si="15"/>
        <v>0</v>
      </c>
      <c r="AT25" s="17"/>
      <c r="AU25" s="92">
        <f t="shared" si="16"/>
        <v>0</v>
      </c>
      <c r="AV25" s="92">
        <f t="shared" si="5"/>
        <v>0</v>
      </c>
      <c r="AW25" s="92">
        <f t="shared" si="17"/>
        <v>0</v>
      </c>
      <c r="AX25" s="92">
        <f t="shared" si="18"/>
        <v>0</v>
      </c>
      <c r="AY25" s="82">
        <f t="shared" ref="AY25:AZ41" si="20">IF(D25=0,0,K25/D25/24)</f>
        <v>0</v>
      </c>
      <c r="AZ25" s="82">
        <f t="shared" si="20"/>
        <v>0</v>
      </c>
      <c r="BA25" s="95">
        <f t="shared" si="19"/>
        <v>0</v>
      </c>
      <c r="BB25" s="138"/>
      <c r="BC25"/>
    </row>
    <row r="26" spans="1:55" ht="15" customHeight="1" x14ac:dyDescent="0.25">
      <c r="A26" s="71" t="s">
        <v>29</v>
      </c>
      <c r="B26" s="123" t="s">
        <v>137</v>
      </c>
      <c r="C26" s="112">
        <v>32</v>
      </c>
      <c r="D26" s="121">
        <f>AT26*AU26*AW26</f>
        <v>0</v>
      </c>
      <c r="E26" s="16">
        <f>ROUND(AT26*AV26*AX26,4)</f>
        <v>0</v>
      </c>
      <c r="F26" s="91">
        <f>'10'!F26+'11'!F26+'12'!F26</f>
        <v>0</v>
      </c>
      <c r="G26" s="91">
        <f>'10'!G26+'11'!G26+'12'!G26</f>
        <v>0</v>
      </c>
      <c r="H26" s="135">
        <f>'10'!H26+'11'!H26+'12'!H26</f>
        <v>0</v>
      </c>
      <c r="I26" s="135">
        <f>'10'!I26+'11'!I26+'12'!I26</f>
        <v>0</v>
      </c>
      <c r="J26" s="9" t="s">
        <v>68</v>
      </c>
      <c r="K26" s="133">
        <f>'10'!K26+'11'!K26+'12'!K26</f>
        <v>0</v>
      </c>
      <c r="L26" s="133">
        <f>'10'!L26+'11'!L26+'12'!L26</f>
        <v>0</v>
      </c>
      <c r="M26" s="91">
        <f>'10'!M26+'11'!M26+'12'!M26</f>
        <v>0</v>
      </c>
      <c r="N26" s="91">
        <f>'10'!N26+'11'!N26+'12'!N26</f>
        <v>0</v>
      </c>
      <c r="O26" s="91">
        <f>'10'!O26+'11'!O26+'12'!O26</f>
        <v>0</v>
      </c>
      <c r="P26" s="91">
        <f>'10'!P26+'11'!P26+'12'!P26</f>
        <v>0</v>
      </c>
      <c r="Q26" s="91">
        <f>'10'!Q26+'11'!Q26+'12'!Q26</f>
        <v>0</v>
      </c>
      <c r="R26" s="91">
        <f>'10'!R26+'11'!R26+'12'!R26</f>
        <v>0</v>
      </c>
      <c r="S26" s="91">
        <f>'10'!S26+'11'!S26+'12'!S26</f>
        <v>0</v>
      </c>
      <c r="T26" s="91">
        <f>'10'!T26+'11'!T26+'12'!T26</f>
        <v>0</v>
      </c>
      <c r="U26" s="91">
        <f>'10'!U26+'11'!U26+'12'!U26</f>
        <v>0</v>
      </c>
      <c r="V26" s="91">
        <f>'10'!V26+'11'!V26+'12'!V26</f>
        <v>0</v>
      </c>
      <c r="W26" s="91">
        <f>'10'!W26+'11'!W26+'12'!W26</f>
        <v>0</v>
      </c>
      <c r="X26" s="91">
        <f>'10'!X26+'11'!X26+'12'!X26</f>
        <v>0</v>
      </c>
      <c r="Y26" s="91">
        <f>'10'!Y26+'11'!Y26+'12'!Y26</f>
        <v>0</v>
      </c>
      <c r="Z26" s="91">
        <f>'10'!Z26+'11'!Z26+'12'!Z26</f>
        <v>0</v>
      </c>
      <c r="AA26" s="91">
        <f>'10'!AA26+'11'!AA26+'12'!AA26</f>
        <v>0</v>
      </c>
      <c r="AB26" s="91">
        <f>'10'!AB26+'11'!AB26+'12'!AB26</f>
        <v>0</v>
      </c>
      <c r="AC26" s="91">
        <f>'10'!AC26+'11'!AC26+'12'!AC26</f>
        <v>0</v>
      </c>
      <c r="AD26" s="91">
        <f>'10'!AD26+'11'!AD26+'12'!AD26</f>
        <v>0</v>
      </c>
      <c r="AE26" s="91">
        <f>'10'!AE26+'11'!AE26+'12'!AE26</f>
        <v>0</v>
      </c>
      <c r="AF26" s="91">
        <f>'10'!AF26+'11'!AF26+'12'!AF26</f>
        <v>0</v>
      </c>
      <c r="AG26" s="91">
        <f>'10'!AG26+'11'!AG26+'12'!AG26</f>
        <v>0</v>
      </c>
      <c r="AH26" s="91">
        <f>'10'!AH26+'11'!AH26+'12'!AH26</f>
        <v>0</v>
      </c>
      <c r="AI26" s="91">
        <f>'10'!AI26+'11'!AI26+'12'!AI26</f>
        <v>0</v>
      </c>
      <c r="AJ26" s="91">
        <f>'10'!AJ26+'11'!AJ26+'12'!AJ26</f>
        <v>0</v>
      </c>
      <c r="AK26" s="91">
        <f>'10'!AK26+'11'!AK26+'12'!AK26</f>
        <v>0</v>
      </c>
      <c r="AL26" s="91">
        <f>'10'!AL26+'11'!AL26+'12'!AL26</f>
        <v>0</v>
      </c>
      <c r="AM26" s="91">
        <f>'10'!AM26+'11'!AM26+'12'!AM26</f>
        <v>0</v>
      </c>
      <c r="AN26" s="91">
        <f>'10'!AN26+'11'!AN26+'12'!AN26</f>
        <v>0</v>
      </c>
      <c r="AO26" s="91">
        <f>'10'!AO26+'11'!AO26+'12'!AO26</f>
        <v>0</v>
      </c>
      <c r="AP26" s="91">
        <f>'10'!AP26+'11'!AP26+'12'!AP26</f>
        <v>0</v>
      </c>
      <c r="AQ26" s="16">
        <f t="shared" si="3"/>
        <v>0</v>
      </c>
      <c r="AR26" s="17">
        <f t="shared" si="11"/>
        <v>0</v>
      </c>
      <c r="AS26" s="91">
        <f t="shared" si="15"/>
        <v>0</v>
      </c>
      <c r="AT26" s="91">
        <f>'10'!AT26+'11'!AT26+'12'!AT26</f>
        <v>0</v>
      </c>
      <c r="AU26" s="92">
        <f t="shared" si="16"/>
        <v>0</v>
      </c>
      <c r="AV26" s="92">
        <f t="shared" si="5"/>
        <v>0</v>
      </c>
      <c r="AW26" s="92">
        <f t="shared" si="17"/>
        <v>0</v>
      </c>
      <c r="AX26" s="92">
        <f t="shared" si="18"/>
        <v>0</v>
      </c>
      <c r="AY26" s="82">
        <f t="shared" si="20"/>
        <v>0</v>
      </c>
      <c r="AZ26" s="82">
        <f t="shared" si="20"/>
        <v>0</v>
      </c>
      <c r="BA26" s="95">
        <f t="shared" si="19"/>
        <v>0</v>
      </c>
      <c r="BB26" s="139"/>
      <c r="BC26"/>
    </row>
    <row r="27" spans="1:55" ht="15" customHeight="1" thickBot="1" x14ac:dyDescent="0.3">
      <c r="A27" s="71" t="s">
        <v>30</v>
      </c>
      <c r="B27" s="123" t="s">
        <v>138</v>
      </c>
      <c r="C27" s="112">
        <v>35</v>
      </c>
      <c r="D27" s="121">
        <f>AT27*AU27*AW27</f>
        <v>0</v>
      </c>
      <c r="E27" s="16">
        <f>ROUND(AT27*AV27*AX27,4)</f>
        <v>0</v>
      </c>
      <c r="F27" s="91">
        <f>'10'!F27+'11'!F27+'12'!F27</f>
        <v>0</v>
      </c>
      <c r="G27" s="91">
        <f>'10'!G27+'11'!G27+'12'!G27</f>
        <v>0</v>
      </c>
      <c r="H27" s="135">
        <f>'10'!H27+'11'!H27+'12'!H27</f>
        <v>0</v>
      </c>
      <c r="I27" s="135">
        <f>'10'!I27+'11'!I27+'12'!I27</f>
        <v>0</v>
      </c>
      <c r="J27" s="9" t="s">
        <v>68</v>
      </c>
      <c r="K27" s="133">
        <f>'10'!K27+'11'!K27+'12'!K27</f>
        <v>0</v>
      </c>
      <c r="L27" s="133">
        <f>'10'!L27+'11'!L27+'12'!L27</f>
        <v>0</v>
      </c>
      <c r="M27" s="91">
        <f>'10'!M27+'11'!M27+'12'!M27</f>
        <v>0</v>
      </c>
      <c r="N27" s="91">
        <f>'10'!N27+'11'!N27+'12'!N27</f>
        <v>0</v>
      </c>
      <c r="O27" s="91">
        <f>'10'!O27+'11'!O27+'12'!O27</f>
        <v>0</v>
      </c>
      <c r="P27" s="91">
        <f>'10'!P27+'11'!P27+'12'!P27</f>
        <v>0</v>
      </c>
      <c r="Q27" s="91">
        <f>'10'!Q27+'11'!Q27+'12'!Q27</f>
        <v>0</v>
      </c>
      <c r="R27" s="91">
        <f>'10'!R27+'11'!R27+'12'!R27</f>
        <v>0</v>
      </c>
      <c r="S27" s="91">
        <f>'10'!S27+'11'!S27+'12'!S27</f>
        <v>0</v>
      </c>
      <c r="T27" s="91">
        <f>'10'!T27+'11'!T27+'12'!T27</f>
        <v>0</v>
      </c>
      <c r="U27" s="91">
        <f>'10'!U27+'11'!U27+'12'!U27</f>
        <v>0</v>
      </c>
      <c r="V27" s="91">
        <f>'10'!V27+'11'!V27+'12'!V27</f>
        <v>0</v>
      </c>
      <c r="W27" s="91">
        <f>'10'!W27+'11'!W27+'12'!W27</f>
        <v>0</v>
      </c>
      <c r="X27" s="91">
        <f>'10'!X27+'11'!X27+'12'!X27</f>
        <v>0</v>
      </c>
      <c r="Y27" s="91">
        <f>'10'!Y27+'11'!Y27+'12'!Y27</f>
        <v>0</v>
      </c>
      <c r="Z27" s="91">
        <f>'10'!Z27+'11'!Z27+'12'!Z27</f>
        <v>0</v>
      </c>
      <c r="AA27" s="91">
        <f>'10'!AA27+'11'!AA27+'12'!AA27</f>
        <v>0</v>
      </c>
      <c r="AB27" s="91">
        <f>'10'!AB27+'11'!AB27+'12'!AB27</f>
        <v>0</v>
      </c>
      <c r="AC27" s="91">
        <f>'10'!AC27+'11'!AC27+'12'!AC27</f>
        <v>0</v>
      </c>
      <c r="AD27" s="91">
        <f>'10'!AD27+'11'!AD27+'12'!AD27</f>
        <v>0</v>
      </c>
      <c r="AE27" s="91">
        <f>'10'!AE27+'11'!AE27+'12'!AE27</f>
        <v>0</v>
      </c>
      <c r="AF27" s="91">
        <f>'10'!AF27+'11'!AF27+'12'!AF27</f>
        <v>0</v>
      </c>
      <c r="AG27" s="91">
        <f>'10'!AG27+'11'!AG27+'12'!AG27</f>
        <v>0</v>
      </c>
      <c r="AH27" s="91">
        <f>'10'!AH27+'11'!AH27+'12'!AH27</f>
        <v>0</v>
      </c>
      <c r="AI27" s="91">
        <f>'10'!AI27+'11'!AI27+'12'!AI27</f>
        <v>0</v>
      </c>
      <c r="AJ27" s="91">
        <f>'10'!AJ27+'11'!AJ27+'12'!AJ27</f>
        <v>0</v>
      </c>
      <c r="AK27" s="91">
        <f>'10'!AK27+'11'!AK27+'12'!AK27</f>
        <v>0</v>
      </c>
      <c r="AL27" s="91">
        <f>'10'!AL27+'11'!AL27+'12'!AL27</f>
        <v>0</v>
      </c>
      <c r="AM27" s="91">
        <f>'10'!AM27+'11'!AM27+'12'!AM27</f>
        <v>0</v>
      </c>
      <c r="AN27" s="91">
        <f>'10'!AN27+'11'!AN27+'12'!AN27</f>
        <v>0</v>
      </c>
      <c r="AO27" s="91">
        <f>'10'!AO27+'11'!AO27+'12'!AO27</f>
        <v>0</v>
      </c>
      <c r="AP27" s="91">
        <f>'10'!AP27+'11'!AP27+'12'!AP27</f>
        <v>0</v>
      </c>
      <c r="AQ27" s="16">
        <f t="shared" si="3"/>
        <v>0</v>
      </c>
      <c r="AR27" s="17">
        <f t="shared" si="11"/>
        <v>0</v>
      </c>
      <c r="AS27" s="91">
        <f t="shared" si="15"/>
        <v>0</v>
      </c>
      <c r="AT27" s="91">
        <f>'10'!AT27+'11'!AT27+'12'!AT27</f>
        <v>0</v>
      </c>
      <c r="AU27" s="92">
        <f t="shared" si="16"/>
        <v>0</v>
      </c>
      <c r="AV27" s="92">
        <f t="shared" si="5"/>
        <v>0</v>
      </c>
      <c r="AW27" s="92">
        <f t="shared" si="17"/>
        <v>0</v>
      </c>
      <c r="AX27" s="92">
        <f t="shared" si="18"/>
        <v>0</v>
      </c>
      <c r="AY27" s="82">
        <f t="shared" si="20"/>
        <v>0</v>
      </c>
      <c r="AZ27" s="82">
        <f t="shared" si="20"/>
        <v>0</v>
      </c>
      <c r="BA27" s="95">
        <f t="shared" si="19"/>
        <v>0</v>
      </c>
      <c r="BB27" s="139"/>
      <c r="BC27"/>
    </row>
    <row r="28" spans="1:55" ht="15" hidden="1" customHeight="1" x14ac:dyDescent="0.3">
      <c r="A28" s="72" t="s">
        <v>31</v>
      </c>
      <c r="B28" s="111"/>
      <c r="C28" s="111">
        <v>39</v>
      </c>
      <c r="D28" s="121">
        <f t="shared" ref="D28:D41" si="21">AT28*AU28*AW28</f>
        <v>0</v>
      </c>
      <c r="E28" s="16">
        <f t="shared" ref="E28:E41" si="22">ROUND(AT28*AV28*AX28,4)</f>
        <v>0</v>
      </c>
      <c r="F28" s="91">
        <f>'10'!F28+'11'!F28+'12'!F28</f>
        <v>0</v>
      </c>
      <c r="G28" s="91">
        <f>'10'!G28+'11'!G28+'12'!G28</f>
        <v>0</v>
      </c>
      <c r="H28" s="135">
        <f>'10'!H28+'11'!H28+'12'!H28</f>
        <v>0</v>
      </c>
      <c r="I28" s="135">
        <f>'10'!I28+'11'!I28+'12'!I28</f>
        <v>0</v>
      </c>
      <c r="J28" s="9" t="s">
        <v>68</v>
      </c>
      <c r="K28" s="133">
        <f>'10'!K28+'11'!K28+'12'!K28</f>
        <v>0</v>
      </c>
      <c r="L28" s="133">
        <f>'10'!L28+'11'!L28+'12'!L28</f>
        <v>0</v>
      </c>
      <c r="M28" s="91">
        <f>'10'!M28+'11'!M28+'12'!M28</f>
        <v>0</v>
      </c>
      <c r="N28" s="91">
        <f>'10'!N28+'11'!N28+'12'!N28</f>
        <v>0</v>
      </c>
      <c r="O28" s="91">
        <f>'10'!O28+'11'!O28+'12'!O28</f>
        <v>0</v>
      </c>
      <c r="P28" s="91">
        <f>'10'!P28+'11'!P28+'12'!P28</f>
        <v>0</v>
      </c>
      <c r="Q28" s="91">
        <f>'10'!Q28+'11'!Q28+'12'!Q28</f>
        <v>0</v>
      </c>
      <c r="R28" s="91">
        <f>'10'!R28+'11'!R28+'12'!R28</f>
        <v>0</v>
      </c>
      <c r="S28" s="91">
        <f>'10'!S28+'11'!S28+'12'!S28</f>
        <v>0</v>
      </c>
      <c r="T28" s="91">
        <f>'10'!T28+'11'!T28+'12'!T28</f>
        <v>0</v>
      </c>
      <c r="U28" s="91">
        <f>'10'!U28+'11'!U28+'12'!U28</f>
        <v>0</v>
      </c>
      <c r="V28" s="91">
        <f>'10'!V28+'11'!V28+'12'!V28</f>
        <v>0</v>
      </c>
      <c r="W28" s="91">
        <f>'10'!W28+'11'!W28+'12'!W28</f>
        <v>0</v>
      </c>
      <c r="X28" s="91">
        <f>'10'!X28+'11'!X28+'12'!X28</f>
        <v>0</v>
      </c>
      <c r="Y28" s="91">
        <f>'10'!Y28+'11'!Y28+'12'!Y28</f>
        <v>0</v>
      </c>
      <c r="Z28" s="91">
        <f>'10'!Z28+'11'!Z28+'12'!Z28</f>
        <v>0</v>
      </c>
      <c r="AA28" s="91">
        <f>'10'!AA28+'11'!AA28+'12'!AA28</f>
        <v>0</v>
      </c>
      <c r="AB28" s="91">
        <f>'10'!AB28+'11'!AB28+'12'!AB28</f>
        <v>0</v>
      </c>
      <c r="AC28" s="91">
        <f>'10'!AC28+'11'!AC28+'12'!AC28</f>
        <v>0</v>
      </c>
      <c r="AD28" s="91">
        <f>'10'!AD28+'11'!AD28+'12'!AD28</f>
        <v>0</v>
      </c>
      <c r="AE28" s="91">
        <f>'10'!AE28+'11'!AE28+'12'!AE28</f>
        <v>0</v>
      </c>
      <c r="AF28" s="91">
        <f>'10'!AF28+'11'!AF28+'12'!AF28</f>
        <v>0</v>
      </c>
      <c r="AG28" s="91">
        <f>'10'!AG28+'11'!AG28+'12'!AG28</f>
        <v>0</v>
      </c>
      <c r="AH28" s="91">
        <f>'10'!AH28+'11'!AH28+'12'!AH28</f>
        <v>0</v>
      </c>
      <c r="AI28" s="91">
        <f>'10'!AI28+'11'!AI28+'12'!AI28</f>
        <v>0</v>
      </c>
      <c r="AJ28" s="91">
        <f>'10'!AJ28+'11'!AJ28+'12'!AJ28</f>
        <v>0</v>
      </c>
      <c r="AK28" s="91">
        <f>'10'!AK28+'11'!AK28+'12'!AK28</f>
        <v>0</v>
      </c>
      <c r="AL28" s="91">
        <f>'10'!AL28+'11'!AL28+'12'!AL28</f>
        <v>0</v>
      </c>
      <c r="AM28" s="91">
        <f>'10'!AM28+'11'!AM28+'12'!AM28</f>
        <v>0</v>
      </c>
      <c r="AN28" s="91">
        <f>'10'!AN28+'11'!AN28+'12'!AN28</f>
        <v>0</v>
      </c>
      <c r="AO28" s="91">
        <f>'10'!AO28+'11'!AO28+'12'!AO28</f>
        <v>0</v>
      </c>
      <c r="AP28" s="91">
        <f>'10'!AP28+'11'!AP28+'12'!AP28</f>
        <v>0</v>
      </c>
      <c r="AQ28" s="16">
        <f t="shared" si="3"/>
        <v>0</v>
      </c>
      <c r="AR28" s="17">
        <f t="shared" si="11"/>
        <v>0</v>
      </c>
      <c r="AS28" s="91">
        <f t="shared" si="15"/>
        <v>0</v>
      </c>
      <c r="AT28" s="15"/>
      <c r="AU28" s="92">
        <f t="shared" si="16"/>
        <v>0</v>
      </c>
      <c r="AV28" s="92">
        <f t="shared" si="5"/>
        <v>0</v>
      </c>
      <c r="AW28" s="92">
        <f t="shared" si="17"/>
        <v>0</v>
      </c>
      <c r="AX28" s="92">
        <f t="shared" si="18"/>
        <v>0</v>
      </c>
      <c r="AY28" s="82">
        <f t="shared" si="20"/>
        <v>0</v>
      </c>
      <c r="AZ28" s="82">
        <f t="shared" si="20"/>
        <v>0</v>
      </c>
      <c r="BA28" s="95">
        <f t="shared" si="19"/>
        <v>0</v>
      </c>
      <c r="BB28" s="139"/>
      <c r="BC28"/>
    </row>
    <row r="29" spans="1:55" ht="15" hidden="1" customHeight="1" x14ac:dyDescent="0.3">
      <c r="A29" s="72" t="s">
        <v>32</v>
      </c>
      <c r="B29" s="111"/>
      <c r="C29" s="111">
        <v>40</v>
      </c>
      <c r="D29" s="121">
        <f t="shared" si="21"/>
        <v>0</v>
      </c>
      <c r="E29" s="16">
        <f t="shared" si="22"/>
        <v>0</v>
      </c>
      <c r="F29" s="91">
        <f>'10'!F29+'11'!F29+'12'!F29</f>
        <v>0</v>
      </c>
      <c r="G29" s="91">
        <f>'10'!G29+'11'!G29+'12'!G29</f>
        <v>0</v>
      </c>
      <c r="H29" s="135">
        <f>'10'!H29+'11'!H29+'12'!H29</f>
        <v>0</v>
      </c>
      <c r="I29" s="135">
        <f>'10'!I29+'11'!I29+'12'!I29</f>
        <v>0</v>
      </c>
      <c r="J29" s="9" t="s">
        <v>68</v>
      </c>
      <c r="K29" s="133">
        <f>'10'!K29+'11'!K29+'12'!K29</f>
        <v>0</v>
      </c>
      <c r="L29" s="133">
        <f>'10'!L29+'11'!L29+'12'!L29</f>
        <v>0</v>
      </c>
      <c r="M29" s="91">
        <f>'10'!M29+'11'!M29+'12'!M29</f>
        <v>0</v>
      </c>
      <c r="N29" s="91">
        <f>'10'!N29+'11'!N29+'12'!N29</f>
        <v>0</v>
      </c>
      <c r="O29" s="91">
        <f>'10'!O29+'11'!O29+'12'!O29</f>
        <v>0</v>
      </c>
      <c r="P29" s="91">
        <f>'10'!P29+'11'!P29+'12'!P29</f>
        <v>0</v>
      </c>
      <c r="Q29" s="91">
        <f>'10'!Q29+'11'!Q29+'12'!Q29</f>
        <v>0</v>
      </c>
      <c r="R29" s="91">
        <f>'10'!R29+'11'!R29+'12'!R29</f>
        <v>0</v>
      </c>
      <c r="S29" s="91">
        <f>'10'!S29+'11'!S29+'12'!S29</f>
        <v>0</v>
      </c>
      <c r="T29" s="91">
        <f>'10'!T29+'11'!T29+'12'!T29</f>
        <v>0</v>
      </c>
      <c r="U29" s="91">
        <f>'10'!U29+'11'!U29+'12'!U29</f>
        <v>0</v>
      </c>
      <c r="V29" s="91">
        <f>'10'!V29+'11'!V29+'12'!V29</f>
        <v>0</v>
      </c>
      <c r="W29" s="91">
        <f>'10'!W29+'11'!W29+'12'!W29</f>
        <v>0</v>
      </c>
      <c r="X29" s="91">
        <f>'10'!X29+'11'!X29+'12'!X29</f>
        <v>0</v>
      </c>
      <c r="Y29" s="91">
        <f>'10'!Y29+'11'!Y29+'12'!Y29</f>
        <v>0</v>
      </c>
      <c r="Z29" s="91">
        <f>'10'!Z29+'11'!Z29+'12'!Z29</f>
        <v>0</v>
      </c>
      <c r="AA29" s="91">
        <f>'10'!AA29+'11'!AA29+'12'!AA29</f>
        <v>0</v>
      </c>
      <c r="AB29" s="91">
        <f>'10'!AB29+'11'!AB29+'12'!AB29</f>
        <v>0</v>
      </c>
      <c r="AC29" s="91">
        <f>'10'!AC29+'11'!AC29+'12'!AC29</f>
        <v>0</v>
      </c>
      <c r="AD29" s="91">
        <f>'10'!AD29+'11'!AD29+'12'!AD29</f>
        <v>0</v>
      </c>
      <c r="AE29" s="91">
        <f>'10'!AE29+'11'!AE29+'12'!AE29</f>
        <v>0</v>
      </c>
      <c r="AF29" s="91">
        <f>'10'!AF29+'11'!AF29+'12'!AF29</f>
        <v>0</v>
      </c>
      <c r="AG29" s="91">
        <f>'10'!AG29+'11'!AG29+'12'!AG29</f>
        <v>0</v>
      </c>
      <c r="AH29" s="91">
        <f>'10'!AH29+'11'!AH29+'12'!AH29</f>
        <v>0</v>
      </c>
      <c r="AI29" s="91">
        <f>'10'!AI29+'11'!AI29+'12'!AI29</f>
        <v>0</v>
      </c>
      <c r="AJ29" s="91">
        <f>'10'!AJ29+'11'!AJ29+'12'!AJ29</f>
        <v>0</v>
      </c>
      <c r="AK29" s="91">
        <f>'10'!AK29+'11'!AK29+'12'!AK29</f>
        <v>0</v>
      </c>
      <c r="AL29" s="91">
        <f>'10'!AL29+'11'!AL29+'12'!AL29</f>
        <v>0</v>
      </c>
      <c r="AM29" s="91">
        <f>'10'!AM29+'11'!AM29+'12'!AM29</f>
        <v>0</v>
      </c>
      <c r="AN29" s="91">
        <f>'10'!AN29+'11'!AN29+'12'!AN29</f>
        <v>0</v>
      </c>
      <c r="AO29" s="91">
        <f>'10'!AO29+'11'!AO29+'12'!AO29</f>
        <v>0</v>
      </c>
      <c r="AP29" s="91">
        <f>'10'!AP29+'11'!AP29+'12'!AP29</f>
        <v>0</v>
      </c>
      <c r="AQ29" s="16">
        <f t="shared" si="3"/>
        <v>0</v>
      </c>
      <c r="AR29" s="17">
        <f t="shared" si="11"/>
        <v>0</v>
      </c>
      <c r="AS29" s="91">
        <f t="shared" si="15"/>
        <v>0</v>
      </c>
      <c r="AT29" s="15"/>
      <c r="AU29" s="92">
        <f t="shared" si="16"/>
        <v>0</v>
      </c>
      <c r="AV29" s="92">
        <f t="shared" si="5"/>
        <v>0</v>
      </c>
      <c r="AW29" s="92">
        <f t="shared" si="17"/>
        <v>0</v>
      </c>
      <c r="AX29" s="92">
        <f t="shared" si="18"/>
        <v>0</v>
      </c>
      <c r="AY29" s="82">
        <f t="shared" si="20"/>
        <v>0</v>
      </c>
      <c r="AZ29" s="82">
        <f t="shared" si="20"/>
        <v>0</v>
      </c>
      <c r="BA29" s="95">
        <f t="shared" si="19"/>
        <v>0</v>
      </c>
      <c r="BB29" s="139"/>
      <c r="BC29"/>
    </row>
    <row r="30" spans="1:55" ht="15" hidden="1" customHeight="1" x14ac:dyDescent="0.3">
      <c r="A30" s="72" t="s">
        <v>33</v>
      </c>
      <c r="B30" s="111"/>
      <c r="C30" s="111">
        <v>41</v>
      </c>
      <c r="D30" s="121">
        <f t="shared" si="21"/>
        <v>0</v>
      </c>
      <c r="E30" s="16">
        <f t="shared" si="22"/>
        <v>0</v>
      </c>
      <c r="F30" s="91">
        <f>'10'!F30+'11'!F30+'12'!F30</f>
        <v>0</v>
      </c>
      <c r="G30" s="91">
        <f>'10'!G30+'11'!G30+'12'!G30</f>
        <v>0</v>
      </c>
      <c r="H30" s="135">
        <f>'10'!H30+'11'!H30+'12'!H30</f>
        <v>0</v>
      </c>
      <c r="I30" s="135">
        <f>'10'!I30+'11'!I30+'12'!I30</f>
        <v>0</v>
      </c>
      <c r="J30" s="9" t="s">
        <v>68</v>
      </c>
      <c r="K30" s="133">
        <f>'10'!K30+'11'!K30+'12'!K30</f>
        <v>0</v>
      </c>
      <c r="L30" s="133">
        <f>'10'!L30+'11'!L30+'12'!L30</f>
        <v>0</v>
      </c>
      <c r="M30" s="91">
        <f>'10'!M30+'11'!M30+'12'!M30</f>
        <v>0</v>
      </c>
      <c r="N30" s="91">
        <f>'10'!N30+'11'!N30+'12'!N30</f>
        <v>0</v>
      </c>
      <c r="O30" s="91">
        <f>'10'!O30+'11'!O30+'12'!O30</f>
        <v>0</v>
      </c>
      <c r="P30" s="91">
        <f>'10'!P30+'11'!P30+'12'!P30</f>
        <v>0</v>
      </c>
      <c r="Q30" s="91">
        <f>'10'!Q30+'11'!Q30+'12'!Q30</f>
        <v>0</v>
      </c>
      <c r="R30" s="91">
        <f>'10'!R30+'11'!R30+'12'!R30</f>
        <v>0</v>
      </c>
      <c r="S30" s="91">
        <f>'10'!S30+'11'!S30+'12'!S30</f>
        <v>0</v>
      </c>
      <c r="T30" s="91">
        <f>'10'!T30+'11'!T30+'12'!T30</f>
        <v>0</v>
      </c>
      <c r="U30" s="91">
        <f>'10'!U30+'11'!U30+'12'!U30</f>
        <v>0</v>
      </c>
      <c r="V30" s="91">
        <f>'10'!V30+'11'!V30+'12'!V30</f>
        <v>0</v>
      </c>
      <c r="W30" s="91">
        <f>'10'!W30+'11'!W30+'12'!W30</f>
        <v>0</v>
      </c>
      <c r="X30" s="91">
        <f>'10'!X30+'11'!X30+'12'!X30</f>
        <v>0</v>
      </c>
      <c r="Y30" s="91">
        <f>'10'!Y30+'11'!Y30+'12'!Y30</f>
        <v>0</v>
      </c>
      <c r="Z30" s="91">
        <f>'10'!Z30+'11'!Z30+'12'!Z30</f>
        <v>0</v>
      </c>
      <c r="AA30" s="91">
        <f>'10'!AA30+'11'!AA30+'12'!AA30</f>
        <v>0</v>
      </c>
      <c r="AB30" s="91">
        <f>'10'!AB30+'11'!AB30+'12'!AB30</f>
        <v>0</v>
      </c>
      <c r="AC30" s="91">
        <f>'10'!AC30+'11'!AC30+'12'!AC30</f>
        <v>0</v>
      </c>
      <c r="AD30" s="91">
        <f>'10'!AD30+'11'!AD30+'12'!AD30</f>
        <v>0</v>
      </c>
      <c r="AE30" s="91">
        <f>'10'!AE30+'11'!AE30+'12'!AE30</f>
        <v>0</v>
      </c>
      <c r="AF30" s="91">
        <f>'10'!AF30+'11'!AF30+'12'!AF30</f>
        <v>0</v>
      </c>
      <c r="AG30" s="91">
        <f>'10'!AG30+'11'!AG30+'12'!AG30</f>
        <v>0</v>
      </c>
      <c r="AH30" s="91">
        <f>'10'!AH30+'11'!AH30+'12'!AH30</f>
        <v>0</v>
      </c>
      <c r="AI30" s="91">
        <f>'10'!AI30+'11'!AI30+'12'!AI30</f>
        <v>0</v>
      </c>
      <c r="AJ30" s="91">
        <f>'10'!AJ30+'11'!AJ30+'12'!AJ30</f>
        <v>0</v>
      </c>
      <c r="AK30" s="91">
        <f>'10'!AK30+'11'!AK30+'12'!AK30</f>
        <v>0</v>
      </c>
      <c r="AL30" s="91">
        <f>'10'!AL30+'11'!AL30+'12'!AL30</f>
        <v>0</v>
      </c>
      <c r="AM30" s="91">
        <f>'10'!AM30+'11'!AM30+'12'!AM30</f>
        <v>0</v>
      </c>
      <c r="AN30" s="91">
        <f>'10'!AN30+'11'!AN30+'12'!AN30</f>
        <v>0</v>
      </c>
      <c r="AO30" s="91">
        <f>'10'!AO30+'11'!AO30+'12'!AO30</f>
        <v>0</v>
      </c>
      <c r="AP30" s="91">
        <f>'10'!AP30+'11'!AP30+'12'!AP30</f>
        <v>0</v>
      </c>
      <c r="AQ30" s="16">
        <f t="shared" si="3"/>
        <v>0</v>
      </c>
      <c r="AR30" s="17">
        <f t="shared" si="11"/>
        <v>0</v>
      </c>
      <c r="AS30" s="91">
        <f t="shared" si="15"/>
        <v>0</v>
      </c>
      <c r="AT30" s="15"/>
      <c r="AU30" s="92">
        <f t="shared" si="16"/>
        <v>0</v>
      </c>
      <c r="AV30" s="92">
        <f t="shared" si="5"/>
        <v>0</v>
      </c>
      <c r="AW30" s="92">
        <f t="shared" si="17"/>
        <v>0</v>
      </c>
      <c r="AX30" s="92">
        <f t="shared" si="18"/>
        <v>0</v>
      </c>
      <c r="AY30" s="82">
        <f t="shared" si="20"/>
        <v>0</v>
      </c>
      <c r="AZ30" s="82">
        <f t="shared" si="20"/>
        <v>0</v>
      </c>
      <c r="BA30" s="95">
        <f t="shared" si="19"/>
        <v>0</v>
      </c>
      <c r="BB30" s="139"/>
      <c r="BC30"/>
    </row>
    <row r="31" spans="1:55" ht="15" hidden="1" customHeight="1" x14ac:dyDescent="0.3">
      <c r="A31" s="72" t="s">
        <v>34</v>
      </c>
      <c r="B31" s="111"/>
      <c r="C31" s="111">
        <v>42</v>
      </c>
      <c r="D31" s="121">
        <f t="shared" si="21"/>
        <v>0</v>
      </c>
      <c r="E31" s="16">
        <f t="shared" si="22"/>
        <v>0</v>
      </c>
      <c r="F31" s="91">
        <f>'10'!F31+'11'!F31+'12'!F31</f>
        <v>0</v>
      </c>
      <c r="G31" s="91">
        <f>'10'!G31+'11'!G31+'12'!G31</f>
        <v>0</v>
      </c>
      <c r="H31" s="135">
        <f>'10'!H31+'11'!H31+'12'!H31</f>
        <v>0</v>
      </c>
      <c r="I31" s="135">
        <f>'10'!I31+'11'!I31+'12'!I31</f>
        <v>0</v>
      </c>
      <c r="J31" s="9" t="s">
        <v>68</v>
      </c>
      <c r="K31" s="133">
        <f>'10'!K31+'11'!K31+'12'!K31</f>
        <v>0</v>
      </c>
      <c r="L31" s="133">
        <f>'10'!L31+'11'!L31+'12'!L31</f>
        <v>0</v>
      </c>
      <c r="M31" s="91">
        <f>'10'!M31+'11'!M31+'12'!M31</f>
        <v>0</v>
      </c>
      <c r="N31" s="91">
        <f>'10'!N31+'11'!N31+'12'!N31</f>
        <v>0</v>
      </c>
      <c r="O31" s="91">
        <f>'10'!O31+'11'!O31+'12'!O31</f>
        <v>0</v>
      </c>
      <c r="P31" s="91">
        <f>'10'!P31+'11'!P31+'12'!P31</f>
        <v>0</v>
      </c>
      <c r="Q31" s="91">
        <f>'10'!Q31+'11'!Q31+'12'!Q31</f>
        <v>0</v>
      </c>
      <c r="R31" s="91">
        <f>'10'!R31+'11'!R31+'12'!R31</f>
        <v>0</v>
      </c>
      <c r="S31" s="91">
        <f>'10'!S31+'11'!S31+'12'!S31</f>
        <v>0</v>
      </c>
      <c r="T31" s="91">
        <f>'10'!T31+'11'!T31+'12'!T31</f>
        <v>0</v>
      </c>
      <c r="U31" s="91">
        <f>'10'!U31+'11'!U31+'12'!U31</f>
        <v>0</v>
      </c>
      <c r="V31" s="91">
        <f>'10'!V31+'11'!V31+'12'!V31</f>
        <v>0</v>
      </c>
      <c r="W31" s="91">
        <f>'10'!W31+'11'!W31+'12'!W31</f>
        <v>0</v>
      </c>
      <c r="X31" s="91">
        <f>'10'!X31+'11'!X31+'12'!X31</f>
        <v>0</v>
      </c>
      <c r="Y31" s="91">
        <f>'10'!Y31+'11'!Y31+'12'!Y31</f>
        <v>0</v>
      </c>
      <c r="Z31" s="91">
        <f>'10'!Z31+'11'!Z31+'12'!Z31</f>
        <v>0</v>
      </c>
      <c r="AA31" s="91">
        <f>'10'!AA31+'11'!AA31+'12'!AA31</f>
        <v>0</v>
      </c>
      <c r="AB31" s="91">
        <f>'10'!AB31+'11'!AB31+'12'!AB31</f>
        <v>0</v>
      </c>
      <c r="AC31" s="91">
        <f>'10'!AC31+'11'!AC31+'12'!AC31</f>
        <v>0</v>
      </c>
      <c r="AD31" s="91">
        <f>'10'!AD31+'11'!AD31+'12'!AD31</f>
        <v>0</v>
      </c>
      <c r="AE31" s="91">
        <f>'10'!AE31+'11'!AE31+'12'!AE31</f>
        <v>0</v>
      </c>
      <c r="AF31" s="91">
        <f>'10'!AF31+'11'!AF31+'12'!AF31</f>
        <v>0</v>
      </c>
      <c r="AG31" s="91">
        <f>'10'!AG31+'11'!AG31+'12'!AG31</f>
        <v>0</v>
      </c>
      <c r="AH31" s="91">
        <f>'10'!AH31+'11'!AH31+'12'!AH31</f>
        <v>0</v>
      </c>
      <c r="AI31" s="91">
        <f>'10'!AI31+'11'!AI31+'12'!AI31</f>
        <v>0</v>
      </c>
      <c r="AJ31" s="91">
        <f>'10'!AJ31+'11'!AJ31+'12'!AJ31</f>
        <v>0</v>
      </c>
      <c r="AK31" s="91">
        <f>'10'!AK31+'11'!AK31+'12'!AK31</f>
        <v>0</v>
      </c>
      <c r="AL31" s="91">
        <f>'10'!AL31+'11'!AL31+'12'!AL31</f>
        <v>0</v>
      </c>
      <c r="AM31" s="91">
        <f>'10'!AM31+'11'!AM31+'12'!AM31</f>
        <v>0</v>
      </c>
      <c r="AN31" s="91">
        <f>'10'!AN31+'11'!AN31+'12'!AN31</f>
        <v>0</v>
      </c>
      <c r="AO31" s="91">
        <f>'10'!AO31+'11'!AO31+'12'!AO31</f>
        <v>0</v>
      </c>
      <c r="AP31" s="91">
        <f>'10'!AP31+'11'!AP31+'12'!AP31</f>
        <v>0</v>
      </c>
      <c r="AQ31" s="16">
        <f t="shared" si="3"/>
        <v>0</v>
      </c>
      <c r="AR31" s="17">
        <f t="shared" si="11"/>
        <v>0</v>
      </c>
      <c r="AS31" s="91">
        <f t="shared" si="15"/>
        <v>0</v>
      </c>
      <c r="AT31" s="15"/>
      <c r="AU31" s="92">
        <f t="shared" si="16"/>
        <v>0</v>
      </c>
      <c r="AV31" s="92">
        <f t="shared" si="5"/>
        <v>0</v>
      </c>
      <c r="AW31" s="92">
        <f t="shared" si="17"/>
        <v>0</v>
      </c>
      <c r="AX31" s="92">
        <f t="shared" si="18"/>
        <v>0</v>
      </c>
      <c r="AY31" s="82">
        <f t="shared" si="20"/>
        <v>0</v>
      </c>
      <c r="AZ31" s="82">
        <f t="shared" si="20"/>
        <v>0</v>
      </c>
      <c r="BA31" s="95">
        <f t="shared" si="19"/>
        <v>0</v>
      </c>
      <c r="BB31" s="139"/>
      <c r="BC31"/>
    </row>
    <row r="32" spans="1:55" ht="15" hidden="1" customHeight="1" x14ac:dyDescent="0.3">
      <c r="A32" s="72" t="s">
        <v>35</v>
      </c>
      <c r="B32" s="111"/>
      <c r="C32" s="111">
        <v>43</v>
      </c>
      <c r="D32" s="121">
        <f t="shared" si="21"/>
        <v>0</v>
      </c>
      <c r="E32" s="16">
        <f t="shared" si="22"/>
        <v>0</v>
      </c>
      <c r="F32" s="91">
        <f>'10'!F32+'11'!F32+'12'!F32</f>
        <v>0</v>
      </c>
      <c r="G32" s="91">
        <f>'10'!G32+'11'!G32+'12'!G32</f>
        <v>0</v>
      </c>
      <c r="H32" s="135">
        <f>'10'!H32+'11'!H32+'12'!H32</f>
        <v>0</v>
      </c>
      <c r="I32" s="135">
        <f>'10'!I32+'11'!I32+'12'!I32</f>
        <v>0</v>
      </c>
      <c r="J32" s="9" t="s">
        <v>68</v>
      </c>
      <c r="K32" s="133">
        <f>'10'!K32+'11'!K32+'12'!K32</f>
        <v>0</v>
      </c>
      <c r="L32" s="133">
        <f>'10'!L32+'11'!L32+'12'!L32</f>
        <v>0</v>
      </c>
      <c r="M32" s="91">
        <f>'10'!M32+'11'!M32+'12'!M32</f>
        <v>0</v>
      </c>
      <c r="N32" s="91">
        <f>'10'!N32+'11'!N32+'12'!N32</f>
        <v>0</v>
      </c>
      <c r="O32" s="91">
        <f>'10'!O32+'11'!O32+'12'!O32</f>
        <v>0</v>
      </c>
      <c r="P32" s="91">
        <f>'10'!P32+'11'!P32+'12'!P32</f>
        <v>0</v>
      </c>
      <c r="Q32" s="91">
        <f>'10'!Q32+'11'!Q32+'12'!Q32</f>
        <v>0</v>
      </c>
      <c r="R32" s="91">
        <f>'10'!R32+'11'!R32+'12'!R32</f>
        <v>0</v>
      </c>
      <c r="S32" s="91">
        <f>'10'!S32+'11'!S32+'12'!S32</f>
        <v>0</v>
      </c>
      <c r="T32" s="91">
        <f>'10'!T32+'11'!T32+'12'!T32</f>
        <v>0</v>
      </c>
      <c r="U32" s="91">
        <f>'10'!U32+'11'!U32+'12'!U32</f>
        <v>0</v>
      </c>
      <c r="V32" s="91">
        <f>'10'!V32+'11'!V32+'12'!V32</f>
        <v>0</v>
      </c>
      <c r="W32" s="91">
        <f>'10'!W32+'11'!W32+'12'!W32</f>
        <v>0</v>
      </c>
      <c r="X32" s="91">
        <f>'10'!X32+'11'!X32+'12'!X32</f>
        <v>0</v>
      </c>
      <c r="Y32" s="91">
        <f>'10'!Y32+'11'!Y32+'12'!Y32</f>
        <v>0</v>
      </c>
      <c r="Z32" s="91">
        <f>'10'!Z32+'11'!Z32+'12'!Z32</f>
        <v>0</v>
      </c>
      <c r="AA32" s="91">
        <f>'10'!AA32+'11'!AA32+'12'!AA32</f>
        <v>0</v>
      </c>
      <c r="AB32" s="91">
        <f>'10'!AB32+'11'!AB32+'12'!AB32</f>
        <v>0</v>
      </c>
      <c r="AC32" s="91">
        <f>'10'!AC32+'11'!AC32+'12'!AC32</f>
        <v>0</v>
      </c>
      <c r="AD32" s="91">
        <f>'10'!AD32+'11'!AD32+'12'!AD32</f>
        <v>0</v>
      </c>
      <c r="AE32" s="91">
        <f>'10'!AE32+'11'!AE32+'12'!AE32</f>
        <v>0</v>
      </c>
      <c r="AF32" s="91">
        <f>'10'!AF32+'11'!AF32+'12'!AF32</f>
        <v>0</v>
      </c>
      <c r="AG32" s="91">
        <f>'10'!AG32+'11'!AG32+'12'!AG32</f>
        <v>0</v>
      </c>
      <c r="AH32" s="91">
        <f>'10'!AH32+'11'!AH32+'12'!AH32</f>
        <v>0</v>
      </c>
      <c r="AI32" s="91">
        <f>'10'!AI32+'11'!AI32+'12'!AI32</f>
        <v>0</v>
      </c>
      <c r="AJ32" s="91">
        <f>'10'!AJ32+'11'!AJ32+'12'!AJ32</f>
        <v>0</v>
      </c>
      <c r="AK32" s="91">
        <f>'10'!AK32+'11'!AK32+'12'!AK32</f>
        <v>0</v>
      </c>
      <c r="AL32" s="91">
        <f>'10'!AL32+'11'!AL32+'12'!AL32</f>
        <v>0</v>
      </c>
      <c r="AM32" s="91">
        <f>'10'!AM32+'11'!AM32+'12'!AM32</f>
        <v>0</v>
      </c>
      <c r="AN32" s="91">
        <f>'10'!AN32+'11'!AN32+'12'!AN32</f>
        <v>0</v>
      </c>
      <c r="AO32" s="91">
        <f>'10'!AO32+'11'!AO32+'12'!AO32</f>
        <v>0</v>
      </c>
      <c r="AP32" s="91">
        <f>'10'!AP32+'11'!AP32+'12'!AP32</f>
        <v>0</v>
      </c>
      <c r="AQ32" s="16">
        <f t="shared" si="3"/>
        <v>0</v>
      </c>
      <c r="AR32" s="17">
        <f t="shared" si="11"/>
        <v>0</v>
      </c>
      <c r="AS32" s="91">
        <f t="shared" si="15"/>
        <v>0</v>
      </c>
      <c r="AT32" s="15"/>
      <c r="AU32" s="92">
        <f t="shared" si="16"/>
        <v>0</v>
      </c>
      <c r="AV32" s="92">
        <f t="shared" si="5"/>
        <v>0</v>
      </c>
      <c r="AW32" s="92">
        <f t="shared" si="17"/>
        <v>0</v>
      </c>
      <c r="AX32" s="92">
        <f t="shared" si="18"/>
        <v>0</v>
      </c>
      <c r="AY32" s="82">
        <f t="shared" si="20"/>
        <v>0</v>
      </c>
      <c r="AZ32" s="82">
        <f t="shared" si="20"/>
        <v>0</v>
      </c>
      <c r="BA32" s="95">
        <f t="shared" si="19"/>
        <v>0</v>
      </c>
      <c r="BB32" s="139"/>
      <c r="BC32"/>
    </row>
    <row r="33" spans="1:55" ht="15" hidden="1" customHeight="1" x14ac:dyDescent="0.3">
      <c r="A33" s="72" t="s">
        <v>36</v>
      </c>
      <c r="B33" s="111"/>
      <c r="C33" s="111">
        <v>44</v>
      </c>
      <c r="D33" s="121">
        <f t="shared" si="21"/>
        <v>0</v>
      </c>
      <c r="E33" s="16">
        <f t="shared" si="22"/>
        <v>0</v>
      </c>
      <c r="F33" s="91">
        <f>'10'!F33+'11'!F33+'12'!F33</f>
        <v>0</v>
      </c>
      <c r="G33" s="91">
        <f>'10'!G33+'11'!G33+'12'!G33</f>
        <v>0</v>
      </c>
      <c r="H33" s="135">
        <f>'10'!H33+'11'!H33+'12'!H33</f>
        <v>0</v>
      </c>
      <c r="I33" s="135">
        <f>'10'!I33+'11'!I33+'12'!I33</f>
        <v>0</v>
      </c>
      <c r="J33" s="9" t="s">
        <v>68</v>
      </c>
      <c r="K33" s="133">
        <f>'10'!K33+'11'!K33+'12'!K33</f>
        <v>0</v>
      </c>
      <c r="L33" s="133">
        <f>'10'!L33+'11'!L33+'12'!L33</f>
        <v>0</v>
      </c>
      <c r="M33" s="91">
        <f>'10'!M33+'11'!M33+'12'!M33</f>
        <v>0</v>
      </c>
      <c r="N33" s="91">
        <f>'10'!N33+'11'!N33+'12'!N33</f>
        <v>0</v>
      </c>
      <c r="O33" s="91">
        <f>'10'!O33+'11'!O33+'12'!O33</f>
        <v>0</v>
      </c>
      <c r="P33" s="91">
        <f>'10'!P33+'11'!P33+'12'!P33</f>
        <v>0</v>
      </c>
      <c r="Q33" s="91">
        <f>'10'!Q33+'11'!Q33+'12'!Q33</f>
        <v>0</v>
      </c>
      <c r="R33" s="91">
        <f>'10'!R33+'11'!R33+'12'!R33</f>
        <v>0</v>
      </c>
      <c r="S33" s="91">
        <f>'10'!S33+'11'!S33+'12'!S33</f>
        <v>0</v>
      </c>
      <c r="T33" s="91">
        <f>'10'!T33+'11'!T33+'12'!T33</f>
        <v>0</v>
      </c>
      <c r="U33" s="91">
        <f>'10'!U33+'11'!U33+'12'!U33</f>
        <v>0</v>
      </c>
      <c r="V33" s="91">
        <f>'10'!V33+'11'!V33+'12'!V33</f>
        <v>0</v>
      </c>
      <c r="W33" s="91">
        <f>'10'!W33+'11'!W33+'12'!W33</f>
        <v>0</v>
      </c>
      <c r="X33" s="91">
        <f>'10'!X33+'11'!X33+'12'!X33</f>
        <v>0</v>
      </c>
      <c r="Y33" s="91">
        <f>'10'!Y33+'11'!Y33+'12'!Y33</f>
        <v>0</v>
      </c>
      <c r="Z33" s="91">
        <f>'10'!Z33+'11'!Z33+'12'!Z33</f>
        <v>0</v>
      </c>
      <c r="AA33" s="91">
        <f>'10'!AA33+'11'!AA33+'12'!AA33</f>
        <v>0</v>
      </c>
      <c r="AB33" s="91">
        <f>'10'!AB33+'11'!AB33+'12'!AB33</f>
        <v>0</v>
      </c>
      <c r="AC33" s="91">
        <f>'10'!AC33+'11'!AC33+'12'!AC33</f>
        <v>0</v>
      </c>
      <c r="AD33" s="91">
        <f>'10'!AD33+'11'!AD33+'12'!AD33</f>
        <v>0</v>
      </c>
      <c r="AE33" s="91">
        <f>'10'!AE33+'11'!AE33+'12'!AE33</f>
        <v>0</v>
      </c>
      <c r="AF33" s="91">
        <f>'10'!AF33+'11'!AF33+'12'!AF33</f>
        <v>0</v>
      </c>
      <c r="AG33" s="91">
        <f>'10'!AG33+'11'!AG33+'12'!AG33</f>
        <v>0</v>
      </c>
      <c r="AH33" s="91">
        <f>'10'!AH33+'11'!AH33+'12'!AH33</f>
        <v>0</v>
      </c>
      <c r="AI33" s="91">
        <f>'10'!AI33+'11'!AI33+'12'!AI33</f>
        <v>0</v>
      </c>
      <c r="AJ33" s="91">
        <f>'10'!AJ33+'11'!AJ33+'12'!AJ33</f>
        <v>0</v>
      </c>
      <c r="AK33" s="91">
        <f>'10'!AK33+'11'!AK33+'12'!AK33</f>
        <v>0</v>
      </c>
      <c r="AL33" s="91">
        <f>'10'!AL33+'11'!AL33+'12'!AL33</f>
        <v>0</v>
      </c>
      <c r="AM33" s="91">
        <f>'10'!AM33+'11'!AM33+'12'!AM33</f>
        <v>0</v>
      </c>
      <c r="AN33" s="91">
        <f>'10'!AN33+'11'!AN33+'12'!AN33</f>
        <v>0</v>
      </c>
      <c r="AO33" s="91">
        <f>'10'!AO33+'11'!AO33+'12'!AO33</f>
        <v>0</v>
      </c>
      <c r="AP33" s="91">
        <f>'10'!AP33+'11'!AP33+'12'!AP33</f>
        <v>0</v>
      </c>
      <c r="AQ33" s="16">
        <f t="shared" si="3"/>
        <v>0</v>
      </c>
      <c r="AR33" s="17">
        <f t="shared" si="11"/>
        <v>0</v>
      </c>
      <c r="AS33" s="91">
        <f t="shared" si="15"/>
        <v>0</v>
      </c>
      <c r="AT33" s="15"/>
      <c r="AU33" s="92">
        <f t="shared" si="16"/>
        <v>0</v>
      </c>
      <c r="AV33" s="92">
        <f t="shared" si="5"/>
        <v>0</v>
      </c>
      <c r="AW33" s="92">
        <f t="shared" si="17"/>
        <v>0</v>
      </c>
      <c r="AX33" s="92">
        <f t="shared" si="18"/>
        <v>0</v>
      </c>
      <c r="AY33" s="82">
        <f t="shared" si="20"/>
        <v>0</v>
      </c>
      <c r="AZ33" s="82">
        <f t="shared" si="20"/>
        <v>0</v>
      </c>
      <c r="BA33" s="95">
        <f t="shared" si="19"/>
        <v>0</v>
      </c>
      <c r="BB33" s="139"/>
      <c r="BC33"/>
    </row>
    <row r="34" spans="1:55" ht="15" hidden="1" customHeight="1" x14ac:dyDescent="0.3">
      <c r="A34" s="72" t="s">
        <v>37</v>
      </c>
      <c r="B34" s="111"/>
      <c r="C34" s="111">
        <v>45</v>
      </c>
      <c r="D34" s="121">
        <f t="shared" si="21"/>
        <v>0</v>
      </c>
      <c r="E34" s="16">
        <f t="shared" si="22"/>
        <v>0</v>
      </c>
      <c r="F34" s="91">
        <f>'10'!F34+'11'!F34+'12'!F34</f>
        <v>0</v>
      </c>
      <c r="G34" s="91">
        <f>'10'!G34+'11'!G34+'12'!G34</f>
        <v>0</v>
      </c>
      <c r="H34" s="135">
        <f>'10'!H34+'11'!H34+'12'!H34</f>
        <v>0</v>
      </c>
      <c r="I34" s="135">
        <f>'10'!I34+'11'!I34+'12'!I34</f>
        <v>0</v>
      </c>
      <c r="J34" s="9" t="s">
        <v>68</v>
      </c>
      <c r="K34" s="133">
        <f>'10'!K34+'11'!K34+'12'!K34</f>
        <v>0</v>
      </c>
      <c r="L34" s="133">
        <f>'10'!L34+'11'!L34+'12'!L34</f>
        <v>0</v>
      </c>
      <c r="M34" s="91">
        <f>'10'!M34+'11'!M34+'12'!M34</f>
        <v>0</v>
      </c>
      <c r="N34" s="91">
        <f>'10'!N34+'11'!N34+'12'!N34</f>
        <v>0</v>
      </c>
      <c r="O34" s="91">
        <f>'10'!O34+'11'!O34+'12'!O34</f>
        <v>0</v>
      </c>
      <c r="P34" s="91">
        <f>'10'!P34+'11'!P34+'12'!P34</f>
        <v>0</v>
      </c>
      <c r="Q34" s="91">
        <f>'10'!Q34+'11'!Q34+'12'!Q34</f>
        <v>0</v>
      </c>
      <c r="R34" s="91">
        <f>'10'!R34+'11'!R34+'12'!R34</f>
        <v>0</v>
      </c>
      <c r="S34" s="91">
        <f>'10'!S34+'11'!S34+'12'!S34</f>
        <v>0</v>
      </c>
      <c r="T34" s="91">
        <f>'10'!T34+'11'!T34+'12'!T34</f>
        <v>0</v>
      </c>
      <c r="U34" s="91">
        <f>'10'!U34+'11'!U34+'12'!U34</f>
        <v>0</v>
      </c>
      <c r="V34" s="91">
        <f>'10'!V34+'11'!V34+'12'!V34</f>
        <v>0</v>
      </c>
      <c r="W34" s="91">
        <f>'10'!W34+'11'!W34+'12'!W34</f>
        <v>0</v>
      </c>
      <c r="X34" s="91">
        <f>'10'!X34+'11'!X34+'12'!X34</f>
        <v>0</v>
      </c>
      <c r="Y34" s="91">
        <f>'10'!Y34+'11'!Y34+'12'!Y34</f>
        <v>0</v>
      </c>
      <c r="Z34" s="91">
        <f>'10'!Z34+'11'!Z34+'12'!Z34</f>
        <v>0</v>
      </c>
      <c r="AA34" s="91">
        <f>'10'!AA34+'11'!AA34+'12'!AA34</f>
        <v>0</v>
      </c>
      <c r="AB34" s="91">
        <f>'10'!AB34+'11'!AB34+'12'!AB34</f>
        <v>0</v>
      </c>
      <c r="AC34" s="91">
        <f>'10'!AC34+'11'!AC34+'12'!AC34</f>
        <v>0</v>
      </c>
      <c r="AD34" s="91">
        <f>'10'!AD34+'11'!AD34+'12'!AD34</f>
        <v>0</v>
      </c>
      <c r="AE34" s="91">
        <f>'10'!AE34+'11'!AE34+'12'!AE34</f>
        <v>0</v>
      </c>
      <c r="AF34" s="91">
        <f>'10'!AF34+'11'!AF34+'12'!AF34</f>
        <v>0</v>
      </c>
      <c r="AG34" s="91">
        <f>'10'!AG34+'11'!AG34+'12'!AG34</f>
        <v>0</v>
      </c>
      <c r="AH34" s="91">
        <f>'10'!AH34+'11'!AH34+'12'!AH34</f>
        <v>0</v>
      </c>
      <c r="AI34" s="91">
        <f>'10'!AI34+'11'!AI34+'12'!AI34</f>
        <v>0</v>
      </c>
      <c r="AJ34" s="91">
        <f>'10'!AJ34+'11'!AJ34+'12'!AJ34</f>
        <v>0</v>
      </c>
      <c r="AK34" s="91">
        <f>'10'!AK34+'11'!AK34+'12'!AK34</f>
        <v>0</v>
      </c>
      <c r="AL34" s="91">
        <f>'10'!AL34+'11'!AL34+'12'!AL34</f>
        <v>0</v>
      </c>
      <c r="AM34" s="91">
        <f>'10'!AM34+'11'!AM34+'12'!AM34</f>
        <v>0</v>
      </c>
      <c r="AN34" s="91">
        <f>'10'!AN34+'11'!AN34+'12'!AN34</f>
        <v>0</v>
      </c>
      <c r="AO34" s="91">
        <f>'10'!AO34+'11'!AO34+'12'!AO34</f>
        <v>0</v>
      </c>
      <c r="AP34" s="91">
        <f>'10'!AP34+'11'!AP34+'12'!AP34</f>
        <v>0</v>
      </c>
      <c r="AQ34" s="16">
        <f t="shared" si="3"/>
        <v>0</v>
      </c>
      <c r="AR34" s="17">
        <f t="shared" si="11"/>
        <v>0</v>
      </c>
      <c r="AS34" s="91">
        <f t="shared" si="15"/>
        <v>0</v>
      </c>
      <c r="AT34" s="15"/>
      <c r="AU34" s="92">
        <f t="shared" si="16"/>
        <v>0</v>
      </c>
      <c r="AV34" s="92">
        <f t="shared" si="5"/>
        <v>0</v>
      </c>
      <c r="AW34" s="92">
        <f t="shared" si="17"/>
        <v>0</v>
      </c>
      <c r="AX34" s="92">
        <f t="shared" si="18"/>
        <v>0</v>
      </c>
      <c r="AY34" s="82">
        <f t="shared" si="20"/>
        <v>0</v>
      </c>
      <c r="AZ34" s="82">
        <f t="shared" si="20"/>
        <v>0</v>
      </c>
      <c r="BA34" s="95">
        <f t="shared" si="19"/>
        <v>0</v>
      </c>
      <c r="BB34" s="139"/>
      <c r="BC34"/>
    </row>
    <row r="35" spans="1:55" ht="15" hidden="1" customHeight="1" x14ac:dyDescent="0.3">
      <c r="A35" s="72" t="s">
        <v>38</v>
      </c>
      <c r="B35" s="111"/>
      <c r="C35" s="111">
        <v>46</v>
      </c>
      <c r="D35" s="121">
        <f t="shared" si="21"/>
        <v>0</v>
      </c>
      <c r="E35" s="16">
        <f t="shared" si="22"/>
        <v>0</v>
      </c>
      <c r="F35" s="91">
        <f>'10'!F35+'11'!F35+'12'!F35</f>
        <v>0</v>
      </c>
      <c r="G35" s="91">
        <f>'10'!G35+'11'!G35+'12'!G35</f>
        <v>0</v>
      </c>
      <c r="H35" s="135">
        <f>'10'!H35+'11'!H35+'12'!H35</f>
        <v>0</v>
      </c>
      <c r="I35" s="135">
        <f>'10'!I35+'11'!I35+'12'!I35</f>
        <v>0</v>
      </c>
      <c r="J35" s="9" t="s">
        <v>68</v>
      </c>
      <c r="K35" s="133">
        <f>'10'!K35+'11'!K35+'12'!K35</f>
        <v>0</v>
      </c>
      <c r="L35" s="133">
        <f>'10'!L35+'11'!L35+'12'!L35</f>
        <v>0</v>
      </c>
      <c r="M35" s="91">
        <f>'10'!M35+'11'!M35+'12'!M35</f>
        <v>0</v>
      </c>
      <c r="N35" s="91">
        <f>'10'!N35+'11'!N35+'12'!N35</f>
        <v>0</v>
      </c>
      <c r="O35" s="91">
        <f>'10'!O35+'11'!O35+'12'!O35</f>
        <v>0</v>
      </c>
      <c r="P35" s="91">
        <f>'10'!P35+'11'!P35+'12'!P35</f>
        <v>0</v>
      </c>
      <c r="Q35" s="91">
        <f>'10'!Q35+'11'!Q35+'12'!Q35</f>
        <v>0</v>
      </c>
      <c r="R35" s="91">
        <f>'10'!R35+'11'!R35+'12'!R35</f>
        <v>0</v>
      </c>
      <c r="S35" s="91">
        <f>'10'!S35+'11'!S35+'12'!S35</f>
        <v>0</v>
      </c>
      <c r="T35" s="91">
        <f>'10'!T35+'11'!T35+'12'!T35</f>
        <v>0</v>
      </c>
      <c r="U35" s="91">
        <f>'10'!U35+'11'!U35+'12'!U35</f>
        <v>0</v>
      </c>
      <c r="V35" s="91">
        <f>'10'!V35+'11'!V35+'12'!V35</f>
        <v>0</v>
      </c>
      <c r="W35" s="91">
        <f>'10'!W35+'11'!W35+'12'!W35</f>
        <v>0</v>
      </c>
      <c r="X35" s="91">
        <f>'10'!X35+'11'!X35+'12'!X35</f>
        <v>0</v>
      </c>
      <c r="Y35" s="91">
        <f>'10'!Y35+'11'!Y35+'12'!Y35</f>
        <v>0</v>
      </c>
      <c r="Z35" s="91">
        <f>'10'!Z35+'11'!Z35+'12'!Z35</f>
        <v>0</v>
      </c>
      <c r="AA35" s="91">
        <f>'10'!AA35+'11'!AA35+'12'!AA35</f>
        <v>0</v>
      </c>
      <c r="AB35" s="91">
        <f>'10'!AB35+'11'!AB35+'12'!AB35</f>
        <v>0</v>
      </c>
      <c r="AC35" s="91">
        <f>'10'!AC35+'11'!AC35+'12'!AC35</f>
        <v>0</v>
      </c>
      <c r="AD35" s="91">
        <f>'10'!AD35+'11'!AD35+'12'!AD35</f>
        <v>0</v>
      </c>
      <c r="AE35" s="91">
        <f>'10'!AE35+'11'!AE35+'12'!AE35</f>
        <v>0</v>
      </c>
      <c r="AF35" s="91">
        <f>'10'!AF35+'11'!AF35+'12'!AF35</f>
        <v>0</v>
      </c>
      <c r="AG35" s="91">
        <f>'10'!AG35+'11'!AG35+'12'!AG35</f>
        <v>0</v>
      </c>
      <c r="AH35" s="91">
        <f>'10'!AH35+'11'!AH35+'12'!AH35</f>
        <v>0</v>
      </c>
      <c r="AI35" s="91">
        <f>'10'!AI35+'11'!AI35+'12'!AI35</f>
        <v>0</v>
      </c>
      <c r="AJ35" s="91">
        <f>'10'!AJ35+'11'!AJ35+'12'!AJ35</f>
        <v>0</v>
      </c>
      <c r="AK35" s="91">
        <f>'10'!AK35+'11'!AK35+'12'!AK35</f>
        <v>0</v>
      </c>
      <c r="AL35" s="91">
        <f>'10'!AL35+'11'!AL35+'12'!AL35</f>
        <v>0</v>
      </c>
      <c r="AM35" s="91">
        <f>'10'!AM35+'11'!AM35+'12'!AM35</f>
        <v>0</v>
      </c>
      <c r="AN35" s="91">
        <f>'10'!AN35+'11'!AN35+'12'!AN35</f>
        <v>0</v>
      </c>
      <c r="AO35" s="91">
        <f>'10'!AO35+'11'!AO35+'12'!AO35</f>
        <v>0</v>
      </c>
      <c r="AP35" s="91">
        <f>'10'!AP35+'11'!AP35+'12'!AP35</f>
        <v>0</v>
      </c>
      <c r="AQ35" s="16">
        <f t="shared" si="3"/>
        <v>0</v>
      </c>
      <c r="AR35" s="17">
        <f t="shared" si="11"/>
        <v>0</v>
      </c>
      <c r="AS35" s="91">
        <f t="shared" si="15"/>
        <v>0</v>
      </c>
      <c r="AT35" s="15"/>
      <c r="AU35" s="92">
        <f t="shared" si="16"/>
        <v>0</v>
      </c>
      <c r="AV35" s="92">
        <f t="shared" si="5"/>
        <v>0</v>
      </c>
      <c r="AW35" s="92">
        <f t="shared" si="17"/>
        <v>0</v>
      </c>
      <c r="AX35" s="92">
        <f t="shared" si="18"/>
        <v>0</v>
      </c>
      <c r="AY35" s="82">
        <f t="shared" si="20"/>
        <v>0</v>
      </c>
      <c r="AZ35" s="82">
        <f t="shared" si="20"/>
        <v>0</v>
      </c>
      <c r="BA35" s="95">
        <f t="shared" si="19"/>
        <v>0</v>
      </c>
      <c r="BB35" s="139"/>
      <c r="BC35"/>
    </row>
    <row r="36" spans="1:55" ht="15" hidden="1" customHeight="1" x14ac:dyDescent="0.3">
      <c r="A36" s="72" t="s">
        <v>39</v>
      </c>
      <c r="B36" s="111"/>
      <c r="C36" s="111">
        <v>47</v>
      </c>
      <c r="D36" s="121">
        <f t="shared" si="21"/>
        <v>0</v>
      </c>
      <c r="E36" s="16">
        <f t="shared" si="22"/>
        <v>0</v>
      </c>
      <c r="F36" s="91">
        <f>'10'!F36+'11'!F36+'12'!F36</f>
        <v>0</v>
      </c>
      <c r="G36" s="91">
        <f>'10'!G36+'11'!G36+'12'!G36</f>
        <v>0</v>
      </c>
      <c r="H36" s="135">
        <f>'10'!H36+'11'!H36+'12'!H36</f>
        <v>0</v>
      </c>
      <c r="I36" s="135">
        <f>'10'!I36+'11'!I36+'12'!I36</f>
        <v>0</v>
      </c>
      <c r="J36" s="9" t="s">
        <v>68</v>
      </c>
      <c r="K36" s="133">
        <f>'10'!K36+'11'!K36+'12'!K36</f>
        <v>0</v>
      </c>
      <c r="L36" s="133">
        <f>'10'!L36+'11'!L36+'12'!L36</f>
        <v>0</v>
      </c>
      <c r="M36" s="91">
        <f>'10'!M36+'11'!M36+'12'!M36</f>
        <v>0</v>
      </c>
      <c r="N36" s="91">
        <f>'10'!N36+'11'!N36+'12'!N36</f>
        <v>0</v>
      </c>
      <c r="O36" s="91">
        <f>'10'!O36+'11'!O36+'12'!O36</f>
        <v>0</v>
      </c>
      <c r="P36" s="91">
        <f>'10'!P36+'11'!P36+'12'!P36</f>
        <v>0</v>
      </c>
      <c r="Q36" s="91">
        <f>'10'!Q36+'11'!Q36+'12'!Q36</f>
        <v>0</v>
      </c>
      <c r="R36" s="91">
        <f>'10'!R36+'11'!R36+'12'!R36</f>
        <v>0</v>
      </c>
      <c r="S36" s="91">
        <f>'10'!S36+'11'!S36+'12'!S36</f>
        <v>0</v>
      </c>
      <c r="T36" s="91">
        <f>'10'!T36+'11'!T36+'12'!T36</f>
        <v>0</v>
      </c>
      <c r="U36" s="91">
        <f>'10'!U36+'11'!U36+'12'!U36</f>
        <v>0</v>
      </c>
      <c r="V36" s="91">
        <f>'10'!V36+'11'!V36+'12'!V36</f>
        <v>0</v>
      </c>
      <c r="W36" s="91">
        <f>'10'!W36+'11'!W36+'12'!W36</f>
        <v>0</v>
      </c>
      <c r="X36" s="91">
        <f>'10'!X36+'11'!X36+'12'!X36</f>
        <v>0</v>
      </c>
      <c r="Y36" s="91">
        <f>'10'!Y36+'11'!Y36+'12'!Y36</f>
        <v>0</v>
      </c>
      <c r="Z36" s="91">
        <f>'10'!Z36+'11'!Z36+'12'!Z36</f>
        <v>0</v>
      </c>
      <c r="AA36" s="91">
        <f>'10'!AA36+'11'!AA36+'12'!AA36</f>
        <v>0</v>
      </c>
      <c r="AB36" s="91">
        <f>'10'!AB36+'11'!AB36+'12'!AB36</f>
        <v>0</v>
      </c>
      <c r="AC36" s="91">
        <f>'10'!AC36+'11'!AC36+'12'!AC36</f>
        <v>0</v>
      </c>
      <c r="AD36" s="91">
        <f>'10'!AD36+'11'!AD36+'12'!AD36</f>
        <v>0</v>
      </c>
      <c r="AE36" s="91">
        <f>'10'!AE36+'11'!AE36+'12'!AE36</f>
        <v>0</v>
      </c>
      <c r="AF36" s="91">
        <f>'10'!AF36+'11'!AF36+'12'!AF36</f>
        <v>0</v>
      </c>
      <c r="AG36" s="91">
        <f>'10'!AG36+'11'!AG36+'12'!AG36</f>
        <v>0</v>
      </c>
      <c r="AH36" s="91">
        <f>'10'!AH36+'11'!AH36+'12'!AH36</f>
        <v>0</v>
      </c>
      <c r="AI36" s="91">
        <f>'10'!AI36+'11'!AI36+'12'!AI36</f>
        <v>0</v>
      </c>
      <c r="AJ36" s="91">
        <f>'10'!AJ36+'11'!AJ36+'12'!AJ36</f>
        <v>0</v>
      </c>
      <c r="AK36" s="91">
        <f>'10'!AK36+'11'!AK36+'12'!AK36</f>
        <v>0</v>
      </c>
      <c r="AL36" s="91">
        <f>'10'!AL36+'11'!AL36+'12'!AL36</f>
        <v>0</v>
      </c>
      <c r="AM36" s="91">
        <f>'10'!AM36+'11'!AM36+'12'!AM36</f>
        <v>0</v>
      </c>
      <c r="AN36" s="91">
        <f>'10'!AN36+'11'!AN36+'12'!AN36</f>
        <v>0</v>
      </c>
      <c r="AO36" s="91">
        <f>'10'!AO36+'11'!AO36+'12'!AO36</f>
        <v>0</v>
      </c>
      <c r="AP36" s="91">
        <f>'10'!AP36+'11'!AP36+'12'!AP36</f>
        <v>0</v>
      </c>
      <c r="AQ36" s="16">
        <f t="shared" si="3"/>
        <v>0</v>
      </c>
      <c r="AR36" s="17">
        <f t="shared" si="11"/>
        <v>0</v>
      </c>
      <c r="AS36" s="91">
        <f t="shared" si="15"/>
        <v>0</v>
      </c>
      <c r="AT36" s="15"/>
      <c r="AU36" s="92">
        <f t="shared" si="16"/>
        <v>0</v>
      </c>
      <c r="AV36" s="92">
        <f t="shared" si="5"/>
        <v>0</v>
      </c>
      <c r="AW36" s="92">
        <f t="shared" si="17"/>
        <v>0</v>
      </c>
      <c r="AX36" s="92">
        <f t="shared" si="18"/>
        <v>0</v>
      </c>
      <c r="AY36" s="82">
        <f t="shared" si="20"/>
        <v>0</v>
      </c>
      <c r="AZ36" s="82">
        <f t="shared" si="20"/>
        <v>0</v>
      </c>
      <c r="BA36" s="95">
        <f t="shared" si="19"/>
        <v>0</v>
      </c>
      <c r="BB36" s="139"/>
      <c r="BC36"/>
    </row>
    <row r="37" spans="1:55" ht="15" hidden="1" customHeight="1" x14ac:dyDescent="0.3">
      <c r="A37" s="72" t="s">
        <v>40</v>
      </c>
      <c r="B37" s="111"/>
      <c r="C37" s="111">
        <v>48</v>
      </c>
      <c r="D37" s="121">
        <f t="shared" si="21"/>
        <v>0</v>
      </c>
      <c r="E37" s="16">
        <f t="shared" si="22"/>
        <v>0</v>
      </c>
      <c r="F37" s="91">
        <f>'10'!F37+'11'!F37+'12'!F37</f>
        <v>0</v>
      </c>
      <c r="G37" s="91">
        <f>'10'!G37+'11'!G37+'12'!G37</f>
        <v>0</v>
      </c>
      <c r="H37" s="135">
        <f>'10'!H37+'11'!H37+'12'!H37</f>
        <v>0</v>
      </c>
      <c r="I37" s="135">
        <f>'10'!I37+'11'!I37+'12'!I37</f>
        <v>0</v>
      </c>
      <c r="J37" s="9" t="s">
        <v>68</v>
      </c>
      <c r="K37" s="133">
        <f>'10'!K37+'11'!K37+'12'!K37</f>
        <v>0</v>
      </c>
      <c r="L37" s="133">
        <f>'10'!L37+'11'!L37+'12'!L37</f>
        <v>0</v>
      </c>
      <c r="M37" s="91">
        <f>'10'!M37+'11'!M37+'12'!M37</f>
        <v>0</v>
      </c>
      <c r="N37" s="91">
        <f>'10'!N37+'11'!N37+'12'!N37</f>
        <v>0</v>
      </c>
      <c r="O37" s="91">
        <f>'10'!O37+'11'!O37+'12'!O37</f>
        <v>0</v>
      </c>
      <c r="P37" s="91">
        <f>'10'!P37+'11'!P37+'12'!P37</f>
        <v>0</v>
      </c>
      <c r="Q37" s="91">
        <f>'10'!Q37+'11'!Q37+'12'!Q37</f>
        <v>0</v>
      </c>
      <c r="R37" s="91">
        <f>'10'!R37+'11'!R37+'12'!R37</f>
        <v>0</v>
      </c>
      <c r="S37" s="91">
        <f>'10'!S37+'11'!S37+'12'!S37</f>
        <v>0</v>
      </c>
      <c r="T37" s="91">
        <f>'10'!T37+'11'!T37+'12'!T37</f>
        <v>0</v>
      </c>
      <c r="U37" s="91">
        <f>'10'!U37+'11'!U37+'12'!U37</f>
        <v>0</v>
      </c>
      <c r="V37" s="91">
        <f>'10'!V37+'11'!V37+'12'!V37</f>
        <v>0</v>
      </c>
      <c r="W37" s="91">
        <f>'10'!W37+'11'!W37+'12'!W37</f>
        <v>0</v>
      </c>
      <c r="X37" s="91">
        <f>'10'!X37+'11'!X37+'12'!X37</f>
        <v>0</v>
      </c>
      <c r="Y37" s="91">
        <f>'10'!Y37+'11'!Y37+'12'!Y37</f>
        <v>0</v>
      </c>
      <c r="Z37" s="91">
        <f>'10'!Z37+'11'!Z37+'12'!Z37</f>
        <v>0</v>
      </c>
      <c r="AA37" s="91">
        <f>'10'!AA37+'11'!AA37+'12'!AA37</f>
        <v>0</v>
      </c>
      <c r="AB37" s="91">
        <f>'10'!AB37+'11'!AB37+'12'!AB37</f>
        <v>0</v>
      </c>
      <c r="AC37" s="91">
        <f>'10'!AC37+'11'!AC37+'12'!AC37</f>
        <v>0</v>
      </c>
      <c r="AD37" s="91">
        <f>'10'!AD37+'11'!AD37+'12'!AD37</f>
        <v>0</v>
      </c>
      <c r="AE37" s="91">
        <f>'10'!AE37+'11'!AE37+'12'!AE37</f>
        <v>0</v>
      </c>
      <c r="AF37" s="91">
        <f>'10'!AF37+'11'!AF37+'12'!AF37</f>
        <v>0</v>
      </c>
      <c r="AG37" s="91">
        <f>'10'!AG37+'11'!AG37+'12'!AG37</f>
        <v>0</v>
      </c>
      <c r="AH37" s="91">
        <f>'10'!AH37+'11'!AH37+'12'!AH37</f>
        <v>0</v>
      </c>
      <c r="AI37" s="91">
        <f>'10'!AI37+'11'!AI37+'12'!AI37</f>
        <v>0</v>
      </c>
      <c r="AJ37" s="91">
        <f>'10'!AJ37+'11'!AJ37+'12'!AJ37</f>
        <v>0</v>
      </c>
      <c r="AK37" s="91">
        <f>'10'!AK37+'11'!AK37+'12'!AK37</f>
        <v>0</v>
      </c>
      <c r="AL37" s="91">
        <f>'10'!AL37+'11'!AL37+'12'!AL37</f>
        <v>0</v>
      </c>
      <c r="AM37" s="91">
        <f>'10'!AM37+'11'!AM37+'12'!AM37</f>
        <v>0</v>
      </c>
      <c r="AN37" s="91">
        <f>'10'!AN37+'11'!AN37+'12'!AN37</f>
        <v>0</v>
      </c>
      <c r="AO37" s="91">
        <f>'10'!AO37+'11'!AO37+'12'!AO37</f>
        <v>0</v>
      </c>
      <c r="AP37" s="91">
        <f>'10'!AP37+'11'!AP37+'12'!AP37</f>
        <v>0</v>
      </c>
      <c r="AQ37" s="16">
        <f t="shared" si="3"/>
        <v>0</v>
      </c>
      <c r="AR37" s="17">
        <f t="shared" si="11"/>
        <v>0</v>
      </c>
      <c r="AS37" s="91">
        <f t="shared" si="15"/>
        <v>0</v>
      </c>
      <c r="AT37" s="15"/>
      <c r="AU37" s="92">
        <f t="shared" si="16"/>
        <v>0</v>
      </c>
      <c r="AV37" s="92">
        <f t="shared" si="5"/>
        <v>0</v>
      </c>
      <c r="AW37" s="92">
        <f t="shared" si="17"/>
        <v>0</v>
      </c>
      <c r="AX37" s="92">
        <f t="shared" si="18"/>
        <v>0</v>
      </c>
      <c r="AY37" s="82">
        <f t="shared" si="20"/>
        <v>0</v>
      </c>
      <c r="AZ37" s="82">
        <f t="shared" si="20"/>
        <v>0</v>
      </c>
      <c r="BA37" s="95">
        <f t="shared" si="19"/>
        <v>0</v>
      </c>
      <c r="BB37" s="139"/>
      <c r="BC37"/>
    </row>
    <row r="38" spans="1:55" ht="15" hidden="1" customHeight="1" x14ac:dyDescent="0.3">
      <c r="A38" s="72" t="s">
        <v>41</v>
      </c>
      <c r="B38" s="111"/>
      <c r="C38" s="111">
        <v>49</v>
      </c>
      <c r="D38" s="121">
        <f t="shared" si="21"/>
        <v>0</v>
      </c>
      <c r="E38" s="16">
        <f t="shared" si="22"/>
        <v>0</v>
      </c>
      <c r="F38" s="91">
        <f>'10'!F38+'11'!F38+'12'!F38</f>
        <v>0</v>
      </c>
      <c r="G38" s="91">
        <f>'10'!G38+'11'!G38+'12'!G38</f>
        <v>0</v>
      </c>
      <c r="H38" s="135">
        <f>'10'!H38+'11'!H38+'12'!H38</f>
        <v>0</v>
      </c>
      <c r="I38" s="135">
        <f>'10'!I38+'11'!I38+'12'!I38</f>
        <v>0</v>
      </c>
      <c r="J38" s="9" t="s">
        <v>68</v>
      </c>
      <c r="K38" s="133">
        <f>'10'!K38+'11'!K38+'12'!K38</f>
        <v>0</v>
      </c>
      <c r="L38" s="133">
        <f>'10'!L38+'11'!L38+'12'!L38</f>
        <v>0</v>
      </c>
      <c r="M38" s="91">
        <f>'10'!M38+'11'!M38+'12'!M38</f>
        <v>0</v>
      </c>
      <c r="N38" s="91">
        <f>'10'!N38+'11'!N38+'12'!N38</f>
        <v>0</v>
      </c>
      <c r="O38" s="91">
        <f>'10'!O38+'11'!O38+'12'!O38</f>
        <v>0</v>
      </c>
      <c r="P38" s="91">
        <f>'10'!P38+'11'!P38+'12'!P38</f>
        <v>0</v>
      </c>
      <c r="Q38" s="91">
        <f>'10'!Q38+'11'!Q38+'12'!Q38</f>
        <v>0</v>
      </c>
      <c r="R38" s="91">
        <f>'10'!R38+'11'!R38+'12'!R38</f>
        <v>0</v>
      </c>
      <c r="S38" s="91">
        <f>'10'!S38+'11'!S38+'12'!S38</f>
        <v>0</v>
      </c>
      <c r="T38" s="91">
        <f>'10'!T38+'11'!T38+'12'!T38</f>
        <v>0</v>
      </c>
      <c r="U38" s="91">
        <f>'10'!U38+'11'!U38+'12'!U38</f>
        <v>0</v>
      </c>
      <c r="V38" s="91">
        <f>'10'!V38+'11'!V38+'12'!V38</f>
        <v>0</v>
      </c>
      <c r="W38" s="91">
        <f>'10'!W38+'11'!W38+'12'!W38</f>
        <v>0</v>
      </c>
      <c r="X38" s="91">
        <f>'10'!X38+'11'!X38+'12'!X38</f>
        <v>0</v>
      </c>
      <c r="Y38" s="91">
        <f>'10'!Y38+'11'!Y38+'12'!Y38</f>
        <v>0</v>
      </c>
      <c r="Z38" s="91">
        <f>'10'!Z38+'11'!Z38+'12'!Z38</f>
        <v>0</v>
      </c>
      <c r="AA38" s="91">
        <f>'10'!AA38+'11'!AA38+'12'!AA38</f>
        <v>0</v>
      </c>
      <c r="AB38" s="91">
        <f>'10'!AB38+'11'!AB38+'12'!AB38</f>
        <v>0</v>
      </c>
      <c r="AC38" s="91">
        <f>'10'!AC38+'11'!AC38+'12'!AC38</f>
        <v>0</v>
      </c>
      <c r="AD38" s="91">
        <f>'10'!AD38+'11'!AD38+'12'!AD38</f>
        <v>0</v>
      </c>
      <c r="AE38" s="91">
        <f>'10'!AE38+'11'!AE38+'12'!AE38</f>
        <v>0</v>
      </c>
      <c r="AF38" s="91">
        <f>'10'!AF38+'11'!AF38+'12'!AF38</f>
        <v>0</v>
      </c>
      <c r="AG38" s="91">
        <f>'10'!AG38+'11'!AG38+'12'!AG38</f>
        <v>0</v>
      </c>
      <c r="AH38" s="91">
        <f>'10'!AH38+'11'!AH38+'12'!AH38</f>
        <v>0</v>
      </c>
      <c r="AI38" s="91">
        <f>'10'!AI38+'11'!AI38+'12'!AI38</f>
        <v>0</v>
      </c>
      <c r="AJ38" s="91">
        <f>'10'!AJ38+'11'!AJ38+'12'!AJ38</f>
        <v>0</v>
      </c>
      <c r="AK38" s="91">
        <f>'10'!AK38+'11'!AK38+'12'!AK38</f>
        <v>0</v>
      </c>
      <c r="AL38" s="91">
        <f>'10'!AL38+'11'!AL38+'12'!AL38</f>
        <v>0</v>
      </c>
      <c r="AM38" s="91">
        <f>'10'!AM38+'11'!AM38+'12'!AM38</f>
        <v>0</v>
      </c>
      <c r="AN38" s="91">
        <f>'10'!AN38+'11'!AN38+'12'!AN38</f>
        <v>0</v>
      </c>
      <c r="AO38" s="91">
        <f>'10'!AO38+'11'!AO38+'12'!AO38</f>
        <v>0</v>
      </c>
      <c r="AP38" s="91">
        <f>'10'!AP38+'11'!AP38+'12'!AP38</f>
        <v>0</v>
      </c>
      <c r="AQ38" s="16">
        <f t="shared" si="3"/>
        <v>0</v>
      </c>
      <c r="AR38" s="17">
        <f t="shared" si="11"/>
        <v>0</v>
      </c>
      <c r="AS38" s="91">
        <f t="shared" si="15"/>
        <v>0</v>
      </c>
      <c r="AT38" s="15"/>
      <c r="AU38" s="92">
        <f t="shared" si="16"/>
        <v>0</v>
      </c>
      <c r="AV38" s="92">
        <f t="shared" si="5"/>
        <v>0</v>
      </c>
      <c r="AW38" s="92">
        <f t="shared" si="17"/>
        <v>0</v>
      </c>
      <c r="AX38" s="92">
        <f t="shared" si="18"/>
        <v>0</v>
      </c>
      <c r="AY38" s="82">
        <f t="shared" si="20"/>
        <v>0</v>
      </c>
      <c r="AZ38" s="82">
        <f t="shared" si="20"/>
        <v>0</v>
      </c>
      <c r="BA38" s="95">
        <f t="shared" si="19"/>
        <v>0</v>
      </c>
      <c r="BB38" s="139"/>
      <c r="BC38"/>
    </row>
    <row r="39" spans="1:55" ht="15" hidden="1" customHeight="1" x14ac:dyDescent="0.3">
      <c r="A39" s="72" t="s">
        <v>42</v>
      </c>
      <c r="B39" s="111"/>
      <c r="C39" s="111">
        <v>50</v>
      </c>
      <c r="D39" s="121">
        <f t="shared" si="21"/>
        <v>0</v>
      </c>
      <c r="E39" s="16">
        <f t="shared" si="22"/>
        <v>0</v>
      </c>
      <c r="F39" s="91">
        <f>'10'!F39+'11'!F39+'12'!F39</f>
        <v>0</v>
      </c>
      <c r="G39" s="91">
        <f>'10'!G39+'11'!G39+'12'!G39</f>
        <v>0</v>
      </c>
      <c r="H39" s="135">
        <f>'10'!H39+'11'!H39+'12'!H39</f>
        <v>0</v>
      </c>
      <c r="I39" s="135">
        <f>'10'!I39+'11'!I39+'12'!I39</f>
        <v>0</v>
      </c>
      <c r="J39" s="9" t="s">
        <v>68</v>
      </c>
      <c r="K39" s="133">
        <f>'10'!K39+'11'!K39+'12'!K39</f>
        <v>0</v>
      </c>
      <c r="L39" s="133">
        <f>'10'!L39+'11'!L39+'12'!L39</f>
        <v>0</v>
      </c>
      <c r="M39" s="91">
        <f>'10'!M39+'11'!M39+'12'!M39</f>
        <v>0</v>
      </c>
      <c r="N39" s="91">
        <f>'10'!N39+'11'!N39+'12'!N39</f>
        <v>0</v>
      </c>
      <c r="O39" s="91">
        <f>'10'!O39+'11'!O39+'12'!O39</f>
        <v>0</v>
      </c>
      <c r="P39" s="91">
        <f>'10'!P39+'11'!P39+'12'!P39</f>
        <v>0</v>
      </c>
      <c r="Q39" s="91">
        <f>'10'!Q39+'11'!Q39+'12'!Q39</f>
        <v>0</v>
      </c>
      <c r="R39" s="91">
        <f>'10'!R39+'11'!R39+'12'!R39</f>
        <v>0</v>
      </c>
      <c r="S39" s="91">
        <f>'10'!S39+'11'!S39+'12'!S39</f>
        <v>0</v>
      </c>
      <c r="T39" s="91">
        <f>'10'!T39+'11'!T39+'12'!T39</f>
        <v>0</v>
      </c>
      <c r="U39" s="91">
        <f>'10'!U39+'11'!U39+'12'!U39</f>
        <v>0</v>
      </c>
      <c r="V39" s="91">
        <f>'10'!V39+'11'!V39+'12'!V39</f>
        <v>0</v>
      </c>
      <c r="W39" s="91">
        <f>'10'!W39+'11'!W39+'12'!W39</f>
        <v>0</v>
      </c>
      <c r="X39" s="91">
        <f>'10'!X39+'11'!X39+'12'!X39</f>
        <v>0</v>
      </c>
      <c r="Y39" s="91">
        <f>'10'!Y39+'11'!Y39+'12'!Y39</f>
        <v>0</v>
      </c>
      <c r="Z39" s="91">
        <f>'10'!Z39+'11'!Z39+'12'!Z39</f>
        <v>0</v>
      </c>
      <c r="AA39" s="91">
        <f>'10'!AA39+'11'!AA39+'12'!AA39</f>
        <v>0</v>
      </c>
      <c r="AB39" s="91">
        <f>'10'!AB39+'11'!AB39+'12'!AB39</f>
        <v>0</v>
      </c>
      <c r="AC39" s="91">
        <f>'10'!AC39+'11'!AC39+'12'!AC39</f>
        <v>0</v>
      </c>
      <c r="AD39" s="91">
        <f>'10'!AD39+'11'!AD39+'12'!AD39</f>
        <v>0</v>
      </c>
      <c r="AE39" s="91">
        <f>'10'!AE39+'11'!AE39+'12'!AE39</f>
        <v>0</v>
      </c>
      <c r="AF39" s="91">
        <f>'10'!AF39+'11'!AF39+'12'!AF39</f>
        <v>0</v>
      </c>
      <c r="AG39" s="91">
        <f>'10'!AG39+'11'!AG39+'12'!AG39</f>
        <v>0</v>
      </c>
      <c r="AH39" s="91">
        <f>'10'!AH39+'11'!AH39+'12'!AH39</f>
        <v>0</v>
      </c>
      <c r="AI39" s="91">
        <f>'10'!AI39+'11'!AI39+'12'!AI39</f>
        <v>0</v>
      </c>
      <c r="AJ39" s="91">
        <f>'10'!AJ39+'11'!AJ39+'12'!AJ39</f>
        <v>0</v>
      </c>
      <c r="AK39" s="91">
        <f>'10'!AK39+'11'!AK39+'12'!AK39</f>
        <v>0</v>
      </c>
      <c r="AL39" s="91">
        <f>'10'!AL39+'11'!AL39+'12'!AL39</f>
        <v>0</v>
      </c>
      <c r="AM39" s="91">
        <f>'10'!AM39+'11'!AM39+'12'!AM39</f>
        <v>0</v>
      </c>
      <c r="AN39" s="91">
        <f>'10'!AN39+'11'!AN39+'12'!AN39</f>
        <v>0</v>
      </c>
      <c r="AO39" s="91">
        <f>'10'!AO39+'11'!AO39+'12'!AO39</f>
        <v>0</v>
      </c>
      <c r="AP39" s="91">
        <f>'10'!AP39+'11'!AP39+'12'!AP39</f>
        <v>0</v>
      </c>
      <c r="AQ39" s="16">
        <f t="shared" si="3"/>
        <v>0</v>
      </c>
      <c r="AR39" s="17">
        <f t="shared" si="11"/>
        <v>0</v>
      </c>
      <c r="AS39" s="91">
        <f t="shared" si="15"/>
        <v>0</v>
      </c>
      <c r="AT39" s="15"/>
      <c r="AU39" s="92">
        <f t="shared" si="16"/>
        <v>0</v>
      </c>
      <c r="AV39" s="92">
        <f t="shared" si="5"/>
        <v>0</v>
      </c>
      <c r="AW39" s="92">
        <f t="shared" si="17"/>
        <v>0</v>
      </c>
      <c r="AX39" s="92">
        <f t="shared" si="18"/>
        <v>0</v>
      </c>
      <c r="AY39" s="82">
        <f t="shared" si="20"/>
        <v>0</v>
      </c>
      <c r="AZ39" s="82">
        <f t="shared" si="20"/>
        <v>0</v>
      </c>
      <c r="BA39" s="95">
        <f t="shared" si="19"/>
        <v>0</v>
      </c>
      <c r="BB39" s="139"/>
      <c r="BC39"/>
    </row>
    <row r="40" spans="1:55" ht="15" hidden="1" customHeight="1" x14ac:dyDescent="0.3">
      <c r="A40" s="72" t="s">
        <v>43</v>
      </c>
      <c r="B40" s="111"/>
      <c r="C40" s="111">
        <v>51</v>
      </c>
      <c r="D40" s="121">
        <f t="shared" si="21"/>
        <v>0</v>
      </c>
      <c r="E40" s="16">
        <f t="shared" si="22"/>
        <v>0</v>
      </c>
      <c r="F40" s="91">
        <f>'10'!F40+'11'!F40+'12'!F40</f>
        <v>0</v>
      </c>
      <c r="G40" s="91">
        <f>'10'!G40+'11'!G40+'12'!G40</f>
        <v>0</v>
      </c>
      <c r="H40" s="135">
        <f>'10'!H40+'11'!H40+'12'!H40</f>
        <v>0</v>
      </c>
      <c r="I40" s="135">
        <f>'10'!I40+'11'!I40+'12'!I40</f>
        <v>0</v>
      </c>
      <c r="J40" s="9" t="s">
        <v>68</v>
      </c>
      <c r="K40" s="133">
        <f>'10'!K40+'11'!K40+'12'!K40</f>
        <v>0</v>
      </c>
      <c r="L40" s="133">
        <f>'10'!L40+'11'!L40+'12'!L40</f>
        <v>0</v>
      </c>
      <c r="M40" s="91">
        <f>'10'!M40+'11'!M40+'12'!M40</f>
        <v>0</v>
      </c>
      <c r="N40" s="91">
        <f>'10'!N40+'11'!N40+'12'!N40</f>
        <v>0</v>
      </c>
      <c r="O40" s="91">
        <f>'10'!O40+'11'!O40+'12'!O40</f>
        <v>0</v>
      </c>
      <c r="P40" s="91">
        <f>'10'!P40+'11'!P40+'12'!P40</f>
        <v>0</v>
      </c>
      <c r="Q40" s="91">
        <f>'10'!Q40+'11'!Q40+'12'!Q40</f>
        <v>0</v>
      </c>
      <c r="R40" s="91">
        <f>'10'!R40+'11'!R40+'12'!R40</f>
        <v>0</v>
      </c>
      <c r="S40" s="91">
        <f>'10'!S40+'11'!S40+'12'!S40</f>
        <v>0</v>
      </c>
      <c r="T40" s="91">
        <f>'10'!T40+'11'!T40+'12'!T40</f>
        <v>0</v>
      </c>
      <c r="U40" s="91">
        <f>'10'!U40+'11'!U40+'12'!U40</f>
        <v>0</v>
      </c>
      <c r="V40" s="91">
        <f>'10'!V40+'11'!V40+'12'!V40</f>
        <v>0</v>
      </c>
      <c r="W40" s="91">
        <f>'10'!W40+'11'!W40+'12'!W40</f>
        <v>0</v>
      </c>
      <c r="X40" s="91">
        <f>'10'!X40+'11'!X40+'12'!X40</f>
        <v>0</v>
      </c>
      <c r="Y40" s="91">
        <f>'10'!Y40+'11'!Y40+'12'!Y40</f>
        <v>0</v>
      </c>
      <c r="Z40" s="91">
        <f>'10'!Z40+'11'!Z40+'12'!Z40</f>
        <v>0</v>
      </c>
      <c r="AA40" s="91">
        <f>'10'!AA40+'11'!AA40+'12'!AA40</f>
        <v>0</v>
      </c>
      <c r="AB40" s="91">
        <f>'10'!AB40+'11'!AB40+'12'!AB40</f>
        <v>0</v>
      </c>
      <c r="AC40" s="91">
        <f>'10'!AC40+'11'!AC40+'12'!AC40</f>
        <v>0</v>
      </c>
      <c r="AD40" s="91">
        <f>'10'!AD40+'11'!AD40+'12'!AD40</f>
        <v>0</v>
      </c>
      <c r="AE40" s="91">
        <f>'10'!AE40+'11'!AE40+'12'!AE40</f>
        <v>0</v>
      </c>
      <c r="AF40" s="91">
        <f>'10'!AF40+'11'!AF40+'12'!AF40</f>
        <v>0</v>
      </c>
      <c r="AG40" s="91">
        <f>'10'!AG40+'11'!AG40+'12'!AG40</f>
        <v>0</v>
      </c>
      <c r="AH40" s="91">
        <f>'10'!AH40+'11'!AH40+'12'!AH40</f>
        <v>0</v>
      </c>
      <c r="AI40" s="91">
        <f>'10'!AI40+'11'!AI40+'12'!AI40</f>
        <v>0</v>
      </c>
      <c r="AJ40" s="91">
        <f>'10'!AJ40+'11'!AJ40+'12'!AJ40</f>
        <v>0</v>
      </c>
      <c r="AK40" s="91">
        <f>'10'!AK40+'11'!AK40+'12'!AK40</f>
        <v>0</v>
      </c>
      <c r="AL40" s="91">
        <f>'10'!AL40+'11'!AL40+'12'!AL40</f>
        <v>0</v>
      </c>
      <c r="AM40" s="91">
        <f>'10'!AM40+'11'!AM40+'12'!AM40</f>
        <v>0</v>
      </c>
      <c r="AN40" s="91">
        <f>'10'!AN40+'11'!AN40+'12'!AN40</f>
        <v>0</v>
      </c>
      <c r="AO40" s="91">
        <f>'10'!AO40+'11'!AO40+'12'!AO40</f>
        <v>0</v>
      </c>
      <c r="AP40" s="91">
        <f>'10'!AP40+'11'!AP40+'12'!AP40</f>
        <v>0</v>
      </c>
      <c r="AQ40" s="16">
        <f t="shared" si="3"/>
        <v>0</v>
      </c>
      <c r="AR40" s="17">
        <f t="shared" si="11"/>
        <v>0</v>
      </c>
      <c r="AS40" s="91">
        <f t="shared" si="15"/>
        <v>0</v>
      </c>
      <c r="AT40" s="15"/>
      <c r="AU40" s="92">
        <f t="shared" si="16"/>
        <v>0</v>
      </c>
      <c r="AV40" s="92">
        <f t="shared" si="5"/>
        <v>0</v>
      </c>
      <c r="AW40" s="92">
        <f t="shared" si="17"/>
        <v>0</v>
      </c>
      <c r="AX40" s="92">
        <f t="shared" si="18"/>
        <v>0</v>
      </c>
      <c r="AY40" s="82">
        <f t="shared" si="20"/>
        <v>0</v>
      </c>
      <c r="AZ40" s="82">
        <f t="shared" si="20"/>
        <v>0</v>
      </c>
      <c r="BA40" s="95">
        <f t="shared" si="19"/>
        <v>0</v>
      </c>
      <c r="BB40" s="139"/>
      <c r="BC40"/>
    </row>
    <row r="41" spans="1:55" ht="15" hidden="1" customHeight="1" thickBot="1" x14ac:dyDescent="0.3">
      <c r="A41" s="100" t="s">
        <v>44</v>
      </c>
      <c r="B41" s="116"/>
      <c r="C41" s="116">
        <v>52</v>
      </c>
      <c r="D41" s="121">
        <f t="shared" si="21"/>
        <v>0</v>
      </c>
      <c r="E41" s="16">
        <f t="shared" si="22"/>
        <v>0</v>
      </c>
      <c r="F41" s="91">
        <f>'10'!F41+'11'!F41+'12'!F41</f>
        <v>0</v>
      </c>
      <c r="G41" s="91">
        <f>'10'!G41+'11'!G41+'12'!G41</f>
        <v>0</v>
      </c>
      <c r="H41" s="135">
        <f>'10'!H41+'11'!H41+'12'!H41</f>
        <v>0</v>
      </c>
      <c r="I41" s="135">
        <f>'10'!I41+'11'!I41+'12'!I41</f>
        <v>0</v>
      </c>
      <c r="J41" s="101" t="s">
        <v>68</v>
      </c>
      <c r="K41" s="133">
        <f>'10'!K41+'11'!K41+'12'!K41</f>
        <v>0</v>
      </c>
      <c r="L41" s="133">
        <f>'10'!L41+'11'!L41+'12'!L41</f>
        <v>0</v>
      </c>
      <c r="M41" s="91">
        <f>'10'!M41+'11'!M41+'12'!M41</f>
        <v>0</v>
      </c>
      <c r="N41" s="91">
        <f>'10'!N41+'11'!N41+'12'!N41</f>
        <v>0</v>
      </c>
      <c r="O41" s="91">
        <f>'10'!O41+'11'!O41+'12'!O41</f>
        <v>0</v>
      </c>
      <c r="P41" s="91">
        <f>'10'!P41+'11'!P41+'12'!P41</f>
        <v>0</v>
      </c>
      <c r="Q41" s="91">
        <f>'10'!Q41+'11'!Q41+'12'!Q41</f>
        <v>0</v>
      </c>
      <c r="R41" s="91">
        <f>'10'!R41+'11'!R41+'12'!R41</f>
        <v>0</v>
      </c>
      <c r="S41" s="91">
        <f>'10'!S41+'11'!S41+'12'!S41</f>
        <v>0</v>
      </c>
      <c r="T41" s="91">
        <f>'10'!T41+'11'!T41+'12'!T41</f>
        <v>0</v>
      </c>
      <c r="U41" s="91">
        <f>'10'!U41+'11'!U41+'12'!U41</f>
        <v>0</v>
      </c>
      <c r="V41" s="91">
        <f>'10'!V41+'11'!V41+'12'!V41</f>
        <v>0</v>
      </c>
      <c r="W41" s="91">
        <f>'10'!W41+'11'!W41+'12'!W41</f>
        <v>0</v>
      </c>
      <c r="X41" s="91">
        <f>'10'!X41+'11'!X41+'12'!X41</f>
        <v>0</v>
      </c>
      <c r="Y41" s="91">
        <f>'10'!Y41+'11'!Y41+'12'!Y41</f>
        <v>0</v>
      </c>
      <c r="Z41" s="91">
        <f>'10'!Z41+'11'!Z41+'12'!Z41</f>
        <v>0</v>
      </c>
      <c r="AA41" s="91">
        <f>'10'!AA41+'11'!AA41+'12'!AA41</f>
        <v>0</v>
      </c>
      <c r="AB41" s="91">
        <f>'10'!AB41+'11'!AB41+'12'!AB41</f>
        <v>0</v>
      </c>
      <c r="AC41" s="91">
        <f>'10'!AC41+'11'!AC41+'12'!AC41</f>
        <v>0</v>
      </c>
      <c r="AD41" s="91">
        <f>'10'!AD41+'11'!AD41+'12'!AD41</f>
        <v>0</v>
      </c>
      <c r="AE41" s="91">
        <f>'10'!AE41+'11'!AE41+'12'!AE41</f>
        <v>0</v>
      </c>
      <c r="AF41" s="91">
        <f>'10'!AF41+'11'!AF41+'12'!AF41</f>
        <v>0</v>
      </c>
      <c r="AG41" s="91">
        <f>'10'!AG41+'11'!AG41+'12'!AG41</f>
        <v>0</v>
      </c>
      <c r="AH41" s="91">
        <f>'10'!AH41+'11'!AH41+'12'!AH41</f>
        <v>0</v>
      </c>
      <c r="AI41" s="91">
        <f>'10'!AI41+'11'!AI41+'12'!AI41</f>
        <v>0</v>
      </c>
      <c r="AJ41" s="91">
        <f>'10'!AJ41+'11'!AJ41+'12'!AJ41</f>
        <v>0</v>
      </c>
      <c r="AK41" s="91">
        <f>'10'!AK41+'11'!AK41+'12'!AK41</f>
        <v>0</v>
      </c>
      <c r="AL41" s="91">
        <f>'10'!AL41+'11'!AL41+'12'!AL41</f>
        <v>0</v>
      </c>
      <c r="AM41" s="91">
        <f>'10'!AM41+'11'!AM41+'12'!AM41</f>
        <v>0</v>
      </c>
      <c r="AN41" s="91">
        <f>'10'!AN41+'11'!AN41+'12'!AN41</f>
        <v>0</v>
      </c>
      <c r="AO41" s="91">
        <f>'10'!AO41+'11'!AO41+'12'!AO41</f>
        <v>0</v>
      </c>
      <c r="AP41" s="91">
        <f>'10'!AP41+'11'!AP41+'12'!AP41</f>
        <v>0</v>
      </c>
      <c r="AQ41" s="16">
        <f t="shared" si="3"/>
        <v>0</v>
      </c>
      <c r="AR41" s="17">
        <f t="shared" si="11"/>
        <v>0</v>
      </c>
      <c r="AS41" s="91">
        <f t="shared" si="15"/>
        <v>0</v>
      </c>
      <c r="AT41" s="16"/>
      <c r="AU41" s="92">
        <f t="shared" si="16"/>
        <v>0</v>
      </c>
      <c r="AV41" s="92">
        <f t="shared" si="5"/>
        <v>0</v>
      </c>
      <c r="AW41" s="92">
        <f t="shared" si="17"/>
        <v>0</v>
      </c>
      <c r="AX41" s="92">
        <f t="shared" si="18"/>
        <v>0</v>
      </c>
      <c r="AY41" s="82">
        <f t="shared" si="20"/>
        <v>0</v>
      </c>
      <c r="AZ41" s="82">
        <f t="shared" si="20"/>
        <v>0</v>
      </c>
      <c r="BA41" s="95">
        <f t="shared" si="19"/>
        <v>0</v>
      </c>
      <c r="BB41" s="140"/>
      <c r="BC41"/>
    </row>
    <row r="42" spans="1:55" ht="15" customHeight="1" thickBot="1" x14ac:dyDescent="0.3">
      <c r="A42" s="102" t="s">
        <v>81</v>
      </c>
      <c r="B42" s="124"/>
      <c r="C42" s="87"/>
      <c r="D42" s="129">
        <f t="shared" ref="D42:AP42" si="23">SUM(D43:D45)</f>
        <v>0</v>
      </c>
      <c r="E42" s="129">
        <f t="shared" si="23"/>
        <v>0</v>
      </c>
      <c r="F42" s="129">
        <f t="shared" si="23"/>
        <v>0</v>
      </c>
      <c r="G42" s="129">
        <f t="shared" si="23"/>
        <v>0</v>
      </c>
      <c r="H42" s="131">
        <f t="shared" si="23"/>
        <v>0</v>
      </c>
      <c r="I42" s="131">
        <f t="shared" si="23"/>
        <v>0</v>
      </c>
      <c r="J42" s="129">
        <f t="shared" si="23"/>
        <v>0</v>
      </c>
      <c r="K42" s="130">
        <f t="shared" si="23"/>
        <v>0</v>
      </c>
      <c r="L42" s="130">
        <f t="shared" si="23"/>
        <v>0</v>
      </c>
      <c r="M42" s="129">
        <f t="shared" si="23"/>
        <v>0</v>
      </c>
      <c r="N42" s="129">
        <f t="shared" si="23"/>
        <v>0</v>
      </c>
      <c r="O42" s="129">
        <f t="shared" si="23"/>
        <v>0</v>
      </c>
      <c r="P42" s="129">
        <f t="shared" si="23"/>
        <v>0</v>
      </c>
      <c r="Q42" s="129">
        <f t="shared" si="23"/>
        <v>0</v>
      </c>
      <c r="R42" s="129">
        <f t="shared" si="23"/>
        <v>0</v>
      </c>
      <c r="S42" s="129">
        <f t="shared" si="23"/>
        <v>0</v>
      </c>
      <c r="T42" s="129">
        <f t="shared" si="23"/>
        <v>0</v>
      </c>
      <c r="U42" s="129">
        <f t="shared" si="23"/>
        <v>0</v>
      </c>
      <c r="V42" s="129">
        <f t="shared" si="23"/>
        <v>0</v>
      </c>
      <c r="W42" s="129">
        <f t="shared" si="23"/>
        <v>0</v>
      </c>
      <c r="X42" s="129">
        <f t="shared" si="23"/>
        <v>0</v>
      </c>
      <c r="Y42" s="129">
        <f t="shared" si="23"/>
        <v>0</v>
      </c>
      <c r="Z42" s="129">
        <f t="shared" si="23"/>
        <v>0</v>
      </c>
      <c r="AA42" s="129">
        <f t="shared" si="23"/>
        <v>0</v>
      </c>
      <c r="AB42" s="129">
        <f t="shared" si="23"/>
        <v>0</v>
      </c>
      <c r="AC42" s="129">
        <f t="shared" si="23"/>
        <v>0</v>
      </c>
      <c r="AD42" s="129">
        <f t="shared" si="23"/>
        <v>0</v>
      </c>
      <c r="AE42" s="129">
        <f t="shared" si="23"/>
        <v>0</v>
      </c>
      <c r="AF42" s="129">
        <f t="shared" si="23"/>
        <v>0</v>
      </c>
      <c r="AG42" s="129">
        <f t="shared" si="23"/>
        <v>0</v>
      </c>
      <c r="AH42" s="129">
        <f t="shared" si="23"/>
        <v>0</v>
      </c>
      <c r="AI42" s="129">
        <f t="shared" si="23"/>
        <v>0</v>
      </c>
      <c r="AJ42" s="129">
        <f t="shared" si="23"/>
        <v>0</v>
      </c>
      <c r="AK42" s="129">
        <f t="shared" si="23"/>
        <v>0</v>
      </c>
      <c r="AL42" s="129">
        <f t="shared" si="23"/>
        <v>0</v>
      </c>
      <c r="AM42" s="129">
        <f t="shared" si="23"/>
        <v>0</v>
      </c>
      <c r="AN42" s="129">
        <f t="shared" si="23"/>
        <v>0</v>
      </c>
      <c r="AO42" s="129">
        <f t="shared" si="23"/>
        <v>0</v>
      </c>
      <c r="AP42" s="129">
        <f t="shared" si="23"/>
        <v>0</v>
      </c>
      <c r="AQ42" s="129">
        <f t="shared" si="3"/>
        <v>0</v>
      </c>
      <c r="AR42" s="129">
        <f t="shared" si="11"/>
        <v>0</v>
      </c>
      <c r="AS42" s="129">
        <f t="shared" si="15"/>
        <v>0</v>
      </c>
      <c r="AT42" s="129">
        <f>SUM(AT43:AT45)</f>
        <v>0</v>
      </c>
      <c r="AU42" s="131">
        <f t="shared" si="16"/>
        <v>0</v>
      </c>
      <c r="AV42" s="131">
        <f t="shared" si="5"/>
        <v>0</v>
      </c>
      <c r="AW42" s="131">
        <f t="shared" si="17"/>
        <v>0</v>
      </c>
      <c r="AX42" s="131">
        <f t="shared" si="18"/>
        <v>0</v>
      </c>
      <c r="AY42" s="131">
        <f>SUM(AY43:AY45)</f>
        <v>0</v>
      </c>
      <c r="AZ42" s="131">
        <f>SUM(AZ43:AZ45)</f>
        <v>0</v>
      </c>
      <c r="BA42" s="129">
        <f t="shared" si="19"/>
        <v>0</v>
      </c>
      <c r="BB42" s="141"/>
      <c r="BC42"/>
    </row>
    <row r="43" spans="1:55" ht="15" customHeight="1" x14ac:dyDescent="0.25">
      <c r="A43" s="97" t="s">
        <v>66</v>
      </c>
      <c r="B43" s="123" t="s">
        <v>139</v>
      </c>
      <c r="C43" s="115">
        <v>25</v>
      </c>
      <c r="D43" s="121">
        <f>AT43*AU43*AW43</f>
        <v>0</v>
      </c>
      <c r="E43" s="16">
        <f>ROUND(AT43*AV43*AX43,4)</f>
        <v>0</v>
      </c>
      <c r="F43" s="91">
        <f>'10'!F43+'11'!F43+'12'!F43</f>
        <v>0</v>
      </c>
      <c r="G43" s="91">
        <f>'10'!G43+'11'!G43+'12'!G43</f>
        <v>0</v>
      </c>
      <c r="H43" s="135">
        <f>'10'!H43+'11'!H43+'12'!H43</f>
        <v>0</v>
      </c>
      <c r="I43" s="135">
        <f>'10'!I43+'11'!I43+'12'!I43</f>
        <v>0</v>
      </c>
      <c r="J43" s="14" t="s">
        <v>55</v>
      </c>
      <c r="K43" s="133">
        <f>'10'!K43+'11'!K43+'12'!K43</f>
        <v>0</v>
      </c>
      <c r="L43" s="133">
        <f>'10'!L43+'11'!L43+'12'!L43</f>
        <v>0</v>
      </c>
      <c r="M43" s="91">
        <f>'10'!M43+'11'!M43+'12'!M43</f>
        <v>0</v>
      </c>
      <c r="N43" s="91">
        <f>'10'!N43+'11'!N43+'12'!N43</f>
        <v>0</v>
      </c>
      <c r="O43" s="91">
        <f>'10'!O43+'11'!O43+'12'!O43</f>
        <v>0</v>
      </c>
      <c r="P43" s="91">
        <f>'10'!P43+'11'!P43+'12'!P43</f>
        <v>0</v>
      </c>
      <c r="Q43" s="91">
        <f>'10'!Q43+'11'!Q43+'12'!Q43</f>
        <v>0</v>
      </c>
      <c r="R43" s="91">
        <f>'10'!R43+'11'!R43+'12'!R43</f>
        <v>0</v>
      </c>
      <c r="S43" s="91">
        <f>'10'!S43+'11'!S43+'12'!S43</f>
        <v>0</v>
      </c>
      <c r="T43" s="91">
        <f>'10'!T43+'11'!T43+'12'!T43</f>
        <v>0</v>
      </c>
      <c r="U43" s="91">
        <f>'10'!U43+'11'!U43+'12'!U43</f>
        <v>0</v>
      </c>
      <c r="V43" s="91">
        <f>'10'!V43+'11'!V43+'12'!V43</f>
        <v>0</v>
      </c>
      <c r="W43" s="91">
        <f>'10'!W43+'11'!W43+'12'!W43</f>
        <v>0</v>
      </c>
      <c r="X43" s="91">
        <f>'10'!X43+'11'!X43+'12'!X43</f>
        <v>0</v>
      </c>
      <c r="Y43" s="91">
        <f>'10'!Y43+'11'!Y43+'12'!Y43</f>
        <v>0</v>
      </c>
      <c r="Z43" s="91">
        <f>'10'!Z43+'11'!Z43+'12'!Z43</f>
        <v>0</v>
      </c>
      <c r="AA43" s="91">
        <f>'10'!AA43+'11'!AA43+'12'!AA43</f>
        <v>0</v>
      </c>
      <c r="AB43" s="91">
        <f>'10'!AB43+'11'!AB43+'12'!AB43</f>
        <v>0</v>
      </c>
      <c r="AC43" s="91">
        <f>'10'!AC43+'11'!AC43+'12'!AC43</f>
        <v>0</v>
      </c>
      <c r="AD43" s="91">
        <f>'10'!AD43+'11'!AD43+'12'!AD43</f>
        <v>0</v>
      </c>
      <c r="AE43" s="91">
        <f>'10'!AE43+'11'!AE43+'12'!AE43</f>
        <v>0</v>
      </c>
      <c r="AF43" s="91">
        <f>'10'!AF43+'11'!AF43+'12'!AF43</f>
        <v>0</v>
      </c>
      <c r="AG43" s="91">
        <f>'10'!AG43+'11'!AG43+'12'!AG43</f>
        <v>0</v>
      </c>
      <c r="AH43" s="91">
        <f>'10'!AH43+'11'!AH43+'12'!AH43</f>
        <v>0</v>
      </c>
      <c r="AI43" s="91">
        <f>'10'!AI43+'11'!AI43+'12'!AI43</f>
        <v>0</v>
      </c>
      <c r="AJ43" s="91">
        <f>'10'!AJ43+'11'!AJ43+'12'!AJ43</f>
        <v>0</v>
      </c>
      <c r="AK43" s="91">
        <f>'10'!AK43+'11'!AK43+'12'!AK43</f>
        <v>0</v>
      </c>
      <c r="AL43" s="91">
        <f>'10'!AL43+'11'!AL43+'12'!AL43</f>
        <v>0</v>
      </c>
      <c r="AM43" s="91">
        <f>'10'!AM43+'11'!AM43+'12'!AM43</f>
        <v>0</v>
      </c>
      <c r="AN43" s="91">
        <f>'10'!AN43+'11'!AN43+'12'!AN43</f>
        <v>0</v>
      </c>
      <c r="AO43" s="91">
        <f>'10'!AO43+'11'!AO43+'12'!AO43</f>
        <v>0</v>
      </c>
      <c r="AP43" s="91">
        <f>'10'!AP43+'11'!AP43+'12'!AP43</f>
        <v>0</v>
      </c>
      <c r="AQ43" s="16">
        <f t="shared" si="3"/>
        <v>0</v>
      </c>
      <c r="AR43" s="17">
        <f t="shared" si="11"/>
        <v>0</v>
      </c>
      <c r="AS43" s="91">
        <f t="shared" si="15"/>
        <v>0</v>
      </c>
      <c r="AT43" s="91">
        <f>'10'!AT43+'11'!AT43+'12'!AT43</f>
        <v>0</v>
      </c>
      <c r="AU43" s="92">
        <f t="shared" si="16"/>
        <v>0</v>
      </c>
      <c r="AV43" s="92">
        <f t="shared" si="5"/>
        <v>0</v>
      </c>
      <c r="AW43" s="92">
        <f t="shared" si="17"/>
        <v>0</v>
      </c>
      <c r="AX43" s="92">
        <f t="shared" si="18"/>
        <v>0</v>
      </c>
      <c r="AY43" s="92">
        <f>IF(D43=0,0,K43/D43/24)</f>
        <v>0</v>
      </c>
      <c r="AZ43" s="92">
        <f>IF(E43=0,0,L43/E43/24)</f>
        <v>0</v>
      </c>
      <c r="BA43" s="95">
        <f t="shared" si="19"/>
        <v>0</v>
      </c>
      <c r="BB43" s="138"/>
      <c r="BC43"/>
    </row>
    <row r="44" spans="1:55" ht="15" hidden="1" customHeight="1" x14ac:dyDescent="0.25">
      <c r="A44" s="72" t="s">
        <v>67</v>
      </c>
      <c r="B44" s="123"/>
      <c r="C44" s="111">
        <v>31</v>
      </c>
      <c r="D44" s="121">
        <f t="shared" ref="D44:D45" si="24">AT44*AU44*AW44</f>
        <v>0</v>
      </c>
      <c r="E44" s="16">
        <f t="shared" ref="E44:E45" si="25">ROUND(AT44*AV44*AX44,4)</f>
        <v>0</v>
      </c>
      <c r="F44" s="91">
        <f>'10'!F44+'11'!F44+'12'!F44</f>
        <v>0</v>
      </c>
      <c r="G44" s="91">
        <f>'10'!G44+'11'!G44+'12'!G44</f>
        <v>0</v>
      </c>
      <c r="H44" s="135">
        <f>'10'!H44+'11'!H44+'12'!H44</f>
        <v>0</v>
      </c>
      <c r="I44" s="135">
        <f>'10'!I44+'11'!I44+'12'!I44</f>
        <v>0</v>
      </c>
      <c r="J44" s="14" t="s">
        <v>55</v>
      </c>
      <c r="K44" s="133">
        <f>'10'!K44+'11'!K44+'12'!K44</f>
        <v>0</v>
      </c>
      <c r="L44" s="133">
        <f>'10'!L44+'11'!L44+'12'!L44</f>
        <v>0</v>
      </c>
      <c r="M44" s="91">
        <f>'10'!M44+'11'!M44+'12'!M44</f>
        <v>0</v>
      </c>
      <c r="N44" s="91">
        <f>'10'!N44+'11'!N44+'12'!N44</f>
        <v>0</v>
      </c>
      <c r="O44" s="91">
        <f>'10'!O44+'11'!O44+'12'!O44</f>
        <v>0</v>
      </c>
      <c r="P44" s="91">
        <f>'10'!P44+'11'!P44+'12'!P44</f>
        <v>0</v>
      </c>
      <c r="Q44" s="91">
        <f>'10'!Q44+'11'!Q44+'12'!Q44</f>
        <v>0</v>
      </c>
      <c r="R44" s="91">
        <f>'10'!R44+'11'!R44+'12'!R44</f>
        <v>0</v>
      </c>
      <c r="S44" s="91">
        <f>'10'!S44+'11'!S44+'12'!S44</f>
        <v>0</v>
      </c>
      <c r="T44" s="91">
        <f>'10'!T44+'11'!T44+'12'!T44</f>
        <v>0</v>
      </c>
      <c r="U44" s="91">
        <f>'10'!U44+'11'!U44+'12'!U44</f>
        <v>0</v>
      </c>
      <c r="V44" s="91">
        <f>'10'!V44+'11'!V44+'12'!V44</f>
        <v>0</v>
      </c>
      <c r="W44" s="91">
        <f>'10'!W44+'11'!W44+'12'!W44</f>
        <v>0</v>
      </c>
      <c r="X44" s="91">
        <f>'10'!X44+'11'!X44+'12'!X44</f>
        <v>0</v>
      </c>
      <c r="Y44" s="91">
        <f>'10'!Y44+'11'!Y44+'12'!Y44</f>
        <v>0</v>
      </c>
      <c r="Z44" s="91">
        <f>'10'!Z44+'11'!Z44+'12'!Z44</f>
        <v>0</v>
      </c>
      <c r="AA44" s="91">
        <f>'10'!AA44+'11'!AA44+'12'!AA44</f>
        <v>0</v>
      </c>
      <c r="AB44" s="91">
        <f>'10'!AB44+'11'!AB44+'12'!AB44</f>
        <v>0</v>
      </c>
      <c r="AC44" s="91">
        <f>'10'!AC44+'11'!AC44+'12'!AC44</f>
        <v>0</v>
      </c>
      <c r="AD44" s="91">
        <f>'10'!AD44+'11'!AD44+'12'!AD44</f>
        <v>0</v>
      </c>
      <c r="AE44" s="91">
        <f>'10'!AE44+'11'!AE44+'12'!AE44</f>
        <v>0</v>
      </c>
      <c r="AF44" s="91">
        <f>'10'!AF44+'11'!AF44+'12'!AF44</f>
        <v>0</v>
      </c>
      <c r="AG44" s="91">
        <f>'10'!AG44+'11'!AG44+'12'!AG44</f>
        <v>0</v>
      </c>
      <c r="AH44" s="91">
        <f>'10'!AH44+'11'!AH44+'12'!AH44</f>
        <v>0</v>
      </c>
      <c r="AI44" s="91">
        <f>'10'!AI44+'11'!AI44+'12'!AI44</f>
        <v>0</v>
      </c>
      <c r="AJ44" s="91">
        <f>'10'!AJ44+'11'!AJ44+'12'!AJ44</f>
        <v>0</v>
      </c>
      <c r="AK44" s="91">
        <f>'10'!AK44+'11'!AK44+'12'!AK44</f>
        <v>0</v>
      </c>
      <c r="AL44" s="91">
        <f>'10'!AL44+'11'!AL44+'12'!AL44</f>
        <v>0</v>
      </c>
      <c r="AM44" s="91">
        <f>'10'!AM44+'11'!AM44+'12'!AM44</f>
        <v>0</v>
      </c>
      <c r="AN44" s="91">
        <f>'10'!AN44+'11'!AN44+'12'!AN44</f>
        <v>0</v>
      </c>
      <c r="AO44" s="91">
        <f>'10'!AO44+'11'!AO44+'12'!AO44</f>
        <v>0</v>
      </c>
      <c r="AP44" s="91">
        <f>'10'!AP44+'11'!AP44+'12'!AP44</f>
        <v>0</v>
      </c>
      <c r="AQ44" s="16">
        <f t="shared" si="3"/>
        <v>0</v>
      </c>
      <c r="AR44" s="17">
        <f t="shared" si="11"/>
        <v>0</v>
      </c>
      <c r="AS44" s="91">
        <f t="shared" si="15"/>
        <v>0</v>
      </c>
      <c r="AT44" s="15"/>
      <c r="AU44" s="92">
        <f t="shared" si="16"/>
        <v>0</v>
      </c>
      <c r="AV44" s="92">
        <f t="shared" si="5"/>
        <v>0</v>
      </c>
      <c r="AW44" s="92">
        <f t="shared" si="17"/>
        <v>0</v>
      </c>
      <c r="AX44" s="92">
        <f t="shared" si="18"/>
        <v>0</v>
      </c>
      <c r="AY44" s="92">
        <f t="shared" ref="AY44:AZ45" si="26">IF(D44=0,0,K44/D44/24)</f>
        <v>0</v>
      </c>
      <c r="AZ44" s="92">
        <f t="shared" si="26"/>
        <v>0</v>
      </c>
      <c r="BA44" s="95">
        <f t="shared" si="19"/>
        <v>0</v>
      </c>
      <c r="BB44" s="139"/>
      <c r="BC44"/>
    </row>
    <row r="45" spans="1:55" ht="15" customHeight="1" thickBot="1" x14ac:dyDescent="0.3">
      <c r="A45" s="103" t="s">
        <v>67</v>
      </c>
      <c r="B45" s="123" t="s">
        <v>140</v>
      </c>
      <c r="C45" s="114">
        <v>38</v>
      </c>
      <c r="D45" s="121">
        <f t="shared" si="24"/>
        <v>0</v>
      </c>
      <c r="E45" s="16">
        <f t="shared" si="25"/>
        <v>0</v>
      </c>
      <c r="F45" s="91">
        <f>'10'!F45+'11'!F45+'12'!F45</f>
        <v>0</v>
      </c>
      <c r="G45" s="91">
        <f>'10'!G45+'11'!G45+'12'!G45</f>
        <v>0</v>
      </c>
      <c r="H45" s="135">
        <f>'10'!H45+'11'!H45+'12'!H45</f>
        <v>0</v>
      </c>
      <c r="I45" s="135">
        <f>'10'!I45+'11'!I45+'12'!I45</f>
        <v>0</v>
      </c>
      <c r="J45" s="14" t="s">
        <v>55</v>
      </c>
      <c r="K45" s="133">
        <f>'10'!K45+'11'!K45+'12'!K45</f>
        <v>0</v>
      </c>
      <c r="L45" s="133">
        <f>'10'!L45+'11'!L45+'12'!L45</f>
        <v>0</v>
      </c>
      <c r="M45" s="91">
        <f>'10'!M45+'11'!M45+'12'!M45</f>
        <v>0</v>
      </c>
      <c r="N45" s="91">
        <f>'10'!N45+'11'!N45+'12'!N45</f>
        <v>0</v>
      </c>
      <c r="O45" s="91">
        <f>'10'!O45+'11'!O45+'12'!O45</f>
        <v>0</v>
      </c>
      <c r="P45" s="91">
        <f>'10'!P45+'11'!P45+'12'!P45</f>
        <v>0</v>
      </c>
      <c r="Q45" s="91">
        <f>'10'!Q45+'11'!Q45+'12'!Q45</f>
        <v>0</v>
      </c>
      <c r="R45" s="91">
        <f>'10'!R45+'11'!R45+'12'!R45</f>
        <v>0</v>
      </c>
      <c r="S45" s="91">
        <f>'10'!S45+'11'!S45+'12'!S45</f>
        <v>0</v>
      </c>
      <c r="T45" s="91">
        <f>'10'!T45+'11'!T45+'12'!T45</f>
        <v>0</v>
      </c>
      <c r="U45" s="91">
        <f>'10'!U45+'11'!U45+'12'!U45</f>
        <v>0</v>
      </c>
      <c r="V45" s="91">
        <f>'10'!V45+'11'!V45+'12'!V45</f>
        <v>0</v>
      </c>
      <c r="W45" s="91">
        <f>'10'!W45+'11'!W45+'12'!W45</f>
        <v>0</v>
      </c>
      <c r="X45" s="91">
        <f>'10'!X45+'11'!X45+'12'!X45</f>
        <v>0</v>
      </c>
      <c r="Y45" s="91">
        <f>'10'!Y45+'11'!Y45+'12'!Y45</f>
        <v>0</v>
      </c>
      <c r="Z45" s="91">
        <f>'10'!Z45+'11'!Z45+'12'!Z45</f>
        <v>0</v>
      </c>
      <c r="AA45" s="91">
        <f>'10'!AA45+'11'!AA45+'12'!AA45</f>
        <v>0</v>
      </c>
      <c r="AB45" s="91">
        <f>'10'!AB45+'11'!AB45+'12'!AB45</f>
        <v>0</v>
      </c>
      <c r="AC45" s="91">
        <f>'10'!AC45+'11'!AC45+'12'!AC45</f>
        <v>0</v>
      </c>
      <c r="AD45" s="91">
        <f>'10'!AD45+'11'!AD45+'12'!AD45</f>
        <v>0</v>
      </c>
      <c r="AE45" s="91">
        <f>'10'!AE45+'11'!AE45+'12'!AE45</f>
        <v>0</v>
      </c>
      <c r="AF45" s="91">
        <f>'10'!AF45+'11'!AF45+'12'!AF45</f>
        <v>0</v>
      </c>
      <c r="AG45" s="91">
        <f>'10'!AG45+'11'!AG45+'12'!AG45</f>
        <v>0</v>
      </c>
      <c r="AH45" s="91">
        <f>'10'!AH45+'11'!AH45+'12'!AH45</f>
        <v>0</v>
      </c>
      <c r="AI45" s="91">
        <f>'10'!AI45+'11'!AI45+'12'!AI45</f>
        <v>0</v>
      </c>
      <c r="AJ45" s="91">
        <f>'10'!AJ45+'11'!AJ45+'12'!AJ45</f>
        <v>0</v>
      </c>
      <c r="AK45" s="91">
        <f>'10'!AK45+'11'!AK45+'12'!AK45</f>
        <v>0</v>
      </c>
      <c r="AL45" s="91">
        <f>'10'!AL45+'11'!AL45+'12'!AL45</f>
        <v>0</v>
      </c>
      <c r="AM45" s="91">
        <f>'10'!AM45+'11'!AM45+'12'!AM45</f>
        <v>0</v>
      </c>
      <c r="AN45" s="91">
        <f>'10'!AN45+'11'!AN45+'12'!AN45</f>
        <v>0</v>
      </c>
      <c r="AO45" s="91">
        <f>'10'!AO45+'11'!AO45+'12'!AO45</f>
        <v>0</v>
      </c>
      <c r="AP45" s="91">
        <f>'10'!AP45+'11'!AP45+'12'!AP45</f>
        <v>0</v>
      </c>
      <c r="AQ45" s="16">
        <f t="shared" si="3"/>
        <v>0</v>
      </c>
      <c r="AR45" s="17">
        <f t="shared" si="11"/>
        <v>0</v>
      </c>
      <c r="AS45" s="91">
        <f t="shared" si="15"/>
        <v>0</v>
      </c>
      <c r="AT45" s="91">
        <f>'10'!AT45+'11'!AT45+'12'!AT45</f>
        <v>0</v>
      </c>
      <c r="AU45" s="92">
        <f t="shared" si="16"/>
        <v>0</v>
      </c>
      <c r="AV45" s="92">
        <f t="shared" si="5"/>
        <v>0</v>
      </c>
      <c r="AW45" s="92">
        <f t="shared" si="17"/>
        <v>0</v>
      </c>
      <c r="AX45" s="92">
        <f t="shared" si="18"/>
        <v>0</v>
      </c>
      <c r="AY45" s="92">
        <f t="shared" si="26"/>
        <v>0</v>
      </c>
      <c r="AZ45" s="92">
        <f t="shared" si="26"/>
        <v>0</v>
      </c>
      <c r="BA45" s="95">
        <f t="shared" si="19"/>
        <v>0</v>
      </c>
      <c r="BB45" s="140"/>
      <c r="BC45"/>
    </row>
    <row r="46" spans="1:55" ht="15" customHeight="1" thickBot="1" x14ac:dyDescent="0.3">
      <c r="A46" s="102" t="s">
        <v>82</v>
      </c>
      <c r="B46" s="124"/>
      <c r="C46" s="87"/>
      <c r="D46" s="129">
        <f t="shared" ref="D46:E46" si="27">SUM(D47:D51)</f>
        <v>0</v>
      </c>
      <c r="E46" s="129">
        <f t="shared" si="27"/>
        <v>0</v>
      </c>
      <c r="F46" s="129">
        <f>SUM(F47:F51)</f>
        <v>0</v>
      </c>
      <c r="G46" s="129">
        <f t="shared" ref="G46:AP46" si="28">SUM(G47:G51)</f>
        <v>0</v>
      </c>
      <c r="H46" s="131">
        <f t="shared" si="28"/>
        <v>0</v>
      </c>
      <c r="I46" s="131">
        <f t="shared" si="28"/>
        <v>0</v>
      </c>
      <c r="J46" s="129">
        <f t="shared" si="28"/>
        <v>0</v>
      </c>
      <c r="K46" s="130">
        <f t="shared" si="28"/>
        <v>0</v>
      </c>
      <c r="L46" s="130">
        <f t="shared" si="28"/>
        <v>0</v>
      </c>
      <c r="M46" s="129">
        <f t="shared" si="28"/>
        <v>0</v>
      </c>
      <c r="N46" s="129">
        <f t="shared" si="28"/>
        <v>0</v>
      </c>
      <c r="O46" s="129">
        <f t="shared" si="28"/>
        <v>0</v>
      </c>
      <c r="P46" s="129">
        <f t="shared" si="28"/>
        <v>0</v>
      </c>
      <c r="Q46" s="129">
        <f t="shared" si="28"/>
        <v>0</v>
      </c>
      <c r="R46" s="129">
        <f t="shared" si="28"/>
        <v>0</v>
      </c>
      <c r="S46" s="129">
        <f t="shared" si="28"/>
        <v>0</v>
      </c>
      <c r="T46" s="129">
        <f t="shared" si="28"/>
        <v>0</v>
      </c>
      <c r="U46" s="129">
        <f t="shared" si="28"/>
        <v>0</v>
      </c>
      <c r="V46" s="129">
        <f t="shared" si="28"/>
        <v>0</v>
      </c>
      <c r="W46" s="129">
        <f t="shared" si="28"/>
        <v>0</v>
      </c>
      <c r="X46" s="129">
        <f t="shared" si="28"/>
        <v>0</v>
      </c>
      <c r="Y46" s="129">
        <f t="shared" si="28"/>
        <v>0</v>
      </c>
      <c r="Z46" s="129">
        <f t="shared" si="28"/>
        <v>0</v>
      </c>
      <c r="AA46" s="129">
        <f t="shared" si="28"/>
        <v>0</v>
      </c>
      <c r="AB46" s="129">
        <f t="shared" si="28"/>
        <v>0</v>
      </c>
      <c r="AC46" s="129">
        <f t="shared" si="28"/>
        <v>0</v>
      </c>
      <c r="AD46" s="129">
        <f t="shared" si="28"/>
        <v>0</v>
      </c>
      <c r="AE46" s="129">
        <f t="shared" si="28"/>
        <v>0</v>
      </c>
      <c r="AF46" s="129">
        <f t="shared" si="28"/>
        <v>0</v>
      </c>
      <c r="AG46" s="129">
        <f t="shared" si="28"/>
        <v>0</v>
      </c>
      <c r="AH46" s="129">
        <f t="shared" si="28"/>
        <v>0</v>
      </c>
      <c r="AI46" s="129">
        <f t="shared" si="28"/>
        <v>0</v>
      </c>
      <c r="AJ46" s="129">
        <f t="shared" si="28"/>
        <v>0</v>
      </c>
      <c r="AK46" s="129">
        <f t="shared" si="28"/>
        <v>0</v>
      </c>
      <c r="AL46" s="129">
        <f t="shared" si="28"/>
        <v>0</v>
      </c>
      <c r="AM46" s="129">
        <f t="shared" si="28"/>
        <v>0</v>
      </c>
      <c r="AN46" s="129">
        <f t="shared" si="28"/>
        <v>0</v>
      </c>
      <c r="AO46" s="129">
        <f t="shared" si="28"/>
        <v>0</v>
      </c>
      <c r="AP46" s="129">
        <f t="shared" si="28"/>
        <v>0</v>
      </c>
      <c r="AQ46" s="129">
        <f t="shared" si="3"/>
        <v>0</v>
      </c>
      <c r="AR46" s="129">
        <f t="shared" si="11"/>
        <v>0</v>
      </c>
      <c r="AS46" s="129">
        <f t="shared" si="15"/>
        <v>0</v>
      </c>
      <c r="AT46" s="129">
        <f>SUM(AT47:AT51)</f>
        <v>0</v>
      </c>
      <c r="AU46" s="131">
        <f t="shared" si="16"/>
        <v>0</v>
      </c>
      <c r="AV46" s="131">
        <f t="shared" si="5"/>
        <v>0</v>
      </c>
      <c r="AW46" s="131">
        <f t="shared" si="17"/>
        <v>0</v>
      </c>
      <c r="AX46" s="131">
        <f t="shared" si="18"/>
        <v>0</v>
      </c>
      <c r="AY46" s="131">
        <f>SUM(AY47:AY51)</f>
        <v>0</v>
      </c>
      <c r="AZ46" s="131">
        <f>SUM(AZ47:AZ51)</f>
        <v>0</v>
      </c>
      <c r="BA46" s="129">
        <f t="shared" si="19"/>
        <v>0</v>
      </c>
      <c r="BB46" s="141"/>
      <c r="BC46"/>
    </row>
    <row r="47" spans="1:55" ht="15" customHeight="1" x14ac:dyDescent="0.25">
      <c r="A47" s="97" t="s">
        <v>46</v>
      </c>
      <c r="B47" s="123" t="s">
        <v>141</v>
      </c>
      <c r="C47" s="115">
        <v>28</v>
      </c>
      <c r="D47" s="121">
        <f>AT47*AU47*AW47</f>
        <v>0</v>
      </c>
      <c r="E47" s="16">
        <f>ROUND(AT47*AV47*AX47,4)</f>
        <v>0</v>
      </c>
      <c r="F47" s="91">
        <f>'10'!F47+'11'!F47+'12'!F47</f>
        <v>0</v>
      </c>
      <c r="G47" s="91">
        <f>'10'!G47+'11'!G47+'12'!G47</f>
        <v>0</v>
      </c>
      <c r="H47" s="135">
        <f>'10'!H47+'11'!H47+'12'!H47</f>
        <v>0</v>
      </c>
      <c r="I47" s="135">
        <f>'10'!I47+'11'!I47+'12'!I47</f>
        <v>0</v>
      </c>
      <c r="J47" s="14" t="s">
        <v>55</v>
      </c>
      <c r="K47" s="133">
        <f>'10'!K47+'11'!K47+'12'!K47</f>
        <v>0</v>
      </c>
      <c r="L47" s="133">
        <f>'10'!L47+'11'!L47+'12'!L47</f>
        <v>0</v>
      </c>
      <c r="M47" s="91">
        <f>'10'!M47+'11'!M47+'12'!M47</f>
        <v>0</v>
      </c>
      <c r="N47" s="91">
        <f>'10'!N47+'11'!N47+'12'!N47</f>
        <v>0</v>
      </c>
      <c r="O47" s="91">
        <f>'10'!O47+'11'!O47+'12'!O47</f>
        <v>0</v>
      </c>
      <c r="P47" s="91">
        <f>'10'!P47+'11'!P47+'12'!P47</f>
        <v>0</v>
      </c>
      <c r="Q47" s="91">
        <f>'10'!Q47+'11'!Q47+'12'!Q47</f>
        <v>0</v>
      </c>
      <c r="R47" s="91">
        <f>'10'!R47+'11'!R47+'12'!R47</f>
        <v>0</v>
      </c>
      <c r="S47" s="91">
        <f>'10'!S47+'11'!S47+'12'!S47</f>
        <v>0</v>
      </c>
      <c r="T47" s="91">
        <f>'10'!T47+'11'!T47+'12'!T47</f>
        <v>0</v>
      </c>
      <c r="U47" s="91">
        <f>'10'!U47+'11'!U47+'12'!U47</f>
        <v>0</v>
      </c>
      <c r="V47" s="91">
        <f>'10'!V47+'11'!V47+'12'!V47</f>
        <v>0</v>
      </c>
      <c r="W47" s="91">
        <f>'10'!W47+'11'!W47+'12'!W47</f>
        <v>0</v>
      </c>
      <c r="X47" s="91">
        <f>'10'!X47+'11'!X47+'12'!X47</f>
        <v>0</v>
      </c>
      <c r="Y47" s="91">
        <f>'10'!Y47+'11'!Y47+'12'!Y47</f>
        <v>0</v>
      </c>
      <c r="Z47" s="91">
        <f>'10'!Z47+'11'!Z47+'12'!Z47</f>
        <v>0</v>
      </c>
      <c r="AA47" s="91">
        <f>'10'!AA47+'11'!AA47+'12'!AA47</f>
        <v>0</v>
      </c>
      <c r="AB47" s="91">
        <f>'10'!AB47+'11'!AB47+'12'!AB47</f>
        <v>0</v>
      </c>
      <c r="AC47" s="91">
        <f>'10'!AC47+'11'!AC47+'12'!AC47</f>
        <v>0</v>
      </c>
      <c r="AD47" s="91">
        <f>'10'!AD47+'11'!AD47+'12'!AD47</f>
        <v>0</v>
      </c>
      <c r="AE47" s="91">
        <f>'10'!AE47+'11'!AE47+'12'!AE47</f>
        <v>0</v>
      </c>
      <c r="AF47" s="91">
        <f>'10'!AF47+'11'!AF47+'12'!AF47</f>
        <v>0</v>
      </c>
      <c r="AG47" s="91">
        <f>'10'!AG47+'11'!AG47+'12'!AG47</f>
        <v>0</v>
      </c>
      <c r="AH47" s="91">
        <f>'10'!AH47+'11'!AH47+'12'!AH47</f>
        <v>0</v>
      </c>
      <c r="AI47" s="91">
        <f>'10'!AI47+'11'!AI47+'12'!AI47</f>
        <v>0</v>
      </c>
      <c r="AJ47" s="91">
        <f>'10'!AJ47+'11'!AJ47+'12'!AJ47</f>
        <v>0</v>
      </c>
      <c r="AK47" s="91">
        <f>'10'!AK47+'11'!AK47+'12'!AK47</f>
        <v>0</v>
      </c>
      <c r="AL47" s="91">
        <f>'10'!AL47+'11'!AL47+'12'!AL47</f>
        <v>0</v>
      </c>
      <c r="AM47" s="91">
        <f>'10'!AM47+'11'!AM47+'12'!AM47</f>
        <v>0</v>
      </c>
      <c r="AN47" s="91">
        <f>'10'!AN47+'11'!AN47+'12'!AN47</f>
        <v>0</v>
      </c>
      <c r="AO47" s="91">
        <f>'10'!AO47+'11'!AO47+'12'!AO47</f>
        <v>0</v>
      </c>
      <c r="AP47" s="91">
        <f>'10'!AP47+'11'!AP47+'12'!AP47</f>
        <v>0</v>
      </c>
      <c r="AQ47" s="16">
        <f t="shared" si="3"/>
        <v>0</v>
      </c>
      <c r="AR47" s="17">
        <f t="shared" si="11"/>
        <v>0</v>
      </c>
      <c r="AS47" s="91">
        <f t="shared" si="15"/>
        <v>0</v>
      </c>
      <c r="AT47" s="91">
        <f>'10'!AT47+'11'!AT47+'12'!AT47</f>
        <v>0</v>
      </c>
      <c r="AU47" s="92">
        <f t="shared" si="16"/>
        <v>0</v>
      </c>
      <c r="AV47" s="92">
        <f t="shared" si="5"/>
        <v>0</v>
      </c>
      <c r="AW47" s="92">
        <f t="shared" si="17"/>
        <v>0</v>
      </c>
      <c r="AX47" s="92">
        <f t="shared" si="18"/>
        <v>0</v>
      </c>
      <c r="AY47" s="92">
        <f>IF(D47=0,0,K47/D47/24)</f>
        <v>0</v>
      </c>
      <c r="AZ47" s="92">
        <f>IF(E47=0,0,L47/E47/24)</f>
        <v>0</v>
      </c>
      <c r="BA47" s="95">
        <f t="shared" si="19"/>
        <v>0</v>
      </c>
      <c r="BB47" s="138"/>
      <c r="BC47"/>
    </row>
    <row r="48" spans="1:55" ht="15" customHeight="1" thickBot="1" x14ac:dyDescent="0.3">
      <c r="A48" s="71" t="s">
        <v>45</v>
      </c>
      <c r="B48" s="123" t="s">
        <v>142</v>
      </c>
      <c r="C48" s="112">
        <v>33</v>
      </c>
      <c r="D48" s="121">
        <f t="shared" ref="D48:D51" si="29">AT48*AU48*AW48</f>
        <v>0</v>
      </c>
      <c r="E48" s="16">
        <f t="shared" ref="E48:E51" si="30">ROUND(AT48*AV48*AX48,4)</f>
        <v>0</v>
      </c>
      <c r="F48" s="91">
        <f>'10'!F48+'11'!F48+'12'!F48</f>
        <v>0</v>
      </c>
      <c r="G48" s="91">
        <f>'10'!G48+'11'!G48+'12'!G48</f>
        <v>0</v>
      </c>
      <c r="H48" s="135">
        <f>'10'!H48+'11'!H48+'12'!H48</f>
        <v>0</v>
      </c>
      <c r="I48" s="135">
        <f>'10'!I48+'11'!I48+'12'!I48</f>
        <v>0</v>
      </c>
      <c r="J48" s="14" t="s">
        <v>55</v>
      </c>
      <c r="K48" s="133">
        <f>'10'!K48+'11'!K48+'12'!K48</f>
        <v>0</v>
      </c>
      <c r="L48" s="133">
        <f>'10'!L48+'11'!L48+'12'!L48</f>
        <v>0</v>
      </c>
      <c r="M48" s="91">
        <f>'10'!M48+'11'!M48+'12'!M48</f>
        <v>0</v>
      </c>
      <c r="N48" s="91">
        <f>'10'!N48+'11'!N48+'12'!N48</f>
        <v>0</v>
      </c>
      <c r="O48" s="91">
        <f>'10'!O48+'11'!O48+'12'!O48</f>
        <v>0</v>
      </c>
      <c r="P48" s="91">
        <f>'10'!P48+'11'!P48+'12'!P48</f>
        <v>0</v>
      </c>
      <c r="Q48" s="91">
        <f>'10'!Q48+'11'!Q48+'12'!Q48</f>
        <v>0</v>
      </c>
      <c r="R48" s="91">
        <f>'10'!R48+'11'!R48+'12'!R48</f>
        <v>0</v>
      </c>
      <c r="S48" s="91">
        <f>'10'!S48+'11'!S48+'12'!S48</f>
        <v>0</v>
      </c>
      <c r="T48" s="91">
        <f>'10'!T48+'11'!T48+'12'!T48</f>
        <v>0</v>
      </c>
      <c r="U48" s="91">
        <f>'10'!U48+'11'!U48+'12'!U48</f>
        <v>0</v>
      </c>
      <c r="V48" s="91">
        <f>'10'!V48+'11'!V48+'12'!V48</f>
        <v>0</v>
      </c>
      <c r="W48" s="91">
        <f>'10'!W48+'11'!W48+'12'!W48</f>
        <v>0</v>
      </c>
      <c r="X48" s="91">
        <f>'10'!X48+'11'!X48+'12'!X48</f>
        <v>0</v>
      </c>
      <c r="Y48" s="91">
        <f>'10'!Y48+'11'!Y48+'12'!Y48</f>
        <v>0</v>
      </c>
      <c r="Z48" s="91">
        <f>'10'!Z48+'11'!Z48+'12'!Z48</f>
        <v>0</v>
      </c>
      <c r="AA48" s="91">
        <f>'10'!AA48+'11'!AA48+'12'!AA48</f>
        <v>0</v>
      </c>
      <c r="AB48" s="91">
        <f>'10'!AB48+'11'!AB48+'12'!AB48</f>
        <v>0</v>
      </c>
      <c r="AC48" s="91">
        <f>'10'!AC48+'11'!AC48+'12'!AC48</f>
        <v>0</v>
      </c>
      <c r="AD48" s="91">
        <f>'10'!AD48+'11'!AD48+'12'!AD48</f>
        <v>0</v>
      </c>
      <c r="AE48" s="91">
        <f>'10'!AE48+'11'!AE48+'12'!AE48</f>
        <v>0</v>
      </c>
      <c r="AF48" s="91">
        <f>'10'!AF48+'11'!AF48+'12'!AF48</f>
        <v>0</v>
      </c>
      <c r="AG48" s="91">
        <f>'10'!AG48+'11'!AG48+'12'!AG48</f>
        <v>0</v>
      </c>
      <c r="AH48" s="91">
        <f>'10'!AH48+'11'!AH48+'12'!AH48</f>
        <v>0</v>
      </c>
      <c r="AI48" s="91">
        <f>'10'!AI48+'11'!AI48+'12'!AI48</f>
        <v>0</v>
      </c>
      <c r="AJ48" s="91">
        <f>'10'!AJ48+'11'!AJ48+'12'!AJ48</f>
        <v>0</v>
      </c>
      <c r="AK48" s="91">
        <f>'10'!AK48+'11'!AK48+'12'!AK48</f>
        <v>0</v>
      </c>
      <c r="AL48" s="91">
        <f>'10'!AL48+'11'!AL48+'12'!AL48</f>
        <v>0</v>
      </c>
      <c r="AM48" s="91">
        <f>'10'!AM48+'11'!AM48+'12'!AM48</f>
        <v>0</v>
      </c>
      <c r="AN48" s="91">
        <f>'10'!AN48+'11'!AN48+'12'!AN48</f>
        <v>0</v>
      </c>
      <c r="AO48" s="91">
        <f>'10'!AO48+'11'!AO48+'12'!AO48</f>
        <v>0</v>
      </c>
      <c r="AP48" s="91">
        <f>'10'!AP48+'11'!AP48+'12'!AP48</f>
        <v>0</v>
      </c>
      <c r="AQ48" s="16">
        <f t="shared" si="3"/>
        <v>0</v>
      </c>
      <c r="AR48" s="17">
        <f t="shared" si="11"/>
        <v>0</v>
      </c>
      <c r="AS48" s="91">
        <f t="shared" si="15"/>
        <v>0</v>
      </c>
      <c r="AT48" s="91">
        <f>'10'!AT48+'11'!AT48+'12'!AT48</f>
        <v>0</v>
      </c>
      <c r="AU48" s="92">
        <f t="shared" si="16"/>
        <v>0</v>
      </c>
      <c r="AV48" s="92">
        <f t="shared" si="5"/>
        <v>0</v>
      </c>
      <c r="AW48" s="92">
        <f t="shared" si="17"/>
        <v>0</v>
      </c>
      <c r="AX48" s="92">
        <f t="shared" si="18"/>
        <v>0</v>
      </c>
      <c r="AY48" s="92">
        <f>IF(D48=0,0,K48/D48/24)</f>
        <v>0</v>
      </c>
      <c r="AZ48" s="92">
        <f>IF(E48=0,0,L48/E48/24)</f>
        <v>0</v>
      </c>
      <c r="BA48" s="95">
        <f t="shared" si="19"/>
        <v>0</v>
      </c>
      <c r="BB48" s="139"/>
      <c r="BC48"/>
    </row>
    <row r="49" spans="1:55" ht="15" hidden="1" customHeight="1" x14ac:dyDescent="0.3">
      <c r="A49" s="72" t="s">
        <v>48</v>
      </c>
      <c r="B49" s="111"/>
      <c r="C49" s="111">
        <v>35</v>
      </c>
      <c r="D49" s="121">
        <f t="shared" si="29"/>
        <v>0</v>
      </c>
      <c r="E49" s="16">
        <f t="shared" si="30"/>
        <v>0</v>
      </c>
      <c r="F49" s="91">
        <f>'10'!F49+'11'!F49+'12'!F49</f>
        <v>0</v>
      </c>
      <c r="G49" s="91">
        <f>'10'!G49+'11'!G49+'12'!G49</f>
        <v>0</v>
      </c>
      <c r="H49" s="135">
        <f>'10'!H49+'11'!H49+'12'!H49</f>
        <v>0</v>
      </c>
      <c r="I49" s="135">
        <f>'10'!I49+'11'!I49+'12'!I49</f>
        <v>0</v>
      </c>
      <c r="J49" s="14" t="s">
        <v>55</v>
      </c>
      <c r="K49" s="133">
        <f>'10'!K49+'11'!K49+'12'!K49</f>
        <v>0</v>
      </c>
      <c r="L49" s="133">
        <f>'10'!L49+'11'!L49+'12'!L49</f>
        <v>0</v>
      </c>
      <c r="M49" s="91">
        <f>'10'!M49+'11'!M49+'12'!M49</f>
        <v>0</v>
      </c>
      <c r="N49" s="91">
        <f>'10'!N49+'11'!N49+'12'!N49</f>
        <v>0</v>
      </c>
      <c r="O49" s="91">
        <f>'10'!O49+'11'!O49+'12'!O49</f>
        <v>0</v>
      </c>
      <c r="P49" s="91">
        <f>'10'!P49+'11'!P49+'12'!P49</f>
        <v>0</v>
      </c>
      <c r="Q49" s="91">
        <f>'10'!Q49+'11'!Q49+'12'!Q49</f>
        <v>0</v>
      </c>
      <c r="R49" s="91">
        <f>'10'!R49+'11'!R49+'12'!R49</f>
        <v>0</v>
      </c>
      <c r="S49" s="91">
        <f>'10'!S49+'11'!S49+'12'!S49</f>
        <v>0</v>
      </c>
      <c r="T49" s="91">
        <f>'10'!T49+'11'!T49+'12'!T49</f>
        <v>0</v>
      </c>
      <c r="U49" s="91">
        <f>'10'!U49+'11'!U49+'12'!U49</f>
        <v>0</v>
      </c>
      <c r="V49" s="91">
        <f>'10'!V49+'11'!V49+'12'!V49</f>
        <v>0</v>
      </c>
      <c r="W49" s="91">
        <f>'10'!W49+'11'!W49+'12'!W49</f>
        <v>0</v>
      </c>
      <c r="X49" s="91">
        <f>'10'!X49+'11'!X49+'12'!X49</f>
        <v>0</v>
      </c>
      <c r="Y49" s="91">
        <f>'10'!Y49+'11'!Y49+'12'!Y49</f>
        <v>0</v>
      </c>
      <c r="Z49" s="91">
        <f>'10'!Z49+'11'!Z49+'12'!Z49</f>
        <v>0</v>
      </c>
      <c r="AA49" s="91">
        <f>'10'!AA49+'11'!AA49+'12'!AA49</f>
        <v>0</v>
      </c>
      <c r="AB49" s="91">
        <f>'10'!AB49+'11'!AB49+'12'!AB49</f>
        <v>0</v>
      </c>
      <c r="AC49" s="91">
        <f>'10'!AC49+'11'!AC49+'12'!AC49</f>
        <v>0</v>
      </c>
      <c r="AD49" s="91">
        <f>'10'!AD49+'11'!AD49+'12'!AD49</f>
        <v>0</v>
      </c>
      <c r="AE49" s="91">
        <f>'10'!AE49+'11'!AE49+'12'!AE49</f>
        <v>0</v>
      </c>
      <c r="AF49" s="91">
        <f>'10'!AF49+'11'!AF49+'12'!AF49</f>
        <v>0</v>
      </c>
      <c r="AG49" s="91">
        <f>'10'!AG49+'11'!AG49+'12'!AG49</f>
        <v>0</v>
      </c>
      <c r="AH49" s="91">
        <f>'10'!AH49+'11'!AH49+'12'!AH49</f>
        <v>0</v>
      </c>
      <c r="AI49" s="91">
        <f>'10'!AI49+'11'!AI49+'12'!AI49</f>
        <v>0</v>
      </c>
      <c r="AJ49" s="91">
        <f>'10'!AJ49+'11'!AJ49+'12'!AJ49</f>
        <v>0</v>
      </c>
      <c r="AK49" s="91">
        <f>'10'!AK49+'11'!AK49+'12'!AK49</f>
        <v>0</v>
      </c>
      <c r="AL49" s="91">
        <f>'10'!AL49+'11'!AL49+'12'!AL49</f>
        <v>0</v>
      </c>
      <c r="AM49" s="91">
        <f>'10'!AM49+'11'!AM49+'12'!AM49</f>
        <v>0</v>
      </c>
      <c r="AN49" s="91">
        <f>'10'!AN49+'11'!AN49+'12'!AN49</f>
        <v>0</v>
      </c>
      <c r="AO49" s="91">
        <f>'10'!AO49+'11'!AO49+'12'!AO49</f>
        <v>0</v>
      </c>
      <c r="AP49" s="91">
        <f>'10'!AP49+'11'!AP49+'12'!AP49</f>
        <v>0</v>
      </c>
      <c r="AQ49" s="16">
        <f t="shared" si="3"/>
        <v>0</v>
      </c>
      <c r="AR49" s="17">
        <f t="shared" si="11"/>
        <v>0</v>
      </c>
      <c r="AS49" s="91">
        <f t="shared" si="15"/>
        <v>0</v>
      </c>
      <c r="AT49" s="15"/>
      <c r="AU49" s="92">
        <f t="shared" si="16"/>
        <v>0</v>
      </c>
      <c r="AV49" s="92">
        <f t="shared" si="5"/>
        <v>0</v>
      </c>
      <c r="AW49" s="92">
        <f t="shared" si="17"/>
        <v>0</v>
      </c>
      <c r="AX49" s="92">
        <f t="shared" si="18"/>
        <v>0</v>
      </c>
      <c r="AY49" s="18">
        <f t="shared" ref="AY49:AZ51" si="31">IF(D49=0,0,K49/D49/24)</f>
        <v>0</v>
      </c>
      <c r="AZ49" s="18">
        <f t="shared" si="31"/>
        <v>0</v>
      </c>
      <c r="BA49" s="95">
        <f t="shared" si="19"/>
        <v>0</v>
      </c>
      <c r="BB49" s="139"/>
      <c r="BC49"/>
    </row>
    <row r="50" spans="1:55" ht="15" hidden="1" customHeight="1" x14ac:dyDescent="0.3">
      <c r="A50" s="72" t="s">
        <v>47</v>
      </c>
      <c r="B50" s="111"/>
      <c r="C50" s="111">
        <v>36</v>
      </c>
      <c r="D50" s="121">
        <f t="shared" si="29"/>
        <v>0</v>
      </c>
      <c r="E50" s="16">
        <f t="shared" si="30"/>
        <v>0</v>
      </c>
      <c r="F50" s="91">
        <f>'10'!F50+'11'!F50+'12'!F50</f>
        <v>0</v>
      </c>
      <c r="G50" s="91">
        <f>'10'!G50+'11'!G50+'12'!G50</f>
        <v>0</v>
      </c>
      <c r="H50" s="135">
        <f>'10'!H50+'11'!H50+'12'!H50</f>
        <v>0</v>
      </c>
      <c r="I50" s="135">
        <f>'10'!I50+'11'!I50+'12'!I50</f>
        <v>0</v>
      </c>
      <c r="J50" s="14" t="s">
        <v>55</v>
      </c>
      <c r="K50" s="133">
        <f>'10'!K50+'11'!K50+'12'!K50</f>
        <v>0</v>
      </c>
      <c r="L50" s="133">
        <f>'10'!L50+'11'!L50+'12'!L50</f>
        <v>0</v>
      </c>
      <c r="M50" s="91">
        <f>'10'!M50+'11'!M50+'12'!M50</f>
        <v>0</v>
      </c>
      <c r="N50" s="91">
        <f>'10'!N50+'11'!N50+'12'!N50</f>
        <v>0</v>
      </c>
      <c r="O50" s="91">
        <f>'10'!O50+'11'!O50+'12'!O50</f>
        <v>0</v>
      </c>
      <c r="P50" s="91">
        <f>'10'!P50+'11'!P50+'12'!P50</f>
        <v>0</v>
      </c>
      <c r="Q50" s="91">
        <f>'10'!Q50+'11'!Q50+'12'!Q50</f>
        <v>0</v>
      </c>
      <c r="R50" s="91">
        <f>'10'!R50+'11'!R50+'12'!R50</f>
        <v>0</v>
      </c>
      <c r="S50" s="91">
        <f>'10'!S50+'11'!S50+'12'!S50</f>
        <v>0</v>
      </c>
      <c r="T50" s="91">
        <f>'10'!T50+'11'!T50+'12'!T50</f>
        <v>0</v>
      </c>
      <c r="U50" s="91">
        <f>'10'!U50+'11'!U50+'12'!U50</f>
        <v>0</v>
      </c>
      <c r="V50" s="91">
        <f>'10'!V50+'11'!V50+'12'!V50</f>
        <v>0</v>
      </c>
      <c r="W50" s="91">
        <f>'10'!W50+'11'!W50+'12'!W50</f>
        <v>0</v>
      </c>
      <c r="X50" s="91">
        <f>'10'!X50+'11'!X50+'12'!X50</f>
        <v>0</v>
      </c>
      <c r="Y50" s="91">
        <f>'10'!Y50+'11'!Y50+'12'!Y50</f>
        <v>0</v>
      </c>
      <c r="Z50" s="91">
        <f>'10'!Z50+'11'!Z50+'12'!Z50</f>
        <v>0</v>
      </c>
      <c r="AA50" s="91">
        <f>'10'!AA50+'11'!AA50+'12'!AA50</f>
        <v>0</v>
      </c>
      <c r="AB50" s="91">
        <f>'10'!AB50+'11'!AB50+'12'!AB50</f>
        <v>0</v>
      </c>
      <c r="AC50" s="91">
        <f>'10'!AC50+'11'!AC50+'12'!AC50</f>
        <v>0</v>
      </c>
      <c r="AD50" s="91">
        <f>'10'!AD50+'11'!AD50+'12'!AD50</f>
        <v>0</v>
      </c>
      <c r="AE50" s="91">
        <f>'10'!AE50+'11'!AE50+'12'!AE50</f>
        <v>0</v>
      </c>
      <c r="AF50" s="91">
        <f>'10'!AF50+'11'!AF50+'12'!AF50</f>
        <v>0</v>
      </c>
      <c r="AG50" s="91">
        <f>'10'!AG50+'11'!AG50+'12'!AG50</f>
        <v>0</v>
      </c>
      <c r="AH50" s="91">
        <f>'10'!AH50+'11'!AH50+'12'!AH50</f>
        <v>0</v>
      </c>
      <c r="AI50" s="91">
        <f>'10'!AI50+'11'!AI50+'12'!AI50</f>
        <v>0</v>
      </c>
      <c r="AJ50" s="91">
        <f>'10'!AJ50+'11'!AJ50+'12'!AJ50</f>
        <v>0</v>
      </c>
      <c r="AK50" s="91">
        <f>'10'!AK50+'11'!AK50+'12'!AK50</f>
        <v>0</v>
      </c>
      <c r="AL50" s="91">
        <f>'10'!AL50+'11'!AL50+'12'!AL50</f>
        <v>0</v>
      </c>
      <c r="AM50" s="91">
        <f>'10'!AM50+'11'!AM50+'12'!AM50</f>
        <v>0</v>
      </c>
      <c r="AN50" s="91">
        <f>'10'!AN50+'11'!AN50+'12'!AN50</f>
        <v>0</v>
      </c>
      <c r="AO50" s="91">
        <f>'10'!AO50+'11'!AO50+'12'!AO50</f>
        <v>0</v>
      </c>
      <c r="AP50" s="91">
        <f>'10'!AP50+'11'!AP50+'12'!AP50</f>
        <v>0</v>
      </c>
      <c r="AQ50" s="16">
        <f t="shared" si="3"/>
        <v>0</v>
      </c>
      <c r="AR50" s="17">
        <f t="shared" si="11"/>
        <v>0</v>
      </c>
      <c r="AS50" s="91">
        <f t="shared" si="15"/>
        <v>0</v>
      </c>
      <c r="AT50" s="15"/>
      <c r="AU50" s="92">
        <f t="shared" si="16"/>
        <v>0</v>
      </c>
      <c r="AV50" s="92">
        <f t="shared" si="5"/>
        <v>0</v>
      </c>
      <c r="AW50" s="92">
        <f t="shared" si="17"/>
        <v>0</v>
      </c>
      <c r="AX50" s="92">
        <f t="shared" si="18"/>
        <v>0</v>
      </c>
      <c r="AY50" s="18">
        <f t="shared" si="31"/>
        <v>0</v>
      </c>
      <c r="AZ50" s="18">
        <f t="shared" si="31"/>
        <v>0</v>
      </c>
      <c r="BA50" s="95">
        <f t="shared" si="19"/>
        <v>0</v>
      </c>
      <c r="BB50" s="139"/>
      <c r="BC50"/>
    </row>
    <row r="51" spans="1:55" ht="15" hidden="1" customHeight="1" thickBot="1" x14ac:dyDescent="0.3">
      <c r="A51" s="100" t="s">
        <v>64</v>
      </c>
      <c r="B51" s="116"/>
      <c r="C51" s="116">
        <v>37</v>
      </c>
      <c r="D51" s="121">
        <f t="shared" si="29"/>
        <v>0</v>
      </c>
      <c r="E51" s="16">
        <f t="shared" si="30"/>
        <v>0</v>
      </c>
      <c r="F51" s="91">
        <f>'10'!F51+'11'!F51+'12'!F51</f>
        <v>0</v>
      </c>
      <c r="G51" s="91">
        <f>'10'!G51+'11'!G51+'12'!G51</f>
        <v>0</v>
      </c>
      <c r="H51" s="135">
        <f>'10'!H51+'11'!H51+'12'!H51</f>
        <v>0</v>
      </c>
      <c r="I51" s="135">
        <f>'10'!I51+'11'!I51+'12'!I51</f>
        <v>0</v>
      </c>
      <c r="J51" s="14" t="s">
        <v>55</v>
      </c>
      <c r="K51" s="133">
        <f>'10'!K51+'11'!K51+'12'!K51</f>
        <v>0</v>
      </c>
      <c r="L51" s="133">
        <f>'10'!L51+'11'!L51+'12'!L51</f>
        <v>0</v>
      </c>
      <c r="M51" s="91">
        <f>'10'!M51+'11'!M51+'12'!M51</f>
        <v>0</v>
      </c>
      <c r="N51" s="91">
        <f>'10'!N51+'11'!N51+'12'!N51</f>
        <v>0</v>
      </c>
      <c r="O51" s="91">
        <f>'10'!O51+'11'!O51+'12'!O51</f>
        <v>0</v>
      </c>
      <c r="P51" s="91">
        <f>'10'!P51+'11'!P51+'12'!P51</f>
        <v>0</v>
      </c>
      <c r="Q51" s="91">
        <f>'10'!Q51+'11'!Q51+'12'!Q51</f>
        <v>0</v>
      </c>
      <c r="R51" s="91">
        <f>'10'!R51+'11'!R51+'12'!R51</f>
        <v>0</v>
      </c>
      <c r="S51" s="91">
        <f>'10'!S51+'11'!S51+'12'!S51</f>
        <v>0</v>
      </c>
      <c r="T51" s="91">
        <f>'10'!T51+'11'!T51+'12'!T51</f>
        <v>0</v>
      </c>
      <c r="U51" s="91">
        <f>'10'!U51+'11'!U51+'12'!U51</f>
        <v>0</v>
      </c>
      <c r="V51" s="91">
        <f>'10'!V51+'11'!V51+'12'!V51</f>
        <v>0</v>
      </c>
      <c r="W51" s="91">
        <f>'10'!W51+'11'!W51+'12'!W51</f>
        <v>0</v>
      </c>
      <c r="X51" s="91">
        <f>'10'!X51+'11'!X51+'12'!X51</f>
        <v>0</v>
      </c>
      <c r="Y51" s="91">
        <f>'10'!Y51+'11'!Y51+'12'!Y51</f>
        <v>0</v>
      </c>
      <c r="Z51" s="91">
        <f>'10'!Z51+'11'!Z51+'12'!Z51</f>
        <v>0</v>
      </c>
      <c r="AA51" s="91">
        <f>'10'!AA51+'11'!AA51+'12'!AA51</f>
        <v>0</v>
      </c>
      <c r="AB51" s="91">
        <f>'10'!AB51+'11'!AB51+'12'!AB51</f>
        <v>0</v>
      </c>
      <c r="AC51" s="91">
        <f>'10'!AC51+'11'!AC51+'12'!AC51</f>
        <v>0</v>
      </c>
      <c r="AD51" s="91">
        <f>'10'!AD51+'11'!AD51+'12'!AD51</f>
        <v>0</v>
      </c>
      <c r="AE51" s="91">
        <f>'10'!AE51+'11'!AE51+'12'!AE51</f>
        <v>0</v>
      </c>
      <c r="AF51" s="91">
        <f>'10'!AF51+'11'!AF51+'12'!AF51</f>
        <v>0</v>
      </c>
      <c r="AG51" s="91">
        <f>'10'!AG51+'11'!AG51+'12'!AG51</f>
        <v>0</v>
      </c>
      <c r="AH51" s="91">
        <f>'10'!AH51+'11'!AH51+'12'!AH51</f>
        <v>0</v>
      </c>
      <c r="AI51" s="91">
        <f>'10'!AI51+'11'!AI51+'12'!AI51</f>
        <v>0</v>
      </c>
      <c r="AJ51" s="91">
        <f>'10'!AJ51+'11'!AJ51+'12'!AJ51</f>
        <v>0</v>
      </c>
      <c r="AK51" s="91">
        <f>'10'!AK51+'11'!AK51+'12'!AK51</f>
        <v>0</v>
      </c>
      <c r="AL51" s="91">
        <f>'10'!AL51+'11'!AL51+'12'!AL51</f>
        <v>0</v>
      </c>
      <c r="AM51" s="91">
        <f>'10'!AM51+'11'!AM51+'12'!AM51</f>
        <v>0</v>
      </c>
      <c r="AN51" s="91">
        <f>'10'!AN51+'11'!AN51+'12'!AN51</f>
        <v>0</v>
      </c>
      <c r="AO51" s="91">
        <f>'10'!AO51+'11'!AO51+'12'!AO51</f>
        <v>0</v>
      </c>
      <c r="AP51" s="91">
        <f>'10'!AP51+'11'!AP51+'12'!AP51</f>
        <v>0</v>
      </c>
      <c r="AQ51" s="16">
        <f t="shared" si="3"/>
        <v>0</v>
      </c>
      <c r="AR51" s="17">
        <f t="shared" si="11"/>
        <v>0</v>
      </c>
      <c r="AS51" s="91">
        <f t="shared" si="15"/>
        <v>0</v>
      </c>
      <c r="AT51" s="16"/>
      <c r="AU51" s="92">
        <f t="shared" si="16"/>
        <v>0</v>
      </c>
      <c r="AV51" s="92">
        <f t="shared" si="5"/>
        <v>0</v>
      </c>
      <c r="AW51" s="92">
        <f t="shared" si="17"/>
        <v>0</v>
      </c>
      <c r="AX51" s="92">
        <f t="shared" si="18"/>
        <v>0</v>
      </c>
      <c r="AY51" s="92">
        <f t="shared" si="31"/>
        <v>0</v>
      </c>
      <c r="AZ51" s="92">
        <f t="shared" si="31"/>
        <v>0</v>
      </c>
      <c r="BA51" s="95">
        <f t="shared" si="19"/>
        <v>0</v>
      </c>
      <c r="BB51" s="140"/>
      <c r="BC51"/>
    </row>
    <row r="52" spans="1:55" ht="15" customHeight="1" thickBot="1" x14ac:dyDescent="0.3">
      <c r="A52" s="102" t="s">
        <v>49</v>
      </c>
      <c r="B52" s="124"/>
      <c r="C52" s="87"/>
      <c r="D52" s="129">
        <f t="shared" ref="D52:E52" si="32">SUM(D53:D54)</f>
        <v>0</v>
      </c>
      <c r="E52" s="129">
        <f t="shared" si="32"/>
        <v>0</v>
      </c>
      <c r="F52" s="129">
        <f>SUM(F53:F54)</f>
        <v>0</v>
      </c>
      <c r="G52" s="129">
        <f t="shared" ref="G52:AP52" si="33">SUM(G53:G54)</f>
        <v>0</v>
      </c>
      <c r="H52" s="131">
        <f t="shared" si="33"/>
        <v>0</v>
      </c>
      <c r="I52" s="131">
        <f t="shared" si="33"/>
        <v>0</v>
      </c>
      <c r="J52" s="129">
        <f t="shared" si="33"/>
        <v>0</v>
      </c>
      <c r="K52" s="130">
        <f t="shared" si="33"/>
        <v>0</v>
      </c>
      <c r="L52" s="130">
        <f t="shared" si="33"/>
        <v>0</v>
      </c>
      <c r="M52" s="129">
        <f t="shared" si="33"/>
        <v>0</v>
      </c>
      <c r="N52" s="129">
        <f t="shared" si="33"/>
        <v>0</v>
      </c>
      <c r="O52" s="129">
        <f t="shared" si="33"/>
        <v>0</v>
      </c>
      <c r="P52" s="129">
        <f t="shared" si="33"/>
        <v>0</v>
      </c>
      <c r="Q52" s="129">
        <f t="shared" si="33"/>
        <v>0</v>
      </c>
      <c r="R52" s="129">
        <f t="shared" si="33"/>
        <v>0</v>
      </c>
      <c r="S52" s="129">
        <f t="shared" si="33"/>
        <v>0</v>
      </c>
      <c r="T52" s="129">
        <f t="shared" si="33"/>
        <v>0</v>
      </c>
      <c r="U52" s="129">
        <f t="shared" si="33"/>
        <v>0</v>
      </c>
      <c r="V52" s="129">
        <f t="shared" si="33"/>
        <v>0</v>
      </c>
      <c r="W52" s="129">
        <f t="shared" si="33"/>
        <v>0</v>
      </c>
      <c r="X52" s="129">
        <f t="shared" si="33"/>
        <v>0</v>
      </c>
      <c r="Y52" s="129">
        <f t="shared" si="33"/>
        <v>0</v>
      </c>
      <c r="Z52" s="129">
        <f t="shared" si="33"/>
        <v>0</v>
      </c>
      <c r="AA52" s="129">
        <f t="shared" si="33"/>
        <v>0</v>
      </c>
      <c r="AB52" s="129">
        <f t="shared" si="33"/>
        <v>0</v>
      </c>
      <c r="AC52" s="129">
        <f t="shared" si="33"/>
        <v>0</v>
      </c>
      <c r="AD52" s="129">
        <f t="shared" si="33"/>
        <v>0</v>
      </c>
      <c r="AE52" s="129">
        <f t="shared" si="33"/>
        <v>0</v>
      </c>
      <c r="AF52" s="129">
        <f t="shared" si="33"/>
        <v>0</v>
      </c>
      <c r="AG52" s="129">
        <f t="shared" si="33"/>
        <v>0</v>
      </c>
      <c r="AH52" s="129">
        <f t="shared" si="33"/>
        <v>0</v>
      </c>
      <c r="AI52" s="129">
        <f t="shared" si="33"/>
        <v>0</v>
      </c>
      <c r="AJ52" s="129">
        <f t="shared" si="33"/>
        <v>0</v>
      </c>
      <c r="AK52" s="129">
        <f t="shared" si="33"/>
        <v>0</v>
      </c>
      <c r="AL52" s="129">
        <f t="shared" si="33"/>
        <v>0</v>
      </c>
      <c r="AM52" s="129">
        <f t="shared" si="33"/>
        <v>0</v>
      </c>
      <c r="AN52" s="129">
        <f t="shared" si="33"/>
        <v>0</v>
      </c>
      <c r="AO52" s="129">
        <f t="shared" si="33"/>
        <v>0</v>
      </c>
      <c r="AP52" s="129">
        <f t="shared" si="33"/>
        <v>0</v>
      </c>
      <c r="AQ52" s="129">
        <f t="shared" si="3"/>
        <v>0</v>
      </c>
      <c r="AR52" s="129">
        <f t="shared" si="11"/>
        <v>0</v>
      </c>
      <c r="AS52" s="129">
        <f t="shared" si="15"/>
        <v>0</v>
      </c>
      <c r="AT52" s="129">
        <f>SUM(AT53:AT54)</f>
        <v>0</v>
      </c>
      <c r="AU52" s="131">
        <f t="shared" si="16"/>
        <v>0</v>
      </c>
      <c r="AV52" s="131">
        <f t="shared" si="5"/>
        <v>0</v>
      </c>
      <c r="AW52" s="131">
        <f t="shared" si="17"/>
        <v>0</v>
      </c>
      <c r="AX52" s="131">
        <f t="shared" si="18"/>
        <v>0</v>
      </c>
      <c r="AY52" s="131"/>
      <c r="AZ52" s="131"/>
      <c r="BA52" s="129">
        <f t="shared" si="19"/>
        <v>0</v>
      </c>
      <c r="BB52" s="141"/>
      <c r="BC52"/>
    </row>
    <row r="53" spans="1:55" ht="15" customHeight="1" x14ac:dyDescent="0.25">
      <c r="A53" s="97" t="s">
        <v>51</v>
      </c>
      <c r="B53" s="123" t="s">
        <v>143</v>
      </c>
      <c r="C53" s="115">
        <v>4</v>
      </c>
      <c r="D53" s="121">
        <f>AT53*AU53*AW53</f>
        <v>0</v>
      </c>
      <c r="E53" s="16">
        <f>ROUND(AT53*AV53*AX53,4)</f>
        <v>0</v>
      </c>
      <c r="F53" s="91">
        <f>'10'!F53+'11'!F53+'12'!F53</f>
        <v>0</v>
      </c>
      <c r="G53" s="91">
        <f>'10'!G53+'11'!G53+'12'!G53</f>
        <v>0</v>
      </c>
      <c r="H53" s="135">
        <f>'10'!H53+'11'!H53+'12'!H53</f>
        <v>0</v>
      </c>
      <c r="I53" s="135">
        <f>'10'!I53+'11'!I53+'12'!I53</f>
        <v>0</v>
      </c>
      <c r="J53" s="14" t="s">
        <v>83</v>
      </c>
      <c r="K53" s="133">
        <f>'10'!K53+'11'!K53+'12'!K53</f>
        <v>0</v>
      </c>
      <c r="L53" s="133">
        <f>'10'!L53+'11'!L53+'12'!L53</f>
        <v>0</v>
      </c>
      <c r="M53" s="91">
        <f>'10'!M53+'11'!M53+'12'!M53</f>
        <v>0</v>
      </c>
      <c r="N53" s="91">
        <f>'10'!N53+'11'!N53+'12'!N53</f>
        <v>0</v>
      </c>
      <c r="O53" s="91">
        <f>'10'!O53+'11'!O53+'12'!O53</f>
        <v>0</v>
      </c>
      <c r="P53" s="91">
        <f>'10'!P53+'11'!P53+'12'!P53</f>
        <v>0</v>
      </c>
      <c r="Q53" s="91">
        <f>'10'!Q53+'11'!Q53+'12'!Q53</f>
        <v>0</v>
      </c>
      <c r="R53" s="91">
        <f>'10'!R53+'11'!R53+'12'!R53</f>
        <v>0</v>
      </c>
      <c r="S53" s="91">
        <f>'10'!S53+'11'!S53+'12'!S53</f>
        <v>0</v>
      </c>
      <c r="T53" s="91">
        <f>'10'!T53+'11'!T53+'12'!T53</f>
        <v>0</v>
      </c>
      <c r="U53" s="91">
        <f>'10'!U53+'11'!U53+'12'!U53</f>
        <v>0</v>
      </c>
      <c r="V53" s="91">
        <f>'10'!V53+'11'!V53+'12'!V53</f>
        <v>0</v>
      </c>
      <c r="W53" s="91">
        <f>'10'!W53+'11'!W53+'12'!W53</f>
        <v>0</v>
      </c>
      <c r="X53" s="91">
        <f>'10'!X53+'11'!X53+'12'!X53</f>
        <v>0</v>
      </c>
      <c r="Y53" s="91">
        <f>'10'!Y53+'11'!Y53+'12'!Y53</f>
        <v>0</v>
      </c>
      <c r="Z53" s="91">
        <f>'10'!Z53+'11'!Z53+'12'!Z53</f>
        <v>0</v>
      </c>
      <c r="AA53" s="91">
        <f>'10'!AA53+'11'!AA53+'12'!AA53</f>
        <v>0</v>
      </c>
      <c r="AB53" s="91">
        <f>'10'!AB53+'11'!AB53+'12'!AB53</f>
        <v>0</v>
      </c>
      <c r="AC53" s="91">
        <f>'10'!AC53+'11'!AC53+'12'!AC53</f>
        <v>0</v>
      </c>
      <c r="AD53" s="91">
        <f>'10'!AD53+'11'!AD53+'12'!AD53</f>
        <v>0</v>
      </c>
      <c r="AE53" s="91">
        <f>'10'!AE53+'11'!AE53+'12'!AE53</f>
        <v>0</v>
      </c>
      <c r="AF53" s="91">
        <f>'10'!AF53+'11'!AF53+'12'!AF53</f>
        <v>0</v>
      </c>
      <c r="AG53" s="91">
        <f>'10'!AG53+'11'!AG53+'12'!AG53</f>
        <v>0</v>
      </c>
      <c r="AH53" s="91">
        <f>'10'!AH53+'11'!AH53+'12'!AH53</f>
        <v>0</v>
      </c>
      <c r="AI53" s="91">
        <f>'10'!AI53+'11'!AI53+'12'!AI53</f>
        <v>0</v>
      </c>
      <c r="AJ53" s="91">
        <f>'10'!AJ53+'11'!AJ53+'12'!AJ53</f>
        <v>0</v>
      </c>
      <c r="AK53" s="91">
        <f>'10'!AK53+'11'!AK53+'12'!AK53</f>
        <v>0</v>
      </c>
      <c r="AL53" s="91">
        <f>'10'!AL53+'11'!AL53+'12'!AL53</f>
        <v>0</v>
      </c>
      <c r="AM53" s="91">
        <f>'10'!AM53+'11'!AM53+'12'!AM53</f>
        <v>0</v>
      </c>
      <c r="AN53" s="91">
        <f>'10'!AN53+'11'!AN53+'12'!AN53</f>
        <v>0</v>
      </c>
      <c r="AO53" s="91">
        <f>'10'!AO53+'11'!AO53+'12'!AO53</f>
        <v>0</v>
      </c>
      <c r="AP53" s="91">
        <f>'10'!AP53+'11'!AP53+'12'!AP53</f>
        <v>0</v>
      </c>
      <c r="AQ53" s="16">
        <f t="shared" si="3"/>
        <v>0</v>
      </c>
      <c r="AR53" s="17">
        <f t="shared" si="11"/>
        <v>0</v>
      </c>
      <c r="AS53" s="91">
        <f t="shared" si="15"/>
        <v>0</v>
      </c>
      <c r="AT53" s="91">
        <f>'10'!AT53+'11'!AT53+'12'!AT53</f>
        <v>0</v>
      </c>
      <c r="AU53" s="92">
        <f t="shared" si="16"/>
        <v>0</v>
      </c>
      <c r="AV53" s="92">
        <f t="shared" si="5"/>
        <v>0</v>
      </c>
      <c r="AW53" s="92">
        <f t="shared" si="17"/>
        <v>0</v>
      </c>
      <c r="AX53" s="92">
        <f t="shared" si="18"/>
        <v>0</v>
      </c>
      <c r="AY53" s="92">
        <f>IF(D53=0,0,K53/D53/24)</f>
        <v>0</v>
      </c>
      <c r="AZ53" s="92">
        <f>IF(E53=0,0,L53/E53/24)</f>
        <v>0</v>
      </c>
      <c r="BA53" s="95">
        <f t="shared" si="19"/>
        <v>0</v>
      </c>
      <c r="BB53" s="138"/>
      <c r="BC53"/>
    </row>
    <row r="54" spans="1:55" ht="15" customHeight="1" thickBot="1" x14ac:dyDescent="0.3">
      <c r="A54" s="104" t="s">
        <v>50</v>
      </c>
      <c r="B54" s="123" t="s">
        <v>153</v>
      </c>
      <c r="C54" s="117">
        <v>5</v>
      </c>
      <c r="D54" s="121">
        <f>AT54*AU54*AW54</f>
        <v>0</v>
      </c>
      <c r="E54" s="16">
        <f>ROUND(AT54*AV54*AX54,4)</f>
        <v>0</v>
      </c>
      <c r="F54" s="91">
        <f>'10'!F54+'11'!F54+'12'!F54</f>
        <v>0</v>
      </c>
      <c r="G54" s="91">
        <f>'10'!G54+'11'!G54+'12'!G54</f>
        <v>0</v>
      </c>
      <c r="H54" s="135">
        <f>'10'!H54+'11'!H54+'12'!H54</f>
        <v>0</v>
      </c>
      <c r="I54" s="135">
        <f>'10'!I54+'11'!I54+'12'!I54</f>
        <v>0</v>
      </c>
      <c r="J54" s="13" t="s">
        <v>83</v>
      </c>
      <c r="K54" s="133">
        <f>'10'!K54+'11'!K54+'12'!K54</f>
        <v>0</v>
      </c>
      <c r="L54" s="133">
        <f>'10'!L54+'11'!L54+'12'!L54</f>
        <v>0</v>
      </c>
      <c r="M54" s="91">
        <f>'10'!M54+'11'!M54+'12'!M54</f>
        <v>0</v>
      </c>
      <c r="N54" s="91">
        <f>'10'!N54+'11'!N54+'12'!N54</f>
        <v>0</v>
      </c>
      <c r="O54" s="91">
        <f>'10'!O54+'11'!O54+'12'!O54</f>
        <v>0</v>
      </c>
      <c r="P54" s="91">
        <f>'10'!P54+'11'!P54+'12'!P54</f>
        <v>0</v>
      </c>
      <c r="Q54" s="91">
        <f>'10'!Q54+'11'!Q54+'12'!Q54</f>
        <v>0</v>
      </c>
      <c r="R54" s="91">
        <f>'10'!R54+'11'!R54+'12'!R54</f>
        <v>0</v>
      </c>
      <c r="S54" s="91">
        <f>'10'!S54+'11'!S54+'12'!S54</f>
        <v>0</v>
      </c>
      <c r="T54" s="91">
        <f>'10'!T54+'11'!T54+'12'!T54</f>
        <v>0</v>
      </c>
      <c r="U54" s="91">
        <f>'10'!U54+'11'!U54+'12'!U54</f>
        <v>0</v>
      </c>
      <c r="V54" s="91">
        <f>'10'!V54+'11'!V54+'12'!V54</f>
        <v>0</v>
      </c>
      <c r="W54" s="91">
        <f>'10'!W54+'11'!W54+'12'!W54</f>
        <v>0</v>
      </c>
      <c r="X54" s="91">
        <f>'10'!X54+'11'!X54+'12'!X54</f>
        <v>0</v>
      </c>
      <c r="Y54" s="91">
        <f>'10'!Y54+'11'!Y54+'12'!Y54</f>
        <v>0</v>
      </c>
      <c r="Z54" s="91">
        <f>'10'!Z54+'11'!Z54+'12'!Z54</f>
        <v>0</v>
      </c>
      <c r="AA54" s="91">
        <f>'10'!AA54+'11'!AA54+'12'!AA54</f>
        <v>0</v>
      </c>
      <c r="AB54" s="91">
        <f>'10'!AB54+'11'!AB54+'12'!AB54</f>
        <v>0</v>
      </c>
      <c r="AC54" s="91">
        <f>'10'!AC54+'11'!AC54+'12'!AC54</f>
        <v>0</v>
      </c>
      <c r="AD54" s="91">
        <f>'10'!AD54+'11'!AD54+'12'!AD54</f>
        <v>0</v>
      </c>
      <c r="AE54" s="91">
        <f>'10'!AE54+'11'!AE54+'12'!AE54</f>
        <v>0</v>
      </c>
      <c r="AF54" s="91">
        <f>'10'!AF54+'11'!AF54+'12'!AF54</f>
        <v>0</v>
      </c>
      <c r="AG54" s="91">
        <f>'10'!AG54+'11'!AG54+'12'!AG54</f>
        <v>0</v>
      </c>
      <c r="AH54" s="91">
        <f>'10'!AH54+'11'!AH54+'12'!AH54</f>
        <v>0</v>
      </c>
      <c r="AI54" s="91">
        <f>'10'!AI54+'11'!AI54+'12'!AI54</f>
        <v>0</v>
      </c>
      <c r="AJ54" s="91">
        <f>'10'!AJ54+'11'!AJ54+'12'!AJ54</f>
        <v>0</v>
      </c>
      <c r="AK54" s="91">
        <f>'10'!AK54+'11'!AK54+'12'!AK54</f>
        <v>0</v>
      </c>
      <c r="AL54" s="91">
        <f>'10'!AL54+'11'!AL54+'12'!AL54</f>
        <v>0</v>
      </c>
      <c r="AM54" s="91">
        <f>'10'!AM54+'11'!AM54+'12'!AM54</f>
        <v>0</v>
      </c>
      <c r="AN54" s="91">
        <f>'10'!AN54+'11'!AN54+'12'!AN54</f>
        <v>0</v>
      </c>
      <c r="AO54" s="91">
        <f>'10'!AO54+'11'!AO54+'12'!AO54</f>
        <v>0</v>
      </c>
      <c r="AP54" s="91">
        <f>'10'!AP54+'11'!AP54+'12'!AP54</f>
        <v>0</v>
      </c>
      <c r="AQ54" s="16">
        <f t="shared" si="3"/>
        <v>0</v>
      </c>
      <c r="AR54" s="17">
        <f t="shared" si="11"/>
        <v>0</v>
      </c>
      <c r="AS54" s="91">
        <f t="shared" si="15"/>
        <v>0</v>
      </c>
      <c r="AT54" s="91">
        <f>'10'!AT54+'11'!AT54+'12'!AT54</f>
        <v>0</v>
      </c>
      <c r="AU54" s="92">
        <f t="shared" si="16"/>
        <v>0</v>
      </c>
      <c r="AV54" s="92">
        <f t="shared" si="5"/>
        <v>0</v>
      </c>
      <c r="AW54" s="92">
        <f t="shared" si="17"/>
        <v>0</v>
      </c>
      <c r="AX54" s="92">
        <f t="shared" si="18"/>
        <v>0</v>
      </c>
      <c r="AY54" s="92">
        <f>IF(D54=0,0,K54/D54/24)</f>
        <v>0</v>
      </c>
      <c r="AZ54" s="92">
        <f>IF(E54=0,0,L54/E54/24)</f>
        <v>0</v>
      </c>
      <c r="BA54" s="95">
        <f t="shared" si="19"/>
        <v>0</v>
      </c>
      <c r="BB54" s="140"/>
      <c r="BC54"/>
    </row>
    <row r="55" spans="1:55" ht="15" customHeight="1" thickBot="1" x14ac:dyDescent="0.3">
      <c r="A55" s="87" t="s">
        <v>52</v>
      </c>
      <c r="B55" s="124"/>
      <c r="C55" s="87"/>
      <c r="D55" s="129">
        <f t="shared" ref="D55:E55" si="34">SUM(D56:D61)</f>
        <v>0</v>
      </c>
      <c r="E55" s="129">
        <f t="shared" si="34"/>
        <v>0</v>
      </c>
      <c r="F55" s="129">
        <f>SUM(F56:F61)</f>
        <v>0</v>
      </c>
      <c r="G55" s="129">
        <f t="shared" ref="G55:AP55" si="35">SUM(G56:G61)</f>
        <v>0</v>
      </c>
      <c r="H55" s="131">
        <f t="shared" si="35"/>
        <v>0</v>
      </c>
      <c r="I55" s="131">
        <f t="shared" si="35"/>
        <v>0</v>
      </c>
      <c r="J55" s="129">
        <f t="shared" si="35"/>
        <v>0</v>
      </c>
      <c r="K55" s="130">
        <f t="shared" si="35"/>
        <v>0</v>
      </c>
      <c r="L55" s="130">
        <f t="shared" si="35"/>
        <v>0</v>
      </c>
      <c r="M55" s="129">
        <f t="shared" si="35"/>
        <v>0</v>
      </c>
      <c r="N55" s="129">
        <f t="shared" si="35"/>
        <v>0</v>
      </c>
      <c r="O55" s="129">
        <f t="shared" si="35"/>
        <v>0</v>
      </c>
      <c r="P55" s="129">
        <f t="shared" si="35"/>
        <v>0</v>
      </c>
      <c r="Q55" s="129">
        <f t="shared" si="35"/>
        <v>0</v>
      </c>
      <c r="R55" s="129">
        <f t="shared" si="35"/>
        <v>0</v>
      </c>
      <c r="S55" s="129">
        <f t="shared" si="35"/>
        <v>0</v>
      </c>
      <c r="T55" s="129">
        <f t="shared" si="35"/>
        <v>0</v>
      </c>
      <c r="U55" s="129">
        <f t="shared" si="35"/>
        <v>0</v>
      </c>
      <c r="V55" s="129">
        <f t="shared" si="35"/>
        <v>0</v>
      </c>
      <c r="W55" s="129">
        <f t="shared" si="35"/>
        <v>0</v>
      </c>
      <c r="X55" s="129">
        <f t="shared" si="35"/>
        <v>0</v>
      </c>
      <c r="Y55" s="129">
        <f t="shared" si="35"/>
        <v>0</v>
      </c>
      <c r="Z55" s="129">
        <f t="shared" si="35"/>
        <v>0</v>
      </c>
      <c r="AA55" s="129">
        <f t="shared" si="35"/>
        <v>0</v>
      </c>
      <c r="AB55" s="129">
        <f t="shared" si="35"/>
        <v>0</v>
      </c>
      <c r="AC55" s="129">
        <f t="shared" si="35"/>
        <v>0</v>
      </c>
      <c r="AD55" s="129">
        <f t="shared" si="35"/>
        <v>0</v>
      </c>
      <c r="AE55" s="129">
        <f t="shared" si="35"/>
        <v>0</v>
      </c>
      <c r="AF55" s="129">
        <f t="shared" si="35"/>
        <v>0</v>
      </c>
      <c r="AG55" s="129">
        <f t="shared" si="35"/>
        <v>0</v>
      </c>
      <c r="AH55" s="129">
        <f t="shared" si="35"/>
        <v>0</v>
      </c>
      <c r="AI55" s="129">
        <f t="shared" si="35"/>
        <v>0</v>
      </c>
      <c r="AJ55" s="129">
        <f t="shared" si="35"/>
        <v>0</v>
      </c>
      <c r="AK55" s="129">
        <f t="shared" si="35"/>
        <v>0</v>
      </c>
      <c r="AL55" s="129">
        <f t="shared" si="35"/>
        <v>0</v>
      </c>
      <c r="AM55" s="129">
        <f t="shared" si="35"/>
        <v>0</v>
      </c>
      <c r="AN55" s="129">
        <f t="shared" si="35"/>
        <v>0</v>
      </c>
      <c r="AO55" s="129">
        <f t="shared" si="35"/>
        <v>0</v>
      </c>
      <c r="AP55" s="129">
        <f t="shared" si="35"/>
        <v>0</v>
      </c>
      <c r="AQ55" s="129">
        <f t="shared" si="3"/>
        <v>0</v>
      </c>
      <c r="AR55" s="129">
        <f t="shared" si="11"/>
        <v>0</v>
      </c>
      <c r="AS55" s="129">
        <f t="shared" si="15"/>
        <v>0</v>
      </c>
      <c r="AT55" s="129">
        <f>SUM(AT56:AT61)</f>
        <v>0</v>
      </c>
      <c r="AU55" s="131">
        <f t="shared" si="16"/>
        <v>0</v>
      </c>
      <c r="AV55" s="131">
        <f>IF(AT55=0,0,(AT55-N55-P55-R55-AC55-AD55-AE55-AF55-AG55-AH55-AI55-AJ55-AL55)/AT55)</f>
        <v>0</v>
      </c>
      <c r="AW55" s="131">
        <f t="shared" si="17"/>
        <v>0</v>
      </c>
      <c r="AX55" s="131">
        <f t="shared" si="18"/>
        <v>0</v>
      </c>
      <c r="AY55" s="131"/>
      <c r="AZ55" s="131"/>
      <c r="BA55" s="129">
        <f t="shared" si="19"/>
        <v>0</v>
      </c>
      <c r="BB55" s="141"/>
      <c r="BC55"/>
    </row>
    <row r="56" spans="1:55" ht="15" customHeight="1" x14ac:dyDescent="0.25">
      <c r="A56" s="97" t="s">
        <v>53</v>
      </c>
      <c r="B56" s="123" t="s">
        <v>144</v>
      </c>
      <c r="C56" s="115">
        <v>15</v>
      </c>
      <c r="D56" s="121">
        <f>AT56*AU56*AW56</f>
        <v>0</v>
      </c>
      <c r="E56" s="16">
        <f>ROUND(AT56*AV56*AX56,4)</f>
        <v>0</v>
      </c>
      <c r="F56" s="91">
        <f>'10'!F56+'11'!F56+'12'!F56</f>
        <v>0</v>
      </c>
      <c r="G56" s="91">
        <f>'10'!G56+'11'!G56+'12'!G56</f>
        <v>0</v>
      </c>
      <c r="H56" s="135">
        <f>'10'!H56+'11'!H56+'12'!H56</f>
        <v>0</v>
      </c>
      <c r="I56" s="135">
        <f>'10'!I56+'11'!I56+'12'!I56</f>
        <v>0</v>
      </c>
      <c r="J56" s="14" t="s">
        <v>55</v>
      </c>
      <c r="K56" s="133">
        <f>'10'!K56+'11'!K56+'12'!K56</f>
        <v>0</v>
      </c>
      <c r="L56" s="133">
        <f>'10'!L56+'11'!L56+'12'!L56</f>
        <v>0</v>
      </c>
      <c r="M56" s="91">
        <f>'10'!M56+'11'!M56+'12'!M56</f>
        <v>0</v>
      </c>
      <c r="N56" s="91">
        <f>'10'!N56+'11'!N56+'12'!N56</f>
        <v>0</v>
      </c>
      <c r="O56" s="91">
        <f>'10'!O56+'11'!O56+'12'!O56</f>
        <v>0</v>
      </c>
      <c r="P56" s="91">
        <f>'10'!P56+'11'!P56+'12'!P56</f>
        <v>0</v>
      </c>
      <c r="Q56" s="91">
        <f>'10'!Q56+'11'!Q56+'12'!Q56</f>
        <v>0</v>
      </c>
      <c r="R56" s="91">
        <f>'10'!R56+'11'!R56+'12'!R56</f>
        <v>0</v>
      </c>
      <c r="S56" s="91">
        <f>'10'!S56+'11'!S56+'12'!S56</f>
        <v>0</v>
      </c>
      <c r="T56" s="91">
        <f>'10'!T56+'11'!T56+'12'!T56</f>
        <v>0</v>
      </c>
      <c r="U56" s="91">
        <f>'10'!U56+'11'!U56+'12'!U56</f>
        <v>0</v>
      </c>
      <c r="V56" s="91">
        <f>'10'!V56+'11'!V56+'12'!V56</f>
        <v>0</v>
      </c>
      <c r="W56" s="91">
        <f>'10'!W56+'11'!W56+'12'!W56</f>
        <v>0</v>
      </c>
      <c r="X56" s="91">
        <f>'10'!X56+'11'!X56+'12'!X56</f>
        <v>0</v>
      </c>
      <c r="Y56" s="91">
        <f>'10'!Y56+'11'!Y56+'12'!Y56</f>
        <v>0</v>
      </c>
      <c r="Z56" s="91">
        <f>'10'!Z56+'11'!Z56+'12'!Z56</f>
        <v>0</v>
      </c>
      <c r="AA56" s="91">
        <f>'10'!AA56+'11'!AA56+'12'!AA56</f>
        <v>0</v>
      </c>
      <c r="AB56" s="91">
        <f>'10'!AB56+'11'!AB56+'12'!AB56</f>
        <v>0</v>
      </c>
      <c r="AC56" s="91">
        <f>'10'!AC56+'11'!AC56+'12'!AC56</f>
        <v>0</v>
      </c>
      <c r="AD56" s="91">
        <f>'10'!AD56+'11'!AD56+'12'!AD56</f>
        <v>0</v>
      </c>
      <c r="AE56" s="91">
        <f>'10'!AE56+'11'!AE56+'12'!AE56</f>
        <v>0</v>
      </c>
      <c r="AF56" s="91">
        <f>'10'!AF56+'11'!AF56+'12'!AF56</f>
        <v>0</v>
      </c>
      <c r="AG56" s="91">
        <f>'10'!AG56+'11'!AG56+'12'!AG56</f>
        <v>0</v>
      </c>
      <c r="AH56" s="91">
        <f>'10'!AH56+'11'!AH56+'12'!AH56</f>
        <v>0</v>
      </c>
      <c r="AI56" s="91">
        <f>'10'!AI56+'11'!AI56+'12'!AI56</f>
        <v>0</v>
      </c>
      <c r="AJ56" s="91">
        <f>'10'!AJ56+'11'!AJ56+'12'!AJ56</f>
        <v>0</v>
      </c>
      <c r="AK56" s="91">
        <f>'10'!AK56+'11'!AK56+'12'!AK56</f>
        <v>0</v>
      </c>
      <c r="AL56" s="91">
        <f>'10'!AL56+'11'!AL56+'12'!AL56</f>
        <v>0</v>
      </c>
      <c r="AM56" s="91">
        <f>'10'!AM56+'11'!AM56+'12'!AM56</f>
        <v>0</v>
      </c>
      <c r="AN56" s="91">
        <f>'10'!AN56+'11'!AN56+'12'!AN56</f>
        <v>0</v>
      </c>
      <c r="AO56" s="91">
        <f>'10'!AO56+'11'!AO56+'12'!AO56</f>
        <v>0</v>
      </c>
      <c r="AP56" s="91">
        <f>'10'!AP56+'11'!AP56+'12'!AP56</f>
        <v>0</v>
      </c>
      <c r="AQ56" s="16">
        <f t="shared" si="3"/>
        <v>0</v>
      </c>
      <c r="AR56" s="17">
        <f t="shared" si="11"/>
        <v>0</v>
      </c>
      <c r="AS56" s="91">
        <f t="shared" si="15"/>
        <v>0</v>
      </c>
      <c r="AT56" s="91">
        <f>'10'!AT56+'11'!AT56+'12'!AT56</f>
        <v>0</v>
      </c>
      <c r="AU56" s="92">
        <f t="shared" si="16"/>
        <v>0</v>
      </c>
      <c r="AV56" s="92">
        <f t="shared" si="5"/>
        <v>0</v>
      </c>
      <c r="AW56" s="92">
        <f t="shared" si="17"/>
        <v>0</v>
      </c>
      <c r="AX56" s="92">
        <f t="shared" si="18"/>
        <v>0</v>
      </c>
      <c r="AY56" s="92">
        <f t="shared" ref="AY56:AZ59" si="36">IF(D56=0,0,K56/D56/24)</f>
        <v>0</v>
      </c>
      <c r="AZ56" s="92">
        <f t="shared" si="36"/>
        <v>0</v>
      </c>
      <c r="BA56" s="95">
        <f t="shared" si="19"/>
        <v>0</v>
      </c>
      <c r="BB56" s="138"/>
      <c r="BC56"/>
    </row>
    <row r="57" spans="1:55" ht="15" customHeight="1" x14ac:dyDescent="0.25">
      <c r="A57" s="71" t="s">
        <v>54</v>
      </c>
      <c r="B57" s="123" t="s">
        <v>145</v>
      </c>
      <c r="C57" s="112">
        <v>16</v>
      </c>
      <c r="D57" s="121">
        <f>AT57*AU57*AW57</f>
        <v>0</v>
      </c>
      <c r="E57" s="16">
        <f>ROUND(AT57*AV57*AX57,4)</f>
        <v>0</v>
      </c>
      <c r="F57" s="91">
        <f>'10'!F57+'11'!F57+'12'!F57</f>
        <v>0</v>
      </c>
      <c r="G57" s="91">
        <f>'10'!G57+'11'!G57+'12'!G57</f>
        <v>0</v>
      </c>
      <c r="H57" s="135">
        <f>'10'!H57+'11'!H57+'12'!H57</f>
        <v>0</v>
      </c>
      <c r="I57" s="135">
        <f>'10'!I57+'11'!I57+'12'!I57</f>
        <v>0</v>
      </c>
      <c r="J57" s="7" t="s">
        <v>55</v>
      </c>
      <c r="K57" s="133">
        <f>'10'!K57+'11'!K57+'12'!K57</f>
        <v>0</v>
      </c>
      <c r="L57" s="133">
        <f>'10'!L57+'11'!L57+'12'!L57</f>
        <v>0</v>
      </c>
      <c r="M57" s="91">
        <f>'10'!M57+'11'!M57+'12'!M57</f>
        <v>0</v>
      </c>
      <c r="N57" s="91">
        <f>'10'!N57+'11'!N57+'12'!N57</f>
        <v>0</v>
      </c>
      <c r="O57" s="91">
        <f>'10'!O57+'11'!O57+'12'!O57</f>
        <v>0</v>
      </c>
      <c r="P57" s="91">
        <f>'10'!P57+'11'!P57+'12'!P57</f>
        <v>0</v>
      </c>
      <c r="Q57" s="91">
        <f>'10'!Q57+'11'!Q57+'12'!Q57</f>
        <v>0</v>
      </c>
      <c r="R57" s="91">
        <f>'10'!R57+'11'!R57+'12'!R57</f>
        <v>0</v>
      </c>
      <c r="S57" s="91">
        <f>'10'!S57+'11'!S57+'12'!S57</f>
        <v>0</v>
      </c>
      <c r="T57" s="91">
        <f>'10'!T57+'11'!T57+'12'!T57</f>
        <v>0</v>
      </c>
      <c r="U57" s="91">
        <f>'10'!U57+'11'!U57+'12'!U57</f>
        <v>0</v>
      </c>
      <c r="V57" s="91">
        <f>'10'!V57+'11'!V57+'12'!V57</f>
        <v>0</v>
      </c>
      <c r="W57" s="91">
        <f>'10'!W57+'11'!W57+'12'!W57</f>
        <v>0</v>
      </c>
      <c r="X57" s="91">
        <f>'10'!X57+'11'!X57+'12'!X57</f>
        <v>0</v>
      </c>
      <c r="Y57" s="91">
        <f>'10'!Y57+'11'!Y57+'12'!Y57</f>
        <v>0</v>
      </c>
      <c r="Z57" s="91">
        <f>'10'!Z57+'11'!Z57+'12'!Z57</f>
        <v>0</v>
      </c>
      <c r="AA57" s="91">
        <f>'10'!AA57+'11'!AA57+'12'!AA57</f>
        <v>0</v>
      </c>
      <c r="AB57" s="91">
        <f>'10'!AB57+'11'!AB57+'12'!AB57</f>
        <v>0</v>
      </c>
      <c r="AC57" s="91">
        <f>'10'!AC57+'11'!AC57+'12'!AC57</f>
        <v>0</v>
      </c>
      <c r="AD57" s="91">
        <f>'10'!AD57+'11'!AD57+'12'!AD57</f>
        <v>0</v>
      </c>
      <c r="AE57" s="91">
        <f>'10'!AE57+'11'!AE57+'12'!AE57</f>
        <v>0</v>
      </c>
      <c r="AF57" s="91">
        <f>'10'!AF57+'11'!AF57+'12'!AF57</f>
        <v>0</v>
      </c>
      <c r="AG57" s="91">
        <f>'10'!AG57+'11'!AG57+'12'!AG57</f>
        <v>0</v>
      </c>
      <c r="AH57" s="91">
        <f>'10'!AH57+'11'!AH57+'12'!AH57</f>
        <v>0</v>
      </c>
      <c r="AI57" s="91">
        <f>'10'!AI57+'11'!AI57+'12'!AI57</f>
        <v>0</v>
      </c>
      <c r="AJ57" s="91">
        <f>'10'!AJ57+'11'!AJ57+'12'!AJ57</f>
        <v>0</v>
      </c>
      <c r="AK57" s="91">
        <f>'10'!AK57+'11'!AK57+'12'!AK57</f>
        <v>0</v>
      </c>
      <c r="AL57" s="91">
        <f>'10'!AL57+'11'!AL57+'12'!AL57</f>
        <v>0</v>
      </c>
      <c r="AM57" s="91">
        <f>'10'!AM57+'11'!AM57+'12'!AM57</f>
        <v>0</v>
      </c>
      <c r="AN57" s="91">
        <f>'10'!AN57+'11'!AN57+'12'!AN57</f>
        <v>0</v>
      </c>
      <c r="AO57" s="91">
        <f>'10'!AO57+'11'!AO57+'12'!AO57</f>
        <v>0</v>
      </c>
      <c r="AP57" s="91">
        <f>'10'!AP57+'11'!AP57+'12'!AP57</f>
        <v>0</v>
      </c>
      <c r="AQ57" s="16">
        <f t="shared" si="3"/>
        <v>0</v>
      </c>
      <c r="AR57" s="17">
        <f t="shared" si="11"/>
        <v>0</v>
      </c>
      <c r="AS57" s="91">
        <f t="shared" si="15"/>
        <v>0</v>
      </c>
      <c r="AT57" s="91">
        <f>'10'!AT57+'11'!AT57+'12'!AT57</f>
        <v>0</v>
      </c>
      <c r="AU57" s="92">
        <f t="shared" si="16"/>
        <v>0</v>
      </c>
      <c r="AV57" s="92">
        <f t="shared" si="5"/>
        <v>0</v>
      </c>
      <c r="AW57" s="92">
        <f t="shared" si="17"/>
        <v>0</v>
      </c>
      <c r="AX57" s="92">
        <f t="shared" si="18"/>
        <v>0</v>
      </c>
      <c r="AY57" s="92">
        <f t="shared" si="36"/>
        <v>0</v>
      </c>
      <c r="AZ57" s="92">
        <f t="shared" si="36"/>
        <v>0</v>
      </c>
      <c r="BA57" s="95">
        <f t="shared" si="19"/>
        <v>0</v>
      </c>
      <c r="BB57" s="139"/>
      <c r="BC57"/>
    </row>
    <row r="58" spans="1:55" ht="15" customHeight="1" x14ac:dyDescent="0.25">
      <c r="A58" s="73" t="s">
        <v>124</v>
      </c>
      <c r="B58" s="123" t="s">
        <v>146</v>
      </c>
      <c r="C58" s="113">
        <v>26</v>
      </c>
      <c r="D58" s="121">
        <f>AT58*AU58*AW58</f>
        <v>0</v>
      </c>
      <c r="E58" s="16">
        <f>ROUND(AT58*AV58*AX58,4)</f>
        <v>0</v>
      </c>
      <c r="F58" s="91">
        <f>'10'!F58+'11'!F58+'12'!F58</f>
        <v>0</v>
      </c>
      <c r="G58" s="91">
        <f>'10'!G58+'11'!G58+'12'!G58</f>
        <v>0</v>
      </c>
      <c r="H58" s="135">
        <f>'10'!H58+'11'!H58+'12'!H58</f>
        <v>0</v>
      </c>
      <c r="I58" s="135">
        <f>'10'!I58+'11'!I58+'12'!I58</f>
        <v>0</v>
      </c>
      <c r="J58" s="7" t="s">
        <v>55</v>
      </c>
      <c r="K58" s="133">
        <f>'10'!K58+'11'!K58+'12'!K58</f>
        <v>0</v>
      </c>
      <c r="L58" s="133">
        <f>'10'!L58+'11'!L58+'12'!L58</f>
        <v>0</v>
      </c>
      <c r="M58" s="91">
        <f>'10'!M58+'11'!M58+'12'!M58</f>
        <v>0</v>
      </c>
      <c r="N58" s="91">
        <f>'10'!N58+'11'!N58+'12'!N58</f>
        <v>0</v>
      </c>
      <c r="O58" s="91">
        <f>'10'!O58+'11'!O58+'12'!O58</f>
        <v>0</v>
      </c>
      <c r="P58" s="91">
        <f>'10'!P58+'11'!P58+'12'!P58</f>
        <v>0</v>
      </c>
      <c r="Q58" s="91">
        <f>'10'!Q58+'11'!Q58+'12'!Q58</f>
        <v>0</v>
      </c>
      <c r="R58" s="91">
        <f>'10'!R58+'11'!R58+'12'!R58</f>
        <v>0</v>
      </c>
      <c r="S58" s="91">
        <f>'10'!S58+'11'!S58+'12'!S58</f>
        <v>0</v>
      </c>
      <c r="T58" s="91">
        <f>'10'!T58+'11'!T58+'12'!T58</f>
        <v>0</v>
      </c>
      <c r="U58" s="91">
        <f>'10'!U58+'11'!U58+'12'!U58</f>
        <v>0</v>
      </c>
      <c r="V58" s="91">
        <f>'10'!V58+'11'!V58+'12'!V58</f>
        <v>0</v>
      </c>
      <c r="W58" s="91">
        <f>'10'!W58+'11'!W58+'12'!W58</f>
        <v>0</v>
      </c>
      <c r="X58" s="91">
        <f>'10'!X58+'11'!X58+'12'!X58</f>
        <v>0</v>
      </c>
      <c r="Y58" s="91">
        <f>'10'!Y58+'11'!Y58+'12'!Y58</f>
        <v>0</v>
      </c>
      <c r="Z58" s="91">
        <f>'10'!Z58+'11'!Z58+'12'!Z58</f>
        <v>0</v>
      </c>
      <c r="AA58" s="91">
        <f>'10'!AA58+'11'!AA58+'12'!AA58</f>
        <v>0</v>
      </c>
      <c r="AB58" s="91">
        <f>'10'!AB58+'11'!AB58+'12'!AB58</f>
        <v>0</v>
      </c>
      <c r="AC58" s="91">
        <f>'10'!AC58+'11'!AC58+'12'!AC58</f>
        <v>0</v>
      </c>
      <c r="AD58" s="91">
        <f>'10'!AD58+'11'!AD58+'12'!AD58</f>
        <v>0</v>
      </c>
      <c r="AE58" s="91">
        <f>'10'!AE58+'11'!AE58+'12'!AE58</f>
        <v>0</v>
      </c>
      <c r="AF58" s="91">
        <f>'10'!AF58+'11'!AF58+'12'!AF58</f>
        <v>0</v>
      </c>
      <c r="AG58" s="91">
        <f>'10'!AG58+'11'!AG58+'12'!AG58</f>
        <v>0</v>
      </c>
      <c r="AH58" s="91">
        <f>'10'!AH58+'11'!AH58+'12'!AH58</f>
        <v>0</v>
      </c>
      <c r="AI58" s="91">
        <f>'10'!AI58+'11'!AI58+'12'!AI58</f>
        <v>0</v>
      </c>
      <c r="AJ58" s="91">
        <f>'10'!AJ58+'11'!AJ58+'12'!AJ58</f>
        <v>0</v>
      </c>
      <c r="AK58" s="91">
        <f>'10'!AK58+'11'!AK58+'12'!AK58</f>
        <v>0</v>
      </c>
      <c r="AL58" s="91">
        <f>'10'!AL58+'11'!AL58+'12'!AL58</f>
        <v>0</v>
      </c>
      <c r="AM58" s="91">
        <f>'10'!AM58+'11'!AM58+'12'!AM58</f>
        <v>0</v>
      </c>
      <c r="AN58" s="91">
        <f>'10'!AN58+'11'!AN58+'12'!AN58</f>
        <v>0</v>
      </c>
      <c r="AO58" s="91">
        <f>'10'!AO58+'11'!AO58+'12'!AO58</f>
        <v>0</v>
      </c>
      <c r="AP58" s="91">
        <f>'10'!AP58+'11'!AP58+'12'!AP58</f>
        <v>0</v>
      </c>
      <c r="AQ58" s="16">
        <f t="shared" si="3"/>
        <v>0</v>
      </c>
      <c r="AR58" s="17">
        <f t="shared" si="11"/>
        <v>0</v>
      </c>
      <c r="AS58" s="91">
        <f t="shared" si="15"/>
        <v>0</v>
      </c>
      <c r="AT58" s="91">
        <f>'10'!AT58+'11'!AT58+'12'!AT58</f>
        <v>0</v>
      </c>
      <c r="AU58" s="92">
        <f t="shared" si="16"/>
        <v>0</v>
      </c>
      <c r="AV58" s="92">
        <f t="shared" si="5"/>
        <v>0</v>
      </c>
      <c r="AW58" s="92">
        <f t="shared" si="17"/>
        <v>0</v>
      </c>
      <c r="AX58" s="92">
        <f t="shared" si="18"/>
        <v>0</v>
      </c>
      <c r="AY58" s="92">
        <f t="shared" si="36"/>
        <v>0</v>
      </c>
      <c r="AZ58" s="92">
        <f t="shared" si="36"/>
        <v>0</v>
      </c>
      <c r="BA58" s="95">
        <f t="shared" si="19"/>
        <v>0</v>
      </c>
      <c r="BB58" s="139"/>
      <c r="BC58"/>
    </row>
    <row r="59" spans="1:55" ht="15" customHeight="1" x14ac:dyDescent="0.25">
      <c r="A59" s="73" t="s">
        <v>125</v>
      </c>
      <c r="B59" s="123" t="s">
        <v>147</v>
      </c>
      <c r="C59" s="112">
        <v>30</v>
      </c>
      <c r="D59" s="121">
        <f>AT59*AU59*AW59</f>
        <v>0</v>
      </c>
      <c r="E59" s="16">
        <f>ROUND(AT59*AV59*AX59,4)</f>
        <v>0</v>
      </c>
      <c r="F59" s="91">
        <f>'10'!F59+'11'!F59+'12'!F59</f>
        <v>0</v>
      </c>
      <c r="G59" s="91">
        <f>'10'!G59+'11'!G59+'12'!G59</f>
        <v>0</v>
      </c>
      <c r="H59" s="135">
        <f>'10'!H59+'11'!H59+'12'!H59</f>
        <v>0</v>
      </c>
      <c r="I59" s="135">
        <f>'10'!I59+'11'!I59+'12'!I59</f>
        <v>0</v>
      </c>
      <c r="J59" s="7" t="s">
        <v>55</v>
      </c>
      <c r="K59" s="133">
        <f>'10'!K59+'11'!K59+'12'!K59</f>
        <v>0</v>
      </c>
      <c r="L59" s="133">
        <f>'10'!L59+'11'!L59+'12'!L59</f>
        <v>0</v>
      </c>
      <c r="M59" s="91">
        <f>'10'!M59+'11'!M59+'12'!M59</f>
        <v>0</v>
      </c>
      <c r="N59" s="91">
        <f>'10'!N59+'11'!N59+'12'!N59</f>
        <v>0</v>
      </c>
      <c r="O59" s="91">
        <f>'10'!O59+'11'!O59+'12'!O59</f>
        <v>0</v>
      </c>
      <c r="P59" s="91">
        <f>'10'!P59+'11'!P59+'12'!P59</f>
        <v>0</v>
      </c>
      <c r="Q59" s="91">
        <f>'10'!Q59+'11'!Q59+'12'!Q59</f>
        <v>0</v>
      </c>
      <c r="R59" s="91">
        <f>'10'!R59+'11'!R59+'12'!R59</f>
        <v>0</v>
      </c>
      <c r="S59" s="91">
        <f>'10'!S59+'11'!S59+'12'!S59</f>
        <v>0</v>
      </c>
      <c r="T59" s="91">
        <f>'10'!T59+'11'!T59+'12'!T59</f>
        <v>0</v>
      </c>
      <c r="U59" s="91">
        <f>'10'!U59+'11'!U59+'12'!U59</f>
        <v>0</v>
      </c>
      <c r="V59" s="91">
        <f>'10'!V59+'11'!V59+'12'!V59</f>
        <v>0</v>
      </c>
      <c r="W59" s="91">
        <f>'10'!W59+'11'!W59+'12'!W59</f>
        <v>0</v>
      </c>
      <c r="X59" s="91">
        <f>'10'!X59+'11'!X59+'12'!X59</f>
        <v>0</v>
      </c>
      <c r="Y59" s="91">
        <f>'10'!Y59+'11'!Y59+'12'!Y59</f>
        <v>0</v>
      </c>
      <c r="Z59" s="91">
        <f>'10'!Z59+'11'!Z59+'12'!Z59</f>
        <v>0</v>
      </c>
      <c r="AA59" s="91">
        <f>'10'!AA59+'11'!AA59+'12'!AA59</f>
        <v>0</v>
      </c>
      <c r="AB59" s="91">
        <f>'10'!AB59+'11'!AB59+'12'!AB59</f>
        <v>0</v>
      </c>
      <c r="AC59" s="91">
        <f>'10'!AC59+'11'!AC59+'12'!AC59</f>
        <v>0</v>
      </c>
      <c r="AD59" s="91">
        <f>'10'!AD59+'11'!AD59+'12'!AD59</f>
        <v>0</v>
      </c>
      <c r="AE59" s="91">
        <f>'10'!AE59+'11'!AE59+'12'!AE59</f>
        <v>0</v>
      </c>
      <c r="AF59" s="91">
        <f>'10'!AF59+'11'!AF59+'12'!AF59</f>
        <v>0</v>
      </c>
      <c r="AG59" s="91">
        <f>'10'!AG59+'11'!AG59+'12'!AG59</f>
        <v>0</v>
      </c>
      <c r="AH59" s="91">
        <f>'10'!AH59+'11'!AH59+'12'!AH59</f>
        <v>0</v>
      </c>
      <c r="AI59" s="91">
        <f>'10'!AI59+'11'!AI59+'12'!AI59</f>
        <v>0</v>
      </c>
      <c r="AJ59" s="91">
        <f>'10'!AJ59+'11'!AJ59+'12'!AJ59</f>
        <v>0</v>
      </c>
      <c r="AK59" s="91">
        <f>'10'!AK59+'11'!AK59+'12'!AK59</f>
        <v>0</v>
      </c>
      <c r="AL59" s="91">
        <f>'10'!AL59+'11'!AL59+'12'!AL59</f>
        <v>0</v>
      </c>
      <c r="AM59" s="91">
        <f>'10'!AM59+'11'!AM59+'12'!AM59</f>
        <v>0</v>
      </c>
      <c r="AN59" s="91">
        <f>'10'!AN59+'11'!AN59+'12'!AN59</f>
        <v>0</v>
      </c>
      <c r="AO59" s="91">
        <f>'10'!AO59+'11'!AO59+'12'!AO59</f>
        <v>0</v>
      </c>
      <c r="AP59" s="91">
        <f>'10'!AP59+'11'!AP59+'12'!AP59</f>
        <v>0</v>
      </c>
      <c r="AQ59" s="16">
        <f t="shared" si="3"/>
        <v>0</v>
      </c>
      <c r="AR59" s="17">
        <f t="shared" si="11"/>
        <v>0</v>
      </c>
      <c r="AS59" s="91">
        <f t="shared" si="15"/>
        <v>0</v>
      </c>
      <c r="AT59" s="91">
        <f>'10'!AT59+'11'!AT59+'12'!AT59</f>
        <v>0</v>
      </c>
      <c r="AU59" s="92">
        <f t="shared" si="16"/>
        <v>0</v>
      </c>
      <c r="AV59" s="92">
        <f t="shared" si="5"/>
        <v>0</v>
      </c>
      <c r="AW59" s="92">
        <f t="shared" si="17"/>
        <v>0</v>
      </c>
      <c r="AX59" s="92">
        <f t="shared" si="18"/>
        <v>0</v>
      </c>
      <c r="AY59" s="92">
        <f t="shared" si="36"/>
        <v>0</v>
      </c>
      <c r="AZ59" s="92">
        <f t="shared" si="36"/>
        <v>0</v>
      </c>
      <c r="BA59" s="95">
        <f t="shared" si="19"/>
        <v>0</v>
      </c>
      <c r="BB59" s="139"/>
      <c r="BC59"/>
    </row>
    <row r="60" spans="1:55" ht="15" customHeight="1" x14ac:dyDescent="0.25">
      <c r="A60" s="73" t="s">
        <v>151</v>
      </c>
      <c r="B60" s="148" t="s">
        <v>150</v>
      </c>
      <c r="C60" s="112">
        <v>32</v>
      </c>
      <c r="D60" s="121">
        <f t="shared" ref="D60:D61" si="37">AT60*AU60*AW60</f>
        <v>0</v>
      </c>
      <c r="E60" s="16">
        <f t="shared" ref="E60:E61" si="38">ROUND(AT60*AV60*AX60,4)</f>
        <v>0</v>
      </c>
      <c r="F60" s="91">
        <f>'10'!F60+'11'!F60+'12'!F60</f>
        <v>0</v>
      </c>
      <c r="G60" s="91">
        <f>'10'!G60+'11'!G60+'12'!G60</f>
        <v>0</v>
      </c>
      <c r="H60" s="135">
        <f>'10'!H60+'11'!H60+'12'!H60</f>
        <v>0</v>
      </c>
      <c r="I60" s="135">
        <f>'10'!I60+'11'!I60+'12'!I60</f>
        <v>0</v>
      </c>
      <c r="J60" s="7" t="s">
        <v>55</v>
      </c>
      <c r="K60" s="133">
        <f>'10'!K60+'11'!K60+'12'!K60</f>
        <v>0</v>
      </c>
      <c r="L60" s="133">
        <f>'10'!L60+'11'!L60+'12'!L60</f>
        <v>0</v>
      </c>
      <c r="M60" s="91">
        <f>'10'!M60+'11'!M60+'12'!M60</f>
        <v>0</v>
      </c>
      <c r="N60" s="91">
        <f>'10'!N60+'11'!N60+'12'!N60</f>
        <v>0</v>
      </c>
      <c r="O60" s="91">
        <f>'10'!O60+'11'!O60+'12'!O60</f>
        <v>0</v>
      </c>
      <c r="P60" s="91">
        <f>'10'!P60+'11'!P60+'12'!P60</f>
        <v>0</v>
      </c>
      <c r="Q60" s="91">
        <f>'10'!Q60+'11'!Q60+'12'!Q60</f>
        <v>0</v>
      </c>
      <c r="R60" s="91">
        <f>'10'!R60+'11'!R60+'12'!R60</f>
        <v>0</v>
      </c>
      <c r="S60" s="91">
        <f>'10'!S60+'11'!S60+'12'!S60</f>
        <v>0</v>
      </c>
      <c r="T60" s="91">
        <f>'10'!T60+'11'!T60+'12'!T60</f>
        <v>0</v>
      </c>
      <c r="U60" s="91">
        <f>'10'!U60+'11'!U60+'12'!U60</f>
        <v>0</v>
      </c>
      <c r="V60" s="91">
        <f>'10'!V60+'11'!V60+'12'!V60</f>
        <v>0</v>
      </c>
      <c r="W60" s="91">
        <f>'10'!W60+'11'!W60+'12'!W60</f>
        <v>0</v>
      </c>
      <c r="X60" s="91">
        <f>'10'!X60+'11'!X60+'12'!X60</f>
        <v>0</v>
      </c>
      <c r="Y60" s="91">
        <f>'10'!Y60+'11'!Y60+'12'!Y60</f>
        <v>0</v>
      </c>
      <c r="Z60" s="91">
        <f>'10'!Z60+'11'!Z60+'12'!Z60</f>
        <v>0</v>
      </c>
      <c r="AA60" s="91">
        <f>'10'!AA60+'11'!AA60+'12'!AA60</f>
        <v>0</v>
      </c>
      <c r="AB60" s="91">
        <f>'10'!AB60+'11'!AB60+'12'!AB60</f>
        <v>0</v>
      </c>
      <c r="AC60" s="91">
        <f>'10'!AC60+'11'!AC60+'12'!AC60</f>
        <v>0</v>
      </c>
      <c r="AD60" s="91">
        <f>'10'!AD60+'11'!AD60+'12'!AD60</f>
        <v>0</v>
      </c>
      <c r="AE60" s="91">
        <f>'10'!AE60+'11'!AE60+'12'!AE60</f>
        <v>0</v>
      </c>
      <c r="AF60" s="91">
        <f>'10'!AF60+'11'!AF60+'12'!AF60</f>
        <v>0</v>
      </c>
      <c r="AG60" s="91">
        <f>'10'!AG60+'11'!AG60+'12'!AG60</f>
        <v>0</v>
      </c>
      <c r="AH60" s="91">
        <f>'10'!AH60+'11'!AH60+'12'!AH60</f>
        <v>0</v>
      </c>
      <c r="AI60" s="91">
        <f>'10'!AI60+'11'!AI60+'12'!AI60</f>
        <v>0</v>
      </c>
      <c r="AJ60" s="91">
        <f>'10'!AJ60+'11'!AJ60+'12'!AJ60</f>
        <v>0</v>
      </c>
      <c r="AK60" s="91">
        <f>'10'!AK60+'11'!AK60+'12'!AK60</f>
        <v>0</v>
      </c>
      <c r="AL60" s="91">
        <f>'10'!AL60+'11'!AL60+'12'!AL60</f>
        <v>0</v>
      </c>
      <c r="AM60" s="91">
        <f>'10'!AM60+'11'!AM60+'12'!AM60</f>
        <v>0</v>
      </c>
      <c r="AN60" s="91">
        <f>'10'!AN60+'11'!AN60+'12'!AN60</f>
        <v>0</v>
      </c>
      <c r="AO60" s="91">
        <f>'10'!AO60+'11'!AO60+'12'!AO60</f>
        <v>0</v>
      </c>
      <c r="AP60" s="91">
        <f>'10'!AP60+'11'!AP60+'12'!AP60</f>
        <v>0</v>
      </c>
      <c r="AQ60" s="16">
        <f t="shared" ref="AQ60:AQ61" si="39">M60+O60+S60+U60+W60+AA60+Q60+Y60</f>
        <v>0</v>
      </c>
      <c r="AR60" s="17">
        <f t="shared" ref="AR60:AR61" si="40">N60+P60+R60+AC60+AD60+AE60+AF60+AG60+AH60+AI60+AJ60+AK60+AL60+AM60+AN60+AO60+AP60+T60+V60+AB60</f>
        <v>0</v>
      </c>
      <c r="AS60" s="91">
        <f t="shared" ref="AS60:AS61" si="41">AT60</f>
        <v>0</v>
      </c>
      <c r="AT60" s="91">
        <f>'10'!AT60+'11'!AT60+'12'!AT60</f>
        <v>0</v>
      </c>
      <c r="AU60" s="92">
        <f t="shared" ref="AU60:AU61" si="42">IF(AT60-AQ60=0,0,(AT60-M60-O60-Q60)/AT60)</f>
        <v>0</v>
      </c>
      <c r="AV60" s="92">
        <f t="shared" ref="AV60:AV61" si="43">IF(AT60=0,0,(AT60-N60-P60-R60-AC60-AD60-AE60-AF60-AG60-AH60-AI60-AJ60-AL60)/AT60)</f>
        <v>0</v>
      </c>
      <c r="AW60" s="92">
        <f t="shared" ref="AW60:AW61" si="44">IF(OR(AT60=0,AU60=0),0,((AT60*AU60)-S60-U60-W60-AA60-Y60)/(AT60*AU60))</f>
        <v>0</v>
      </c>
      <c r="AX60" s="92">
        <f t="shared" ref="AX60:AX61" si="45">IF(OR(AT60=0,AV60=0),0,((AT60*AV60)-AK60-AM60-AN60-AO60-AP60-T60-V60-X60-Z60-AB60)/(AT60*AV60))</f>
        <v>0</v>
      </c>
      <c r="AY60" s="92">
        <f t="shared" ref="AY60:AY61" si="46">IF(D60=0,0,K60/D60/24)</f>
        <v>0</v>
      </c>
      <c r="AZ60" s="92">
        <f t="shared" ref="AZ60:AZ61" si="47">IF(E60=0,0,L60/E60/24)</f>
        <v>0</v>
      </c>
      <c r="BA60" s="95">
        <f t="shared" ref="BA60:BA61" si="48">ROUND(AT60-E60-AR60,4)</f>
        <v>0</v>
      </c>
      <c r="BB60" s="139"/>
      <c r="BC60"/>
    </row>
    <row r="61" spans="1:55" ht="15" customHeight="1" thickBot="1" x14ac:dyDescent="0.3">
      <c r="A61" s="143" t="s">
        <v>152</v>
      </c>
      <c r="B61" s="125" t="s">
        <v>154</v>
      </c>
      <c r="C61" s="144">
        <v>24</v>
      </c>
      <c r="D61" s="122">
        <f t="shared" si="37"/>
        <v>0</v>
      </c>
      <c r="E61" s="63">
        <f t="shared" si="38"/>
        <v>0</v>
      </c>
      <c r="F61" s="64">
        <f>'10'!F61+'11'!F61+'12'!F61</f>
        <v>0</v>
      </c>
      <c r="G61" s="64">
        <f>'10'!G61+'11'!G61+'12'!G61</f>
        <v>0</v>
      </c>
      <c r="H61" s="136">
        <f>'10'!H61+'11'!H61+'12'!H61</f>
        <v>0</v>
      </c>
      <c r="I61" s="136">
        <f>'10'!I61+'11'!I61+'12'!I61</f>
        <v>0</v>
      </c>
      <c r="J61" s="66" t="s">
        <v>55</v>
      </c>
      <c r="K61" s="134">
        <f>'10'!K61+'11'!K61+'12'!K61</f>
        <v>0</v>
      </c>
      <c r="L61" s="134">
        <f>'10'!L61+'11'!L61+'12'!L61</f>
        <v>0</v>
      </c>
      <c r="M61" s="64">
        <f>'10'!M61+'11'!M61+'12'!M61</f>
        <v>0</v>
      </c>
      <c r="N61" s="64">
        <f>'10'!N61+'11'!N61+'12'!N61</f>
        <v>0</v>
      </c>
      <c r="O61" s="64">
        <f>'10'!O61+'11'!O61+'12'!O61</f>
        <v>0</v>
      </c>
      <c r="P61" s="64">
        <f>'10'!P61+'11'!P61+'12'!P61</f>
        <v>0</v>
      </c>
      <c r="Q61" s="64">
        <f>'10'!Q61+'11'!Q61+'12'!Q61</f>
        <v>0</v>
      </c>
      <c r="R61" s="64">
        <f>'10'!R61+'11'!R61+'12'!R61</f>
        <v>0</v>
      </c>
      <c r="S61" s="64">
        <f>'10'!S61+'11'!S61+'12'!S61</f>
        <v>0</v>
      </c>
      <c r="T61" s="64">
        <f>'10'!T61+'11'!T61+'12'!T61</f>
        <v>0</v>
      </c>
      <c r="U61" s="64">
        <f>'10'!U61+'11'!U61+'12'!U61</f>
        <v>0</v>
      </c>
      <c r="V61" s="64">
        <f>'10'!V61+'11'!V61+'12'!V61</f>
        <v>0</v>
      </c>
      <c r="W61" s="64">
        <f>'10'!W61+'11'!W61+'12'!W61</f>
        <v>0</v>
      </c>
      <c r="X61" s="64">
        <f>'10'!X61+'11'!X61+'12'!X61</f>
        <v>0</v>
      </c>
      <c r="Y61" s="64">
        <f>'10'!Y61+'11'!Y61+'12'!Y61</f>
        <v>0</v>
      </c>
      <c r="Z61" s="64">
        <f>'10'!Z61+'11'!Z61+'12'!Z61</f>
        <v>0</v>
      </c>
      <c r="AA61" s="64">
        <f>'10'!AA61+'11'!AA61+'12'!AA61</f>
        <v>0</v>
      </c>
      <c r="AB61" s="64">
        <f>'10'!AB61+'11'!AB61+'12'!AB61</f>
        <v>0</v>
      </c>
      <c r="AC61" s="64">
        <f>'10'!AC61+'11'!AC61+'12'!AC61</f>
        <v>0</v>
      </c>
      <c r="AD61" s="64">
        <f>'10'!AD61+'11'!AD61+'12'!AD61</f>
        <v>0</v>
      </c>
      <c r="AE61" s="64">
        <f>'10'!AE61+'11'!AE61+'12'!AE61</f>
        <v>0</v>
      </c>
      <c r="AF61" s="64">
        <f>'10'!AF61+'11'!AF61+'12'!AF61</f>
        <v>0</v>
      </c>
      <c r="AG61" s="64">
        <f>'10'!AG61+'11'!AG61+'12'!AG61</f>
        <v>0</v>
      </c>
      <c r="AH61" s="64">
        <f>'10'!AH61+'11'!AH61+'12'!AH61</f>
        <v>0</v>
      </c>
      <c r="AI61" s="64">
        <f>'10'!AI61+'11'!AI61+'12'!AI61</f>
        <v>0</v>
      </c>
      <c r="AJ61" s="64">
        <f>'10'!AJ61+'11'!AJ61+'12'!AJ61</f>
        <v>0</v>
      </c>
      <c r="AK61" s="64">
        <f>'10'!AK61+'11'!AK61+'12'!AK61</f>
        <v>0</v>
      </c>
      <c r="AL61" s="64">
        <f>'10'!AL61+'11'!AL61+'12'!AL61</f>
        <v>0</v>
      </c>
      <c r="AM61" s="64">
        <f>'10'!AM61+'11'!AM61+'12'!AM61</f>
        <v>0</v>
      </c>
      <c r="AN61" s="64">
        <f>'10'!AN61+'11'!AN61+'12'!AN61</f>
        <v>0</v>
      </c>
      <c r="AO61" s="64">
        <f>'10'!AO61+'11'!AO61+'12'!AO61</f>
        <v>0</v>
      </c>
      <c r="AP61" s="64">
        <f>'10'!AP61+'11'!AP61+'12'!AP61</f>
        <v>0</v>
      </c>
      <c r="AQ61" s="63">
        <f t="shared" si="39"/>
        <v>0</v>
      </c>
      <c r="AR61" s="149">
        <f t="shared" si="40"/>
        <v>0</v>
      </c>
      <c r="AS61" s="64">
        <f t="shared" si="41"/>
        <v>0</v>
      </c>
      <c r="AT61" s="64">
        <f>'10'!AT61+'11'!AT61+'12'!AT61</f>
        <v>0</v>
      </c>
      <c r="AU61" s="65">
        <f t="shared" si="42"/>
        <v>0</v>
      </c>
      <c r="AV61" s="65">
        <f t="shared" si="43"/>
        <v>0</v>
      </c>
      <c r="AW61" s="65">
        <f t="shared" si="44"/>
        <v>0</v>
      </c>
      <c r="AX61" s="65">
        <f t="shared" si="45"/>
        <v>0</v>
      </c>
      <c r="AY61" s="65">
        <f t="shared" si="46"/>
        <v>0</v>
      </c>
      <c r="AZ61" s="65">
        <f t="shared" si="47"/>
        <v>0</v>
      </c>
      <c r="BA61" s="151">
        <f t="shared" si="48"/>
        <v>0</v>
      </c>
      <c r="BB61" s="142"/>
      <c r="BC61"/>
    </row>
    <row r="62" spans="1:55" x14ac:dyDescent="0.25">
      <c r="C62" s="2"/>
      <c r="D62" s="3"/>
      <c r="F62" s="2"/>
      <c r="G62" s="2"/>
      <c r="H62" s="1"/>
      <c r="I62" s="1"/>
      <c r="M62" s="5"/>
      <c r="O62" s="4"/>
      <c r="P62" s="5"/>
      <c r="Q62" s="5"/>
      <c r="U62" s="2"/>
      <c r="V62" s="2"/>
      <c r="W62" s="2"/>
      <c r="X62" s="2"/>
      <c r="Y62" s="1"/>
      <c r="Z62" s="1"/>
      <c r="AA62" s="1"/>
      <c r="AB62" s="1"/>
    </row>
    <row r="63" spans="1:55" x14ac:dyDescent="0.25">
      <c r="A63" s="10"/>
      <c r="B63" s="10"/>
      <c r="C63" s="10"/>
      <c r="D63" s="3"/>
      <c r="F63" s="2"/>
      <c r="G63" s="2"/>
      <c r="H63" s="1"/>
      <c r="I63" s="1"/>
      <c r="M63" s="5"/>
      <c r="O63" s="4"/>
      <c r="P63" s="5"/>
      <c r="Q63" s="5"/>
      <c r="U63" s="2"/>
      <c r="V63" s="2"/>
      <c r="W63" s="2"/>
      <c r="X63" s="2"/>
      <c r="Y63" s="1"/>
      <c r="Z63" s="1"/>
      <c r="AA63" s="1"/>
      <c r="AB63" s="1"/>
    </row>
    <row r="64" spans="1:55" x14ac:dyDescent="0.2">
      <c r="A64" s="6" t="s">
        <v>126</v>
      </c>
      <c r="B64" s="6"/>
      <c r="C64" s="6"/>
      <c r="D64" s="6"/>
      <c r="F64" s="2"/>
      <c r="G64" s="2"/>
      <c r="H64" s="1"/>
      <c r="I64" s="1"/>
      <c r="M64" s="5"/>
      <c r="O64" s="4"/>
      <c r="P64" s="5"/>
      <c r="Q64" s="5"/>
      <c r="U64" s="2"/>
      <c r="V64" s="2"/>
      <c r="W64" s="2"/>
      <c r="X64" s="2"/>
      <c r="Y64" s="1"/>
      <c r="Z64" s="1"/>
      <c r="AA64" s="1"/>
      <c r="AB64" s="1"/>
    </row>
    <row r="65" spans="1:28" x14ac:dyDescent="0.2">
      <c r="A65" s="6"/>
      <c r="B65" s="6"/>
      <c r="C65" s="6"/>
      <c r="D65" s="6"/>
      <c r="F65" s="2"/>
      <c r="G65" s="2"/>
      <c r="H65" s="1"/>
      <c r="I65" s="1"/>
      <c r="M65" s="5"/>
      <c r="O65" s="4"/>
      <c r="P65" s="5"/>
      <c r="Q65" s="5"/>
      <c r="U65" s="2"/>
      <c r="V65" s="2"/>
      <c r="W65" s="2"/>
      <c r="X65" s="2"/>
      <c r="Y65" s="1"/>
      <c r="Z65" s="1"/>
      <c r="AA65" s="1"/>
      <c r="AB65" s="1"/>
    </row>
    <row r="66" spans="1:28" x14ac:dyDescent="0.2">
      <c r="A66" s="6" t="s">
        <v>128</v>
      </c>
      <c r="B66" s="6"/>
      <c r="C66" s="6"/>
      <c r="D66" s="6"/>
      <c r="F66" s="2"/>
      <c r="G66" s="2"/>
      <c r="H66" s="1"/>
      <c r="I66" s="1"/>
      <c r="M66" s="5"/>
      <c r="O66" s="4"/>
      <c r="P66" s="5"/>
      <c r="Q66" s="5"/>
      <c r="U66" s="2"/>
      <c r="V66" s="2"/>
      <c r="W66" s="2"/>
      <c r="X66" s="2"/>
      <c r="Y66" s="1"/>
      <c r="Z66" s="1"/>
      <c r="AA66" s="1"/>
      <c r="AB66" s="1"/>
    </row>
    <row r="67" spans="1:28" x14ac:dyDescent="0.2">
      <c r="A67" s="6"/>
      <c r="B67" s="6"/>
      <c r="C67" s="6"/>
      <c r="D67" s="6"/>
      <c r="F67" s="2"/>
      <c r="G67" s="2"/>
      <c r="H67" s="1"/>
      <c r="I67" s="1"/>
      <c r="M67" s="5"/>
      <c r="O67" s="4"/>
      <c r="P67" s="5"/>
      <c r="Q67" s="5"/>
      <c r="U67" s="2"/>
      <c r="V67" s="2"/>
      <c r="W67" s="2"/>
      <c r="X67" s="2"/>
      <c r="Y67" s="1"/>
      <c r="Z67" s="1"/>
      <c r="AA67" s="1"/>
      <c r="AB67" s="1"/>
    </row>
    <row r="68" spans="1:28" x14ac:dyDescent="0.2">
      <c r="A68" s="6" t="s">
        <v>127</v>
      </c>
      <c r="B68" s="6"/>
      <c r="C68" s="6"/>
      <c r="D68" s="6"/>
      <c r="F68" s="2"/>
      <c r="G68" s="2"/>
      <c r="H68" s="1"/>
      <c r="I68" s="1"/>
      <c r="M68" s="5"/>
      <c r="O68" s="4"/>
      <c r="P68" s="5"/>
      <c r="Q68" s="5"/>
      <c r="U68" s="2"/>
      <c r="V68" s="2"/>
      <c r="W68" s="2"/>
      <c r="X68" s="2"/>
      <c r="Y68" s="1"/>
      <c r="Z68" s="1"/>
      <c r="AA68" s="1"/>
      <c r="AB68" s="1"/>
    </row>
    <row r="69" spans="1:28" x14ac:dyDescent="0.25">
      <c r="A69" s="10"/>
      <c r="B69" s="10"/>
    </row>
    <row r="72" spans="1:28" x14ac:dyDescent="0.25">
      <c r="A72" s="10"/>
      <c r="B72" s="10"/>
    </row>
    <row r="73" spans="1:28" x14ac:dyDescent="0.25">
      <c r="A73" s="10"/>
      <c r="B73" s="10"/>
    </row>
    <row r="74" spans="1:28" x14ac:dyDescent="0.25">
      <c r="A74" s="10"/>
      <c r="B74" s="10"/>
    </row>
    <row r="75" spans="1:28" x14ac:dyDescent="0.25">
      <c r="A75" s="10"/>
      <c r="B75" s="10"/>
    </row>
    <row r="76" spans="1:28" x14ac:dyDescent="0.25">
      <c r="A76" s="10"/>
      <c r="B76" s="10"/>
    </row>
    <row r="77" spans="1:28" x14ac:dyDescent="0.25">
      <c r="A77" s="10"/>
      <c r="B77" s="10"/>
    </row>
    <row r="78" spans="1:28" x14ac:dyDescent="0.25">
      <c r="A78" s="10"/>
      <c r="B78" s="10"/>
    </row>
    <row r="79" spans="1:28" x14ac:dyDescent="0.25">
      <c r="A79" s="10"/>
      <c r="B79" s="10"/>
    </row>
  </sheetData>
  <mergeCells count="32">
    <mergeCell ref="A7:BB7"/>
    <mergeCell ref="A9:BB9"/>
    <mergeCell ref="C12:C15"/>
    <mergeCell ref="D12:E14"/>
    <mergeCell ref="H12:I14"/>
    <mergeCell ref="J12:J15"/>
    <mergeCell ref="K12:L14"/>
    <mergeCell ref="M12:AP12"/>
    <mergeCell ref="AQ12:AR14"/>
    <mergeCell ref="AS12:AT14"/>
    <mergeCell ref="AU12:AV14"/>
    <mergeCell ref="AW12:AX14"/>
    <mergeCell ref="AY12:AZ14"/>
    <mergeCell ref="BA12:BA15"/>
    <mergeCell ref="BB12:BB15"/>
    <mergeCell ref="M13:AB13"/>
    <mergeCell ref="AC13:AP13"/>
    <mergeCell ref="AP14:AP15"/>
    <mergeCell ref="A12:A15"/>
    <mergeCell ref="B12:B15"/>
    <mergeCell ref="F12:G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J14"/>
    <mergeCell ref="AK14:AN14"/>
    <mergeCell ref="AO14:AO15"/>
  </mergeCells>
  <conditionalFormatting sqref="AQ18:AQ23 AQ25:AQ41 AQ43:AQ45 AQ47:AQ51 AQ53:AQ54 AQ56:AQ61">
    <cfRule type="expression" dxfId="31" priority="8" stopIfTrue="1">
      <formula>100*(1-AQ18/AP18)&gt;5</formula>
    </cfRule>
  </conditionalFormatting>
  <conditionalFormatting sqref="AS18 AS20:AS22">
    <cfRule type="expression" dxfId="30" priority="7" stopIfTrue="1">
      <formula>100*(1-AS18/AR18)&gt;5</formula>
    </cfRule>
  </conditionalFormatting>
  <conditionalFormatting sqref="AS19">
    <cfRule type="expression" dxfId="29" priority="6" stopIfTrue="1">
      <formula>100*(1-AS19/AR19)&gt;5</formula>
    </cfRule>
  </conditionalFormatting>
  <conditionalFormatting sqref="AQ24:AR24">
    <cfRule type="expression" dxfId="28" priority="5" stopIfTrue="1">
      <formula>100*(1-AQ24/AP24)&gt;5</formula>
    </cfRule>
  </conditionalFormatting>
  <conditionalFormatting sqref="AQ42:AR42">
    <cfRule type="expression" dxfId="27" priority="4" stopIfTrue="1">
      <formula>100*(1-AQ42/AP42)&gt;5</formula>
    </cfRule>
  </conditionalFormatting>
  <conditionalFormatting sqref="AQ46:AR46">
    <cfRule type="expression" dxfId="26" priority="3" stopIfTrue="1">
      <formula>100*(1-AQ46/AP46)&gt;5</formula>
    </cfRule>
  </conditionalFormatting>
  <conditionalFormatting sqref="AQ52:AR52">
    <cfRule type="expression" dxfId="25" priority="2" stopIfTrue="1">
      <formula>100*(1-AQ52/AP52)&gt;5</formula>
    </cfRule>
  </conditionalFormatting>
  <conditionalFormatting sqref="AQ55:AR55">
    <cfRule type="expression" dxfId="24" priority="1" stopIfTrue="1">
      <formula>100*(1-AQ55/AP55)&gt;5</formula>
    </cfRule>
  </conditionalFormatting>
  <pageMargins left="0.7" right="0.7" top="0.75" bottom="0.75" header="0.3" footer="0.3"/>
  <pageSetup paperSize="9" orientation="portrait" r:id="rId1"/>
  <ignoredErrors>
    <ignoredError sqref="D24:E55 AY24:AZ46" formula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9"/>
  <sheetViews>
    <sheetView showZeros="0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9" sqref="A9:BB9"/>
    </sheetView>
  </sheetViews>
  <sheetFormatPr defaultRowHeight="14.25" x14ac:dyDescent="0.25"/>
  <cols>
    <col min="1" max="1" width="30.7109375" style="2" customWidth="1"/>
    <col min="2" max="2" width="10.7109375" style="2" customWidth="1"/>
    <col min="3" max="3" width="9.7109375" style="3" customWidth="1"/>
    <col min="4" max="5" width="9.7109375" style="2" customWidth="1"/>
    <col min="6" max="7" width="9.7109375" style="1" customWidth="1"/>
    <col min="8" max="9" width="9.7109375" style="5" customWidth="1"/>
    <col min="10" max="10" width="8.7109375" style="5" customWidth="1"/>
    <col min="11" max="12" width="14.7109375" style="5" customWidth="1"/>
    <col min="13" max="13" width="9.7109375" style="4" customWidth="1"/>
    <col min="14" max="15" width="9.7109375" style="5" customWidth="1"/>
    <col min="16" max="20" width="9.7109375" style="2" customWidth="1"/>
    <col min="21" max="24" width="9.7109375" style="1" customWidth="1"/>
    <col min="25" max="54" width="9.7109375" style="2" customWidth="1"/>
    <col min="55" max="16384" width="9.140625" style="2"/>
  </cols>
  <sheetData>
    <row r="1" spans="1:55" ht="12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/>
      <c r="AJ1"/>
      <c r="AK1"/>
      <c r="AL1"/>
      <c r="AM1"/>
    </row>
    <row r="2" spans="1:55" ht="12.75" customHeight="1" x14ac:dyDescent="0.25">
      <c r="A2" s="11" t="s">
        <v>134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X2" s="11" t="s">
        <v>56</v>
      </c>
      <c r="AY2"/>
      <c r="AZ2"/>
      <c r="BA2"/>
      <c r="BB2"/>
      <c r="BC2"/>
    </row>
    <row r="3" spans="1:55" s="6" customFormat="1" ht="12.75" customHeight="1" x14ac:dyDescent="0.25">
      <c r="A3" s="11" t="s">
        <v>57</v>
      </c>
      <c r="AX3" s="11" t="s">
        <v>65</v>
      </c>
      <c r="AY3"/>
      <c r="AZ3"/>
      <c r="BA3"/>
      <c r="BB3"/>
      <c r="BC3"/>
    </row>
    <row r="4" spans="1:55" s="6" customFormat="1" ht="12.75" customHeight="1" x14ac:dyDescent="0.25">
      <c r="AX4" s="24" t="s">
        <v>123</v>
      </c>
      <c r="AY4"/>
      <c r="AZ4"/>
      <c r="BA4"/>
      <c r="BB4"/>
      <c r="BC4"/>
    </row>
    <row r="5" spans="1:55" s="6" customFormat="1" ht="12.75" customHeight="1" x14ac:dyDescent="0.25">
      <c r="AY5"/>
      <c r="AZ5"/>
      <c r="BA5"/>
      <c r="BB5"/>
      <c r="BC5"/>
    </row>
    <row r="6" spans="1:55" s="6" customFormat="1" ht="15" x14ac:dyDescent="0.25">
      <c r="AX6" s="25" t="s">
        <v>85</v>
      </c>
      <c r="AY6"/>
      <c r="AZ6"/>
      <c r="BA6"/>
      <c r="BB6"/>
      <c r="BC6"/>
    </row>
    <row r="7" spans="1:55" s="6" customFormat="1" ht="15.75" customHeight="1" x14ac:dyDescent="0.2">
      <c r="A7" s="184" t="s">
        <v>58</v>
      </c>
      <c r="B7" s="184"/>
      <c r="C7" s="184"/>
      <c r="D7" s="184"/>
      <c r="E7" s="184"/>
      <c r="F7" s="184"/>
      <c r="G7" s="184"/>
      <c r="H7" s="184"/>
      <c r="I7" s="184"/>
      <c r="J7" s="184"/>
      <c r="K7" s="184"/>
      <c r="L7" s="184"/>
      <c r="M7" s="184"/>
      <c r="N7" s="184"/>
      <c r="O7" s="184"/>
      <c r="P7" s="184"/>
      <c r="Q7" s="184"/>
      <c r="R7" s="184"/>
      <c r="S7" s="184"/>
      <c r="T7" s="184"/>
      <c r="U7" s="184"/>
      <c r="V7" s="184"/>
      <c r="W7" s="184"/>
      <c r="X7" s="184"/>
      <c r="Y7" s="184"/>
      <c r="Z7" s="184"/>
      <c r="AA7" s="184"/>
      <c r="AB7" s="184"/>
      <c r="AC7" s="184"/>
      <c r="AD7" s="184"/>
      <c r="AE7" s="184"/>
      <c r="AF7" s="184"/>
      <c r="AG7" s="184"/>
      <c r="AH7" s="184"/>
      <c r="AI7" s="184"/>
      <c r="AJ7" s="184"/>
      <c r="AK7" s="184"/>
      <c r="AL7" s="184"/>
      <c r="AM7" s="184"/>
      <c r="AN7" s="184"/>
      <c r="AO7" s="184"/>
      <c r="AP7" s="184"/>
      <c r="AQ7" s="184"/>
      <c r="AR7" s="184"/>
      <c r="AS7" s="184"/>
      <c r="AT7" s="184"/>
      <c r="AU7" s="184"/>
      <c r="AV7" s="184"/>
      <c r="AW7" s="184"/>
      <c r="AX7" s="184"/>
      <c r="AY7" s="184"/>
      <c r="AZ7" s="184"/>
      <c r="BA7" s="184"/>
      <c r="BB7" s="184"/>
      <c r="BC7" s="109"/>
    </row>
    <row r="8" spans="1:55" s="6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55" ht="15.75" x14ac:dyDescent="0.25">
      <c r="A9" s="185"/>
      <c r="B9" s="185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  <c r="Z9" s="185"/>
      <c r="AA9" s="185"/>
      <c r="AB9" s="185"/>
      <c r="AC9" s="185"/>
      <c r="AD9" s="185"/>
      <c r="AE9" s="185"/>
      <c r="AF9" s="185"/>
      <c r="AG9" s="185"/>
      <c r="AH9" s="185"/>
      <c r="AI9" s="185"/>
      <c r="AJ9" s="185"/>
      <c r="AK9" s="185"/>
      <c r="AL9" s="185"/>
      <c r="AM9" s="185"/>
      <c r="AN9" s="185"/>
      <c r="AO9" s="185"/>
      <c r="AP9" s="185"/>
      <c r="AQ9" s="185"/>
      <c r="AR9" s="185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08"/>
    </row>
    <row r="10" spans="1:55" s="6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55" ht="12.7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3"/>
      <c r="L11" s="2"/>
      <c r="M11" s="2"/>
      <c r="N11" s="2"/>
      <c r="O11" s="2"/>
      <c r="U11" s="2"/>
      <c r="V11" s="2"/>
      <c r="W11" s="2"/>
      <c r="X11" s="2"/>
    </row>
    <row r="12" spans="1:55" ht="14.25" customHeight="1" x14ac:dyDescent="0.25">
      <c r="A12" s="190" t="s">
        <v>2</v>
      </c>
      <c r="B12" s="163" t="s">
        <v>129</v>
      </c>
      <c r="C12" s="163" t="s">
        <v>3</v>
      </c>
      <c r="D12" s="177" t="s">
        <v>60</v>
      </c>
      <c r="E12" s="194"/>
      <c r="F12" s="154" t="s">
        <v>131</v>
      </c>
      <c r="G12" s="155"/>
      <c r="H12" s="194" t="s">
        <v>1</v>
      </c>
      <c r="I12" s="194"/>
      <c r="J12" s="186" t="s">
        <v>135</v>
      </c>
      <c r="K12" s="154" t="s">
        <v>4</v>
      </c>
      <c r="L12" s="155"/>
      <c r="M12" s="154" t="s">
        <v>62</v>
      </c>
      <c r="N12" s="195"/>
      <c r="O12" s="195"/>
      <c r="P12" s="195"/>
      <c r="Q12" s="195"/>
      <c r="R12" s="195"/>
      <c r="S12" s="195"/>
      <c r="T12" s="195"/>
      <c r="U12" s="195"/>
      <c r="V12" s="195"/>
      <c r="W12" s="195"/>
      <c r="X12" s="195"/>
      <c r="Y12" s="195"/>
      <c r="Z12" s="195"/>
      <c r="AA12" s="195"/>
      <c r="AB12" s="195"/>
      <c r="AC12" s="195"/>
      <c r="AD12" s="195"/>
      <c r="AE12" s="195"/>
      <c r="AF12" s="195"/>
      <c r="AG12" s="195"/>
      <c r="AH12" s="195"/>
      <c r="AI12" s="195"/>
      <c r="AJ12" s="195"/>
      <c r="AK12" s="195"/>
      <c r="AL12" s="195"/>
      <c r="AM12" s="195"/>
      <c r="AN12" s="195"/>
      <c r="AO12" s="195"/>
      <c r="AP12" s="155"/>
      <c r="AQ12" s="195" t="s">
        <v>69</v>
      </c>
      <c r="AR12" s="155"/>
      <c r="AS12" s="154" t="s">
        <v>59</v>
      </c>
      <c r="AT12" s="155"/>
      <c r="AU12" s="154" t="s">
        <v>70</v>
      </c>
      <c r="AV12" s="155"/>
      <c r="AW12" s="154" t="s">
        <v>71</v>
      </c>
      <c r="AX12" s="155"/>
      <c r="AY12" s="154" t="s">
        <v>72</v>
      </c>
      <c r="AZ12" s="155"/>
      <c r="BA12" s="154" t="s">
        <v>73</v>
      </c>
      <c r="BB12" s="198" t="s">
        <v>133</v>
      </c>
      <c r="BC12"/>
    </row>
    <row r="13" spans="1:55" ht="14.25" customHeight="1" x14ac:dyDescent="0.25">
      <c r="A13" s="191"/>
      <c r="B13" s="164"/>
      <c r="C13" s="164"/>
      <c r="D13" s="153"/>
      <c r="E13" s="189"/>
      <c r="F13" s="156"/>
      <c r="G13" s="157"/>
      <c r="H13" s="189"/>
      <c r="I13" s="189"/>
      <c r="J13" s="187"/>
      <c r="K13" s="156"/>
      <c r="L13" s="157"/>
      <c r="M13" s="152" t="s">
        <v>5</v>
      </c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  <c r="AA13" s="178"/>
      <c r="AB13" s="153"/>
      <c r="AC13" s="189" t="s">
        <v>6</v>
      </c>
      <c r="AD13" s="189"/>
      <c r="AE13" s="189"/>
      <c r="AF13" s="189"/>
      <c r="AG13" s="189"/>
      <c r="AH13" s="189"/>
      <c r="AI13" s="189"/>
      <c r="AJ13" s="189"/>
      <c r="AK13" s="189"/>
      <c r="AL13" s="189"/>
      <c r="AM13" s="189"/>
      <c r="AN13" s="189"/>
      <c r="AO13" s="189"/>
      <c r="AP13" s="189"/>
      <c r="AQ13" s="196"/>
      <c r="AR13" s="157"/>
      <c r="AS13" s="156"/>
      <c r="AT13" s="157"/>
      <c r="AU13" s="156"/>
      <c r="AV13" s="157"/>
      <c r="AW13" s="156"/>
      <c r="AX13" s="157"/>
      <c r="AY13" s="156"/>
      <c r="AZ13" s="157"/>
      <c r="BA13" s="156"/>
      <c r="BB13" s="199"/>
      <c r="BC13"/>
    </row>
    <row r="14" spans="1:55" ht="63.75" customHeight="1" x14ac:dyDescent="0.25">
      <c r="A14" s="191"/>
      <c r="B14" s="164"/>
      <c r="C14" s="164"/>
      <c r="D14" s="153"/>
      <c r="E14" s="189"/>
      <c r="F14" s="158"/>
      <c r="G14" s="159"/>
      <c r="H14" s="189"/>
      <c r="I14" s="189"/>
      <c r="J14" s="187"/>
      <c r="K14" s="158"/>
      <c r="L14" s="159"/>
      <c r="M14" s="152" t="s">
        <v>10</v>
      </c>
      <c r="N14" s="153"/>
      <c r="O14" s="152" t="s">
        <v>74</v>
      </c>
      <c r="P14" s="153"/>
      <c r="Q14" s="152" t="s">
        <v>75</v>
      </c>
      <c r="R14" s="153"/>
      <c r="S14" s="152" t="s">
        <v>86</v>
      </c>
      <c r="T14" s="153"/>
      <c r="U14" s="152" t="s">
        <v>136</v>
      </c>
      <c r="V14" s="153"/>
      <c r="W14" s="193" t="s">
        <v>132</v>
      </c>
      <c r="X14" s="193"/>
      <c r="Y14" s="152" t="s">
        <v>84</v>
      </c>
      <c r="Z14" s="153"/>
      <c r="AA14" s="152" t="s">
        <v>76</v>
      </c>
      <c r="AB14" s="153"/>
      <c r="AC14" s="152" t="s">
        <v>7</v>
      </c>
      <c r="AD14" s="178"/>
      <c r="AE14" s="178"/>
      <c r="AF14" s="178"/>
      <c r="AG14" s="178"/>
      <c r="AH14" s="178"/>
      <c r="AI14" s="178"/>
      <c r="AJ14" s="153"/>
      <c r="AK14" s="152" t="s">
        <v>8</v>
      </c>
      <c r="AL14" s="178"/>
      <c r="AM14" s="178"/>
      <c r="AN14" s="153"/>
      <c r="AO14" s="171" t="s">
        <v>77</v>
      </c>
      <c r="AP14" s="173" t="s">
        <v>18</v>
      </c>
      <c r="AQ14" s="196"/>
      <c r="AR14" s="157"/>
      <c r="AS14" s="156"/>
      <c r="AT14" s="157"/>
      <c r="AU14" s="156"/>
      <c r="AV14" s="157"/>
      <c r="AW14" s="156"/>
      <c r="AX14" s="157"/>
      <c r="AY14" s="156"/>
      <c r="AZ14" s="157"/>
      <c r="BA14" s="156"/>
      <c r="BB14" s="199"/>
      <c r="BC14"/>
    </row>
    <row r="15" spans="1:55" ht="38.25" customHeight="1" thickBot="1" x14ac:dyDescent="0.3">
      <c r="A15" s="192"/>
      <c r="B15" s="165"/>
      <c r="C15" s="165"/>
      <c r="D15" s="118" t="s">
        <v>61</v>
      </c>
      <c r="E15" s="77" t="s">
        <v>9</v>
      </c>
      <c r="F15" s="77" t="s">
        <v>11</v>
      </c>
      <c r="G15" s="77" t="s">
        <v>130</v>
      </c>
      <c r="H15" s="77" t="s">
        <v>0</v>
      </c>
      <c r="I15" s="77" t="s">
        <v>78</v>
      </c>
      <c r="J15" s="188"/>
      <c r="K15" s="77" t="s">
        <v>61</v>
      </c>
      <c r="L15" s="77" t="s">
        <v>9</v>
      </c>
      <c r="M15" s="77" t="s">
        <v>61</v>
      </c>
      <c r="N15" s="77" t="s">
        <v>9</v>
      </c>
      <c r="O15" s="77" t="s">
        <v>61</v>
      </c>
      <c r="P15" s="77" t="s">
        <v>9</v>
      </c>
      <c r="Q15" s="77" t="s">
        <v>61</v>
      </c>
      <c r="R15" s="77" t="s">
        <v>9</v>
      </c>
      <c r="S15" s="77" t="s">
        <v>61</v>
      </c>
      <c r="T15" s="77" t="s">
        <v>9</v>
      </c>
      <c r="U15" s="77" t="s">
        <v>61</v>
      </c>
      <c r="V15" s="77" t="s">
        <v>9</v>
      </c>
      <c r="W15" s="77" t="s">
        <v>61</v>
      </c>
      <c r="X15" s="77" t="s">
        <v>9</v>
      </c>
      <c r="Y15" s="77" t="s">
        <v>61</v>
      </c>
      <c r="Z15" s="77" t="s">
        <v>9</v>
      </c>
      <c r="AA15" s="77" t="s">
        <v>61</v>
      </c>
      <c r="AB15" s="77" t="s">
        <v>9</v>
      </c>
      <c r="AC15" s="77" t="s">
        <v>11</v>
      </c>
      <c r="AD15" s="77" t="s">
        <v>12</v>
      </c>
      <c r="AE15" s="77" t="s">
        <v>13</v>
      </c>
      <c r="AF15" s="77" t="s">
        <v>14</v>
      </c>
      <c r="AG15" s="77" t="s">
        <v>15</v>
      </c>
      <c r="AH15" s="77" t="s">
        <v>16</v>
      </c>
      <c r="AI15" s="107" t="s">
        <v>18</v>
      </c>
      <c r="AJ15" s="107" t="s">
        <v>17</v>
      </c>
      <c r="AK15" s="77" t="s">
        <v>19</v>
      </c>
      <c r="AL15" s="77" t="s">
        <v>20</v>
      </c>
      <c r="AM15" s="77" t="s">
        <v>21</v>
      </c>
      <c r="AN15" s="77" t="s">
        <v>22</v>
      </c>
      <c r="AO15" s="172"/>
      <c r="AP15" s="174"/>
      <c r="AQ15" s="77" t="s">
        <v>61</v>
      </c>
      <c r="AR15" s="77" t="s">
        <v>9</v>
      </c>
      <c r="AS15" s="77" t="s">
        <v>61</v>
      </c>
      <c r="AT15" s="77" t="s">
        <v>9</v>
      </c>
      <c r="AU15" s="77" t="s">
        <v>61</v>
      </c>
      <c r="AV15" s="77" t="s">
        <v>9</v>
      </c>
      <c r="AW15" s="77" t="s">
        <v>61</v>
      </c>
      <c r="AX15" s="77" t="s">
        <v>9</v>
      </c>
      <c r="AY15" s="77" t="s">
        <v>61</v>
      </c>
      <c r="AZ15" s="77" t="s">
        <v>9</v>
      </c>
      <c r="BA15" s="197"/>
      <c r="BB15" s="200"/>
      <c r="BC15"/>
    </row>
    <row r="16" spans="1:55" ht="15" customHeight="1" thickBot="1" x14ac:dyDescent="0.3">
      <c r="A16" s="106">
        <v>1</v>
      </c>
      <c r="B16" s="106">
        <v>2</v>
      </c>
      <c r="C16" s="106">
        <v>3</v>
      </c>
      <c r="D16" s="105">
        <v>4</v>
      </c>
      <c r="E16" s="78">
        <v>5</v>
      </c>
      <c r="F16" s="78">
        <v>6</v>
      </c>
      <c r="G16" s="78">
        <v>7</v>
      </c>
      <c r="H16" s="78">
        <v>8</v>
      </c>
      <c r="I16" s="78">
        <v>9</v>
      </c>
      <c r="J16" s="78">
        <v>10</v>
      </c>
      <c r="K16" s="78">
        <v>11</v>
      </c>
      <c r="L16" s="78">
        <v>12</v>
      </c>
      <c r="M16" s="78">
        <v>13</v>
      </c>
      <c r="N16" s="78">
        <v>14</v>
      </c>
      <c r="O16" s="78">
        <v>15</v>
      </c>
      <c r="P16" s="78">
        <v>16</v>
      </c>
      <c r="Q16" s="78">
        <v>17</v>
      </c>
      <c r="R16" s="78">
        <v>18</v>
      </c>
      <c r="S16" s="78">
        <v>19</v>
      </c>
      <c r="T16" s="78">
        <v>20</v>
      </c>
      <c r="U16" s="78">
        <v>21</v>
      </c>
      <c r="V16" s="78">
        <v>22</v>
      </c>
      <c r="W16" s="78">
        <v>23</v>
      </c>
      <c r="X16" s="78">
        <v>24</v>
      </c>
      <c r="Y16" s="78">
        <v>25</v>
      </c>
      <c r="Z16" s="78">
        <v>26</v>
      </c>
      <c r="AA16" s="78">
        <v>27</v>
      </c>
      <c r="AB16" s="78">
        <v>28</v>
      </c>
      <c r="AC16" s="78">
        <v>29</v>
      </c>
      <c r="AD16" s="78">
        <v>30</v>
      </c>
      <c r="AE16" s="78">
        <v>31</v>
      </c>
      <c r="AF16" s="78">
        <v>32</v>
      </c>
      <c r="AG16" s="78">
        <v>33</v>
      </c>
      <c r="AH16" s="78">
        <v>34</v>
      </c>
      <c r="AI16" s="78">
        <v>35</v>
      </c>
      <c r="AJ16" s="78">
        <v>36</v>
      </c>
      <c r="AK16" s="78">
        <v>37</v>
      </c>
      <c r="AL16" s="78">
        <v>38</v>
      </c>
      <c r="AM16" s="78">
        <v>39</v>
      </c>
      <c r="AN16" s="78">
        <v>40</v>
      </c>
      <c r="AO16" s="78">
        <v>41</v>
      </c>
      <c r="AP16" s="78">
        <v>42</v>
      </c>
      <c r="AQ16" s="78">
        <v>43</v>
      </c>
      <c r="AR16" s="78">
        <v>44</v>
      </c>
      <c r="AS16" s="78">
        <v>45</v>
      </c>
      <c r="AT16" s="78">
        <v>46</v>
      </c>
      <c r="AU16" s="78">
        <v>47</v>
      </c>
      <c r="AV16" s="78">
        <v>48</v>
      </c>
      <c r="AW16" s="78">
        <v>49</v>
      </c>
      <c r="AX16" s="78">
        <v>50</v>
      </c>
      <c r="AY16" s="78">
        <v>51</v>
      </c>
      <c r="AZ16" s="78">
        <v>52</v>
      </c>
      <c r="BA16" s="78">
        <v>53</v>
      </c>
      <c r="BB16" s="79">
        <v>54</v>
      </c>
      <c r="BC16"/>
    </row>
    <row r="17" spans="1:55" ht="15" customHeight="1" thickBot="1" x14ac:dyDescent="0.3">
      <c r="A17" s="87" t="s">
        <v>79</v>
      </c>
      <c r="B17" s="87"/>
      <c r="C17" s="87"/>
      <c r="D17" s="129">
        <f t="shared" ref="D17:E17" si="0">SUM(D18:D23)</f>
        <v>0</v>
      </c>
      <c r="E17" s="129">
        <f t="shared" si="0"/>
        <v>0</v>
      </c>
      <c r="F17" s="129">
        <f>SUM(F18:F23)</f>
        <v>0</v>
      </c>
      <c r="G17" s="129">
        <f t="shared" ref="G17:H17" si="1">SUM(G18:G23)</f>
        <v>0</v>
      </c>
      <c r="H17" s="131">
        <f t="shared" si="1"/>
        <v>0</v>
      </c>
      <c r="I17" s="131">
        <f>SUM(I18:I23)</f>
        <v>0</v>
      </c>
      <c r="J17" s="129"/>
      <c r="K17" s="130">
        <f t="shared" ref="K17:AP17" si="2">SUM(K18:K23)</f>
        <v>0</v>
      </c>
      <c r="L17" s="130">
        <f t="shared" si="2"/>
        <v>0</v>
      </c>
      <c r="M17" s="129">
        <f t="shared" si="2"/>
        <v>0</v>
      </c>
      <c r="N17" s="129">
        <f t="shared" si="2"/>
        <v>0</v>
      </c>
      <c r="O17" s="129">
        <f t="shared" si="2"/>
        <v>0</v>
      </c>
      <c r="P17" s="129">
        <f t="shared" si="2"/>
        <v>0</v>
      </c>
      <c r="Q17" s="129">
        <f t="shared" si="2"/>
        <v>0</v>
      </c>
      <c r="R17" s="129">
        <f t="shared" si="2"/>
        <v>0</v>
      </c>
      <c r="S17" s="129">
        <f t="shared" si="2"/>
        <v>0</v>
      </c>
      <c r="T17" s="129">
        <f t="shared" si="2"/>
        <v>0</v>
      </c>
      <c r="U17" s="129">
        <f t="shared" si="2"/>
        <v>0</v>
      </c>
      <c r="V17" s="129">
        <f t="shared" si="2"/>
        <v>0</v>
      </c>
      <c r="W17" s="129">
        <f t="shared" si="2"/>
        <v>0</v>
      </c>
      <c r="X17" s="129">
        <f t="shared" si="2"/>
        <v>0</v>
      </c>
      <c r="Y17" s="129">
        <f t="shared" si="2"/>
        <v>0</v>
      </c>
      <c r="Z17" s="129">
        <f t="shared" si="2"/>
        <v>0</v>
      </c>
      <c r="AA17" s="129">
        <f t="shared" si="2"/>
        <v>0</v>
      </c>
      <c r="AB17" s="129">
        <f t="shared" si="2"/>
        <v>0</v>
      </c>
      <c r="AC17" s="129">
        <f t="shared" si="2"/>
        <v>0</v>
      </c>
      <c r="AD17" s="129">
        <f t="shared" si="2"/>
        <v>0</v>
      </c>
      <c r="AE17" s="129">
        <f t="shared" si="2"/>
        <v>0</v>
      </c>
      <c r="AF17" s="129">
        <f t="shared" si="2"/>
        <v>0</v>
      </c>
      <c r="AG17" s="129">
        <f t="shared" si="2"/>
        <v>0</v>
      </c>
      <c r="AH17" s="129">
        <f t="shared" si="2"/>
        <v>0</v>
      </c>
      <c r="AI17" s="129">
        <f t="shared" si="2"/>
        <v>0</v>
      </c>
      <c r="AJ17" s="129">
        <f t="shared" si="2"/>
        <v>0</v>
      </c>
      <c r="AK17" s="129">
        <f t="shared" si="2"/>
        <v>0</v>
      </c>
      <c r="AL17" s="129">
        <f t="shared" si="2"/>
        <v>0</v>
      </c>
      <c r="AM17" s="129">
        <f t="shared" si="2"/>
        <v>0</v>
      </c>
      <c r="AN17" s="129">
        <f t="shared" si="2"/>
        <v>0</v>
      </c>
      <c r="AO17" s="129">
        <f t="shared" si="2"/>
        <v>0</v>
      </c>
      <c r="AP17" s="129">
        <f t="shared" si="2"/>
        <v>0</v>
      </c>
      <c r="AQ17" s="129">
        <f t="shared" ref="AQ17:AQ59" si="3">M17+O17+S17+U17+W17+AA17+Q17+Y17</f>
        <v>0</v>
      </c>
      <c r="AR17" s="129">
        <f>N17+P17+R17+AC17+AD17+AE17+AF17+AG17+AH17+AI17+AJ17+AK17+AL17+AM17+AN17+AO17+AP17+T17+V17+AB17</f>
        <v>0</v>
      </c>
      <c r="AS17" s="129">
        <f>AT17</f>
        <v>0</v>
      </c>
      <c r="AT17" s="129">
        <f>SUM(AT18:AT23)</f>
        <v>0</v>
      </c>
      <c r="AU17" s="131">
        <f t="shared" ref="AU17:AU22" si="4">IF(AT17-AQ17=0,0,(AT17-M17-O17-Q17)/AT17)</f>
        <v>0</v>
      </c>
      <c r="AV17" s="131">
        <f t="shared" ref="AV17:AV59" si="5">IF(AT17=0,0,(AT17-N17-P17-R17-AC17-AD17-AE17-AF17-AG17-AH17-AI17-AJ17-AL17)/AT17)</f>
        <v>0</v>
      </c>
      <c r="AW17" s="131">
        <f t="shared" ref="AW17:AW22" si="6">IF(OR(AT17=0,AU17=0),0,((AT17*AU17)-S17-U17-W17-AA17-Y17)/(AT17*AU17))</f>
        <v>0</v>
      </c>
      <c r="AX17" s="131">
        <f t="shared" ref="AX17:AX22" si="7">IF(OR(AT17=0,AV17=0),0,((AT17*AV17)-AK17-AM17-AN17-AO17-AP17-T17-V17-X17-Z17-AB17)/(AT17*AV17))</f>
        <v>0</v>
      </c>
      <c r="AY17" s="131">
        <f>SUM(AY18:AY23)</f>
        <v>0</v>
      </c>
      <c r="AZ17" s="131">
        <f>SUM(AZ18:AZ23)</f>
        <v>0</v>
      </c>
      <c r="BA17" s="129">
        <f>ROUND(AS17-E17-AR17,4)</f>
        <v>0</v>
      </c>
      <c r="BB17" s="137"/>
      <c r="BC17"/>
    </row>
    <row r="18" spans="1:55" ht="15" hidden="1" customHeight="1" x14ac:dyDescent="0.25">
      <c r="A18" s="80" t="s">
        <v>23</v>
      </c>
      <c r="B18" s="110">
        <v>22</v>
      </c>
      <c r="C18" s="110">
        <v>22</v>
      </c>
      <c r="D18" s="121">
        <f t="shared" ref="D18:D22" si="8">AT18*AU18*AW18</f>
        <v>0</v>
      </c>
      <c r="E18" s="16">
        <f t="shared" ref="E18:E22" si="9">ROUND(AT18*AV18*AX18,4)</f>
        <v>0</v>
      </c>
      <c r="F18" s="91">
        <f>'7'!F18+'8'!F18+'9'!F18+'10'!F18+'11'!F18+'12'!F18</f>
        <v>0</v>
      </c>
      <c r="G18" s="91">
        <f>'7'!G18+'8'!G18+'9'!G18+'10'!G18+'11'!G18+'12'!G18</f>
        <v>0</v>
      </c>
      <c r="H18" s="135">
        <f>'7'!H18+'8'!H18+'9'!H18+'10'!H18+'11'!H18+'12'!H18</f>
        <v>0</v>
      </c>
      <c r="I18" s="135">
        <f>'7'!I18+'8'!I18+'9'!I18+'10'!I18+'11'!I18+'12'!I18</f>
        <v>0</v>
      </c>
      <c r="J18" s="83" t="s">
        <v>55</v>
      </c>
      <c r="K18" s="133">
        <f>'7'!K18+'8'!K18+'9'!K18+'10'!K18+'11'!K18+'12'!K18</f>
        <v>0</v>
      </c>
      <c r="L18" s="133">
        <f>'7'!L18+'8'!L18+'9'!L18+'10'!L18+'11'!L18+'12'!L18</f>
        <v>0</v>
      </c>
      <c r="M18" s="91">
        <f>'7'!M18+'8'!M18+'9'!M18+'10'!M18+'11'!M18+'12'!M18</f>
        <v>0</v>
      </c>
      <c r="N18" s="91">
        <f>'7'!N18+'8'!N18+'9'!N18+'10'!N18+'11'!N18+'12'!N18</f>
        <v>0</v>
      </c>
      <c r="O18" s="91">
        <f>'7'!O18+'8'!O18+'9'!O18+'10'!O18+'11'!O18+'12'!O18</f>
        <v>0</v>
      </c>
      <c r="P18" s="91">
        <f>'7'!P18+'8'!P18+'9'!P18+'10'!P18+'11'!P18+'12'!P18</f>
        <v>0</v>
      </c>
      <c r="Q18" s="91">
        <f>'7'!Q18+'8'!Q18+'9'!Q18+'10'!Q18+'11'!Q18+'12'!Q18</f>
        <v>0</v>
      </c>
      <c r="R18" s="91">
        <f>'7'!R18+'8'!R18+'9'!R18+'10'!R18+'11'!R18+'12'!R18</f>
        <v>0</v>
      </c>
      <c r="S18" s="91">
        <f>'7'!S18+'8'!S18+'9'!S18+'10'!S18+'11'!S18+'12'!S18</f>
        <v>0</v>
      </c>
      <c r="T18" s="91">
        <f>'7'!T18+'8'!T18+'9'!T18+'10'!T18+'11'!T18+'12'!T18</f>
        <v>0</v>
      </c>
      <c r="U18" s="91">
        <f>'7'!U18+'8'!U18+'9'!U18+'10'!U18+'11'!U18+'12'!U18</f>
        <v>0</v>
      </c>
      <c r="V18" s="91">
        <f>'7'!V18+'8'!V18+'9'!V18+'10'!V18+'11'!V18+'12'!V18</f>
        <v>0</v>
      </c>
      <c r="W18" s="91">
        <f>'7'!W18+'8'!W18+'9'!W18+'10'!W18+'11'!W18+'12'!W18</f>
        <v>0</v>
      </c>
      <c r="X18" s="91">
        <f>'7'!X18+'8'!X18+'9'!X18+'10'!X18+'11'!X18+'12'!X18</f>
        <v>0</v>
      </c>
      <c r="Y18" s="91">
        <f>'7'!Y18+'8'!Y18+'9'!Y18+'10'!Y18+'11'!Y18+'12'!Y18</f>
        <v>0</v>
      </c>
      <c r="Z18" s="91">
        <f>'7'!Z18+'8'!Z18+'9'!Z18+'10'!Z18+'11'!Z18+'12'!Z18</f>
        <v>0</v>
      </c>
      <c r="AA18" s="91">
        <f>'7'!AA18+'8'!AA18+'9'!AA18+'10'!AA18+'11'!AA18+'12'!AA18</f>
        <v>0</v>
      </c>
      <c r="AB18" s="91">
        <f>'7'!AB18+'8'!AB18+'9'!AB18+'10'!AB18+'11'!AB18+'12'!AB18</f>
        <v>0</v>
      </c>
      <c r="AC18" s="91">
        <f>'7'!AC18+'8'!AC18+'9'!AC18+'10'!AC18+'11'!AC18+'12'!AC18</f>
        <v>0</v>
      </c>
      <c r="AD18" s="91">
        <f>'7'!AD18+'8'!AD18+'9'!AD18+'10'!AD18+'11'!AD18+'12'!AD18</f>
        <v>0</v>
      </c>
      <c r="AE18" s="91">
        <f>'7'!AE18+'8'!AE18+'9'!AE18+'10'!AE18+'11'!AE18+'12'!AE18</f>
        <v>0</v>
      </c>
      <c r="AF18" s="91">
        <f>'7'!AF18+'8'!AF18+'9'!AF18+'10'!AF18+'11'!AF18+'12'!AF18</f>
        <v>0</v>
      </c>
      <c r="AG18" s="91">
        <f>'7'!AG18+'8'!AG18+'9'!AG18+'10'!AG18+'11'!AG18+'12'!AG18</f>
        <v>0</v>
      </c>
      <c r="AH18" s="91">
        <f>'7'!AH18+'8'!AH18+'9'!AH18+'10'!AH18+'11'!AH18+'12'!AH18</f>
        <v>0</v>
      </c>
      <c r="AI18" s="91">
        <f>'7'!AI18+'8'!AI18+'9'!AI18+'10'!AI18+'11'!AI18+'12'!AI18</f>
        <v>0</v>
      </c>
      <c r="AJ18" s="91">
        <f>'7'!AJ18+'8'!AJ18+'9'!AJ18+'10'!AJ18+'11'!AJ18+'12'!AJ18</f>
        <v>0</v>
      </c>
      <c r="AK18" s="91">
        <f>'7'!AK18+'8'!AK18+'9'!AK18+'10'!AK18+'11'!AK18+'12'!AK18</f>
        <v>0</v>
      </c>
      <c r="AL18" s="91">
        <f>'7'!AL18+'8'!AL18+'9'!AL18+'10'!AL18+'11'!AL18+'12'!AL18</f>
        <v>0</v>
      </c>
      <c r="AM18" s="91">
        <f>'7'!AM18+'8'!AM18+'9'!AM18+'10'!AM18+'11'!AM18+'12'!AM18</f>
        <v>0</v>
      </c>
      <c r="AN18" s="91">
        <f>'7'!AN18+'8'!AN18+'9'!AN18+'10'!AN18+'11'!AN18+'12'!AN18</f>
        <v>0</v>
      </c>
      <c r="AO18" s="91">
        <f>'7'!AO18+'8'!AO18+'9'!AO18+'10'!AO18+'11'!AO18+'12'!AO18</f>
        <v>0</v>
      </c>
      <c r="AP18" s="91">
        <f>'7'!AP18+'8'!AP18+'9'!AP18+'10'!AP18+'11'!AP18+'12'!AP18</f>
        <v>0</v>
      </c>
      <c r="AQ18" s="16">
        <f t="shared" si="3"/>
        <v>0</v>
      </c>
      <c r="AR18" s="17">
        <f>N18+P18+R18+AC18+AD18+AE18+AF18+AG18+AH18+AI18+AJ18+AK18+AL18+AM18+AN18+AO18+AP18+T18+V18+AB18</f>
        <v>0</v>
      </c>
      <c r="AS18" s="17"/>
      <c r="AT18" s="91">
        <f>'7'!AT18+'8'!AT18+'9'!AT18+'10'!AT18+'11'!AT18+'12'!AT18</f>
        <v>0</v>
      </c>
      <c r="AU18" s="92">
        <f t="shared" si="4"/>
        <v>0</v>
      </c>
      <c r="AV18" s="92">
        <f t="shared" si="5"/>
        <v>0</v>
      </c>
      <c r="AW18" s="92">
        <f t="shared" si="6"/>
        <v>0</v>
      </c>
      <c r="AX18" s="92">
        <f t="shared" si="7"/>
        <v>0</v>
      </c>
      <c r="AY18" s="82">
        <f t="shared" ref="AY18:AZ22" si="10">IF(K18=0,0,K18/(D18-Y18)/24)</f>
        <v>0</v>
      </c>
      <c r="AZ18" s="82">
        <f t="shared" si="10"/>
        <v>0</v>
      </c>
      <c r="BA18" s="85">
        <f>ROUND(AS18-E18-AR18,4)</f>
        <v>0</v>
      </c>
      <c r="BB18" s="138"/>
      <c r="BC18"/>
    </row>
    <row r="19" spans="1:55" ht="15" hidden="1" customHeight="1" x14ac:dyDescent="0.25">
      <c r="A19" s="68" t="s">
        <v>24</v>
      </c>
      <c r="B19" s="111">
        <v>23</v>
      </c>
      <c r="C19" s="111">
        <v>23</v>
      </c>
      <c r="D19" s="121">
        <f t="shared" si="8"/>
        <v>0</v>
      </c>
      <c r="E19" s="16">
        <f t="shared" si="9"/>
        <v>0</v>
      </c>
      <c r="F19" s="91">
        <f>'7'!F19+'8'!F19+'9'!F19+'10'!F19+'11'!F19+'12'!F19</f>
        <v>0</v>
      </c>
      <c r="G19" s="91">
        <f>'7'!G19+'8'!G19+'9'!G19+'10'!G19+'11'!G19+'12'!G19</f>
        <v>0</v>
      </c>
      <c r="H19" s="135">
        <f>'7'!H19+'8'!H19+'9'!H19+'10'!H19+'11'!H19+'12'!H19</f>
        <v>0</v>
      </c>
      <c r="I19" s="135">
        <f>'7'!I19+'8'!I19+'9'!I19+'10'!I19+'11'!I19+'12'!I19</f>
        <v>0</v>
      </c>
      <c r="J19" s="8" t="s">
        <v>55</v>
      </c>
      <c r="K19" s="133">
        <f>'7'!K19+'8'!K19+'9'!K19+'10'!K19+'11'!K19+'12'!K19</f>
        <v>0</v>
      </c>
      <c r="L19" s="133">
        <f>'7'!L19+'8'!L19+'9'!L19+'10'!L19+'11'!L19+'12'!L19</f>
        <v>0</v>
      </c>
      <c r="M19" s="91">
        <f>'7'!M19+'8'!M19+'9'!M19+'10'!M19+'11'!M19+'12'!M19</f>
        <v>0</v>
      </c>
      <c r="N19" s="91">
        <f>'7'!N19+'8'!N19+'9'!N19+'10'!N19+'11'!N19+'12'!N19</f>
        <v>0</v>
      </c>
      <c r="O19" s="91">
        <f>'7'!O19+'8'!O19+'9'!O19+'10'!O19+'11'!O19+'12'!O19</f>
        <v>0</v>
      </c>
      <c r="P19" s="91">
        <f>'7'!P19+'8'!P19+'9'!P19+'10'!P19+'11'!P19+'12'!P19</f>
        <v>0</v>
      </c>
      <c r="Q19" s="91">
        <f>'7'!Q19+'8'!Q19+'9'!Q19+'10'!Q19+'11'!Q19+'12'!Q19</f>
        <v>0</v>
      </c>
      <c r="R19" s="91">
        <f>'7'!R19+'8'!R19+'9'!R19+'10'!R19+'11'!R19+'12'!R19</f>
        <v>0</v>
      </c>
      <c r="S19" s="91">
        <f>'7'!S19+'8'!S19+'9'!S19+'10'!S19+'11'!S19+'12'!S19</f>
        <v>0</v>
      </c>
      <c r="T19" s="91">
        <f>'7'!T19+'8'!T19+'9'!T19+'10'!T19+'11'!T19+'12'!T19</f>
        <v>0</v>
      </c>
      <c r="U19" s="91">
        <f>'7'!U19+'8'!U19+'9'!U19+'10'!U19+'11'!U19+'12'!U19</f>
        <v>0</v>
      </c>
      <c r="V19" s="91">
        <f>'7'!V19+'8'!V19+'9'!V19+'10'!V19+'11'!V19+'12'!V19</f>
        <v>0</v>
      </c>
      <c r="W19" s="91">
        <f>'7'!W19+'8'!W19+'9'!W19+'10'!W19+'11'!W19+'12'!W19</f>
        <v>0</v>
      </c>
      <c r="X19" s="91">
        <f>'7'!X19+'8'!X19+'9'!X19+'10'!X19+'11'!X19+'12'!X19</f>
        <v>0</v>
      </c>
      <c r="Y19" s="91">
        <f>'7'!Y19+'8'!Y19+'9'!Y19+'10'!Y19+'11'!Y19+'12'!Y19</f>
        <v>0</v>
      </c>
      <c r="Z19" s="91">
        <f>'7'!Z19+'8'!Z19+'9'!Z19+'10'!Z19+'11'!Z19+'12'!Z19</f>
        <v>0</v>
      </c>
      <c r="AA19" s="91">
        <f>'7'!AA19+'8'!AA19+'9'!AA19+'10'!AA19+'11'!AA19+'12'!AA19</f>
        <v>0</v>
      </c>
      <c r="AB19" s="91">
        <f>'7'!AB19+'8'!AB19+'9'!AB19+'10'!AB19+'11'!AB19+'12'!AB19</f>
        <v>0</v>
      </c>
      <c r="AC19" s="91">
        <f>'7'!AC19+'8'!AC19+'9'!AC19+'10'!AC19+'11'!AC19+'12'!AC19</f>
        <v>0</v>
      </c>
      <c r="AD19" s="91">
        <f>'7'!AD19+'8'!AD19+'9'!AD19+'10'!AD19+'11'!AD19+'12'!AD19</f>
        <v>0</v>
      </c>
      <c r="AE19" s="91">
        <f>'7'!AE19+'8'!AE19+'9'!AE19+'10'!AE19+'11'!AE19+'12'!AE19</f>
        <v>0</v>
      </c>
      <c r="AF19" s="91">
        <f>'7'!AF19+'8'!AF19+'9'!AF19+'10'!AF19+'11'!AF19+'12'!AF19</f>
        <v>0</v>
      </c>
      <c r="AG19" s="91">
        <f>'7'!AG19+'8'!AG19+'9'!AG19+'10'!AG19+'11'!AG19+'12'!AG19</f>
        <v>0</v>
      </c>
      <c r="AH19" s="91">
        <f>'7'!AH19+'8'!AH19+'9'!AH19+'10'!AH19+'11'!AH19+'12'!AH19</f>
        <v>0</v>
      </c>
      <c r="AI19" s="91">
        <f>'7'!AI19+'8'!AI19+'9'!AI19+'10'!AI19+'11'!AI19+'12'!AI19</f>
        <v>0</v>
      </c>
      <c r="AJ19" s="91">
        <f>'7'!AJ19+'8'!AJ19+'9'!AJ19+'10'!AJ19+'11'!AJ19+'12'!AJ19</f>
        <v>0</v>
      </c>
      <c r="AK19" s="91">
        <f>'7'!AK19+'8'!AK19+'9'!AK19+'10'!AK19+'11'!AK19+'12'!AK19</f>
        <v>0</v>
      </c>
      <c r="AL19" s="91">
        <f>'7'!AL19+'8'!AL19+'9'!AL19+'10'!AL19+'11'!AL19+'12'!AL19</f>
        <v>0</v>
      </c>
      <c r="AM19" s="91">
        <f>'7'!AM19+'8'!AM19+'9'!AM19+'10'!AM19+'11'!AM19+'12'!AM19</f>
        <v>0</v>
      </c>
      <c r="AN19" s="91">
        <f>'7'!AN19+'8'!AN19+'9'!AN19+'10'!AN19+'11'!AN19+'12'!AN19</f>
        <v>0</v>
      </c>
      <c r="AO19" s="91">
        <f>'7'!AO19+'8'!AO19+'9'!AO19+'10'!AO19+'11'!AO19+'12'!AO19</f>
        <v>0</v>
      </c>
      <c r="AP19" s="91">
        <f>'7'!AP19+'8'!AP19+'9'!AP19+'10'!AP19+'11'!AP19+'12'!AP19</f>
        <v>0</v>
      </c>
      <c r="AQ19" s="16">
        <f t="shared" si="3"/>
        <v>0</v>
      </c>
      <c r="AR19" s="17">
        <f t="shared" ref="AR19:AR59" si="11">N19+P19+R19+AC19+AD19+AE19+AF19+AG19+AH19+AI19+AJ19+AK19+AL19+AM19+AN19+AO19+AP19+T19+V19+AB19</f>
        <v>0</v>
      </c>
      <c r="AS19" s="15"/>
      <c r="AT19" s="91">
        <f>'7'!AT19+'8'!AT19+'9'!AT19+'10'!AT19+'11'!AT19+'12'!AT19</f>
        <v>0</v>
      </c>
      <c r="AU19" s="92">
        <f t="shared" si="4"/>
        <v>0</v>
      </c>
      <c r="AV19" s="92">
        <f t="shared" si="5"/>
        <v>0</v>
      </c>
      <c r="AW19" s="92">
        <f t="shared" si="6"/>
        <v>0</v>
      </c>
      <c r="AX19" s="92">
        <f t="shared" si="7"/>
        <v>0</v>
      </c>
      <c r="AY19" s="18">
        <f t="shared" si="10"/>
        <v>0</v>
      </c>
      <c r="AZ19" s="18">
        <f t="shared" si="10"/>
        <v>0</v>
      </c>
      <c r="BA19" s="74">
        <f>ROUND(AS19-E19-AR19,4)</f>
        <v>0</v>
      </c>
      <c r="BB19" s="139"/>
      <c r="BC19"/>
    </row>
    <row r="20" spans="1:55" ht="15" hidden="1" customHeight="1" x14ac:dyDescent="0.25">
      <c r="A20" s="69" t="s">
        <v>25</v>
      </c>
      <c r="B20" s="112"/>
      <c r="C20" s="112">
        <v>24</v>
      </c>
      <c r="D20" s="121">
        <f t="shared" si="8"/>
        <v>0</v>
      </c>
      <c r="E20" s="16">
        <f t="shared" si="9"/>
        <v>0</v>
      </c>
      <c r="F20" s="91">
        <f>'7'!F20+'8'!F20+'9'!F20+'10'!F20+'11'!F20+'12'!F20</f>
        <v>0</v>
      </c>
      <c r="G20" s="91">
        <f>'7'!G20+'8'!G20+'9'!G20+'10'!G20+'11'!G20+'12'!G20</f>
        <v>0</v>
      </c>
      <c r="H20" s="135">
        <f>'7'!H20+'8'!H20+'9'!H20+'10'!H20+'11'!H20+'12'!H20</f>
        <v>0</v>
      </c>
      <c r="I20" s="135">
        <f>'7'!I20+'8'!I20+'9'!I20+'10'!I20+'11'!I20+'12'!I20</f>
        <v>0</v>
      </c>
      <c r="J20" s="8" t="s">
        <v>55</v>
      </c>
      <c r="K20" s="133">
        <f>'7'!K20+'8'!K20+'9'!K20+'10'!K20+'11'!K20+'12'!K20</f>
        <v>0</v>
      </c>
      <c r="L20" s="133">
        <f>'7'!L20+'8'!L20+'9'!L20+'10'!L20+'11'!L20+'12'!L20</f>
        <v>0</v>
      </c>
      <c r="M20" s="91">
        <f>'7'!M20+'8'!M20+'9'!M20+'10'!M20+'11'!M20+'12'!M20</f>
        <v>0</v>
      </c>
      <c r="N20" s="91">
        <f>'7'!N20+'8'!N20+'9'!N20+'10'!N20+'11'!N20+'12'!N20</f>
        <v>0</v>
      </c>
      <c r="O20" s="91">
        <f>'7'!O20+'8'!O20+'9'!O20+'10'!O20+'11'!O20+'12'!O20</f>
        <v>0</v>
      </c>
      <c r="P20" s="91">
        <f>'7'!P20+'8'!P20+'9'!P20+'10'!P20+'11'!P20+'12'!P20</f>
        <v>0</v>
      </c>
      <c r="Q20" s="91">
        <f>'7'!Q20+'8'!Q20+'9'!Q20+'10'!Q20+'11'!Q20+'12'!Q20</f>
        <v>0</v>
      </c>
      <c r="R20" s="91">
        <f>'7'!R20+'8'!R20+'9'!R20+'10'!R20+'11'!R20+'12'!R20</f>
        <v>0</v>
      </c>
      <c r="S20" s="91">
        <f>'7'!S20+'8'!S20+'9'!S20+'10'!S20+'11'!S20+'12'!S20</f>
        <v>0</v>
      </c>
      <c r="T20" s="91">
        <f>'7'!T20+'8'!T20+'9'!T20+'10'!T20+'11'!T20+'12'!T20</f>
        <v>0</v>
      </c>
      <c r="U20" s="91">
        <f>'7'!U20+'8'!U20+'9'!U20+'10'!U20+'11'!U20+'12'!U20</f>
        <v>0</v>
      </c>
      <c r="V20" s="91">
        <f>'7'!V20+'8'!V20+'9'!V20+'10'!V20+'11'!V20+'12'!V20</f>
        <v>0</v>
      </c>
      <c r="W20" s="91">
        <f>'7'!W20+'8'!W20+'9'!W20+'10'!W20+'11'!W20+'12'!W20</f>
        <v>0</v>
      </c>
      <c r="X20" s="91">
        <f>'7'!X20+'8'!X20+'9'!X20+'10'!X20+'11'!X20+'12'!X20</f>
        <v>0</v>
      </c>
      <c r="Y20" s="91">
        <f>'7'!Y20+'8'!Y20+'9'!Y20+'10'!Y20+'11'!Y20+'12'!Y20</f>
        <v>0</v>
      </c>
      <c r="Z20" s="91">
        <f>'7'!Z20+'8'!Z20+'9'!Z20+'10'!Z20+'11'!Z20+'12'!Z20</f>
        <v>0</v>
      </c>
      <c r="AA20" s="91">
        <f>'7'!AA20+'8'!AA20+'9'!AA20+'10'!AA20+'11'!AA20+'12'!AA20</f>
        <v>0</v>
      </c>
      <c r="AB20" s="91">
        <f>'7'!AB20+'8'!AB20+'9'!AB20+'10'!AB20+'11'!AB20+'12'!AB20</f>
        <v>0</v>
      </c>
      <c r="AC20" s="91">
        <f>'7'!AC20+'8'!AC20+'9'!AC20+'10'!AC20+'11'!AC20+'12'!AC20</f>
        <v>0</v>
      </c>
      <c r="AD20" s="91">
        <f>'7'!AD20+'8'!AD20+'9'!AD20+'10'!AD20+'11'!AD20+'12'!AD20</f>
        <v>0</v>
      </c>
      <c r="AE20" s="91">
        <f>'7'!AE20+'8'!AE20+'9'!AE20+'10'!AE20+'11'!AE20+'12'!AE20</f>
        <v>0</v>
      </c>
      <c r="AF20" s="91">
        <f>'7'!AF20+'8'!AF20+'9'!AF20+'10'!AF20+'11'!AF20+'12'!AF20</f>
        <v>0</v>
      </c>
      <c r="AG20" s="91">
        <f>'7'!AG20+'8'!AG20+'9'!AG20+'10'!AG20+'11'!AG20+'12'!AG20</f>
        <v>0</v>
      </c>
      <c r="AH20" s="91">
        <f>'7'!AH20+'8'!AH20+'9'!AH20+'10'!AH20+'11'!AH20+'12'!AH20</f>
        <v>0</v>
      </c>
      <c r="AI20" s="91">
        <f>'7'!AI20+'8'!AI20+'9'!AI20+'10'!AI20+'11'!AI20+'12'!AI20</f>
        <v>0</v>
      </c>
      <c r="AJ20" s="91">
        <f>'7'!AJ20+'8'!AJ20+'9'!AJ20+'10'!AJ20+'11'!AJ20+'12'!AJ20</f>
        <v>0</v>
      </c>
      <c r="AK20" s="91">
        <f>'7'!AK20+'8'!AK20+'9'!AK20+'10'!AK20+'11'!AK20+'12'!AK20</f>
        <v>0</v>
      </c>
      <c r="AL20" s="91">
        <f>'7'!AL20+'8'!AL20+'9'!AL20+'10'!AL20+'11'!AL20+'12'!AL20</f>
        <v>0</v>
      </c>
      <c r="AM20" s="91">
        <f>'7'!AM20+'8'!AM20+'9'!AM20+'10'!AM20+'11'!AM20+'12'!AM20</f>
        <v>0</v>
      </c>
      <c r="AN20" s="91">
        <f>'7'!AN20+'8'!AN20+'9'!AN20+'10'!AN20+'11'!AN20+'12'!AN20</f>
        <v>0</v>
      </c>
      <c r="AO20" s="91">
        <f>'7'!AO20+'8'!AO20+'9'!AO20+'10'!AO20+'11'!AO20+'12'!AO20</f>
        <v>0</v>
      </c>
      <c r="AP20" s="91">
        <f>'7'!AP20+'8'!AP20+'9'!AP20+'10'!AP20+'11'!AP20+'12'!AP20</f>
        <v>0</v>
      </c>
      <c r="AQ20" s="16">
        <f t="shared" si="3"/>
        <v>0</v>
      </c>
      <c r="AR20" s="17">
        <f t="shared" si="11"/>
        <v>0</v>
      </c>
      <c r="AS20" s="15"/>
      <c r="AT20" s="91">
        <f>'7'!AT20+'8'!AT20+'9'!AT20+'10'!AT20+'11'!AT20+'12'!AT20</f>
        <v>0</v>
      </c>
      <c r="AU20" s="92">
        <f t="shared" si="4"/>
        <v>0</v>
      </c>
      <c r="AV20" s="92">
        <f t="shared" si="5"/>
        <v>0</v>
      </c>
      <c r="AW20" s="92">
        <f t="shared" si="6"/>
        <v>0</v>
      </c>
      <c r="AX20" s="92">
        <f t="shared" si="7"/>
        <v>0</v>
      </c>
      <c r="AY20" s="18">
        <f t="shared" si="10"/>
        <v>0</v>
      </c>
      <c r="AZ20" s="18">
        <f t="shared" si="10"/>
        <v>0</v>
      </c>
      <c r="BA20" s="74">
        <f t="shared" ref="BA20:BA22" si="12">ROUND(AS20-E20-AR20,4)</f>
        <v>0</v>
      </c>
      <c r="BB20" s="139"/>
      <c r="BC20"/>
    </row>
    <row r="21" spans="1:55" ht="15" hidden="1" customHeight="1" x14ac:dyDescent="0.25">
      <c r="A21" s="68" t="s">
        <v>26</v>
      </c>
      <c r="B21" s="111"/>
      <c r="C21" s="111">
        <v>24</v>
      </c>
      <c r="D21" s="121">
        <f t="shared" si="8"/>
        <v>0</v>
      </c>
      <c r="E21" s="16">
        <f t="shared" si="9"/>
        <v>0</v>
      </c>
      <c r="F21" s="91">
        <f>'7'!F21+'8'!F21+'9'!F21+'10'!F21+'11'!F21+'12'!F21</f>
        <v>0</v>
      </c>
      <c r="G21" s="91">
        <f>'7'!G21+'8'!G21+'9'!G21+'10'!G21+'11'!G21+'12'!G21</f>
        <v>0</v>
      </c>
      <c r="H21" s="135">
        <f>'7'!H21+'8'!H21+'9'!H21+'10'!H21+'11'!H21+'12'!H21</f>
        <v>0</v>
      </c>
      <c r="I21" s="135">
        <f>'7'!I21+'8'!I21+'9'!I21+'10'!I21+'11'!I21+'12'!I21</f>
        <v>0</v>
      </c>
      <c r="J21" s="8" t="s">
        <v>55</v>
      </c>
      <c r="K21" s="133">
        <f>'7'!K21+'8'!K21+'9'!K21+'10'!K21+'11'!K21+'12'!K21</f>
        <v>0</v>
      </c>
      <c r="L21" s="133">
        <f>'7'!L21+'8'!L21+'9'!L21+'10'!L21+'11'!L21+'12'!L21</f>
        <v>0</v>
      </c>
      <c r="M21" s="91">
        <f>'7'!M21+'8'!M21+'9'!M21+'10'!M21+'11'!M21+'12'!M21</f>
        <v>0</v>
      </c>
      <c r="N21" s="91">
        <f>'7'!N21+'8'!N21+'9'!N21+'10'!N21+'11'!N21+'12'!N21</f>
        <v>0</v>
      </c>
      <c r="O21" s="91">
        <f>'7'!O21+'8'!O21+'9'!O21+'10'!O21+'11'!O21+'12'!O21</f>
        <v>0</v>
      </c>
      <c r="P21" s="91">
        <f>'7'!P21+'8'!P21+'9'!P21+'10'!P21+'11'!P21+'12'!P21</f>
        <v>0</v>
      </c>
      <c r="Q21" s="91">
        <f>'7'!Q21+'8'!Q21+'9'!Q21+'10'!Q21+'11'!Q21+'12'!Q21</f>
        <v>0</v>
      </c>
      <c r="R21" s="91">
        <f>'7'!R21+'8'!R21+'9'!R21+'10'!R21+'11'!R21+'12'!R21</f>
        <v>0</v>
      </c>
      <c r="S21" s="91">
        <f>'7'!S21+'8'!S21+'9'!S21+'10'!S21+'11'!S21+'12'!S21</f>
        <v>0</v>
      </c>
      <c r="T21" s="91">
        <f>'7'!T21+'8'!T21+'9'!T21+'10'!T21+'11'!T21+'12'!T21</f>
        <v>0</v>
      </c>
      <c r="U21" s="91">
        <f>'7'!U21+'8'!U21+'9'!U21+'10'!U21+'11'!U21+'12'!U21</f>
        <v>0</v>
      </c>
      <c r="V21" s="91">
        <f>'7'!V21+'8'!V21+'9'!V21+'10'!V21+'11'!V21+'12'!V21</f>
        <v>0</v>
      </c>
      <c r="W21" s="91">
        <f>'7'!W21+'8'!W21+'9'!W21+'10'!W21+'11'!W21+'12'!W21</f>
        <v>0</v>
      </c>
      <c r="X21" s="91">
        <f>'7'!X21+'8'!X21+'9'!X21+'10'!X21+'11'!X21+'12'!X21</f>
        <v>0</v>
      </c>
      <c r="Y21" s="91">
        <f>'7'!Y21+'8'!Y21+'9'!Y21+'10'!Y21+'11'!Y21+'12'!Y21</f>
        <v>0</v>
      </c>
      <c r="Z21" s="91">
        <f>'7'!Z21+'8'!Z21+'9'!Z21+'10'!Z21+'11'!Z21+'12'!Z21</f>
        <v>0</v>
      </c>
      <c r="AA21" s="91">
        <f>'7'!AA21+'8'!AA21+'9'!AA21+'10'!AA21+'11'!AA21+'12'!AA21</f>
        <v>0</v>
      </c>
      <c r="AB21" s="91">
        <f>'7'!AB21+'8'!AB21+'9'!AB21+'10'!AB21+'11'!AB21+'12'!AB21</f>
        <v>0</v>
      </c>
      <c r="AC21" s="91">
        <f>'7'!AC21+'8'!AC21+'9'!AC21+'10'!AC21+'11'!AC21+'12'!AC21</f>
        <v>0</v>
      </c>
      <c r="AD21" s="91">
        <f>'7'!AD21+'8'!AD21+'9'!AD21+'10'!AD21+'11'!AD21+'12'!AD21</f>
        <v>0</v>
      </c>
      <c r="AE21" s="91">
        <f>'7'!AE21+'8'!AE21+'9'!AE21+'10'!AE21+'11'!AE21+'12'!AE21</f>
        <v>0</v>
      </c>
      <c r="AF21" s="91">
        <f>'7'!AF21+'8'!AF21+'9'!AF21+'10'!AF21+'11'!AF21+'12'!AF21</f>
        <v>0</v>
      </c>
      <c r="AG21" s="91">
        <f>'7'!AG21+'8'!AG21+'9'!AG21+'10'!AG21+'11'!AG21+'12'!AG21</f>
        <v>0</v>
      </c>
      <c r="AH21" s="91">
        <f>'7'!AH21+'8'!AH21+'9'!AH21+'10'!AH21+'11'!AH21+'12'!AH21</f>
        <v>0</v>
      </c>
      <c r="AI21" s="91">
        <f>'7'!AI21+'8'!AI21+'9'!AI21+'10'!AI21+'11'!AI21+'12'!AI21</f>
        <v>0</v>
      </c>
      <c r="AJ21" s="91">
        <f>'7'!AJ21+'8'!AJ21+'9'!AJ21+'10'!AJ21+'11'!AJ21+'12'!AJ21</f>
        <v>0</v>
      </c>
      <c r="AK21" s="91">
        <f>'7'!AK21+'8'!AK21+'9'!AK21+'10'!AK21+'11'!AK21+'12'!AK21</f>
        <v>0</v>
      </c>
      <c r="AL21" s="91">
        <f>'7'!AL21+'8'!AL21+'9'!AL21+'10'!AL21+'11'!AL21+'12'!AL21</f>
        <v>0</v>
      </c>
      <c r="AM21" s="91">
        <f>'7'!AM21+'8'!AM21+'9'!AM21+'10'!AM21+'11'!AM21+'12'!AM21</f>
        <v>0</v>
      </c>
      <c r="AN21" s="91">
        <f>'7'!AN21+'8'!AN21+'9'!AN21+'10'!AN21+'11'!AN21+'12'!AN21</f>
        <v>0</v>
      </c>
      <c r="AO21" s="91">
        <f>'7'!AO21+'8'!AO21+'9'!AO21+'10'!AO21+'11'!AO21+'12'!AO21</f>
        <v>0</v>
      </c>
      <c r="AP21" s="91">
        <f>'7'!AP21+'8'!AP21+'9'!AP21+'10'!AP21+'11'!AP21+'12'!AP21</f>
        <v>0</v>
      </c>
      <c r="AQ21" s="16">
        <f t="shared" si="3"/>
        <v>0</v>
      </c>
      <c r="AR21" s="17">
        <f t="shared" si="11"/>
        <v>0</v>
      </c>
      <c r="AS21" s="15"/>
      <c r="AT21" s="91">
        <f>'7'!AT21+'8'!AT21+'9'!AT21+'10'!AT21+'11'!AT21+'12'!AT21</f>
        <v>0</v>
      </c>
      <c r="AU21" s="92">
        <f t="shared" si="4"/>
        <v>0</v>
      </c>
      <c r="AV21" s="92">
        <f t="shared" si="5"/>
        <v>0</v>
      </c>
      <c r="AW21" s="92">
        <f t="shared" si="6"/>
        <v>0</v>
      </c>
      <c r="AX21" s="92">
        <f t="shared" si="7"/>
        <v>0</v>
      </c>
      <c r="AY21" s="18">
        <f t="shared" si="10"/>
        <v>0</v>
      </c>
      <c r="AZ21" s="18">
        <f t="shared" si="10"/>
        <v>0</v>
      </c>
      <c r="BA21" s="74">
        <f t="shared" si="12"/>
        <v>0</v>
      </c>
      <c r="BB21" s="139"/>
      <c r="BC21"/>
    </row>
    <row r="22" spans="1:55" ht="15" hidden="1" customHeight="1" x14ac:dyDescent="0.25">
      <c r="A22" s="70" t="s">
        <v>63</v>
      </c>
      <c r="B22" s="113"/>
      <c r="C22" s="113">
        <v>25</v>
      </c>
      <c r="D22" s="121">
        <f t="shared" si="8"/>
        <v>0</v>
      </c>
      <c r="E22" s="16">
        <f t="shared" si="9"/>
        <v>0</v>
      </c>
      <c r="F22" s="91">
        <f>'7'!F22+'8'!F22+'9'!F22+'10'!F22+'11'!F22+'12'!F22</f>
        <v>0</v>
      </c>
      <c r="G22" s="91">
        <f>'7'!G22+'8'!G22+'9'!G22+'10'!G22+'11'!G22+'12'!G22</f>
        <v>0</v>
      </c>
      <c r="H22" s="135">
        <f>'7'!H22+'8'!H22+'9'!H22+'10'!H22+'11'!H22+'12'!H22</f>
        <v>0</v>
      </c>
      <c r="I22" s="135">
        <f>'7'!I22+'8'!I22+'9'!I22+'10'!I22+'11'!I22+'12'!I22</f>
        <v>0</v>
      </c>
      <c r="J22" s="8" t="s">
        <v>55</v>
      </c>
      <c r="K22" s="133">
        <f>'7'!K22+'8'!K22+'9'!K22+'10'!K22+'11'!K22+'12'!K22</f>
        <v>0</v>
      </c>
      <c r="L22" s="133">
        <f>'7'!L22+'8'!L22+'9'!L22+'10'!L22+'11'!L22+'12'!L22</f>
        <v>0</v>
      </c>
      <c r="M22" s="91">
        <f>'7'!M22+'8'!M22+'9'!M22+'10'!M22+'11'!M22+'12'!M22</f>
        <v>0</v>
      </c>
      <c r="N22" s="91">
        <f>'7'!N22+'8'!N22+'9'!N22+'10'!N22+'11'!N22+'12'!N22</f>
        <v>0</v>
      </c>
      <c r="O22" s="91">
        <f>'7'!O22+'8'!O22+'9'!O22+'10'!O22+'11'!O22+'12'!O22</f>
        <v>0</v>
      </c>
      <c r="P22" s="91">
        <f>'7'!P22+'8'!P22+'9'!P22+'10'!P22+'11'!P22+'12'!P22</f>
        <v>0</v>
      </c>
      <c r="Q22" s="91">
        <f>'7'!Q22+'8'!Q22+'9'!Q22+'10'!Q22+'11'!Q22+'12'!Q22</f>
        <v>0</v>
      </c>
      <c r="R22" s="91">
        <f>'7'!R22+'8'!R22+'9'!R22+'10'!R22+'11'!R22+'12'!R22</f>
        <v>0</v>
      </c>
      <c r="S22" s="91">
        <f>'7'!S22+'8'!S22+'9'!S22+'10'!S22+'11'!S22+'12'!S22</f>
        <v>0</v>
      </c>
      <c r="T22" s="91">
        <f>'7'!T22+'8'!T22+'9'!T22+'10'!T22+'11'!T22+'12'!T22</f>
        <v>0</v>
      </c>
      <c r="U22" s="91">
        <f>'7'!U22+'8'!U22+'9'!U22+'10'!U22+'11'!U22+'12'!U22</f>
        <v>0</v>
      </c>
      <c r="V22" s="91">
        <f>'7'!V22+'8'!V22+'9'!V22+'10'!V22+'11'!V22+'12'!V22</f>
        <v>0</v>
      </c>
      <c r="W22" s="91">
        <f>'7'!W22+'8'!W22+'9'!W22+'10'!W22+'11'!W22+'12'!W22</f>
        <v>0</v>
      </c>
      <c r="X22" s="91">
        <f>'7'!X22+'8'!X22+'9'!X22+'10'!X22+'11'!X22+'12'!X22</f>
        <v>0</v>
      </c>
      <c r="Y22" s="91">
        <f>'7'!Y22+'8'!Y22+'9'!Y22+'10'!Y22+'11'!Y22+'12'!Y22</f>
        <v>0</v>
      </c>
      <c r="Z22" s="91">
        <f>'7'!Z22+'8'!Z22+'9'!Z22+'10'!Z22+'11'!Z22+'12'!Z22</f>
        <v>0</v>
      </c>
      <c r="AA22" s="91">
        <f>'7'!AA22+'8'!AA22+'9'!AA22+'10'!AA22+'11'!AA22+'12'!AA22</f>
        <v>0</v>
      </c>
      <c r="AB22" s="91">
        <f>'7'!AB22+'8'!AB22+'9'!AB22+'10'!AB22+'11'!AB22+'12'!AB22</f>
        <v>0</v>
      </c>
      <c r="AC22" s="91">
        <f>'7'!AC22+'8'!AC22+'9'!AC22+'10'!AC22+'11'!AC22+'12'!AC22</f>
        <v>0</v>
      </c>
      <c r="AD22" s="91">
        <f>'7'!AD22+'8'!AD22+'9'!AD22+'10'!AD22+'11'!AD22+'12'!AD22</f>
        <v>0</v>
      </c>
      <c r="AE22" s="91">
        <f>'7'!AE22+'8'!AE22+'9'!AE22+'10'!AE22+'11'!AE22+'12'!AE22</f>
        <v>0</v>
      </c>
      <c r="AF22" s="91">
        <f>'7'!AF22+'8'!AF22+'9'!AF22+'10'!AF22+'11'!AF22+'12'!AF22</f>
        <v>0</v>
      </c>
      <c r="AG22" s="91">
        <f>'7'!AG22+'8'!AG22+'9'!AG22+'10'!AG22+'11'!AG22+'12'!AG22</f>
        <v>0</v>
      </c>
      <c r="AH22" s="91">
        <f>'7'!AH22+'8'!AH22+'9'!AH22+'10'!AH22+'11'!AH22+'12'!AH22</f>
        <v>0</v>
      </c>
      <c r="AI22" s="91">
        <f>'7'!AI22+'8'!AI22+'9'!AI22+'10'!AI22+'11'!AI22+'12'!AI22</f>
        <v>0</v>
      </c>
      <c r="AJ22" s="91">
        <f>'7'!AJ22+'8'!AJ22+'9'!AJ22+'10'!AJ22+'11'!AJ22+'12'!AJ22</f>
        <v>0</v>
      </c>
      <c r="AK22" s="91">
        <f>'7'!AK22+'8'!AK22+'9'!AK22+'10'!AK22+'11'!AK22+'12'!AK22</f>
        <v>0</v>
      </c>
      <c r="AL22" s="91">
        <f>'7'!AL22+'8'!AL22+'9'!AL22+'10'!AL22+'11'!AL22+'12'!AL22</f>
        <v>0</v>
      </c>
      <c r="AM22" s="91">
        <f>'7'!AM22+'8'!AM22+'9'!AM22+'10'!AM22+'11'!AM22+'12'!AM22</f>
        <v>0</v>
      </c>
      <c r="AN22" s="91">
        <f>'7'!AN22+'8'!AN22+'9'!AN22+'10'!AN22+'11'!AN22+'12'!AN22</f>
        <v>0</v>
      </c>
      <c r="AO22" s="91">
        <f>'7'!AO22+'8'!AO22+'9'!AO22+'10'!AO22+'11'!AO22+'12'!AO22</f>
        <v>0</v>
      </c>
      <c r="AP22" s="91">
        <f>'7'!AP22+'8'!AP22+'9'!AP22+'10'!AP22+'11'!AP22+'12'!AP22</f>
        <v>0</v>
      </c>
      <c r="AQ22" s="16">
        <f t="shared" si="3"/>
        <v>0</v>
      </c>
      <c r="AR22" s="17">
        <f t="shared" si="11"/>
        <v>0</v>
      </c>
      <c r="AS22" s="15"/>
      <c r="AT22" s="91">
        <f>'7'!AT22+'8'!AT22+'9'!AT22+'10'!AT22+'11'!AT22+'12'!AT22</f>
        <v>0</v>
      </c>
      <c r="AU22" s="92">
        <f t="shared" si="4"/>
        <v>0</v>
      </c>
      <c r="AV22" s="92">
        <f t="shared" si="5"/>
        <v>0</v>
      </c>
      <c r="AW22" s="92">
        <f t="shared" si="6"/>
        <v>0</v>
      </c>
      <c r="AX22" s="92">
        <f t="shared" si="7"/>
        <v>0</v>
      </c>
      <c r="AY22" s="18">
        <f t="shared" si="10"/>
        <v>0</v>
      </c>
      <c r="AZ22" s="18">
        <f t="shared" si="10"/>
        <v>0</v>
      </c>
      <c r="BA22" s="74">
        <f t="shared" si="12"/>
        <v>0</v>
      </c>
      <c r="BB22" s="139"/>
      <c r="BC22"/>
    </row>
    <row r="23" spans="1:55" ht="15" customHeight="1" thickBot="1" x14ac:dyDescent="0.3">
      <c r="A23" s="90" t="s">
        <v>27</v>
      </c>
      <c r="B23" s="123" t="s">
        <v>148</v>
      </c>
      <c r="C23" s="114">
        <v>17</v>
      </c>
      <c r="D23" s="121">
        <f>AT23*AU23*AW23</f>
        <v>0</v>
      </c>
      <c r="E23" s="16">
        <f>ROUND(AT23*AV23*AX23,4)</f>
        <v>0</v>
      </c>
      <c r="F23" s="91">
        <f>'7'!F23+'8'!F23+'9'!F23+'10'!F23+'11'!F23+'12'!F23</f>
        <v>0</v>
      </c>
      <c r="G23" s="91">
        <f>'7'!G23+'8'!G23+'9'!G23+'10'!G23+'11'!G23+'12'!G23</f>
        <v>0</v>
      </c>
      <c r="H23" s="135">
        <f>'7'!H23+'8'!H23+'9'!H23+'10'!H23+'11'!H23+'12'!H23</f>
        <v>0</v>
      </c>
      <c r="I23" s="135">
        <f>'7'!I23+'8'!I23+'9'!I23+'10'!I23+'11'!I23+'12'!I23</f>
        <v>0</v>
      </c>
      <c r="J23" s="93" t="s">
        <v>55</v>
      </c>
      <c r="K23" s="133">
        <f>'7'!K23+'8'!K23+'9'!K23+'10'!K23+'11'!K23+'12'!K23</f>
        <v>0</v>
      </c>
      <c r="L23" s="133">
        <f>'7'!L23+'8'!L23+'9'!L23+'10'!L23+'11'!L23+'12'!L23</f>
        <v>0</v>
      </c>
      <c r="M23" s="91">
        <f>'7'!M23+'8'!M23+'9'!M23+'10'!M23+'11'!M23+'12'!M23</f>
        <v>0</v>
      </c>
      <c r="N23" s="91">
        <f>'7'!N23+'8'!N23+'9'!N23+'10'!N23+'11'!N23+'12'!N23</f>
        <v>0</v>
      </c>
      <c r="O23" s="91">
        <f>'7'!O23+'8'!O23+'9'!O23+'10'!O23+'11'!O23+'12'!O23</f>
        <v>0</v>
      </c>
      <c r="P23" s="91">
        <f>'7'!P23+'8'!P23+'9'!P23+'10'!P23+'11'!P23+'12'!P23</f>
        <v>0</v>
      </c>
      <c r="Q23" s="91">
        <f>'7'!Q23+'8'!Q23+'9'!Q23+'10'!Q23+'11'!Q23+'12'!Q23</f>
        <v>0</v>
      </c>
      <c r="R23" s="91">
        <f>'7'!R23+'8'!R23+'9'!R23+'10'!R23+'11'!R23+'12'!R23</f>
        <v>0</v>
      </c>
      <c r="S23" s="91">
        <f>'7'!S23+'8'!S23+'9'!S23+'10'!S23+'11'!S23+'12'!S23</f>
        <v>0</v>
      </c>
      <c r="T23" s="91">
        <f>'7'!T23+'8'!T23+'9'!T23+'10'!T23+'11'!T23+'12'!T23</f>
        <v>0</v>
      </c>
      <c r="U23" s="91">
        <f>'7'!U23+'8'!U23+'9'!U23+'10'!U23+'11'!U23+'12'!U23</f>
        <v>0</v>
      </c>
      <c r="V23" s="91">
        <f>'7'!V23+'8'!V23+'9'!V23+'10'!V23+'11'!V23+'12'!V23</f>
        <v>0</v>
      </c>
      <c r="W23" s="91">
        <f>'7'!W23+'8'!W23+'9'!W23+'10'!W23+'11'!W23+'12'!W23</f>
        <v>0</v>
      </c>
      <c r="X23" s="91">
        <f>'7'!X23+'8'!X23+'9'!X23+'10'!X23+'11'!X23+'12'!X23</f>
        <v>0</v>
      </c>
      <c r="Y23" s="91">
        <f>'7'!Y23+'8'!Y23+'9'!Y23+'10'!Y23+'11'!Y23+'12'!Y23</f>
        <v>0</v>
      </c>
      <c r="Z23" s="91">
        <f>'7'!Z23+'8'!Z23+'9'!Z23+'10'!Z23+'11'!Z23+'12'!Z23</f>
        <v>0</v>
      </c>
      <c r="AA23" s="91">
        <f>'7'!AA23+'8'!AA23+'9'!AA23+'10'!AA23+'11'!AA23+'12'!AA23</f>
        <v>0</v>
      </c>
      <c r="AB23" s="91">
        <f>'7'!AB23+'8'!AB23+'9'!AB23+'10'!AB23+'11'!AB23+'12'!AB23</f>
        <v>0</v>
      </c>
      <c r="AC23" s="91">
        <f>'7'!AC23+'8'!AC23+'9'!AC23+'10'!AC23+'11'!AC23+'12'!AC23</f>
        <v>0</v>
      </c>
      <c r="AD23" s="91">
        <f>'7'!AD23+'8'!AD23+'9'!AD23+'10'!AD23+'11'!AD23+'12'!AD23</f>
        <v>0</v>
      </c>
      <c r="AE23" s="91">
        <f>'7'!AE23+'8'!AE23+'9'!AE23+'10'!AE23+'11'!AE23+'12'!AE23</f>
        <v>0</v>
      </c>
      <c r="AF23" s="91">
        <f>'7'!AF23+'8'!AF23+'9'!AF23+'10'!AF23+'11'!AF23+'12'!AF23</f>
        <v>0</v>
      </c>
      <c r="AG23" s="91">
        <f>'7'!AG23+'8'!AG23+'9'!AG23+'10'!AG23+'11'!AG23+'12'!AG23</f>
        <v>0</v>
      </c>
      <c r="AH23" s="91">
        <f>'7'!AH23+'8'!AH23+'9'!AH23+'10'!AH23+'11'!AH23+'12'!AH23</f>
        <v>0</v>
      </c>
      <c r="AI23" s="91">
        <f>'7'!AI23+'8'!AI23+'9'!AI23+'10'!AI23+'11'!AI23+'12'!AI23</f>
        <v>0</v>
      </c>
      <c r="AJ23" s="91">
        <f>'7'!AJ23+'8'!AJ23+'9'!AJ23+'10'!AJ23+'11'!AJ23+'12'!AJ23</f>
        <v>0</v>
      </c>
      <c r="AK23" s="91">
        <f>'7'!AK23+'8'!AK23+'9'!AK23+'10'!AK23+'11'!AK23+'12'!AK23</f>
        <v>0</v>
      </c>
      <c r="AL23" s="91">
        <f>'7'!AL23+'8'!AL23+'9'!AL23+'10'!AL23+'11'!AL23+'12'!AL23</f>
        <v>0</v>
      </c>
      <c r="AM23" s="91">
        <f>'7'!AM23+'8'!AM23+'9'!AM23+'10'!AM23+'11'!AM23+'12'!AM23</f>
        <v>0</v>
      </c>
      <c r="AN23" s="91">
        <f>'7'!AN23+'8'!AN23+'9'!AN23+'10'!AN23+'11'!AN23+'12'!AN23</f>
        <v>0</v>
      </c>
      <c r="AO23" s="91">
        <f>'7'!AO23+'8'!AO23+'9'!AO23+'10'!AO23+'11'!AO23+'12'!AO23</f>
        <v>0</v>
      </c>
      <c r="AP23" s="91">
        <f>'7'!AP23+'8'!AP23+'9'!AP23+'10'!AP23+'11'!AP23+'12'!AP23</f>
        <v>0</v>
      </c>
      <c r="AQ23" s="16">
        <f t="shared" si="3"/>
        <v>0</v>
      </c>
      <c r="AR23" s="17">
        <f t="shared" si="11"/>
        <v>0</v>
      </c>
      <c r="AS23" s="91">
        <f>AT23</f>
        <v>0</v>
      </c>
      <c r="AT23" s="91">
        <f>'7'!AT23+'8'!AT23+'9'!AT23+'10'!AT23+'11'!AT23+'12'!AT23</f>
        <v>0</v>
      </c>
      <c r="AU23" s="92">
        <f>IF(AT23-AQ23=0,0,(AT23-M23-O23-Q23)/AT23)</f>
        <v>0</v>
      </c>
      <c r="AV23" s="92">
        <f>IF(AT23=0,0,(AT23-N23-P23-R23-AC23-AD23-AE23-AF23-AG23-AH23-AI23-AJ23-AL23)/AT23)</f>
        <v>0</v>
      </c>
      <c r="AW23" s="92">
        <f>IF(OR(AT23=0,AU23=0),0,((AT23*AU23)-S23-U23-W23-AA23-Y23)/(AT23*AU23))</f>
        <v>0</v>
      </c>
      <c r="AX23" s="92">
        <f>IF(OR(AT23=0,AV23=0),0,((AT23*AV23)-AK23-AM23-AN23-AO23-AP23-T23-V23-X23-Z23-AB23)/(AT23*AV23))</f>
        <v>0</v>
      </c>
      <c r="AY23" s="92">
        <f>IF(D23=0,0,K23/D23/24)</f>
        <v>0</v>
      </c>
      <c r="AZ23" s="92">
        <f>IF(E23=0,0,L23/E23/24)</f>
        <v>0</v>
      </c>
      <c r="BA23" s="95">
        <f>ROUND(AT23-E23-AR23,4)</f>
        <v>0</v>
      </c>
      <c r="BB23" s="140"/>
      <c r="BC23"/>
    </row>
    <row r="24" spans="1:55" ht="15" customHeight="1" thickBot="1" x14ac:dyDescent="0.3">
      <c r="A24" s="87" t="s">
        <v>80</v>
      </c>
      <c r="B24" s="124"/>
      <c r="C24" s="87"/>
      <c r="D24" s="129">
        <f t="shared" ref="D24" si="13">SUM(D25:D41)</f>
        <v>0</v>
      </c>
      <c r="E24" s="129">
        <f>SUM(E25:E41)</f>
        <v>0</v>
      </c>
      <c r="F24" s="129">
        <f>SUM(F25:F41)</f>
        <v>0</v>
      </c>
      <c r="G24" s="129">
        <f t="shared" ref="G24:AP24" si="14">SUM(G25:G41)</f>
        <v>0</v>
      </c>
      <c r="H24" s="131">
        <f t="shared" si="14"/>
        <v>0</v>
      </c>
      <c r="I24" s="131">
        <f t="shared" si="14"/>
        <v>0</v>
      </c>
      <c r="J24" s="129">
        <f t="shared" si="14"/>
        <v>0</v>
      </c>
      <c r="K24" s="130">
        <f t="shared" si="14"/>
        <v>0</v>
      </c>
      <c r="L24" s="130">
        <f t="shared" si="14"/>
        <v>0</v>
      </c>
      <c r="M24" s="129">
        <f t="shared" si="14"/>
        <v>0</v>
      </c>
      <c r="N24" s="129">
        <f t="shared" si="14"/>
        <v>0</v>
      </c>
      <c r="O24" s="129">
        <f t="shared" si="14"/>
        <v>0</v>
      </c>
      <c r="P24" s="129">
        <f t="shared" si="14"/>
        <v>0</v>
      </c>
      <c r="Q24" s="129">
        <f t="shared" si="14"/>
        <v>0</v>
      </c>
      <c r="R24" s="129">
        <f t="shared" si="14"/>
        <v>0</v>
      </c>
      <c r="S24" s="129">
        <f t="shared" si="14"/>
        <v>0</v>
      </c>
      <c r="T24" s="129">
        <f t="shared" si="14"/>
        <v>0</v>
      </c>
      <c r="U24" s="129">
        <f t="shared" si="14"/>
        <v>0</v>
      </c>
      <c r="V24" s="129">
        <f t="shared" si="14"/>
        <v>0</v>
      </c>
      <c r="W24" s="129">
        <f t="shared" si="14"/>
        <v>0</v>
      </c>
      <c r="X24" s="129">
        <f t="shared" si="14"/>
        <v>0</v>
      </c>
      <c r="Y24" s="129">
        <f t="shared" si="14"/>
        <v>0</v>
      </c>
      <c r="Z24" s="129">
        <f t="shared" si="14"/>
        <v>0</v>
      </c>
      <c r="AA24" s="129">
        <f t="shared" si="14"/>
        <v>0</v>
      </c>
      <c r="AB24" s="129">
        <f t="shared" si="14"/>
        <v>0</v>
      </c>
      <c r="AC24" s="129">
        <f t="shared" si="14"/>
        <v>0</v>
      </c>
      <c r="AD24" s="129">
        <f t="shared" si="14"/>
        <v>0</v>
      </c>
      <c r="AE24" s="129">
        <f t="shared" si="14"/>
        <v>0</v>
      </c>
      <c r="AF24" s="129">
        <f t="shared" si="14"/>
        <v>0</v>
      </c>
      <c r="AG24" s="129">
        <f t="shared" si="14"/>
        <v>0</v>
      </c>
      <c r="AH24" s="129">
        <f t="shared" si="14"/>
        <v>0</v>
      </c>
      <c r="AI24" s="129">
        <f t="shared" si="14"/>
        <v>0</v>
      </c>
      <c r="AJ24" s="129">
        <f t="shared" si="14"/>
        <v>0</v>
      </c>
      <c r="AK24" s="129">
        <f t="shared" si="14"/>
        <v>0</v>
      </c>
      <c r="AL24" s="129">
        <f>SUM(AL25:AL41)</f>
        <v>0</v>
      </c>
      <c r="AM24" s="129">
        <f t="shared" si="14"/>
        <v>0</v>
      </c>
      <c r="AN24" s="129">
        <f t="shared" si="14"/>
        <v>0</v>
      </c>
      <c r="AO24" s="129">
        <f t="shared" si="14"/>
        <v>0</v>
      </c>
      <c r="AP24" s="129">
        <f t="shared" si="14"/>
        <v>0</v>
      </c>
      <c r="AQ24" s="129">
        <f t="shared" si="3"/>
        <v>0</v>
      </c>
      <c r="AR24" s="129">
        <f t="shared" si="11"/>
        <v>0</v>
      </c>
      <c r="AS24" s="129">
        <f t="shared" ref="AS24:AS59" si="15">AT24</f>
        <v>0</v>
      </c>
      <c r="AT24" s="129">
        <f>SUM(AT25:AT41)</f>
        <v>0</v>
      </c>
      <c r="AU24" s="131">
        <f t="shared" ref="AU24:AU59" si="16">IF(AT24-AQ24=0,0,(AT24-M24-O24-Q24)/AT24)</f>
        <v>0</v>
      </c>
      <c r="AV24" s="131">
        <f t="shared" si="5"/>
        <v>0</v>
      </c>
      <c r="AW24" s="131">
        <f t="shared" ref="AW24:AW59" si="17">IF(OR(AT24=0,AU24=0),0,((AT24*AU24)-S24-U24-W24-AA24-Y24)/(AT24*AU24))</f>
        <v>0</v>
      </c>
      <c r="AX24" s="131">
        <f t="shared" ref="AX24:AX59" si="18">IF(OR(AT24=0,AV24=0),0,((AT24*AV24)-AK24-AM24-AN24-AO24-AP24-T24-V24-X24-Z24-AB24)/(AT24*AV24))</f>
        <v>0</v>
      </c>
      <c r="AY24" s="131">
        <f>SUM(AY25:AY41)</f>
        <v>0</v>
      </c>
      <c r="AZ24" s="131">
        <f>SUM(AZ25:AZ41)</f>
        <v>0</v>
      </c>
      <c r="BA24" s="129">
        <f t="shared" ref="BA24:BA59" si="19">ROUND(AT24-E24-AR24,4)</f>
        <v>0</v>
      </c>
      <c r="BB24" s="141"/>
      <c r="BC24"/>
    </row>
    <row r="25" spans="1:55" ht="15" hidden="1" customHeight="1" x14ac:dyDescent="0.25">
      <c r="A25" s="97" t="s">
        <v>28</v>
      </c>
      <c r="B25" s="115"/>
      <c r="C25" s="115">
        <v>30</v>
      </c>
      <c r="D25" s="121">
        <f>AT25*AU25*AW25</f>
        <v>0</v>
      </c>
      <c r="E25" s="16">
        <f>ROUND(AT25*AV25*AX25,4)</f>
        <v>0</v>
      </c>
      <c r="F25" s="91">
        <f>'7'!F25+'8'!F25+'9'!F25+'10'!F25+'11'!F25+'12'!F25</f>
        <v>0</v>
      </c>
      <c r="G25" s="91">
        <f>'7'!G25+'8'!G25+'9'!G25+'10'!G25+'11'!G25+'12'!G25</f>
        <v>0</v>
      </c>
      <c r="H25" s="135">
        <f>'7'!H25+'8'!H25+'9'!H25+'10'!H25+'11'!H25+'12'!H25</f>
        <v>0</v>
      </c>
      <c r="I25" s="135">
        <f>'7'!I25+'8'!I25+'9'!I25+'10'!I25+'11'!I25+'12'!I25</f>
        <v>0</v>
      </c>
      <c r="J25" s="98" t="s">
        <v>68</v>
      </c>
      <c r="K25" s="133">
        <f>'7'!K25+'8'!K25+'9'!K25+'10'!K25+'11'!K25+'12'!K25</f>
        <v>0</v>
      </c>
      <c r="L25" s="133">
        <f>'7'!L25+'8'!L25+'9'!L25+'10'!L25+'11'!L25+'12'!L25</f>
        <v>0</v>
      </c>
      <c r="M25" s="91">
        <f>'7'!M25+'8'!M25+'9'!M25+'10'!M25+'11'!M25+'12'!M25</f>
        <v>0</v>
      </c>
      <c r="N25" s="91">
        <f>'7'!N25+'8'!N25+'9'!N25+'10'!N25+'11'!N25+'12'!N25</f>
        <v>0</v>
      </c>
      <c r="O25" s="91">
        <f>'7'!O25+'8'!O25+'9'!O25+'10'!O25+'11'!O25+'12'!O25</f>
        <v>0</v>
      </c>
      <c r="P25" s="91">
        <f>'7'!P25+'8'!P25+'9'!P25+'10'!P25+'11'!P25+'12'!P25</f>
        <v>0</v>
      </c>
      <c r="Q25" s="91">
        <f>'7'!Q25+'8'!Q25+'9'!Q25+'10'!Q25+'11'!Q25+'12'!Q25</f>
        <v>0</v>
      </c>
      <c r="R25" s="91">
        <f>'7'!R25+'8'!R25+'9'!R25+'10'!R25+'11'!R25+'12'!R25</f>
        <v>0</v>
      </c>
      <c r="S25" s="91">
        <f>'7'!S25+'8'!S25+'9'!S25+'10'!S25+'11'!S25+'12'!S25</f>
        <v>0</v>
      </c>
      <c r="T25" s="91">
        <f>'7'!T25+'8'!T25+'9'!T25+'10'!T25+'11'!T25+'12'!T25</f>
        <v>0</v>
      </c>
      <c r="U25" s="91">
        <f>'7'!U25+'8'!U25+'9'!U25+'10'!U25+'11'!U25+'12'!U25</f>
        <v>0</v>
      </c>
      <c r="V25" s="91">
        <f>'7'!V25+'8'!V25+'9'!V25+'10'!V25+'11'!V25+'12'!V25</f>
        <v>0</v>
      </c>
      <c r="W25" s="91">
        <f>'7'!W25+'8'!W25+'9'!W25+'10'!W25+'11'!W25+'12'!W25</f>
        <v>0</v>
      </c>
      <c r="X25" s="91">
        <f>'7'!X25+'8'!X25+'9'!X25+'10'!X25+'11'!X25+'12'!X25</f>
        <v>0</v>
      </c>
      <c r="Y25" s="91">
        <f>'7'!Y25+'8'!Y25+'9'!Y25+'10'!Y25+'11'!Y25+'12'!Y25</f>
        <v>0</v>
      </c>
      <c r="Z25" s="91">
        <f>'7'!Z25+'8'!Z25+'9'!Z25+'10'!Z25+'11'!Z25+'12'!Z25</f>
        <v>0</v>
      </c>
      <c r="AA25" s="91">
        <f>'7'!AA25+'8'!AA25+'9'!AA25+'10'!AA25+'11'!AA25+'12'!AA25</f>
        <v>0</v>
      </c>
      <c r="AB25" s="91">
        <f>'7'!AB25+'8'!AB25+'9'!AB25+'10'!AB25+'11'!AB25+'12'!AB25</f>
        <v>0</v>
      </c>
      <c r="AC25" s="91">
        <f>'7'!AC25+'8'!AC25+'9'!AC25+'10'!AC25+'11'!AC25+'12'!AC25</f>
        <v>0</v>
      </c>
      <c r="AD25" s="91">
        <f>'7'!AD25+'8'!AD25+'9'!AD25+'10'!AD25+'11'!AD25+'12'!AD25</f>
        <v>0</v>
      </c>
      <c r="AE25" s="91">
        <f>'7'!AE25+'8'!AE25+'9'!AE25+'10'!AE25+'11'!AE25+'12'!AE25</f>
        <v>0</v>
      </c>
      <c r="AF25" s="91">
        <f>'7'!AF25+'8'!AF25+'9'!AF25+'10'!AF25+'11'!AF25+'12'!AF25</f>
        <v>0</v>
      </c>
      <c r="AG25" s="91">
        <f>'7'!AG25+'8'!AG25+'9'!AG25+'10'!AG25+'11'!AG25+'12'!AG25</f>
        <v>0</v>
      </c>
      <c r="AH25" s="91">
        <f>'7'!AH25+'8'!AH25+'9'!AH25+'10'!AH25+'11'!AH25+'12'!AH25</f>
        <v>0</v>
      </c>
      <c r="AI25" s="91">
        <f>'7'!AI25+'8'!AI25+'9'!AI25+'10'!AI25+'11'!AI25+'12'!AI25</f>
        <v>0</v>
      </c>
      <c r="AJ25" s="91">
        <f>'7'!AJ25+'8'!AJ25+'9'!AJ25+'10'!AJ25+'11'!AJ25+'12'!AJ25</f>
        <v>0</v>
      </c>
      <c r="AK25" s="91">
        <f>'7'!AK25+'8'!AK25+'9'!AK25+'10'!AK25+'11'!AK25+'12'!AK25</f>
        <v>0</v>
      </c>
      <c r="AL25" s="91">
        <f>'7'!AL25+'8'!AL25+'9'!AL25+'10'!AL25+'11'!AL25+'12'!AL25</f>
        <v>0</v>
      </c>
      <c r="AM25" s="91">
        <f>'7'!AM25+'8'!AM25+'9'!AM25+'10'!AM25+'11'!AM25+'12'!AM25</f>
        <v>0</v>
      </c>
      <c r="AN25" s="91">
        <f>'7'!AN25+'8'!AN25+'9'!AN25+'10'!AN25+'11'!AN25+'12'!AN25</f>
        <v>0</v>
      </c>
      <c r="AO25" s="91">
        <f>'7'!AO25+'8'!AO25+'9'!AO25+'10'!AO25+'11'!AO25+'12'!AO25</f>
        <v>0</v>
      </c>
      <c r="AP25" s="91">
        <f>'7'!AP25+'8'!AP25+'9'!AP25+'10'!AP25+'11'!AP25+'12'!AP25</f>
        <v>0</v>
      </c>
      <c r="AQ25" s="16">
        <f t="shared" si="3"/>
        <v>0</v>
      </c>
      <c r="AR25" s="17">
        <f t="shared" si="11"/>
        <v>0</v>
      </c>
      <c r="AS25" s="91">
        <f t="shared" si="15"/>
        <v>0</v>
      </c>
      <c r="AT25" s="91">
        <f>'7'!AT25+'8'!AT25+'9'!AT25+'10'!AT25+'11'!AT25+'12'!AT25</f>
        <v>0</v>
      </c>
      <c r="AU25" s="92">
        <f t="shared" si="16"/>
        <v>0</v>
      </c>
      <c r="AV25" s="92">
        <f t="shared" si="5"/>
        <v>0</v>
      </c>
      <c r="AW25" s="92">
        <f t="shared" si="17"/>
        <v>0</v>
      </c>
      <c r="AX25" s="92">
        <f t="shared" si="18"/>
        <v>0</v>
      </c>
      <c r="AY25" s="82">
        <f t="shared" ref="AY25:AZ41" si="20">IF(D25=0,0,K25/D25/24)</f>
        <v>0</v>
      </c>
      <c r="AZ25" s="82">
        <f t="shared" si="20"/>
        <v>0</v>
      </c>
      <c r="BA25" s="95">
        <f t="shared" si="19"/>
        <v>0</v>
      </c>
      <c r="BB25" s="138"/>
      <c r="BC25"/>
    </row>
    <row r="26" spans="1:55" ht="15" customHeight="1" x14ac:dyDescent="0.25">
      <c r="A26" s="71" t="s">
        <v>29</v>
      </c>
      <c r="B26" s="123" t="s">
        <v>137</v>
      </c>
      <c r="C26" s="112">
        <v>32</v>
      </c>
      <c r="D26" s="121">
        <f>AT26*AU26*AW26</f>
        <v>0</v>
      </c>
      <c r="E26" s="16">
        <f>ROUND(AT26*AV26*AX26,4)</f>
        <v>0</v>
      </c>
      <c r="F26" s="91">
        <f>'7'!F26+'8'!F26+'9'!F26+'10'!F26+'11'!F26+'12'!F26</f>
        <v>0</v>
      </c>
      <c r="G26" s="91">
        <f>'7'!G26+'8'!G26+'9'!G26+'10'!G26+'11'!G26+'12'!G26</f>
        <v>0</v>
      </c>
      <c r="H26" s="135">
        <f>'7'!H26+'8'!H26+'9'!H26+'10'!H26+'11'!H26+'12'!H26</f>
        <v>0</v>
      </c>
      <c r="I26" s="135">
        <f>'7'!I26+'8'!I26+'9'!I26+'10'!I26+'11'!I26+'12'!I26</f>
        <v>0</v>
      </c>
      <c r="J26" s="9" t="s">
        <v>68</v>
      </c>
      <c r="K26" s="133">
        <f>'7'!K26+'8'!K26+'9'!K26+'10'!K26+'11'!K26+'12'!K26</f>
        <v>0</v>
      </c>
      <c r="L26" s="133">
        <f>'7'!L26+'8'!L26+'9'!L26+'10'!L26+'11'!L26+'12'!L26</f>
        <v>0</v>
      </c>
      <c r="M26" s="91">
        <f>'7'!M26+'8'!M26+'9'!M26+'10'!M26+'11'!M26+'12'!M26</f>
        <v>0</v>
      </c>
      <c r="N26" s="91">
        <f>'7'!N26+'8'!N26+'9'!N26+'10'!N26+'11'!N26+'12'!N26</f>
        <v>0</v>
      </c>
      <c r="O26" s="91">
        <f>'7'!O26+'8'!O26+'9'!O26+'10'!O26+'11'!O26+'12'!O26</f>
        <v>0</v>
      </c>
      <c r="P26" s="91">
        <f>'7'!P26+'8'!P26+'9'!P26+'10'!P26+'11'!P26+'12'!P26</f>
        <v>0</v>
      </c>
      <c r="Q26" s="91">
        <f>'7'!Q26+'8'!Q26+'9'!Q26+'10'!Q26+'11'!Q26+'12'!Q26</f>
        <v>0</v>
      </c>
      <c r="R26" s="91">
        <f>'7'!R26+'8'!R26+'9'!R26+'10'!R26+'11'!R26+'12'!R26</f>
        <v>0</v>
      </c>
      <c r="S26" s="91">
        <f>'7'!S26+'8'!S26+'9'!S26+'10'!S26+'11'!S26+'12'!S26</f>
        <v>0</v>
      </c>
      <c r="T26" s="91">
        <f>'7'!T26+'8'!T26+'9'!T26+'10'!T26+'11'!T26+'12'!T26</f>
        <v>0</v>
      </c>
      <c r="U26" s="91">
        <f>'7'!U26+'8'!U26+'9'!U26+'10'!U26+'11'!U26+'12'!U26</f>
        <v>0</v>
      </c>
      <c r="V26" s="91">
        <f>'7'!V26+'8'!V26+'9'!V26+'10'!V26+'11'!V26+'12'!V26</f>
        <v>0</v>
      </c>
      <c r="W26" s="91">
        <f>'7'!W26+'8'!W26+'9'!W26+'10'!W26+'11'!W26+'12'!W26</f>
        <v>0</v>
      </c>
      <c r="X26" s="91">
        <f>'7'!X26+'8'!X26+'9'!X26+'10'!X26+'11'!X26+'12'!X26</f>
        <v>0</v>
      </c>
      <c r="Y26" s="91">
        <f>'7'!Y26+'8'!Y26+'9'!Y26+'10'!Y26+'11'!Y26+'12'!Y26</f>
        <v>0</v>
      </c>
      <c r="Z26" s="91">
        <f>'7'!Z26+'8'!Z26+'9'!Z26+'10'!Z26+'11'!Z26+'12'!Z26</f>
        <v>0</v>
      </c>
      <c r="AA26" s="91">
        <f>'7'!AA26+'8'!AA26+'9'!AA26+'10'!AA26+'11'!AA26+'12'!AA26</f>
        <v>0</v>
      </c>
      <c r="AB26" s="91">
        <f>'7'!AB26+'8'!AB26+'9'!AB26+'10'!AB26+'11'!AB26+'12'!AB26</f>
        <v>0</v>
      </c>
      <c r="AC26" s="91">
        <f>'7'!AC26+'8'!AC26+'9'!AC26+'10'!AC26+'11'!AC26+'12'!AC26</f>
        <v>0</v>
      </c>
      <c r="AD26" s="91">
        <f>'7'!AD26+'8'!AD26+'9'!AD26+'10'!AD26+'11'!AD26+'12'!AD26</f>
        <v>0</v>
      </c>
      <c r="AE26" s="91">
        <f>'7'!AE26+'8'!AE26+'9'!AE26+'10'!AE26+'11'!AE26+'12'!AE26</f>
        <v>0</v>
      </c>
      <c r="AF26" s="91">
        <f>'7'!AF26+'8'!AF26+'9'!AF26+'10'!AF26+'11'!AF26+'12'!AF26</f>
        <v>0</v>
      </c>
      <c r="AG26" s="91">
        <f>'7'!AG26+'8'!AG26+'9'!AG26+'10'!AG26+'11'!AG26+'12'!AG26</f>
        <v>0</v>
      </c>
      <c r="AH26" s="91">
        <f>'7'!AH26+'8'!AH26+'9'!AH26+'10'!AH26+'11'!AH26+'12'!AH26</f>
        <v>0</v>
      </c>
      <c r="AI26" s="91">
        <f>'7'!AI26+'8'!AI26+'9'!AI26+'10'!AI26+'11'!AI26+'12'!AI26</f>
        <v>0</v>
      </c>
      <c r="AJ26" s="91">
        <f>'7'!AJ26+'8'!AJ26+'9'!AJ26+'10'!AJ26+'11'!AJ26+'12'!AJ26</f>
        <v>0</v>
      </c>
      <c r="AK26" s="91">
        <f>'7'!AK26+'8'!AK26+'9'!AK26+'10'!AK26+'11'!AK26+'12'!AK26</f>
        <v>0</v>
      </c>
      <c r="AL26" s="91">
        <f>'7'!AL26+'8'!AL26+'9'!AL26+'10'!AL26+'11'!AL26+'12'!AL26</f>
        <v>0</v>
      </c>
      <c r="AM26" s="91">
        <f>'7'!AM26+'8'!AM26+'9'!AM26+'10'!AM26+'11'!AM26+'12'!AM26</f>
        <v>0</v>
      </c>
      <c r="AN26" s="91">
        <f>'7'!AN26+'8'!AN26+'9'!AN26+'10'!AN26+'11'!AN26+'12'!AN26</f>
        <v>0</v>
      </c>
      <c r="AO26" s="91">
        <f>'7'!AO26+'8'!AO26+'9'!AO26+'10'!AO26+'11'!AO26+'12'!AO26</f>
        <v>0</v>
      </c>
      <c r="AP26" s="91">
        <f>'7'!AP26+'8'!AP26+'9'!AP26+'10'!AP26+'11'!AP26+'12'!AP26</f>
        <v>0</v>
      </c>
      <c r="AQ26" s="16">
        <f t="shared" si="3"/>
        <v>0</v>
      </c>
      <c r="AR26" s="17">
        <f t="shared" si="11"/>
        <v>0</v>
      </c>
      <c r="AS26" s="91">
        <f t="shared" si="15"/>
        <v>0</v>
      </c>
      <c r="AT26" s="91">
        <f>'7'!AT26+'8'!AT26+'9'!AT26+'10'!AT26+'11'!AT26+'12'!AT26</f>
        <v>0</v>
      </c>
      <c r="AU26" s="92">
        <f t="shared" si="16"/>
        <v>0</v>
      </c>
      <c r="AV26" s="92">
        <f t="shared" si="5"/>
        <v>0</v>
      </c>
      <c r="AW26" s="92">
        <f t="shared" si="17"/>
        <v>0</v>
      </c>
      <c r="AX26" s="92">
        <f t="shared" si="18"/>
        <v>0</v>
      </c>
      <c r="AY26" s="82">
        <f t="shared" si="20"/>
        <v>0</v>
      </c>
      <c r="AZ26" s="82">
        <f t="shared" si="20"/>
        <v>0</v>
      </c>
      <c r="BA26" s="95">
        <f t="shared" si="19"/>
        <v>0</v>
      </c>
      <c r="BB26" s="139"/>
      <c r="BC26"/>
    </row>
    <row r="27" spans="1:55" ht="15" customHeight="1" thickBot="1" x14ac:dyDescent="0.3">
      <c r="A27" s="71" t="s">
        <v>30</v>
      </c>
      <c r="B27" s="123" t="s">
        <v>138</v>
      </c>
      <c r="C27" s="112">
        <v>35</v>
      </c>
      <c r="D27" s="121">
        <f>AT27*AU27*AW27</f>
        <v>0</v>
      </c>
      <c r="E27" s="16">
        <f>ROUND(AT27*AV27*AX27,4)</f>
        <v>0</v>
      </c>
      <c r="F27" s="91">
        <f>'7'!F27+'8'!F27+'9'!F27+'10'!F27+'11'!F27+'12'!F27</f>
        <v>0</v>
      </c>
      <c r="G27" s="91">
        <f>'7'!G27+'8'!G27+'9'!G27+'10'!G27+'11'!G27+'12'!G27</f>
        <v>0</v>
      </c>
      <c r="H27" s="135">
        <f>'7'!H27+'8'!H27+'9'!H27+'10'!H27+'11'!H27+'12'!H27</f>
        <v>0</v>
      </c>
      <c r="I27" s="135">
        <f>'7'!I27+'8'!I27+'9'!I27+'10'!I27+'11'!I27+'12'!I27</f>
        <v>0</v>
      </c>
      <c r="J27" s="9" t="s">
        <v>68</v>
      </c>
      <c r="K27" s="133">
        <f>'7'!K27+'8'!K27+'9'!K27+'10'!K27+'11'!K27+'12'!K27</f>
        <v>0</v>
      </c>
      <c r="L27" s="133">
        <f>'7'!L27+'8'!L27+'9'!L27+'10'!L27+'11'!L27+'12'!L27</f>
        <v>0</v>
      </c>
      <c r="M27" s="91">
        <f>'7'!M27+'8'!M27+'9'!M27+'10'!M27+'11'!M27+'12'!M27</f>
        <v>0</v>
      </c>
      <c r="N27" s="91">
        <f>'7'!N27+'8'!N27+'9'!N27+'10'!N27+'11'!N27+'12'!N27</f>
        <v>0</v>
      </c>
      <c r="O27" s="91">
        <f>'7'!O27+'8'!O27+'9'!O27+'10'!O27+'11'!O27+'12'!O27</f>
        <v>0</v>
      </c>
      <c r="P27" s="91">
        <f>'7'!P27+'8'!P27+'9'!P27+'10'!P27+'11'!P27+'12'!P27</f>
        <v>0</v>
      </c>
      <c r="Q27" s="91">
        <f>'7'!Q27+'8'!Q27+'9'!Q27+'10'!Q27+'11'!Q27+'12'!Q27</f>
        <v>0</v>
      </c>
      <c r="R27" s="91">
        <f>'7'!R27+'8'!R27+'9'!R27+'10'!R27+'11'!R27+'12'!R27</f>
        <v>0</v>
      </c>
      <c r="S27" s="91">
        <f>'7'!S27+'8'!S27+'9'!S27+'10'!S27+'11'!S27+'12'!S27</f>
        <v>0</v>
      </c>
      <c r="T27" s="91">
        <f>'7'!T27+'8'!T27+'9'!T27+'10'!T27+'11'!T27+'12'!T27</f>
        <v>0</v>
      </c>
      <c r="U27" s="91">
        <f>'7'!U27+'8'!U27+'9'!U27+'10'!U27+'11'!U27+'12'!U27</f>
        <v>0</v>
      </c>
      <c r="V27" s="91">
        <f>'7'!V27+'8'!V27+'9'!V27+'10'!V27+'11'!V27+'12'!V27</f>
        <v>0</v>
      </c>
      <c r="W27" s="91">
        <f>'7'!W27+'8'!W27+'9'!W27+'10'!W27+'11'!W27+'12'!W27</f>
        <v>0</v>
      </c>
      <c r="X27" s="91">
        <f>'7'!X27+'8'!X27+'9'!X27+'10'!X27+'11'!X27+'12'!X27</f>
        <v>0</v>
      </c>
      <c r="Y27" s="91">
        <f>'7'!Y27+'8'!Y27+'9'!Y27+'10'!Y27+'11'!Y27+'12'!Y27</f>
        <v>0</v>
      </c>
      <c r="Z27" s="91">
        <f>'7'!Z27+'8'!Z27+'9'!Z27+'10'!Z27+'11'!Z27+'12'!Z27</f>
        <v>0</v>
      </c>
      <c r="AA27" s="91">
        <f>'7'!AA27+'8'!AA27+'9'!AA27+'10'!AA27+'11'!AA27+'12'!AA27</f>
        <v>0</v>
      </c>
      <c r="AB27" s="91">
        <f>'7'!AB27+'8'!AB27+'9'!AB27+'10'!AB27+'11'!AB27+'12'!AB27</f>
        <v>0</v>
      </c>
      <c r="AC27" s="91">
        <f>'7'!AC27+'8'!AC27+'9'!AC27+'10'!AC27+'11'!AC27+'12'!AC27</f>
        <v>0</v>
      </c>
      <c r="AD27" s="91">
        <f>'7'!AD27+'8'!AD27+'9'!AD27+'10'!AD27+'11'!AD27+'12'!AD27</f>
        <v>0</v>
      </c>
      <c r="AE27" s="91">
        <f>'7'!AE27+'8'!AE27+'9'!AE27+'10'!AE27+'11'!AE27+'12'!AE27</f>
        <v>0</v>
      </c>
      <c r="AF27" s="91">
        <f>'7'!AF27+'8'!AF27+'9'!AF27+'10'!AF27+'11'!AF27+'12'!AF27</f>
        <v>0</v>
      </c>
      <c r="AG27" s="91">
        <f>'7'!AG27+'8'!AG27+'9'!AG27+'10'!AG27+'11'!AG27+'12'!AG27</f>
        <v>0</v>
      </c>
      <c r="AH27" s="91">
        <f>'7'!AH27+'8'!AH27+'9'!AH27+'10'!AH27+'11'!AH27+'12'!AH27</f>
        <v>0</v>
      </c>
      <c r="AI27" s="91">
        <f>'7'!AI27+'8'!AI27+'9'!AI27+'10'!AI27+'11'!AI27+'12'!AI27</f>
        <v>0</v>
      </c>
      <c r="AJ27" s="91">
        <f>'7'!AJ27+'8'!AJ27+'9'!AJ27+'10'!AJ27+'11'!AJ27+'12'!AJ27</f>
        <v>0</v>
      </c>
      <c r="AK27" s="91">
        <f>'7'!AK27+'8'!AK27+'9'!AK27+'10'!AK27+'11'!AK27+'12'!AK27</f>
        <v>0</v>
      </c>
      <c r="AL27" s="91">
        <f>'7'!AL27+'8'!AL27+'9'!AL27+'10'!AL27+'11'!AL27+'12'!AL27</f>
        <v>0</v>
      </c>
      <c r="AM27" s="91">
        <f>'7'!AM27+'8'!AM27+'9'!AM27+'10'!AM27+'11'!AM27+'12'!AM27</f>
        <v>0</v>
      </c>
      <c r="AN27" s="91">
        <f>'7'!AN27+'8'!AN27+'9'!AN27+'10'!AN27+'11'!AN27+'12'!AN27</f>
        <v>0</v>
      </c>
      <c r="AO27" s="91">
        <f>'7'!AO27+'8'!AO27+'9'!AO27+'10'!AO27+'11'!AO27+'12'!AO27</f>
        <v>0</v>
      </c>
      <c r="AP27" s="91">
        <f>'7'!AP27+'8'!AP27+'9'!AP27+'10'!AP27+'11'!AP27+'12'!AP27</f>
        <v>0</v>
      </c>
      <c r="AQ27" s="16">
        <f t="shared" si="3"/>
        <v>0</v>
      </c>
      <c r="AR27" s="17">
        <f t="shared" si="11"/>
        <v>0</v>
      </c>
      <c r="AS27" s="91">
        <f t="shared" si="15"/>
        <v>0</v>
      </c>
      <c r="AT27" s="91">
        <f>'7'!AT27+'8'!AT27+'9'!AT27+'10'!AT27+'11'!AT27+'12'!AT27</f>
        <v>0</v>
      </c>
      <c r="AU27" s="92">
        <f t="shared" si="16"/>
        <v>0</v>
      </c>
      <c r="AV27" s="92">
        <f t="shared" si="5"/>
        <v>0</v>
      </c>
      <c r="AW27" s="92">
        <f t="shared" si="17"/>
        <v>0</v>
      </c>
      <c r="AX27" s="92">
        <f t="shared" si="18"/>
        <v>0</v>
      </c>
      <c r="AY27" s="82">
        <f t="shared" si="20"/>
        <v>0</v>
      </c>
      <c r="AZ27" s="82">
        <f t="shared" si="20"/>
        <v>0</v>
      </c>
      <c r="BA27" s="95">
        <f t="shared" si="19"/>
        <v>0</v>
      </c>
      <c r="BB27" s="139"/>
      <c r="BC27"/>
    </row>
    <row r="28" spans="1:55" ht="15" hidden="1" customHeight="1" x14ac:dyDescent="0.3">
      <c r="A28" s="72" t="s">
        <v>31</v>
      </c>
      <c r="B28" s="111"/>
      <c r="C28" s="111">
        <v>39</v>
      </c>
      <c r="D28" s="121">
        <f t="shared" ref="D28:D41" si="21">AT28*AU28*AW28</f>
        <v>0</v>
      </c>
      <c r="E28" s="16">
        <f t="shared" ref="E28:E41" si="22">ROUND(AT28*AV28*AX28,4)</f>
        <v>0</v>
      </c>
      <c r="F28" s="91">
        <f>'7'!F28+'8'!F28+'9'!F28+'10'!F28+'11'!F28+'12'!F28</f>
        <v>0</v>
      </c>
      <c r="G28" s="91">
        <f>'7'!G28+'8'!G28+'9'!G28+'10'!G28+'11'!G28+'12'!G28</f>
        <v>0</v>
      </c>
      <c r="H28" s="135">
        <f>'7'!H28+'8'!H28+'9'!H28+'10'!H28+'11'!H28+'12'!H28</f>
        <v>0</v>
      </c>
      <c r="I28" s="135">
        <f>'7'!I28+'8'!I28+'9'!I28+'10'!I28+'11'!I28+'12'!I28</f>
        <v>0</v>
      </c>
      <c r="J28" s="9" t="s">
        <v>68</v>
      </c>
      <c r="K28" s="133">
        <f>'7'!K28+'8'!K28+'9'!K28+'10'!K28+'11'!K28+'12'!K28</f>
        <v>0</v>
      </c>
      <c r="L28" s="133">
        <f>'7'!L28+'8'!L28+'9'!L28+'10'!L28+'11'!L28+'12'!L28</f>
        <v>0</v>
      </c>
      <c r="M28" s="91">
        <f>'7'!M28+'8'!M28+'9'!M28+'10'!M28+'11'!M28+'12'!M28</f>
        <v>0</v>
      </c>
      <c r="N28" s="91">
        <f>'7'!N28+'8'!N28+'9'!N28+'10'!N28+'11'!N28+'12'!N28</f>
        <v>0</v>
      </c>
      <c r="O28" s="91">
        <f>'7'!O28+'8'!O28+'9'!O28+'10'!O28+'11'!O28+'12'!O28</f>
        <v>0</v>
      </c>
      <c r="P28" s="91">
        <f>'7'!P28+'8'!P28+'9'!P28+'10'!P28+'11'!P28+'12'!P28</f>
        <v>0</v>
      </c>
      <c r="Q28" s="91">
        <f>'7'!Q28+'8'!Q28+'9'!Q28+'10'!Q28+'11'!Q28+'12'!Q28</f>
        <v>0</v>
      </c>
      <c r="R28" s="91">
        <f>'7'!R28+'8'!R28+'9'!R28+'10'!R28+'11'!R28+'12'!R28</f>
        <v>0</v>
      </c>
      <c r="S28" s="91">
        <f>'7'!S28+'8'!S28+'9'!S28+'10'!S28+'11'!S28+'12'!S28</f>
        <v>0</v>
      </c>
      <c r="T28" s="91">
        <f>'7'!T28+'8'!T28+'9'!T28+'10'!T28+'11'!T28+'12'!T28</f>
        <v>0</v>
      </c>
      <c r="U28" s="91">
        <f>'7'!U28+'8'!U28+'9'!U28+'10'!U28+'11'!U28+'12'!U28</f>
        <v>0</v>
      </c>
      <c r="V28" s="91">
        <f>'7'!V28+'8'!V28+'9'!V28+'10'!V28+'11'!V28+'12'!V28</f>
        <v>0</v>
      </c>
      <c r="W28" s="91">
        <f>'7'!W28+'8'!W28+'9'!W28+'10'!W28+'11'!W28+'12'!W28</f>
        <v>0</v>
      </c>
      <c r="X28" s="91">
        <f>'7'!X28+'8'!X28+'9'!X28+'10'!X28+'11'!X28+'12'!X28</f>
        <v>0</v>
      </c>
      <c r="Y28" s="91">
        <f>'7'!Y28+'8'!Y28+'9'!Y28+'10'!Y28+'11'!Y28+'12'!Y28</f>
        <v>0</v>
      </c>
      <c r="Z28" s="91">
        <f>'7'!Z28+'8'!Z28+'9'!Z28+'10'!Z28+'11'!Z28+'12'!Z28</f>
        <v>0</v>
      </c>
      <c r="AA28" s="91">
        <f>'7'!AA28+'8'!AA28+'9'!AA28+'10'!AA28+'11'!AA28+'12'!AA28</f>
        <v>0</v>
      </c>
      <c r="AB28" s="91">
        <f>'7'!AB28+'8'!AB28+'9'!AB28+'10'!AB28+'11'!AB28+'12'!AB28</f>
        <v>0</v>
      </c>
      <c r="AC28" s="91">
        <f>'7'!AC28+'8'!AC28+'9'!AC28+'10'!AC28+'11'!AC28+'12'!AC28</f>
        <v>0</v>
      </c>
      <c r="AD28" s="91">
        <f>'7'!AD28+'8'!AD28+'9'!AD28+'10'!AD28+'11'!AD28+'12'!AD28</f>
        <v>0</v>
      </c>
      <c r="AE28" s="91">
        <f>'7'!AE28+'8'!AE28+'9'!AE28+'10'!AE28+'11'!AE28+'12'!AE28</f>
        <v>0</v>
      </c>
      <c r="AF28" s="91">
        <f>'7'!AF28+'8'!AF28+'9'!AF28+'10'!AF28+'11'!AF28+'12'!AF28</f>
        <v>0</v>
      </c>
      <c r="AG28" s="91">
        <f>'7'!AG28+'8'!AG28+'9'!AG28+'10'!AG28+'11'!AG28+'12'!AG28</f>
        <v>0</v>
      </c>
      <c r="AH28" s="91">
        <f>'7'!AH28+'8'!AH28+'9'!AH28+'10'!AH28+'11'!AH28+'12'!AH28</f>
        <v>0</v>
      </c>
      <c r="AI28" s="91">
        <f>'7'!AI28+'8'!AI28+'9'!AI28+'10'!AI28+'11'!AI28+'12'!AI28</f>
        <v>0</v>
      </c>
      <c r="AJ28" s="91">
        <f>'7'!AJ28+'8'!AJ28+'9'!AJ28+'10'!AJ28+'11'!AJ28+'12'!AJ28</f>
        <v>0</v>
      </c>
      <c r="AK28" s="91">
        <f>'7'!AK28+'8'!AK28+'9'!AK28+'10'!AK28+'11'!AK28+'12'!AK28</f>
        <v>0</v>
      </c>
      <c r="AL28" s="91">
        <f>'7'!AL28+'8'!AL28+'9'!AL28+'10'!AL28+'11'!AL28+'12'!AL28</f>
        <v>0</v>
      </c>
      <c r="AM28" s="91">
        <f>'7'!AM28+'8'!AM28+'9'!AM28+'10'!AM28+'11'!AM28+'12'!AM28</f>
        <v>0</v>
      </c>
      <c r="AN28" s="91">
        <f>'7'!AN28+'8'!AN28+'9'!AN28+'10'!AN28+'11'!AN28+'12'!AN28</f>
        <v>0</v>
      </c>
      <c r="AO28" s="91">
        <f>'7'!AO28+'8'!AO28+'9'!AO28+'10'!AO28+'11'!AO28+'12'!AO28</f>
        <v>0</v>
      </c>
      <c r="AP28" s="91">
        <f>'7'!AP28+'8'!AP28+'9'!AP28+'10'!AP28+'11'!AP28+'12'!AP28</f>
        <v>0</v>
      </c>
      <c r="AQ28" s="16">
        <f t="shared" si="3"/>
        <v>0</v>
      </c>
      <c r="AR28" s="17">
        <f t="shared" si="11"/>
        <v>0</v>
      </c>
      <c r="AS28" s="91">
        <f t="shared" si="15"/>
        <v>0</v>
      </c>
      <c r="AT28" s="91">
        <f>'7'!AT28+'8'!AT28+'9'!AT28+'10'!AT28+'11'!AT28+'12'!AT28</f>
        <v>0</v>
      </c>
      <c r="AU28" s="92">
        <f t="shared" si="16"/>
        <v>0</v>
      </c>
      <c r="AV28" s="92">
        <f t="shared" si="5"/>
        <v>0</v>
      </c>
      <c r="AW28" s="92">
        <f t="shared" si="17"/>
        <v>0</v>
      </c>
      <c r="AX28" s="92">
        <f t="shared" si="18"/>
        <v>0</v>
      </c>
      <c r="AY28" s="82">
        <f t="shared" si="20"/>
        <v>0</v>
      </c>
      <c r="AZ28" s="82">
        <f t="shared" si="20"/>
        <v>0</v>
      </c>
      <c r="BA28" s="95">
        <f t="shared" si="19"/>
        <v>0</v>
      </c>
      <c r="BB28" s="139"/>
      <c r="BC28"/>
    </row>
    <row r="29" spans="1:55" ht="15" hidden="1" customHeight="1" x14ac:dyDescent="0.3">
      <c r="A29" s="72" t="s">
        <v>32</v>
      </c>
      <c r="B29" s="111"/>
      <c r="C29" s="111">
        <v>40</v>
      </c>
      <c r="D29" s="121">
        <f t="shared" si="21"/>
        <v>0</v>
      </c>
      <c r="E29" s="16">
        <f t="shared" si="22"/>
        <v>0</v>
      </c>
      <c r="F29" s="91">
        <f>'7'!F29+'8'!F29+'9'!F29+'10'!F29+'11'!F29+'12'!F29</f>
        <v>0</v>
      </c>
      <c r="G29" s="91">
        <f>'7'!G29+'8'!G29+'9'!G29+'10'!G29+'11'!G29+'12'!G29</f>
        <v>0</v>
      </c>
      <c r="H29" s="135">
        <f>'7'!H29+'8'!H29+'9'!H29+'10'!H29+'11'!H29+'12'!H29</f>
        <v>0</v>
      </c>
      <c r="I29" s="135">
        <f>'7'!I29+'8'!I29+'9'!I29+'10'!I29+'11'!I29+'12'!I29</f>
        <v>0</v>
      </c>
      <c r="J29" s="9" t="s">
        <v>68</v>
      </c>
      <c r="K29" s="133">
        <f>'7'!K29+'8'!K29+'9'!K29+'10'!K29+'11'!K29+'12'!K29</f>
        <v>0</v>
      </c>
      <c r="L29" s="133">
        <f>'7'!L29+'8'!L29+'9'!L29+'10'!L29+'11'!L29+'12'!L29</f>
        <v>0</v>
      </c>
      <c r="M29" s="91">
        <f>'7'!M29+'8'!M29+'9'!M29+'10'!M29+'11'!M29+'12'!M29</f>
        <v>0</v>
      </c>
      <c r="N29" s="91">
        <f>'7'!N29+'8'!N29+'9'!N29+'10'!N29+'11'!N29+'12'!N29</f>
        <v>0</v>
      </c>
      <c r="O29" s="91">
        <f>'7'!O29+'8'!O29+'9'!O29+'10'!O29+'11'!O29+'12'!O29</f>
        <v>0</v>
      </c>
      <c r="P29" s="91">
        <f>'7'!P29+'8'!P29+'9'!P29+'10'!P29+'11'!P29+'12'!P29</f>
        <v>0</v>
      </c>
      <c r="Q29" s="91">
        <f>'7'!Q29+'8'!Q29+'9'!Q29+'10'!Q29+'11'!Q29+'12'!Q29</f>
        <v>0</v>
      </c>
      <c r="R29" s="91">
        <f>'7'!R29+'8'!R29+'9'!R29+'10'!R29+'11'!R29+'12'!R29</f>
        <v>0</v>
      </c>
      <c r="S29" s="91">
        <f>'7'!S29+'8'!S29+'9'!S29+'10'!S29+'11'!S29+'12'!S29</f>
        <v>0</v>
      </c>
      <c r="T29" s="91">
        <f>'7'!T29+'8'!T29+'9'!T29+'10'!T29+'11'!T29+'12'!T29</f>
        <v>0</v>
      </c>
      <c r="U29" s="91">
        <f>'7'!U29+'8'!U29+'9'!U29+'10'!U29+'11'!U29+'12'!U29</f>
        <v>0</v>
      </c>
      <c r="V29" s="91">
        <f>'7'!V29+'8'!V29+'9'!V29+'10'!V29+'11'!V29+'12'!V29</f>
        <v>0</v>
      </c>
      <c r="W29" s="91">
        <f>'7'!W29+'8'!W29+'9'!W29+'10'!W29+'11'!W29+'12'!W29</f>
        <v>0</v>
      </c>
      <c r="X29" s="91">
        <f>'7'!X29+'8'!X29+'9'!X29+'10'!X29+'11'!X29+'12'!X29</f>
        <v>0</v>
      </c>
      <c r="Y29" s="91">
        <f>'7'!Y29+'8'!Y29+'9'!Y29+'10'!Y29+'11'!Y29+'12'!Y29</f>
        <v>0</v>
      </c>
      <c r="Z29" s="91">
        <f>'7'!Z29+'8'!Z29+'9'!Z29+'10'!Z29+'11'!Z29+'12'!Z29</f>
        <v>0</v>
      </c>
      <c r="AA29" s="91">
        <f>'7'!AA29+'8'!AA29+'9'!AA29+'10'!AA29+'11'!AA29+'12'!AA29</f>
        <v>0</v>
      </c>
      <c r="AB29" s="91">
        <f>'7'!AB29+'8'!AB29+'9'!AB29+'10'!AB29+'11'!AB29+'12'!AB29</f>
        <v>0</v>
      </c>
      <c r="AC29" s="91">
        <f>'7'!AC29+'8'!AC29+'9'!AC29+'10'!AC29+'11'!AC29+'12'!AC29</f>
        <v>0</v>
      </c>
      <c r="AD29" s="91">
        <f>'7'!AD29+'8'!AD29+'9'!AD29+'10'!AD29+'11'!AD29+'12'!AD29</f>
        <v>0</v>
      </c>
      <c r="AE29" s="91">
        <f>'7'!AE29+'8'!AE29+'9'!AE29+'10'!AE29+'11'!AE29+'12'!AE29</f>
        <v>0</v>
      </c>
      <c r="AF29" s="91">
        <f>'7'!AF29+'8'!AF29+'9'!AF29+'10'!AF29+'11'!AF29+'12'!AF29</f>
        <v>0</v>
      </c>
      <c r="AG29" s="91">
        <f>'7'!AG29+'8'!AG29+'9'!AG29+'10'!AG29+'11'!AG29+'12'!AG29</f>
        <v>0</v>
      </c>
      <c r="AH29" s="91">
        <f>'7'!AH29+'8'!AH29+'9'!AH29+'10'!AH29+'11'!AH29+'12'!AH29</f>
        <v>0</v>
      </c>
      <c r="AI29" s="91">
        <f>'7'!AI29+'8'!AI29+'9'!AI29+'10'!AI29+'11'!AI29+'12'!AI29</f>
        <v>0</v>
      </c>
      <c r="AJ29" s="91">
        <f>'7'!AJ29+'8'!AJ29+'9'!AJ29+'10'!AJ29+'11'!AJ29+'12'!AJ29</f>
        <v>0</v>
      </c>
      <c r="AK29" s="91">
        <f>'7'!AK29+'8'!AK29+'9'!AK29+'10'!AK29+'11'!AK29+'12'!AK29</f>
        <v>0</v>
      </c>
      <c r="AL29" s="91">
        <f>'7'!AL29+'8'!AL29+'9'!AL29+'10'!AL29+'11'!AL29+'12'!AL29</f>
        <v>0</v>
      </c>
      <c r="AM29" s="91">
        <f>'7'!AM29+'8'!AM29+'9'!AM29+'10'!AM29+'11'!AM29+'12'!AM29</f>
        <v>0</v>
      </c>
      <c r="AN29" s="91">
        <f>'7'!AN29+'8'!AN29+'9'!AN29+'10'!AN29+'11'!AN29+'12'!AN29</f>
        <v>0</v>
      </c>
      <c r="AO29" s="91">
        <f>'7'!AO29+'8'!AO29+'9'!AO29+'10'!AO29+'11'!AO29+'12'!AO29</f>
        <v>0</v>
      </c>
      <c r="AP29" s="91">
        <f>'7'!AP29+'8'!AP29+'9'!AP29+'10'!AP29+'11'!AP29+'12'!AP29</f>
        <v>0</v>
      </c>
      <c r="AQ29" s="16">
        <f t="shared" si="3"/>
        <v>0</v>
      </c>
      <c r="AR29" s="17">
        <f t="shared" si="11"/>
        <v>0</v>
      </c>
      <c r="AS29" s="91">
        <f t="shared" si="15"/>
        <v>0</v>
      </c>
      <c r="AT29" s="91">
        <f>'7'!AT29+'8'!AT29+'9'!AT29+'10'!AT29+'11'!AT29+'12'!AT29</f>
        <v>0</v>
      </c>
      <c r="AU29" s="92">
        <f t="shared" si="16"/>
        <v>0</v>
      </c>
      <c r="AV29" s="92">
        <f t="shared" si="5"/>
        <v>0</v>
      </c>
      <c r="AW29" s="92">
        <f t="shared" si="17"/>
        <v>0</v>
      </c>
      <c r="AX29" s="92">
        <f t="shared" si="18"/>
        <v>0</v>
      </c>
      <c r="AY29" s="82">
        <f t="shared" si="20"/>
        <v>0</v>
      </c>
      <c r="AZ29" s="82">
        <f t="shared" si="20"/>
        <v>0</v>
      </c>
      <c r="BA29" s="95">
        <f t="shared" si="19"/>
        <v>0</v>
      </c>
      <c r="BB29" s="139"/>
      <c r="BC29"/>
    </row>
    <row r="30" spans="1:55" ht="15" hidden="1" customHeight="1" x14ac:dyDescent="0.3">
      <c r="A30" s="72" t="s">
        <v>33</v>
      </c>
      <c r="B30" s="111"/>
      <c r="C30" s="111">
        <v>41</v>
      </c>
      <c r="D30" s="121">
        <f t="shared" si="21"/>
        <v>0</v>
      </c>
      <c r="E30" s="16">
        <f t="shared" si="22"/>
        <v>0</v>
      </c>
      <c r="F30" s="91">
        <f>'7'!F30+'8'!F30+'9'!F30+'10'!F30+'11'!F30+'12'!F30</f>
        <v>0</v>
      </c>
      <c r="G30" s="91">
        <f>'7'!G30+'8'!G30+'9'!G30+'10'!G30+'11'!G30+'12'!G30</f>
        <v>0</v>
      </c>
      <c r="H30" s="135">
        <f>'7'!H30+'8'!H30+'9'!H30+'10'!H30+'11'!H30+'12'!H30</f>
        <v>0</v>
      </c>
      <c r="I30" s="135">
        <f>'7'!I30+'8'!I30+'9'!I30+'10'!I30+'11'!I30+'12'!I30</f>
        <v>0</v>
      </c>
      <c r="J30" s="9" t="s">
        <v>68</v>
      </c>
      <c r="K30" s="133">
        <f>'7'!K30+'8'!K30+'9'!K30+'10'!K30+'11'!K30+'12'!K30</f>
        <v>0</v>
      </c>
      <c r="L30" s="133">
        <f>'7'!L30+'8'!L30+'9'!L30+'10'!L30+'11'!L30+'12'!L30</f>
        <v>0</v>
      </c>
      <c r="M30" s="91">
        <f>'7'!M30+'8'!M30+'9'!M30+'10'!M30+'11'!M30+'12'!M30</f>
        <v>0</v>
      </c>
      <c r="N30" s="91">
        <f>'7'!N30+'8'!N30+'9'!N30+'10'!N30+'11'!N30+'12'!N30</f>
        <v>0</v>
      </c>
      <c r="O30" s="91">
        <f>'7'!O30+'8'!O30+'9'!O30+'10'!O30+'11'!O30+'12'!O30</f>
        <v>0</v>
      </c>
      <c r="P30" s="91">
        <f>'7'!P30+'8'!P30+'9'!P30+'10'!P30+'11'!P30+'12'!P30</f>
        <v>0</v>
      </c>
      <c r="Q30" s="91">
        <f>'7'!Q30+'8'!Q30+'9'!Q30+'10'!Q30+'11'!Q30+'12'!Q30</f>
        <v>0</v>
      </c>
      <c r="R30" s="91">
        <f>'7'!R30+'8'!R30+'9'!R30+'10'!R30+'11'!R30+'12'!R30</f>
        <v>0</v>
      </c>
      <c r="S30" s="91">
        <f>'7'!S30+'8'!S30+'9'!S30+'10'!S30+'11'!S30+'12'!S30</f>
        <v>0</v>
      </c>
      <c r="T30" s="91">
        <f>'7'!T30+'8'!T30+'9'!T30+'10'!T30+'11'!T30+'12'!T30</f>
        <v>0</v>
      </c>
      <c r="U30" s="91">
        <f>'7'!U30+'8'!U30+'9'!U30+'10'!U30+'11'!U30+'12'!U30</f>
        <v>0</v>
      </c>
      <c r="V30" s="91">
        <f>'7'!V30+'8'!V30+'9'!V30+'10'!V30+'11'!V30+'12'!V30</f>
        <v>0</v>
      </c>
      <c r="W30" s="91">
        <f>'7'!W30+'8'!W30+'9'!W30+'10'!W30+'11'!W30+'12'!W30</f>
        <v>0</v>
      </c>
      <c r="X30" s="91">
        <f>'7'!X30+'8'!X30+'9'!X30+'10'!X30+'11'!X30+'12'!X30</f>
        <v>0</v>
      </c>
      <c r="Y30" s="91">
        <f>'7'!Y30+'8'!Y30+'9'!Y30+'10'!Y30+'11'!Y30+'12'!Y30</f>
        <v>0</v>
      </c>
      <c r="Z30" s="91">
        <f>'7'!Z30+'8'!Z30+'9'!Z30+'10'!Z30+'11'!Z30+'12'!Z30</f>
        <v>0</v>
      </c>
      <c r="AA30" s="91">
        <f>'7'!AA30+'8'!AA30+'9'!AA30+'10'!AA30+'11'!AA30+'12'!AA30</f>
        <v>0</v>
      </c>
      <c r="AB30" s="91">
        <f>'7'!AB30+'8'!AB30+'9'!AB30+'10'!AB30+'11'!AB30+'12'!AB30</f>
        <v>0</v>
      </c>
      <c r="AC30" s="91">
        <f>'7'!AC30+'8'!AC30+'9'!AC30+'10'!AC30+'11'!AC30+'12'!AC30</f>
        <v>0</v>
      </c>
      <c r="AD30" s="91">
        <f>'7'!AD30+'8'!AD30+'9'!AD30+'10'!AD30+'11'!AD30+'12'!AD30</f>
        <v>0</v>
      </c>
      <c r="AE30" s="91">
        <f>'7'!AE30+'8'!AE30+'9'!AE30+'10'!AE30+'11'!AE30+'12'!AE30</f>
        <v>0</v>
      </c>
      <c r="AF30" s="91">
        <f>'7'!AF30+'8'!AF30+'9'!AF30+'10'!AF30+'11'!AF30+'12'!AF30</f>
        <v>0</v>
      </c>
      <c r="AG30" s="91">
        <f>'7'!AG30+'8'!AG30+'9'!AG30+'10'!AG30+'11'!AG30+'12'!AG30</f>
        <v>0</v>
      </c>
      <c r="AH30" s="91">
        <f>'7'!AH30+'8'!AH30+'9'!AH30+'10'!AH30+'11'!AH30+'12'!AH30</f>
        <v>0</v>
      </c>
      <c r="AI30" s="91">
        <f>'7'!AI30+'8'!AI30+'9'!AI30+'10'!AI30+'11'!AI30+'12'!AI30</f>
        <v>0</v>
      </c>
      <c r="AJ30" s="91">
        <f>'7'!AJ30+'8'!AJ30+'9'!AJ30+'10'!AJ30+'11'!AJ30+'12'!AJ30</f>
        <v>0</v>
      </c>
      <c r="AK30" s="91">
        <f>'7'!AK30+'8'!AK30+'9'!AK30+'10'!AK30+'11'!AK30+'12'!AK30</f>
        <v>0</v>
      </c>
      <c r="AL30" s="91">
        <f>'7'!AL30+'8'!AL30+'9'!AL30+'10'!AL30+'11'!AL30+'12'!AL30</f>
        <v>0</v>
      </c>
      <c r="AM30" s="91">
        <f>'7'!AM30+'8'!AM30+'9'!AM30+'10'!AM30+'11'!AM30+'12'!AM30</f>
        <v>0</v>
      </c>
      <c r="AN30" s="91">
        <f>'7'!AN30+'8'!AN30+'9'!AN30+'10'!AN30+'11'!AN30+'12'!AN30</f>
        <v>0</v>
      </c>
      <c r="AO30" s="91">
        <f>'7'!AO30+'8'!AO30+'9'!AO30+'10'!AO30+'11'!AO30+'12'!AO30</f>
        <v>0</v>
      </c>
      <c r="AP30" s="91">
        <f>'7'!AP30+'8'!AP30+'9'!AP30+'10'!AP30+'11'!AP30+'12'!AP30</f>
        <v>0</v>
      </c>
      <c r="AQ30" s="16">
        <f t="shared" si="3"/>
        <v>0</v>
      </c>
      <c r="AR30" s="17">
        <f t="shared" si="11"/>
        <v>0</v>
      </c>
      <c r="AS30" s="91">
        <f t="shared" si="15"/>
        <v>0</v>
      </c>
      <c r="AT30" s="91">
        <f>'7'!AT30+'8'!AT30+'9'!AT30+'10'!AT30+'11'!AT30+'12'!AT30</f>
        <v>0</v>
      </c>
      <c r="AU30" s="92">
        <f t="shared" si="16"/>
        <v>0</v>
      </c>
      <c r="AV30" s="92">
        <f t="shared" si="5"/>
        <v>0</v>
      </c>
      <c r="AW30" s="92">
        <f t="shared" si="17"/>
        <v>0</v>
      </c>
      <c r="AX30" s="92">
        <f t="shared" si="18"/>
        <v>0</v>
      </c>
      <c r="AY30" s="82">
        <f t="shared" si="20"/>
        <v>0</v>
      </c>
      <c r="AZ30" s="82">
        <f t="shared" si="20"/>
        <v>0</v>
      </c>
      <c r="BA30" s="95">
        <f t="shared" si="19"/>
        <v>0</v>
      </c>
      <c r="BB30" s="139"/>
      <c r="BC30"/>
    </row>
    <row r="31" spans="1:55" ht="15" hidden="1" customHeight="1" x14ac:dyDescent="0.3">
      <c r="A31" s="72" t="s">
        <v>34</v>
      </c>
      <c r="B31" s="111"/>
      <c r="C31" s="111">
        <v>42</v>
      </c>
      <c r="D31" s="121">
        <f t="shared" si="21"/>
        <v>0</v>
      </c>
      <c r="E31" s="16">
        <f t="shared" si="22"/>
        <v>0</v>
      </c>
      <c r="F31" s="91">
        <f>'7'!F31+'8'!F31+'9'!F31+'10'!F31+'11'!F31+'12'!F31</f>
        <v>0</v>
      </c>
      <c r="G31" s="91">
        <f>'7'!G31+'8'!G31+'9'!G31+'10'!G31+'11'!G31+'12'!G31</f>
        <v>0</v>
      </c>
      <c r="H31" s="135">
        <f>'7'!H31+'8'!H31+'9'!H31+'10'!H31+'11'!H31+'12'!H31</f>
        <v>0</v>
      </c>
      <c r="I31" s="135">
        <f>'7'!I31+'8'!I31+'9'!I31+'10'!I31+'11'!I31+'12'!I31</f>
        <v>0</v>
      </c>
      <c r="J31" s="9" t="s">
        <v>68</v>
      </c>
      <c r="K31" s="133">
        <f>'7'!K31+'8'!K31+'9'!K31+'10'!K31+'11'!K31+'12'!K31</f>
        <v>0</v>
      </c>
      <c r="L31" s="133">
        <f>'7'!L31+'8'!L31+'9'!L31+'10'!L31+'11'!L31+'12'!L31</f>
        <v>0</v>
      </c>
      <c r="M31" s="91">
        <f>'7'!M31+'8'!M31+'9'!M31+'10'!M31+'11'!M31+'12'!M31</f>
        <v>0</v>
      </c>
      <c r="N31" s="91">
        <f>'7'!N31+'8'!N31+'9'!N31+'10'!N31+'11'!N31+'12'!N31</f>
        <v>0</v>
      </c>
      <c r="O31" s="91">
        <f>'7'!O31+'8'!O31+'9'!O31+'10'!O31+'11'!O31+'12'!O31</f>
        <v>0</v>
      </c>
      <c r="P31" s="91">
        <f>'7'!P31+'8'!P31+'9'!P31+'10'!P31+'11'!P31+'12'!P31</f>
        <v>0</v>
      </c>
      <c r="Q31" s="91">
        <f>'7'!Q31+'8'!Q31+'9'!Q31+'10'!Q31+'11'!Q31+'12'!Q31</f>
        <v>0</v>
      </c>
      <c r="R31" s="91">
        <f>'7'!R31+'8'!R31+'9'!R31+'10'!R31+'11'!R31+'12'!R31</f>
        <v>0</v>
      </c>
      <c r="S31" s="91">
        <f>'7'!S31+'8'!S31+'9'!S31+'10'!S31+'11'!S31+'12'!S31</f>
        <v>0</v>
      </c>
      <c r="T31" s="91">
        <f>'7'!T31+'8'!T31+'9'!T31+'10'!T31+'11'!T31+'12'!T31</f>
        <v>0</v>
      </c>
      <c r="U31" s="91">
        <f>'7'!U31+'8'!U31+'9'!U31+'10'!U31+'11'!U31+'12'!U31</f>
        <v>0</v>
      </c>
      <c r="V31" s="91">
        <f>'7'!V31+'8'!V31+'9'!V31+'10'!V31+'11'!V31+'12'!V31</f>
        <v>0</v>
      </c>
      <c r="W31" s="91">
        <f>'7'!W31+'8'!W31+'9'!W31+'10'!W31+'11'!W31+'12'!W31</f>
        <v>0</v>
      </c>
      <c r="X31" s="91">
        <f>'7'!X31+'8'!X31+'9'!X31+'10'!X31+'11'!X31+'12'!X31</f>
        <v>0</v>
      </c>
      <c r="Y31" s="91">
        <f>'7'!Y31+'8'!Y31+'9'!Y31+'10'!Y31+'11'!Y31+'12'!Y31</f>
        <v>0</v>
      </c>
      <c r="Z31" s="91">
        <f>'7'!Z31+'8'!Z31+'9'!Z31+'10'!Z31+'11'!Z31+'12'!Z31</f>
        <v>0</v>
      </c>
      <c r="AA31" s="91">
        <f>'7'!AA31+'8'!AA31+'9'!AA31+'10'!AA31+'11'!AA31+'12'!AA31</f>
        <v>0</v>
      </c>
      <c r="AB31" s="91">
        <f>'7'!AB31+'8'!AB31+'9'!AB31+'10'!AB31+'11'!AB31+'12'!AB31</f>
        <v>0</v>
      </c>
      <c r="AC31" s="91">
        <f>'7'!AC31+'8'!AC31+'9'!AC31+'10'!AC31+'11'!AC31+'12'!AC31</f>
        <v>0</v>
      </c>
      <c r="AD31" s="91">
        <f>'7'!AD31+'8'!AD31+'9'!AD31+'10'!AD31+'11'!AD31+'12'!AD31</f>
        <v>0</v>
      </c>
      <c r="AE31" s="91">
        <f>'7'!AE31+'8'!AE31+'9'!AE31+'10'!AE31+'11'!AE31+'12'!AE31</f>
        <v>0</v>
      </c>
      <c r="AF31" s="91">
        <f>'7'!AF31+'8'!AF31+'9'!AF31+'10'!AF31+'11'!AF31+'12'!AF31</f>
        <v>0</v>
      </c>
      <c r="AG31" s="91">
        <f>'7'!AG31+'8'!AG31+'9'!AG31+'10'!AG31+'11'!AG31+'12'!AG31</f>
        <v>0</v>
      </c>
      <c r="AH31" s="91">
        <f>'7'!AH31+'8'!AH31+'9'!AH31+'10'!AH31+'11'!AH31+'12'!AH31</f>
        <v>0</v>
      </c>
      <c r="AI31" s="91">
        <f>'7'!AI31+'8'!AI31+'9'!AI31+'10'!AI31+'11'!AI31+'12'!AI31</f>
        <v>0</v>
      </c>
      <c r="AJ31" s="91">
        <f>'7'!AJ31+'8'!AJ31+'9'!AJ31+'10'!AJ31+'11'!AJ31+'12'!AJ31</f>
        <v>0</v>
      </c>
      <c r="AK31" s="91">
        <f>'7'!AK31+'8'!AK31+'9'!AK31+'10'!AK31+'11'!AK31+'12'!AK31</f>
        <v>0</v>
      </c>
      <c r="AL31" s="91">
        <f>'7'!AL31+'8'!AL31+'9'!AL31+'10'!AL31+'11'!AL31+'12'!AL31</f>
        <v>0</v>
      </c>
      <c r="AM31" s="91">
        <f>'7'!AM31+'8'!AM31+'9'!AM31+'10'!AM31+'11'!AM31+'12'!AM31</f>
        <v>0</v>
      </c>
      <c r="AN31" s="91">
        <f>'7'!AN31+'8'!AN31+'9'!AN31+'10'!AN31+'11'!AN31+'12'!AN31</f>
        <v>0</v>
      </c>
      <c r="AO31" s="91">
        <f>'7'!AO31+'8'!AO31+'9'!AO31+'10'!AO31+'11'!AO31+'12'!AO31</f>
        <v>0</v>
      </c>
      <c r="AP31" s="91">
        <f>'7'!AP31+'8'!AP31+'9'!AP31+'10'!AP31+'11'!AP31+'12'!AP31</f>
        <v>0</v>
      </c>
      <c r="AQ31" s="16">
        <f t="shared" si="3"/>
        <v>0</v>
      </c>
      <c r="AR31" s="17">
        <f t="shared" si="11"/>
        <v>0</v>
      </c>
      <c r="AS31" s="91">
        <f t="shared" si="15"/>
        <v>0</v>
      </c>
      <c r="AT31" s="91">
        <f>'7'!AT31+'8'!AT31+'9'!AT31+'10'!AT31+'11'!AT31+'12'!AT31</f>
        <v>0</v>
      </c>
      <c r="AU31" s="92">
        <f t="shared" si="16"/>
        <v>0</v>
      </c>
      <c r="AV31" s="92">
        <f t="shared" si="5"/>
        <v>0</v>
      </c>
      <c r="AW31" s="92">
        <f t="shared" si="17"/>
        <v>0</v>
      </c>
      <c r="AX31" s="92">
        <f t="shared" si="18"/>
        <v>0</v>
      </c>
      <c r="AY31" s="82">
        <f t="shared" si="20"/>
        <v>0</v>
      </c>
      <c r="AZ31" s="82">
        <f t="shared" si="20"/>
        <v>0</v>
      </c>
      <c r="BA31" s="95">
        <f t="shared" si="19"/>
        <v>0</v>
      </c>
      <c r="BB31" s="139"/>
      <c r="BC31"/>
    </row>
    <row r="32" spans="1:55" ht="15" hidden="1" customHeight="1" x14ac:dyDescent="0.3">
      <c r="A32" s="72" t="s">
        <v>35</v>
      </c>
      <c r="B32" s="111"/>
      <c r="C32" s="111">
        <v>43</v>
      </c>
      <c r="D32" s="121">
        <f t="shared" si="21"/>
        <v>0</v>
      </c>
      <c r="E32" s="16">
        <f t="shared" si="22"/>
        <v>0</v>
      </c>
      <c r="F32" s="91">
        <f>'7'!F32+'8'!F32+'9'!F32+'10'!F32+'11'!F32+'12'!F32</f>
        <v>0</v>
      </c>
      <c r="G32" s="91">
        <f>'7'!G32+'8'!G32+'9'!G32+'10'!G32+'11'!G32+'12'!G32</f>
        <v>0</v>
      </c>
      <c r="H32" s="135">
        <f>'7'!H32+'8'!H32+'9'!H32+'10'!H32+'11'!H32+'12'!H32</f>
        <v>0</v>
      </c>
      <c r="I32" s="135">
        <f>'7'!I32+'8'!I32+'9'!I32+'10'!I32+'11'!I32+'12'!I32</f>
        <v>0</v>
      </c>
      <c r="J32" s="9" t="s">
        <v>68</v>
      </c>
      <c r="K32" s="133">
        <f>'7'!K32+'8'!K32+'9'!K32+'10'!K32+'11'!K32+'12'!K32</f>
        <v>0</v>
      </c>
      <c r="L32" s="133">
        <f>'7'!L32+'8'!L32+'9'!L32+'10'!L32+'11'!L32+'12'!L32</f>
        <v>0</v>
      </c>
      <c r="M32" s="91">
        <f>'7'!M32+'8'!M32+'9'!M32+'10'!M32+'11'!M32+'12'!M32</f>
        <v>0</v>
      </c>
      <c r="N32" s="91">
        <f>'7'!N32+'8'!N32+'9'!N32+'10'!N32+'11'!N32+'12'!N32</f>
        <v>0</v>
      </c>
      <c r="O32" s="91">
        <f>'7'!O32+'8'!O32+'9'!O32+'10'!O32+'11'!O32+'12'!O32</f>
        <v>0</v>
      </c>
      <c r="P32" s="91">
        <f>'7'!P32+'8'!P32+'9'!P32+'10'!P32+'11'!P32+'12'!P32</f>
        <v>0</v>
      </c>
      <c r="Q32" s="91">
        <f>'7'!Q32+'8'!Q32+'9'!Q32+'10'!Q32+'11'!Q32+'12'!Q32</f>
        <v>0</v>
      </c>
      <c r="R32" s="91">
        <f>'7'!R32+'8'!R32+'9'!R32+'10'!R32+'11'!R32+'12'!R32</f>
        <v>0</v>
      </c>
      <c r="S32" s="91">
        <f>'7'!S32+'8'!S32+'9'!S32+'10'!S32+'11'!S32+'12'!S32</f>
        <v>0</v>
      </c>
      <c r="T32" s="91">
        <f>'7'!T32+'8'!T32+'9'!T32+'10'!T32+'11'!T32+'12'!T32</f>
        <v>0</v>
      </c>
      <c r="U32" s="91">
        <f>'7'!U32+'8'!U32+'9'!U32+'10'!U32+'11'!U32+'12'!U32</f>
        <v>0</v>
      </c>
      <c r="V32" s="91">
        <f>'7'!V32+'8'!V32+'9'!V32+'10'!V32+'11'!V32+'12'!V32</f>
        <v>0</v>
      </c>
      <c r="W32" s="91">
        <f>'7'!W32+'8'!W32+'9'!W32+'10'!W32+'11'!W32+'12'!W32</f>
        <v>0</v>
      </c>
      <c r="X32" s="91">
        <f>'7'!X32+'8'!X32+'9'!X32+'10'!X32+'11'!X32+'12'!X32</f>
        <v>0</v>
      </c>
      <c r="Y32" s="91">
        <f>'7'!Y32+'8'!Y32+'9'!Y32+'10'!Y32+'11'!Y32+'12'!Y32</f>
        <v>0</v>
      </c>
      <c r="Z32" s="91">
        <f>'7'!Z32+'8'!Z32+'9'!Z32+'10'!Z32+'11'!Z32+'12'!Z32</f>
        <v>0</v>
      </c>
      <c r="AA32" s="91">
        <f>'7'!AA32+'8'!AA32+'9'!AA32+'10'!AA32+'11'!AA32+'12'!AA32</f>
        <v>0</v>
      </c>
      <c r="AB32" s="91">
        <f>'7'!AB32+'8'!AB32+'9'!AB32+'10'!AB32+'11'!AB32+'12'!AB32</f>
        <v>0</v>
      </c>
      <c r="AC32" s="91">
        <f>'7'!AC32+'8'!AC32+'9'!AC32+'10'!AC32+'11'!AC32+'12'!AC32</f>
        <v>0</v>
      </c>
      <c r="AD32" s="91">
        <f>'7'!AD32+'8'!AD32+'9'!AD32+'10'!AD32+'11'!AD32+'12'!AD32</f>
        <v>0</v>
      </c>
      <c r="AE32" s="91">
        <f>'7'!AE32+'8'!AE32+'9'!AE32+'10'!AE32+'11'!AE32+'12'!AE32</f>
        <v>0</v>
      </c>
      <c r="AF32" s="91">
        <f>'7'!AF32+'8'!AF32+'9'!AF32+'10'!AF32+'11'!AF32+'12'!AF32</f>
        <v>0</v>
      </c>
      <c r="AG32" s="91">
        <f>'7'!AG32+'8'!AG32+'9'!AG32+'10'!AG32+'11'!AG32+'12'!AG32</f>
        <v>0</v>
      </c>
      <c r="AH32" s="91">
        <f>'7'!AH32+'8'!AH32+'9'!AH32+'10'!AH32+'11'!AH32+'12'!AH32</f>
        <v>0</v>
      </c>
      <c r="AI32" s="91">
        <f>'7'!AI32+'8'!AI32+'9'!AI32+'10'!AI32+'11'!AI32+'12'!AI32</f>
        <v>0</v>
      </c>
      <c r="AJ32" s="91">
        <f>'7'!AJ32+'8'!AJ32+'9'!AJ32+'10'!AJ32+'11'!AJ32+'12'!AJ32</f>
        <v>0</v>
      </c>
      <c r="AK32" s="91">
        <f>'7'!AK32+'8'!AK32+'9'!AK32+'10'!AK32+'11'!AK32+'12'!AK32</f>
        <v>0</v>
      </c>
      <c r="AL32" s="91">
        <f>'7'!AL32+'8'!AL32+'9'!AL32+'10'!AL32+'11'!AL32+'12'!AL32</f>
        <v>0</v>
      </c>
      <c r="AM32" s="91">
        <f>'7'!AM32+'8'!AM32+'9'!AM32+'10'!AM32+'11'!AM32+'12'!AM32</f>
        <v>0</v>
      </c>
      <c r="AN32" s="91">
        <f>'7'!AN32+'8'!AN32+'9'!AN32+'10'!AN32+'11'!AN32+'12'!AN32</f>
        <v>0</v>
      </c>
      <c r="AO32" s="91">
        <f>'7'!AO32+'8'!AO32+'9'!AO32+'10'!AO32+'11'!AO32+'12'!AO32</f>
        <v>0</v>
      </c>
      <c r="AP32" s="91">
        <f>'7'!AP32+'8'!AP32+'9'!AP32+'10'!AP32+'11'!AP32+'12'!AP32</f>
        <v>0</v>
      </c>
      <c r="AQ32" s="16">
        <f t="shared" si="3"/>
        <v>0</v>
      </c>
      <c r="AR32" s="17">
        <f t="shared" si="11"/>
        <v>0</v>
      </c>
      <c r="AS32" s="91">
        <f t="shared" si="15"/>
        <v>0</v>
      </c>
      <c r="AT32" s="91">
        <f>'7'!AT32+'8'!AT32+'9'!AT32+'10'!AT32+'11'!AT32+'12'!AT32</f>
        <v>0</v>
      </c>
      <c r="AU32" s="92">
        <f t="shared" si="16"/>
        <v>0</v>
      </c>
      <c r="AV32" s="92">
        <f t="shared" si="5"/>
        <v>0</v>
      </c>
      <c r="AW32" s="92">
        <f t="shared" si="17"/>
        <v>0</v>
      </c>
      <c r="AX32" s="92">
        <f t="shared" si="18"/>
        <v>0</v>
      </c>
      <c r="AY32" s="82">
        <f t="shared" si="20"/>
        <v>0</v>
      </c>
      <c r="AZ32" s="82">
        <f t="shared" si="20"/>
        <v>0</v>
      </c>
      <c r="BA32" s="95">
        <f t="shared" si="19"/>
        <v>0</v>
      </c>
      <c r="BB32" s="139"/>
      <c r="BC32"/>
    </row>
    <row r="33" spans="1:55" ht="15" hidden="1" customHeight="1" x14ac:dyDescent="0.3">
      <c r="A33" s="72" t="s">
        <v>36</v>
      </c>
      <c r="B33" s="111"/>
      <c r="C33" s="111">
        <v>44</v>
      </c>
      <c r="D33" s="121">
        <f t="shared" si="21"/>
        <v>0</v>
      </c>
      <c r="E33" s="16">
        <f t="shared" si="22"/>
        <v>0</v>
      </c>
      <c r="F33" s="91">
        <f>'7'!F33+'8'!F33+'9'!F33+'10'!F33+'11'!F33+'12'!F33</f>
        <v>0</v>
      </c>
      <c r="G33" s="91">
        <f>'7'!G33+'8'!G33+'9'!G33+'10'!G33+'11'!G33+'12'!G33</f>
        <v>0</v>
      </c>
      <c r="H33" s="135">
        <f>'7'!H33+'8'!H33+'9'!H33+'10'!H33+'11'!H33+'12'!H33</f>
        <v>0</v>
      </c>
      <c r="I33" s="135">
        <f>'7'!I33+'8'!I33+'9'!I33+'10'!I33+'11'!I33+'12'!I33</f>
        <v>0</v>
      </c>
      <c r="J33" s="9" t="s">
        <v>68</v>
      </c>
      <c r="K33" s="133">
        <f>'7'!K33+'8'!K33+'9'!K33+'10'!K33+'11'!K33+'12'!K33</f>
        <v>0</v>
      </c>
      <c r="L33" s="133">
        <f>'7'!L33+'8'!L33+'9'!L33+'10'!L33+'11'!L33+'12'!L33</f>
        <v>0</v>
      </c>
      <c r="M33" s="91">
        <f>'7'!M33+'8'!M33+'9'!M33+'10'!M33+'11'!M33+'12'!M33</f>
        <v>0</v>
      </c>
      <c r="N33" s="91">
        <f>'7'!N33+'8'!N33+'9'!N33+'10'!N33+'11'!N33+'12'!N33</f>
        <v>0</v>
      </c>
      <c r="O33" s="91">
        <f>'7'!O33+'8'!O33+'9'!O33+'10'!O33+'11'!O33+'12'!O33</f>
        <v>0</v>
      </c>
      <c r="P33" s="91">
        <f>'7'!P33+'8'!P33+'9'!P33+'10'!P33+'11'!P33+'12'!P33</f>
        <v>0</v>
      </c>
      <c r="Q33" s="91">
        <f>'7'!Q33+'8'!Q33+'9'!Q33+'10'!Q33+'11'!Q33+'12'!Q33</f>
        <v>0</v>
      </c>
      <c r="R33" s="91">
        <f>'7'!R33+'8'!R33+'9'!R33+'10'!R33+'11'!R33+'12'!R33</f>
        <v>0</v>
      </c>
      <c r="S33" s="91">
        <f>'7'!S33+'8'!S33+'9'!S33+'10'!S33+'11'!S33+'12'!S33</f>
        <v>0</v>
      </c>
      <c r="T33" s="91">
        <f>'7'!T33+'8'!T33+'9'!T33+'10'!T33+'11'!T33+'12'!T33</f>
        <v>0</v>
      </c>
      <c r="U33" s="91">
        <f>'7'!U33+'8'!U33+'9'!U33+'10'!U33+'11'!U33+'12'!U33</f>
        <v>0</v>
      </c>
      <c r="V33" s="91">
        <f>'7'!V33+'8'!V33+'9'!V33+'10'!V33+'11'!V33+'12'!V33</f>
        <v>0</v>
      </c>
      <c r="W33" s="91">
        <f>'7'!W33+'8'!W33+'9'!W33+'10'!W33+'11'!W33+'12'!W33</f>
        <v>0</v>
      </c>
      <c r="X33" s="91">
        <f>'7'!X33+'8'!X33+'9'!X33+'10'!X33+'11'!X33+'12'!X33</f>
        <v>0</v>
      </c>
      <c r="Y33" s="91">
        <f>'7'!Y33+'8'!Y33+'9'!Y33+'10'!Y33+'11'!Y33+'12'!Y33</f>
        <v>0</v>
      </c>
      <c r="Z33" s="91">
        <f>'7'!Z33+'8'!Z33+'9'!Z33+'10'!Z33+'11'!Z33+'12'!Z33</f>
        <v>0</v>
      </c>
      <c r="AA33" s="91">
        <f>'7'!AA33+'8'!AA33+'9'!AA33+'10'!AA33+'11'!AA33+'12'!AA33</f>
        <v>0</v>
      </c>
      <c r="AB33" s="91">
        <f>'7'!AB33+'8'!AB33+'9'!AB33+'10'!AB33+'11'!AB33+'12'!AB33</f>
        <v>0</v>
      </c>
      <c r="AC33" s="91">
        <f>'7'!AC33+'8'!AC33+'9'!AC33+'10'!AC33+'11'!AC33+'12'!AC33</f>
        <v>0</v>
      </c>
      <c r="AD33" s="91">
        <f>'7'!AD33+'8'!AD33+'9'!AD33+'10'!AD33+'11'!AD33+'12'!AD33</f>
        <v>0</v>
      </c>
      <c r="AE33" s="91">
        <f>'7'!AE33+'8'!AE33+'9'!AE33+'10'!AE33+'11'!AE33+'12'!AE33</f>
        <v>0</v>
      </c>
      <c r="AF33" s="91">
        <f>'7'!AF33+'8'!AF33+'9'!AF33+'10'!AF33+'11'!AF33+'12'!AF33</f>
        <v>0</v>
      </c>
      <c r="AG33" s="91">
        <f>'7'!AG33+'8'!AG33+'9'!AG33+'10'!AG33+'11'!AG33+'12'!AG33</f>
        <v>0</v>
      </c>
      <c r="AH33" s="91">
        <f>'7'!AH33+'8'!AH33+'9'!AH33+'10'!AH33+'11'!AH33+'12'!AH33</f>
        <v>0</v>
      </c>
      <c r="AI33" s="91">
        <f>'7'!AI33+'8'!AI33+'9'!AI33+'10'!AI33+'11'!AI33+'12'!AI33</f>
        <v>0</v>
      </c>
      <c r="AJ33" s="91">
        <f>'7'!AJ33+'8'!AJ33+'9'!AJ33+'10'!AJ33+'11'!AJ33+'12'!AJ33</f>
        <v>0</v>
      </c>
      <c r="AK33" s="91">
        <f>'7'!AK33+'8'!AK33+'9'!AK33+'10'!AK33+'11'!AK33+'12'!AK33</f>
        <v>0</v>
      </c>
      <c r="AL33" s="91">
        <f>'7'!AL33+'8'!AL33+'9'!AL33+'10'!AL33+'11'!AL33+'12'!AL33</f>
        <v>0</v>
      </c>
      <c r="AM33" s="91">
        <f>'7'!AM33+'8'!AM33+'9'!AM33+'10'!AM33+'11'!AM33+'12'!AM33</f>
        <v>0</v>
      </c>
      <c r="AN33" s="91">
        <f>'7'!AN33+'8'!AN33+'9'!AN33+'10'!AN33+'11'!AN33+'12'!AN33</f>
        <v>0</v>
      </c>
      <c r="AO33" s="91">
        <f>'7'!AO33+'8'!AO33+'9'!AO33+'10'!AO33+'11'!AO33+'12'!AO33</f>
        <v>0</v>
      </c>
      <c r="AP33" s="91">
        <f>'7'!AP33+'8'!AP33+'9'!AP33+'10'!AP33+'11'!AP33+'12'!AP33</f>
        <v>0</v>
      </c>
      <c r="AQ33" s="16">
        <f t="shared" si="3"/>
        <v>0</v>
      </c>
      <c r="AR33" s="17">
        <f t="shared" si="11"/>
        <v>0</v>
      </c>
      <c r="AS33" s="91">
        <f t="shared" si="15"/>
        <v>0</v>
      </c>
      <c r="AT33" s="91">
        <f>'7'!AT33+'8'!AT33+'9'!AT33+'10'!AT33+'11'!AT33+'12'!AT33</f>
        <v>0</v>
      </c>
      <c r="AU33" s="92">
        <f t="shared" si="16"/>
        <v>0</v>
      </c>
      <c r="AV33" s="92">
        <f t="shared" si="5"/>
        <v>0</v>
      </c>
      <c r="AW33" s="92">
        <f t="shared" si="17"/>
        <v>0</v>
      </c>
      <c r="AX33" s="92">
        <f t="shared" si="18"/>
        <v>0</v>
      </c>
      <c r="AY33" s="82">
        <f t="shared" si="20"/>
        <v>0</v>
      </c>
      <c r="AZ33" s="82">
        <f t="shared" si="20"/>
        <v>0</v>
      </c>
      <c r="BA33" s="95">
        <f t="shared" si="19"/>
        <v>0</v>
      </c>
      <c r="BB33" s="139"/>
      <c r="BC33"/>
    </row>
    <row r="34" spans="1:55" ht="15" hidden="1" customHeight="1" x14ac:dyDescent="0.3">
      <c r="A34" s="72" t="s">
        <v>37</v>
      </c>
      <c r="B34" s="111"/>
      <c r="C34" s="111">
        <v>45</v>
      </c>
      <c r="D34" s="121">
        <f t="shared" si="21"/>
        <v>0</v>
      </c>
      <c r="E34" s="16">
        <f t="shared" si="22"/>
        <v>0</v>
      </c>
      <c r="F34" s="91">
        <f>'7'!F34+'8'!F34+'9'!F34+'10'!F34+'11'!F34+'12'!F34</f>
        <v>0</v>
      </c>
      <c r="G34" s="91">
        <f>'7'!G34+'8'!G34+'9'!G34+'10'!G34+'11'!G34+'12'!G34</f>
        <v>0</v>
      </c>
      <c r="H34" s="135">
        <f>'7'!H34+'8'!H34+'9'!H34+'10'!H34+'11'!H34+'12'!H34</f>
        <v>0</v>
      </c>
      <c r="I34" s="135">
        <f>'7'!I34+'8'!I34+'9'!I34+'10'!I34+'11'!I34+'12'!I34</f>
        <v>0</v>
      </c>
      <c r="J34" s="9" t="s">
        <v>68</v>
      </c>
      <c r="K34" s="133">
        <f>'7'!K34+'8'!K34+'9'!K34+'10'!K34+'11'!K34+'12'!K34</f>
        <v>0</v>
      </c>
      <c r="L34" s="133">
        <f>'7'!L34+'8'!L34+'9'!L34+'10'!L34+'11'!L34+'12'!L34</f>
        <v>0</v>
      </c>
      <c r="M34" s="91">
        <f>'7'!M34+'8'!M34+'9'!M34+'10'!M34+'11'!M34+'12'!M34</f>
        <v>0</v>
      </c>
      <c r="N34" s="91">
        <f>'7'!N34+'8'!N34+'9'!N34+'10'!N34+'11'!N34+'12'!N34</f>
        <v>0</v>
      </c>
      <c r="O34" s="91">
        <f>'7'!O34+'8'!O34+'9'!O34+'10'!O34+'11'!O34+'12'!O34</f>
        <v>0</v>
      </c>
      <c r="P34" s="91">
        <f>'7'!P34+'8'!P34+'9'!P34+'10'!P34+'11'!P34+'12'!P34</f>
        <v>0</v>
      </c>
      <c r="Q34" s="91">
        <f>'7'!Q34+'8'!Q34+'9'!Q34+'10'!Q34+'11'!Q34+'12'!Q34</f>
        <v>0</v>
      </c>
      <c r="R34" s="91">
        <f>'7'!R34+'8'!R34+'9'!R34+'10'!R34+'11'!R34+'12'!R34</f>
        <v>0</v>
      </c>
      <c r="S34" s="91">
        <f>'7'!S34+'8'!S34+'9'!S34+'10'!S34+'11'!S34+'12'!S34</f>
        <v>0</v>
      </c>
      <c r="T34" s="91">
        <f>'7'!T34+'8'!T34+'9'!T34+'10'!T34+'11'!T34+'12'!T34</f>
        <v>0</v>
      </c>
      <c r="U34" s="91">
        <f>'7'!U34+'8'!U34+'9'!U34+'10'!U34+'11'!U34+'12'!U34</f>
        <v>0</v>
      </c>
      <c r="V34" s="91">
        <f>'7'!V34+'8'!V34+'9'!V34+'10'!V34+'11'!V34+'12'!V34</f>
        <v>0</v>
      </c>
      <c r="W34" s="91">
        <f>'7'!W34+'8'!W34+'9'!W34+'10'!W34+'11'!W34+'12'!W34</f>
        <v>0</v>
      </c>
      <c r="X34" s="91">
        <f>'7'!X34+'8'!X34+'9'!X34+'10'!X34+'11'!X34+'12'!X34</f>
        <v>0</v>
      </c>
      <c r="Y34" s="91">
        <f>'7'!Y34+'8'!Y34+'9'!Y34+'10'!Y34+'11'!Y34+'12'!Y34</f>
        <v>0</v>
      </c>
      <c r="Z34" s="91">
        <f>'7'!Z34+'8'!Z34+'9'!Z34+'10'!Z34+'11'!Z34+'12'!Z34</f>
        <v>0</v>
      </c>
      <c r="AA34" s="91">
        <f>'7'!AA34+'8'!AA34+'9'!AA34+'10'!AA34+'11'!AA34+'12'!AA34</f>
        <v>0</v>
      </c>
      <c r="AB34" s="91">
        <f>'7'!AB34+'8'!AB34+'9'!AB34+'10'!AB34+'11'!AB34+'12'!AB34</f>
        <v>0</v>
      </c>
      <c r="AC34" s="91">
        <f>'7'!AC34+'8'!AC34+'9'!AC34+'10'!AC34+'11'!AC34+'12'!AC34</f>
        <v>0</v>
      </c>
      <c r="AD34" s="91">
        <f>'7'!AD34+'8'!AD34+'9'!AD34+'10'!AD34+'11'!AD34+'12'!AD34</f>
        <v>0</v>
      </c>
      <c r="AE34" s="91">
        <f>'7'!AE34+'8'!AE34+'9'!AE34+'10'!AE34+'11'!AE34+'12'!AE34</f>
        <v>0</v>
      </c>
      <c r="AF34" s="91">
        <f>'7'!AF34+'8'!AF34+'9'!AF34+'10'!AF34+'11'!AF34+'12'!AF34</f>
        <v>0</v>
      </c>
      <c r="AG34" s="91">
        <f>'7'!AG34+'8'!AG34+'9'!AG34+'10'!AG34+'11'!AG34+'12'!AG34</f>
        <v>0</v>
      </c>
      <c r="AH34" s="91">
        <f>'7'!AH34+'8'!AH34+'9'!AH34+'10'!AH34+'11'!AH34+'12'!AH34</f>
        <v>0</v>
      </c>
      <c r="AI34" s="91">
        <f>'7'!AI34+'8'!AI34+'9'!AI34+'10'!AI34+'11'!AI34+'12'!AI34</f>
        <v>0</v>
      </c>
      <c r="AJ34" s="91">
        <f>'7'!AJ34+'8'!AJ34+'9'!AJ34+'10'!AJ34+'11'!AJ34+'12'!AJ34</f>
        <v>0</v>
      </c>
      <c r="AK34" s="91">
        <f>'7'!AK34+'8'!AK34+'9'!AK34+'10'!AK34+'11'!AK34+'12'!AK34</f>
        <v>0</v>
      </c>
      <c r="AL34" s="91">
        <f>'7'!AL34+'8'!AL34+'9'!AL34+'10'!AL34+'11'!AL34+'12'!AL34</f>
        <v>0</v>
      </c>
      <c r="AM34" s="91">
        <f>'7'!AM34+'8'!AM34+'9'!AM34+'10'!AM34+'11'!AM34+'12'!AM34</f>
        <v>0</v>
      </c>
      <c r="AN34" s="91">
        <f>'7'!AN34+'8'!AN34+'9'!AN34+'10'!AN34+'11'!AN34+'12'!AN34</f>
        <v>0</v>
      </c>
      <c r="AO34" s="91">
        <f>'7'!AO34+'8'!AO34+'9'!AO34+'10'!AO34+'11'!AO34+'12'!AO34</f>
        <v>0</v>
      </c>
      <c r="AP34" s="91">
        <f>'7'!AP34+'8'!AP34+'9'!AP34+'10'!AP34+'11'!AP34+'12'!AP34</f>
        <v>0</v>
      </c>
      <c r="AQ34" s="16">
        <f t="shared" si="3"/>
        <v>0</v>
      </c>
      <c r="AR34" s="17">
        <f t="shared" si="11"/>
        <v>0</v>
      </c>
      <c r="AS34" s="91">
        <f t="shared" si="15"/>
        <v>0</v>
      </c>
      <c r="AT34" s="91">
        <f>'7'!AT34+'8'!AT34+'9'!AT34+'10'!AT34+'11'!AT34+'12'!AT34</f>
        <v>0</v>
      </c>
      <c r="AU34" s="92">
        <f t="shared" si="16"/>
        <v>0</v>
      </c>
      <c r="AV34" s="92">
        <f t="shared" si="5"/>
        <v>0</v>
      </c>
      <c r="AW34" s="92">
        <f t="shared" si="17"/>
        <v>0</v>
      </c>
      <c r="AX34" s="92">
        <f t="shared" si="18"/>
        <v>0</v>
      </c>
      <c r="AY34" s="82">
        <f t="shared" si="20"/>
        <v>0</v>
      </c>
      <c r="AZ34" s="82">
        <f t="shared" si="20"/>
        <v>0</v>
      </c>
      <c r="BA34" s="95">
        <f t="shared" si="19"/>
        <v>0</v>
      </c>
      <c r="BB34" s="139"/>
      <c r="BC34"/>
    </row>
    <row r="35" spans="1:55" ht="15" hidden="1" customHeight="1" x14ac:dyDescent="0.3">
      <c r="A35" s="72" t="s">
        <v>38</v>
      </c>
      <c r="B35" s="111"/>
      <c r="C35" s="111">
        <v>46</v>
      </c>
      <c r="D35" s="121">
        <f t="shared" si="21"/>
        <v>0</v>
      </c>
      <c r="E35" s="16">
        <f t="shared" si="22"/>
        <v>0</v>
      </c>
      <c r="F35" s="91">
        <f>'7'!F35+'8'!F35+'9'!F35+'10'!F35+'11'!F35+'12'!F35</f>
        <v>0</v>
      </c>
      <c r="G35" s="91">
        <f>'7'!G35+'8'!G35+'9'!G35+'10'!G35+'11'!G35+'12'!G35</f>
        <v>0</v>
      </c>
      <c r="H35" s="135">
        <f>'7'!H35+'8'!H35+'9'!H35+'10'!H35+'11'!H35+'12'!H35</f>
        <v>0</v>
      </c>
      <c r="I35" s="135">
        <f>'7'!I35+'8'!I35+'9'!I35+'10'!I35+'11'!I35+'12'!I35</f>
        <v>0</v>
      </c>
      <c r="J35" s="9" t="s">
        <v>68</v>
      </c>
      <c r="K35" s="133">
        <f>'7'!K35+'8'!K35+'9'!K35+'10'!K35+'11'!K35+'12'!K35</f>
        <v>0</v>
      </c>
      <c r="L35" s="133">
        <f>'7'!L35+'8'!L35+'9'!L35+'10'!L35+'11'!L35+'12'!L35</f>
        <v>0</v>
      </c>
      <c r="M35" s="91">
        <f>'7'!M35+'8'!M35+'9'!M35+'10'!M35+'11'!M35+'12'!M35</f>
        <v>0</v>
      </c>
      <c r="N35" s="91">
        <f>'7'!N35+'8'!N35+'9'!N35+'10'!N35+'11'!N35+'12'!N35</f>
        <v>0</v>
      </c>
      <c r="O35" s="91">
        <f>'7'!O35+'8'!O35+'9'!O35+'10'!O35+'11'!O35+'12'!O35</f>
        <v>0</v>
      </c>
      <c r="P35" s="91">
        <f>'7'!P35+'8'!P35+'9'!P35+'10'!P35+'11'!P35+'12'!P35</f>
        <v>0</v>
      </c>
      <c r="Q35" s="91">
        <f>'7'!Q35+'8'!Q35+'9'!Q35+'10'!Q35+'11'!Q35+'12'!Q35</f>
        <v>0</v>
      </c>
      <c r="R35" s="91">
        <f>'7'!R35+'8'!R35+'9'!R35+'10'!R35+'11'!R35+'12'!R35</f>
        <v>0</v>
      </c>
      <c r="S35" s="91">
        <f>'7'!S35+'8'!S35+'9'!S35+'10'!S35+'11'!S35+'12'!S35</f>
        <v>0</v>
      </c>
      <c r="T35" s="91">
        <f>'7'!T35+'8'!T35+'9'!T35+'10'!T35+'11'!T35+'12'!T35</f>
        <v>0</v>
      </c>
      <c r="U35" s="91">
        <f>'7'!U35+'8'!U35+'9'!U35+'10'!U35+'11'!U35+'12'!U35</f>
        <v>0</v>
      </c>
      <c r="V35" s="91">
        <f>'7'!V35+'8'!V35+'9'!V35+'10'!V35+'11'!V35+'12'!V35</f>
        <v>0</v>
      </c>
      <c r="W35" s="91">
        <f>'7'!W35+'8'!W35+'9'!W35+'10'!W35+'11'!W35+'12'!W35</f>
        <v>0</v>
      </c>
      <c r="X35" s="91">
        <f>'7'!X35+'8'!X35+'9'!X35+'10'!X35+'11'!X35+'12'!X35</f>
        <v>0</v>
      </c>
      <c r="Y35" s="91">
        <f>'7'!Y35+'8'!Y35+'9'!Y35+'10'!Y35+'11'!Y35+'12'!Y35</f>
        <v>0</v>
      </c>
      <c r="Z35" s="91">
        <f>'7'!Z35+'8'!Z35+'9'!Z35+'10'!Z35+'11'!Z35+'12'!Z35</f>
        <v>0</v>
      </c>
      <c r="AA35" s="91">
        <f>'7'!AA35+'8'!AA35+'9'!AA35+'10'!AA35+'11'!AA35+'12'!AA35</f>
        <v>0</v>
      </c>
      <c r="AB35" s="91">
        <f>'7'!AB35+'8'!AB35+'9'!AB35+'10'!AB35+'11'!AB35+'12'!AB35</f>
        <v>0</v>
      </c>
      <c r="AC35" s="91">
        <f>'7'!AC35+'8'!AC35+'9'!AC35+'10'!AC35+'11'!AC35+'12'!AC35</f>
        <v>0</v>
      </c>
      <c r="AD35" s="91">
        <f>'7'!AD35+'8'!AD35+'9'!AD35+'10'!AD35+'11'!AD35+'12'!AD35</f>
        <v>0</v>
      </c>
      <c r="AE35" s="91">
        <f>'7'!AE35+'8'!AE35+'9'!AE35+'10'!AE35+'11'!AE35+'12'!AE35</f>
        <v>0</v>
      </c>
      <c r="AF35" s="91">
        <f>'7'!AF35+'8'!AF35+'9'!AF35+'10'!AF35+'11'!AF35+'12'!AF35</f>
        <v>0</v>
      </c>
      <c r="AG35" s="91">
        <f>'7'!AG35+'8'!AG35+'9'!AG35+'10'!AG35+'11'!AG35+'12'!AG35</f>
        <v>0</v>
      </c>
      <c r="AH35" s="91">
        <f>'7'!AH35+'8'!AH35+'9'!AH35+'10'!AH35+'11'!AH35+'12'!AH35</f>
        <v>0</v>
      </c>
      <c r="AI35" s="91">
        <f>'7'!AI35+'8'!AI35+'9'!AI35+'10'!AI35+'11'!AI35+'12'!AI35</f>
        <v>0</v>
      </c>
      <c r="AJ35" s="91">
        <f>'7'!AJ35+'8'!AJ35+'9'!AJ35+'10'!AJ35+'11'!AJ35+'12'!AJ35</f>
        <v>0</v>
      </c>
      <c r="AK35" s="91">
        <f>'7'!AK35+'8'!AK35+'9'!AK35+'10'!AK35+'11'!AK35+'12'!AK35</f>
        <v>0</v>
      </c>
      <c r="AL35" s="91">
        <f>'7'!AL35+'8'!AL35+'9'!AL35+'10'!AL35+'11'!AL35+'12'!AL35</f>
        <v>0</v>
      </c>
      <c r="AM35" s="91">
        <f>'7'!AM35+'8'!AM35+'9'!AM35+'10'!AM35+'11'!AM35+'12'!AM35</f>
        <v>0</v>
      </c>
      <c r="AN35" s="91">
        <f>'7'!AN35+'8'!AN35+'9'!AN35+'10'!AN35+'11'!AN35+'12'!AN35</f>
        <v>0</v>
      </c>
      <c r="AO35" s="91">
        <f>'7'!AO35+'8'!AO35+'9'!AO35+'10'!AO35+'11'!AO35+'12'!AO35</f>
        <v>0</v>
      </c>
      <c r="AP35" s="91">
        <f>'7'!AP35+'8'!AP35+'9'!AP35+'10'!AP35+'11'!AP35+'12'!AP35</f>
        <v>0</v>
      </c>
      <c r="AQ35" s="16">
        <f t="shared" si="3"/>
        <v>0</v>
      </c>
      <c r="AR35" s="17">
        <f t="shared" si="11"/>
        <v>0</v>
      </c>
      <c r="AS35" s="91">
        <f t="shared" si="15"/>
        <v>0</v>
      </c>
      <c r="AT35" s="91">
        <f>'7'!AT35+'8'!AT35+'9'!AT35+'10'!AT35+'11'!AT35+'12'!AT35</f>
        <v>0</v>
      </c>
      <c r="AU35" s="92">
        <f t="shared" si="16"/>
        <v>0</v>
      </c>
      <c r="AV35" s="92">
        <f t="shared" si="5"/>
        <v>0</v>
      </c>
      <c r="AW35" s="92">
        <f t="shared" si="17"/>
        <v>0</v>
      </c>
      <c r="AX35" s="92">
        <f t="shared" si="18"/>
        <v>0</v>
      </c>
      <c r="AY35" s="82">
        <f t="shared" si="20"/>
        <v>0</v>
      </c>
      <c r="AZ35" s="82">
        <f t="shared" si="20"/>
        <v>0</v>
      </c>
      <c r="BA35" s="95">
        <f t="shared" si="19"/>
        <v>0</v>
      </c>
      <c r="BB35" s="139"/>
      <c r="BC35"/>
    </row>
    <row r="36" spans="1:55" ht="15" hidden="1" customHeight="1" x14ac:dyDescent="0.3">
      <c r="A36" s="72" t="s">
        <v>39</v>
      </c>
      <c r="B36" s="111"/>
      <c r="C36" s="111">
        <v>47</v>
      </c>
      <c r="D36" s="121">
        <f t="shared" si="21"/>
        <v>0</v>
      </c>
      <c r="E36" s="16">
        <f t="shared" si="22"/>
        <v>0</v>
      </c>
      <c r="F36" s="91">
        <f>'7'!F36+'8'!F36+'9'!F36+'10'!F36+'11'!F36+'12'!F36</f>
        <v>0</v>
      </c>
      <c r="G36" s="91">
        <f>'7'!G36+'8'!G36+'9'!G36+'10'!G36+'11'!G36+'12'!G36</f>
        <v>0</v>
      </c>
      <c r="H36" s="135">
        <f>'7'!H36+'8'!H36+'9'!H36+'10'!H36+'11'!H36+'12'!H36</f>
        <v>0</v>
      </c>
      <c r="I36" s="135">
        <f>'7'!I36+'8'!I36+'9'!I36+'10'!I36+'11'!I36+'12'!I36</f>
        <v>0</v>
      </c>
      <c r="J36" s="9" t="s">
        <v>68</v>
      </c>
      <c r="K36" s="133">
        <f>'7'!K36+'8'!K36+'9'!K36+'10'!K36+'11'!K36+'12'!K36</f>
        <v>0</v>
      </c>
      <c r="L36" s="133">
        <f>'7'!L36+'8'!L36+'9'!L36+'10'!L36+'11'!L36+'12'!L36</f>
        <v>0</v>
      </c>
      <c r="M36" s="91">
        <f>'7'!M36+'8'!M36+'9'!M36+'10'!M36+'11'!M36+'12'!M36</f>
        <v>0</v>
      </c>
      <c r="N36" s="91">
        <f>'7'!N36+'8'!N36+'9'!N36+'10'!N36+'11'!N36+'12'!N36</f>
        <v>0</v>
      </c>
      <c r="O36" s="91">
        <f>'7'!O36+'8'!O36+'9'!O36+'10'!O36+'11'!O36+'12'!O36</f>
        <v>0</v>
      </c>
      <c r="P36" s="91">
        <f>'7'!P36+'8'!P36+'9'!P36+'10'!P36+'11'!P36+'12'!P36</f>
        <v>0</v>
      </c>
      <c r="Q36" s="91">
        <f>'7'!Q36+'8'!Q36+'9'!Q36+'10'!Q36+'11'!Q36+'12'!Q36</f>
        <v>0</v>
      </c>
      <c r="R36" s="91">
        <f>'7'!R36+'8'!R36+'9'!R36+'10'!R36+'11'!R36+'12'!R36</f>
        <v>0</v>
      </c>
      <c r="S36" s="91">
        <f>'7'!S36+'8'!S36+'9'!S36+'10'!S36+'11'!S36+'12'!S36</f>
        <v>0</v>
      </c>
      <c r="T36" s="91">
        <f>'7'!T36+'8'!T36+'9'!T36+'10'!T36+'11'!T36+'12'!T36</f>
        <v>0</v>
      </c>
      <c r="U36" s="91">
        <f>'7'!U36+'8'!U36+'9'!U36+'10'!U36+'11'!U36+'12'!U36</f>
        <v>0</v>
      </c>
      <c r="V36" s="91">
        <f>'7'!V36+'8'!V36+'9'!V36+'10'!V36+'11'!V36+'12'!V36</f>
        <v>0</v>
      </c>
      <c r="W36" s="91">
        <f>'7'!W36+'8'!W36+'9'!W36+'10'!W36+'11'!W36+'12'!W36</f>
        <v>0</v>
      </c>
      <c r="X36" s="91">
        <f>'7'!X36+'8'!X36+'9'!X36+'10'!X36+'11'!X36+'12'!X36</f>
        <v>0</v>
      </c>
      <c r="Y36" s="91">
        <f>'7'!Y36+'8'!Y36+'9'!Y36+'10'!Y36+'11'!Y36+'12'!Y36</f>
        <v>0</v>
      </c>
      <c r="Z36" s="91">
        <f>'7'!Z36+'8'!Z36+'9'!Z36+'10'!Z36+'11'!Z36+'12'!Z36</f>
        <v>0</v>
      </c>
      <c r="AA36" s="91">
        <f>'7'!AA36+'8'!AA36+'9'!AA36+'10'!AA36+'11'!AA36+'12'!AA36</f>
        <v>0</v>
      </c>
      <c r="AB36" s="91">
        <f>'7'!AB36+'8'!AB36+'9'!AB36+'10'!AB36+'11'!AB36+'12'!AB36</f>
        <v>0</v>
      </c>
      <c r="AC36" s="91">
        <f>'7'!AC36+'8'!AC36+'9'!AC36+'10'!AC36+'11'!AC36+'12'!AC36</f>
        <v>0</v>
      </c>
      <c r="AD36" s="91">
        <f>'7'!AD36+'8'!AD36+'9'!AD36+'10'!AD36+'11'!AD36+'12'!AD36</f>
        <v>0</v>
      </c>
      <c r="AE36" s="91">
        <f>'7'!AE36+'8'!AE36+'9'!AE36+'10'!AE36+'11'!AE36+'12'!AE36</f>
        <v>0</v>
      </c>
      <c r="AF36" s="91">
        <f>'7'!AF36+'8'!AF36+'9'!AF36+'10'!AF36+'11'!AF36+'12'!AF36</f>
        <v>0</v>
      </c>
      <c r="AG36" s="91">
        <f>'7'!AG36+'8'!AG36+'9'!AG36+'10'!AG36+'11'!AG36+'12'!AG36</f>
        <v>0</v>
      </c>
      <c r="AH36" s="91">
        <f>'7'!AH36+'8'!AH36+'9'!AH36+'10'!AH36+'11'!AH36+'12'!AH36</f>
        <v>0</v>
      </c>
      <c r="AI36" s="91">
        <f>'7'!AI36+'8'!AI36+'9'!AI36+'10'!AI36+'11'!AI36+'12'!AI36</f>
        <v>0</v>
      </c>
      <c r="AJ36" s="91">
        <f>'7'!AJ36+'8'!AJ36+'9'!AJ36+'10'!AJ36+'11'!AJ36+'12'!AJ36</f>
        <v>0</v>
      </c>
      <c r="AK36" s="91">
        <f>'7'!AK36+'8'!AK36+'9'!AK36+'10'!AK36+'11'!AK36+'12'!AK36</f>
        <v>0</v>
      </c>
      <c r="AL36" s="91">
        <f>'7'!AL36+'8'!AL36+'9'!AL36+'10'!AL36+'11'!AL36+'12'!AL36</f>
        <v>0</v>
      </c>
      <c r="AM36" s="91">
        <f>'7'!AM36+'8'!AM36+'9'!AM36+'10'!AM36+'11'!AM36+'12'!AM36</f>
        <v>0</v>
      </c>
      <c r="AN36" s="91">
        <f>'7'!AN36+'8'!AN36+'9'!AN36+'10'!AN36+'11'!AN36+'12'!AN36</f>
        <v>0</v>
      </c>
      <c r="AO36" s="91">
        <f>'7'!AO36+'8'!AO36+'9'!AO36+'10'!AO36+'11'!AO36+'12'!AO36</f>
        <v>0</v>
      </c>
      <c r="AP36" s="91">
        <f>'7'!AP36+'8'!AP36+'9'!AP36+'10'!AP36+'11'!AP36+'12'!AP36</f>
        <v>0</v>
      </c>
      <c r="AQ36" s="16">
        <f t="shared" si="3"/>
        <v>0</v>
      </c>
      <c r="AR36" s="17">
        <f t="shared" si="11"/>
        <v>0</v>
      </c>
      <c r="AS36" s="91">
        <f t="shared" si="15"/>
        <v>0</v>
      </c>
      <c r="AT36" s="91">
        <f>'7'!AT36+'8'!AT36+'9'!AT36+'10'!AT36+'11'!AT36+'12'!AT36</f>
        <v>0</v>
      </c>
      <c r="AU36" s="92">
        <f t="shared" si="16"/>
        <v>0</v>
      </c>
      <c r="AV36" s="92">
        <f t="shared" si="5"/>
        <v>0</v>
      </c>
      <c r="AW36" s="92">
        <f t="shared" si="17"/>
        <v>0</v>
      </c>
      <c r="AX36" s="92">
        <f t="shared" si="18"/>
        <v>0</v>
      </c>
      <c r="AY36" s="82">
        <f t="shared" si="20"/>
        <v>0</v>
      </c>
      <c r="AZ36" s="82">
        <f t="shared" si="20"/>
        <v>0</v>
      </c>
      <c r="BA36" s="95">
        <f t="shared" si="19"/>
        <v>0</v>
      </c>
      <c r="BB36" s="139"/>
      <c r="BC36"/>
    </row>
    <row r="37" spans="1:55" ht="15" hidden="1" customHeight="1" x14ac:dyDescent="0.3">
      <c r="A37" s="72" t="s">
        <v>40</v>
      </c>
      <c r="B37" s="111"/>
      <c r="C37" s="111">
        <v>48</v>
      </c>
      <c r="D37" s="121">
        <f t="shared" si="21"/>
        <v>0</v>
      </c>
      <c r="E37" s="16">
        <f t="shared" si="22"/>
        <v>0</v>
      </c>
      <c r="F37" s="91">
        <f>'7'!F37+'8'!F37+'9'!F37+'10'!F37+'11'!F37+'12'!F37</f>
        <v>0</v>
      </c>
      <c r="G37" s="91">
        <f>'7'!G37+'8'!G37+'9'!G37+'10'!G37+'11'!G37+'12'!G37</f>
        <v>0</v>
      </c>
      <c r="H37" s="135">
        <f>'7'!H37+'8'!H37+'9'!H37+'10'!H37+'11'!H37+'12'!H37</f>
        <v>0</v>
      </c>
      <c r="I37" s="135">
        <f>'7'!I37+'8'!I37+'9'!I37+'10'!I37+'11'!I37+'12'!I37</f>
        <v>0</v>
      </c>
      <c r="J37" s="9" t="s">
        <v>68</v>
      </c>
      <c r="K37" s="133">
        <f>'7'!K37+'8'!K37+'9'!K37+'10'!K37+'11'!K37+'12'!K37</f>
        <v>0</v>
      </c>
      <c r="L37" s="133">
        <f>'7'!L37+'8'!L37+'9'!L37+'10'!L37+'11'!L37+'12'!L37</f>
        <v>0</v>
      </c>
      <c r="M37" s="91">
        <f>'7'!M37+'8'!M37+'9'!M37+'10'!M37+'11'!M37+'12'!M37</f>
        <v>0</v>
      </c>
      <c r="N37" s="91">
        <f>'7'!N37+'8'!N37+'9'!N37+'10'!N37+'11'!N37+'12'!N37</f>
        <v>0</v>
      </c>
      <c r="O37" s="91">
        <f>'7'!O37+'8'!O37+'9'!O37+'10'!O37+'11'!O37+'12'!O37</f>
        <v>0</v>
      </c>
      <c r="P37" s="91">
        <f>'7'!P37+'8'!P37+'9'!P37+'10'!P37+'11'!P37+'12'!P37</f>
        <v>0</v>
      </c>
      <c r="Q37" s="91">
        <f>'7'!Q37+'8'!Q37+'9'!Q37+'10'!Q37+'11'!Q37+'12'!Q37</f>
        <v>0</v>
      </c>
      <c r="R37" s="91">
        <f>'7'!R37+'8'!R37+'9'!R37+'10'!R37+'11'!R37+'12'!R37</f>
        <v>0</v>
      </c>
      <c r="S37" s="91">
        <f>'7'!S37+'8'!S37+'9'!S37+'10'!S37+'11'!S37+'12'!S37</f>
        <v>0</v>
      </c>
      <c r="T37" s="91">
        <f>'7'!T37+'8'!T37+'9'!T37+'10'!T37+'11'!T37+'12'!T37</f>
        <v>0</v>
      </c>
      <c r="U37" s="91">
        <f>'7'!U37+'8'!U37+'9'!U37+'10'!U37+'11'!U37+'12'!U37</f>
        <v>0</v>
      </c>
      <c r="V37" s="91">
        <f>'7'!V37+'8'!V37+'9'!V37+'10'!V37+'11'!V37+'12'!V37</f>
        <v>0</v>
      </c>
      <c r="W37" s="91">
        <f>'7'!W37+'8'!W37+'9'!W37+'10'!W37+'11'!W37+'12'!W37</f>
        <v>0</v>
      </c>
      <c r="X37" s="91">
        <f>'7'!X37+'8'!X37+'9'!X37+'10'!X37+'11'!X37+'12'!X37</f>
        <v>0</v>
      </c>
      <c r="Y37" s="91">
        <f>'7'!Y37+'8'!Y37+'9'!Y37+'10'!Y37+'11'!Y37+'12'!Y37</f>
        <v>0</v>
      </c>
      <c r="Z37" s="91">
        <f>'7'!Z37+'8'!Z37+'9'!Z37+'10'!Z37+'11'!Z37+'12'!Z37</f>
        <v>0</v>
      </c>
      <c r="AA37" s="91">
        <f>'7'!AA37+'8'!AA37+'9'!AA37+'10'!AA37+'11'!AA37+'12'!AA37</f>
        <v>0</v>
      </c>
      <c r="AB37" s="91">
        <f>'7'!AB37+'8'!AB37+'9'!AB37+'10'!AB37+'11'!AB37+'12'!AB37</f>
        <v>0</v>
      </c>
      <c r="AC37" s="91">
        <f>'7'!AC37+'8'!AC37+'9'!AC37+'10'!AC37+'11'!AC37+'12'!AC37</f>
        <v>0</v>
      </c>
      <c r="AD37" s="91">
        <f>'7'!AD37+'8'!AD37+'9'!AD37+'10'!AD37+'11'!AD37+'12'!AD37</f>
        <v>0</v>
      </c>
      <c r="AE37" s="91">
        <f>'7'!AE37+'8'!AE37+'9'!AE37+'10'!AE37+'11'!AE37+'12'!AE37</f>
        <v>0</v>
      </c>
      <c r="AF37" s="91">
        <f>'7'!AF37+'8'!AF37+'9'!AF37+'10'!AF37+'11'!AF37+'12'!AF37</f>
        <v>0</v>
      </c>
      <c r="AG37" s="91">
        <f>'7'!AG37+'8'!AG37+'9'!AG37+'10'!AG37+'11'!AG37+'12'!AG37</f>
        <v>0</v>
      </c>
      <c r="AH37" s="91">
        <f>'7'!AH37+'8'!AH37+'9'!AH37+'10'!AH37+'11'!AH37+'12'!AH37</f>
        <v>0</v>
      </c>
      <c r="AI37" s="91">
        <f>'7'!AI37+'8'!AI37+'9'!AI37+'10'!AI37+'11'!AI37+'12'!AI37</f>
        <v>0</v>
      </c>
      <c r="AJ37" s="91">
        <f>'7'!AJ37+'8'!AJ37+'9'!AJ37+'10'!AJ37+'11'!AJ37+'12'!AJ37</f>
        <v>0</v>
      </c>
      <c r="AK37" s="91">
        <f>'7'!AK37+'8'!AK37+'9'!AK37+'10'!AK37+'11'!AK37+'12'!AK37</f>
        <v>0</v>
      </c>
      <c r="AL37" s="91">
        <f>'7'!AL37+'8'!AL37+'9'!AL37+'10'!AL37+'11'!AL37+'12'!AL37</f>
        <v>0</v>
      </c>
      <c r="AM37" s="91">
        <f>'7'!AM37+'8'!AM37+'9'!AM37+'10'!AM37+'11'!AM37+'12'!AM37</f>
        <v>0</v>
      </c>
      <c r="AN37" s="91">
        <f>'7'!AN37+'8'!AN37+'9'!AN37+'10'!AN37+'11'!AN37+'12'!AN37</f>
        <v>0</v>
      </c>
      <c r="AO37" s="91">
        <f>'7'!AO37+'8'!AO37+'9'!AO37+'10'!AO37+'11'!AO37+'12'!AO37</f>
        <v>0</v>
      </c>
      <c r="AP37" s="91">
        <f>'7'!AP37+'8'!AP37+'9'!AP37+'10'!AP37+'11'!AP37+'12'!AP37</f>
        <v>0</v>
      </c>
      <c r="AQ37" s="16">
        <f t="shared" si="3"/>
        <v>0</v>
      </c>
      <c r="AR37" s="17">
        <f t="shared" si="11"/>
        <v>0</v>
      </c>
      <c r="AS37" s="91">
        <f t="shared" si="15"/>
        <v>0</v>
      </c>
      <c r="AT37" s="91">
        <f>'7'!AT37+'8'!AT37+'9'!AT37+'10'!AT37+'11'!AT37+'12'!AT37</f>
        <v>0</v>
      </c>
      <c r="AU37" s="92">
        <f t="shared" si="16"/>
        <v>0</v>
      </c>
      <c r="AV37" s="92">
        <f t="shared" si="5"/>
        <v>0</v>
      </c>
      <c r="AW37" s="92">
        <f t="shared" si="17"/>
        <v>0</v>
      </c>
      <c r="AX37" s="92">
        <f t="shared" si="18"/>
        <v>0</v>
      </c>
      <c r="AY37" s="82">
        <f t="shared" si="20"/>
        <v>0</v>
      </c>
      <c r="AZ37" s="82">
        <f t="shared" si="20"/>
        <v>0</v>
      </c>
      <c r="BA37" s="95">
        <f t="shared" si="19"/>
        <v>0</v>
      </c>
      <c r="BB37" s="139"/>
      <c r="BC37"/>
    </row>
    <row r="38" spans="1:55" ht="15" hidden="1" customHeight="1" x14ac:dyDescent="0.3">
      <c r="A38" s="72" t="s">
        <v>41</v>
      </c>
      <c r="B38" s="111"/>
      <c r="C38" s="111">
        <v>49</v>
      </c>
      <c r="D38" s="121">
        <f t="shared" si="21"/>
        <v>0</v>
      </c>
      <c r="E38" s="16">
        <f t="shared" si="22"/>
        <v>0</v>
      </c>
      <c r="F38" s="91">
        <f>'7'!F38+'8'!F38+'9'!F38+'10'!F38+'11'!F38+'12'!F38</f>
        <v>0</v>
      </c>
      <c r="G38" s="91">
        <f>'7'!G38+'8'!G38+'9'!G38+'10'!G38+'11'!G38+'12'!G38</f>
        <v>0</v>
      </c>
      <c r="H38" s="135">
        <f>'7'!H38+'8'!H38+'9'!H38+'10'!H38+'11'!H38+'12'!H38</f>
        <v>0</v>
      </c>
      <c r="I38" s="135">
        <f>'7'!I38+'8'!I38+'9'!I38+'10'!I38+'11'!I38+'12'!I38</f>
        <v>0</v>
      </c>
      <c r="J38" s="9" t="s">
        <v>68</v>
      </c>
      <c r="K38" s="133">
        <f>'7'!K38+'8'!K38+'9'!K38+'10'!K38+'11'!K38+'12'!K38</f>
        <v>0</v>
      </c>
      <c r="L38" s="133">
        <f>'7'!L38+'8'!L38+'9'!L38+'10'!L38+'11'!L38+'12'!L38</f>
        <v>0</v>
      </c>
      <c r="M38" s="91">
        <f>'7'!M38+'8'!M38+'9'!M38+'10'!M38+'11'!M38+'12'!M38</f>
        <v>0</v>
      </c>
      <c r="N38" s="91">
        <f>'7'!N38+'8'!N38+'9'!N38+'10'!N38+'11'!N38+'12'!N38</f>
        <v>0</v>
      </c>
      <c r="O38" s="91">
        <f>'7'!O38+'8'!O38+'9'!O38+'10'!O38+'11'!O38+'12'!O38</f>
        <v>0</v>
      </c>
      <c r="P38" s="91">
        <f>'7'!P38+'8'!P38+'9'!P38+'10'!P38+'11'!P38+'12'!P38</f>
        <v>0</v>
      </c>
      <c r="Q38" s="91">
        <f>'7'!Q38+'8'!Q38+'9'!Q38+'10'!Q38+'11'!Q38+'12'!Q38</f>
        <v>0</v>
      </c>
      <c r="R38" s="91">
        <f>'7'!R38+'8'!R38+'9'!R38+'10'!R38+'11'!R38+'12'!R38</f>
        <v>0</v>
      </c>
      <c r="S38" s="91">
        <f>'7'!S38+'8'!S38+'9'!S38+'10'!S38+'11'!S38+'12'!S38</f>
        <v>0</v>
      </c>
      <c r="T38" s="91">
        <f>'7'!T38+'8'!T38+'9'!T38+'10'!T38+'11'!T38+'12'!T38</f>
        <v>0</v>
      </c>
      <c r="U38" s="91">
        <f>'7'!U38+'8'!U38+'9'!U38+'10'!U38+'11'!U38+'12'!U38</f>
        <v>0</v>
      </c>
      <c r="V38" s="91">
        <f>'7'!V38+'8'!V38+'9'!V38+'10'!V38+'11'!V38+'12'!V38</f>
        <v>0</v>
      </c>
      <c r="W38" s="91">
        <f>'7'!W38+'8'!W38+'9'!W38+'10'!W38+'11'!W38+'12'!W38</f>
        <v>0</v>
      </c>
      <c r="X38" s="91">
        <f>'7'!X38+'8'!X38+'9'!X38+'10'!X38+'11'!X38+'12'!X38</f>
        <v>0</v>
      </c>
      <c r="Y38" s="91">
        <f>'7'!Y38+'8'!Y38+'9'!Y38+'10'!Y38+'11'!Y38+'12'!Y38</f>
        <v>0</v>
      </c>
      <c r="Z38" s="91">
        <f>'7'!Z38+'8'!Z38+'9'!Z38+'10'!Z38+'11'!Z38+'12'!Z38</f>
        <v>0</v>
      </c>
      <c r="AA38" s="91">
        <f>'7'!AA38+'8'!AA38+'9'!AA38+'10'!AA38+'11'!AA38+'12'!AA38</f>
        <v>0</v>
      </c>
      <c r="AB38" s="91">
        <f>'7'!AB38+'8'!AB38+'9'!AB38+'10'!AB38+'11'!AB38+'12'!AB38</f>
        <v>0</v>
      </c>
      <c r="AC38" s="91">
        <f>'7'!AC38+'8'!AC38+'9'!AC38+'10'!AC38+'11'!AC38+'12'!AC38</f>
        <v>0</v>
      </c>
      <c r="AD38" s="91">
        <f>'7'!AD38+'8'!AD38+'9'!AD38+'10'!AD38+'11'!AD38+'12'!AD38</f>
        <v>0</v>
      </c>
      <c r="AE38" s="91">
        <f>'7'!AE38+'8'!AE38+'9'!AE38+'10'!AE38+'11'!AE38+'12'!AE38</f>
        <v>0</v>
      </c>
      <c r="AF38" s="91">
        <f>'7'!AF38+'8'!AF38+'9'!AF38+'10'!AF38+'11'!AF38+'12'!AF38</f>
        <v>0</v>
      </c>
      <c r="AG38" s="91">
        <f>'7'!AG38+'8'!AG38+'9'!AG38+'10'!AG38+'11'!AG38+'12'!AG38</f>
        <v>0</v>
      </c>
      <c r="AH38" s="91">
        <f>'7'!AH38+'8'!AH38+'9'!AH38+'10'!AH38+'11'!AH38+'12'!AH38</f>
        <v>0</v>
      </c>
      <c r="AI38" s="91">
        <f>'7'!AI38+'8'!AI38+'9'!AI38+'10'!AI38+'11'!AI38+'12'!AI38</f>
        <v>0</v>
      </c>
      <c r="AJ38" s="91">
        <f>'7'!AJ38+'8'!AJ38+'9'!AJ38+'10'!AJ38+'11'!AJ38+'12'!AJ38</f>
        <v>0</v>
      </c>
      <c r="AK38" s="91">
        <f>'7'!AK38+'8'!AK38+'9'!AK38+'10'!AK38+'11'!AK38+'12'!AK38</f>
        <v>0</v>
      </c>
      <c r="AL38" s="91">
        <f>'7'!AL38+'8'!AL38+'9'!AL38+'10'!AL38+'11'!AL38+'12'!AL38</f>
        <v>0</v>
      </c>
      <c r="AM38" s="91">
        <f>'7'!AM38+'8'!AM38+'9'!AM38+'10'!AM38+'11'!AM38+'12'!AM38</f>
        <v>0</v>
      </c>
      <c r="AN38" s="91">
        <f>'7'!AN38+'8'!AN38+'9'!AN38+'10'!AN38+'11'!AN38+'12'!AN38</f>
        <v>0</v>
      </c>
      <c r="AO38" s="91">
        <f>'7'!AO38+'8'!AO38+'9'!AO38+'10'!AO38+'11'!AO38+'12'!AO38</f>
        <v>0</v>
      </c>
      <c r="AP38" s="91">
        <f>'7'!AP38+'8'!AP38+'9'!AP38+'10'!AP38+'11'!AP38+'12'!AP38</f>
        <v>0</v>
      </c>
      <c r="AQ38" s="16">
        <f t="shared" si="3"/>
        <v>0</v>
      </c>
      <c r="AR38" s="17">
        <f t="shared" si="11"/>
        <v>0</v>
      </c>
      <c r="AS38" s="91">
        <f t="shared" si="15"/>
        <v>0</v>
      </c>
      <c r="AT38" s="91">
        <f>'7'!AT38+'8'!AT38+'9'!AT38+'10'!AT38+'11'!AT38+'12'!AT38</f>
        <v>0</v>
      </c>
      <c r="AU38" s="92">
        <f t="shared" si="16"/>
        <v>0</v>
      </c>
      <c r="AV38" s="92">
        <f t="shared" si="5"/>
        <v>0</v>
      </c>
      <c r="AW38" s="92">
        <f t="shared" si="17"/>
        <v>0</v>
      </c>
      <c r="AX38" s="92">
        <f t="shared" si="18"/>
        <v>0</v>
      </c>
      <c r="AY38" s="82">
        <f t="shared" si="20"/>
        <v>0</v>
      </c>
      <c r="AZ38" s="82">
        <f t="shared" si="20"/>
        <v>0</v>
      </c>
      <c r="BA38" s="95">
        <f t="shared" si="19"/>
        <v>0</v>
      </c>
      <c r="BB38" s="139"/>
      <c r="BC38"/>
    </row>
    <row r="39" spans="1:55" ht="15" hidden="1" customHeight="1" x14ac:dyDescent="0.3">
      <c r="A39" s="72" t="s">
        <v>42</v>
      </c>
      <c r="B39" s="111"/>
      <c r="C39" s="111">
        <v>50</v>
      </c>
      <c r="D39" s="121">
        <f t="shared" si="21"/>
        <v>0</v>
      </c>
      <c r="E39" s="16">
        <f t="shared" si="22"/>
        <v>0</v>
      </c>
      <c r="F39" s="91">
        <f>'7'!F39+'8'!F39+'9'!F39+'10'!F39+'11'!F39+'12'!F39</f>
        <v>0</v>
      </c>
      <c r="G39" s="91">
        <f>'7'!G39+'8'!G39+'9'!G39+'10'!G39+'11'!G39+'12'!G39</f>
        <v>0</v>
      </c>
      <c r="H39" s="135">
        <f>'7'!H39+'8'!H39+'9'!H39+'10'!H39+'11'!H39+'12'!H39</f>
        <v>0</v>
      </c>
      <c r="I39" s="135">
        <f>'7'!I39+'8'!I39+'9'!I39+'10'!I39+'11'!I39+'12'!I39</f>
        <v>0</v>
      </c>
      <c r="J39" s="9" t="s">
        <v>68</v>
      </c>
      <c r="K39" s="133">
        <f>'7'!K39+'8'!K39+'9'!K39+'10'!K39+'11'!K39+'12'!K39</f>
        <v>0</v>
      </c>
      <c r="L39" s="133">
        <f>'7'!L39+'8'!L39+'9'!L39+'10'!L39+'11'!L39+'12'!L39</f>
        <v>0</v>
      </c>
      <c r="M39" s="91">
        <f>'7'!M39+'8'!M39+'9'!M39+'10'!M39+'11'!M39+'12'!M39</f>
        <v>0</v>
      </c>
      <c r="N39" s="91">
        <f>'7'!N39+'8'!N39+'9'!N39+'10'!N39+'11'!N39+'12'!N39</f>
        <v>0</v>
      </c>
      <c r="O39" s="91">
        <f>'7'!O39+'8'!O39+'9'!O39+'10'!O39+'11'!O39+'12'!O39</f>
        <v>0</v>
      </c>
      <c r="P39" s="91">
        <f>'7'!P39+'8'!P39+'9'!P39+'10'!P39+'11'!P39+'12'!P39</f>
        <v>0</v>
      </c>
      <c r="Q39" s="91">
        <f>'7'!Q39+'8'!Q39+'9'!Q39+'10'!Q39+'11'!Q39+'12'!Q39</f>
        <v>0</v>
      </c>
      <c r="R39" s="91">
        <f>'7'!R39+'8'!R39+'9'!R39+'10'!R39+'11'!R39+'12'!R39</f>
        <v>0</v>
      </c>
      <c r="S39" s="91">
        <f>'7'!S39+'8'!S39+'9'!S39+'10'!S39+'11'!S39+'12'!S39</f>
        <v>0</v>
      </c>
      <c r="T39" s="91">
        <f>'7'!T39+'8'!T39+'9'!T39+'10'!T39+'11'!T39+'12'!T39</f>
        <v>0</v>
      </c>
      <c r="U39" s="91">
        <f>'7'!U39+'8'!U39+'9'!U39+'10'!U39+'11'!U39+'12'!U39</f>
        <v>0</v>
      </c>
      <c r="V39" s="91">
        <f>'7'!V39+'8'!V39+'9'!V39+'10'!V39+'11'!V39+'12'!V39</f>
        <v>0</v>
      </c>
      <c r="W39" s="91">
        <f>'7'!W39+'8'!W39+'9'!W39+'10'!W39+'11'!W39+'12'!W39</f>
        <v>0</v>
      </c>
      <c r="X39" s="91">
        <f>'7'!X39+'8'!X39+'9'!X39+'10'!X39+'11'!X39+'12'!X39</f>
        <v>0</v>
      </c>
      <c r="Y39" s="91">
        <f>'7'!Y39+'8'!Y39+'9'!Y39+'10'!Y39+'11'!Y39+'12'!Y39</f>
        <v>0</v>
      </c>
      <c r="Z39" s="91">
        <f>'7'!Z39+'8'!Z39+'9'!Z39+'10'!Z39+'11'!Z39+'12'!Z39</f>
        <v>0</v>
      </c>
      <c r="AA39" s="91">
        <f>'7'!AA39+'8'!AA39+'9'!AA39+'10'!AA39+'11'!AA39+'12'!AA39</f>
        <v>0</v>
      </c>
      <c r="AB39" s="91">
        <f>'7'!AB39+'8'!AB39+'9'!AB39+'10'!AB39+'11'!AB39+'12'!AB39</f>
        <v>0</v>
      </c>
      <c r="AC39" s="91">
        <f>'7'!AC39+'8'!AC39+'9'!AC39+'10'!AC39+'11'!AC39+'12'!AC39</f>
        <v>0</v>
      </c>
      <c r="AD39" s="91">
        <f>'7'!AD39+'8'!AD39+'9'!AD39+'10'!AD39+'11'!AD39+'12'!AD39</f>
        <v>0</v>
      </c>
      <c r="AE39" s="91">
        <f>'7'!AE39+'8'!AE39+'9'!AE39+'10'!AE39+'11'!AE39+'12'!AE39</f>
        <v>0</v>
      </c>
      <c r="AF39" s="91">
        <f>'7'!AF39+'8'!AF39+'9'!AF39+'10'!AF39+'11'!AF39+'12'!AF39</f>
        <v>0</v>
      </c>
      <c r="AG39" s="91">
        <f>'7'!AG39+'8'!AG39+'9'!AG39+'10'!AG39+'11'!AG39+'12'!AG39</f>
        <v>0</v>
      </c>
      <c r="AH39" s="91">
        <f>'7'!AH39+'8'!AH39+'9'!AH39+'10'!AH39+'11'!AH39+'12'!AH39</f>
        <v>0</v>
      </c>
      <c r="AI39" s="91">
        <f>'7'!AI39+'8'!AI39+'9'!AI39+'10'!AI39+'11'!AI39+'12'!AI39</f>
        <v>0</v>
      </c>
      <c r="AJ39" s="91">
        <f>'7'!AJ39+'8'!AJ39+'9'!AJ39+'10'!AJ39+'11'!AJ39+'12'!AJ39</f>
        <v>0</v>
      </c>
      <c r="AK39" s="91">
        <f>'7'!AK39+'8'!AK39+'9'!AK39+'10'!AK39+'11'!AK39+'12'!AK39</f>
        <v>0</v>
      </c>
      <c r="AL39" s="91">
        <f>'7'!AL39+'8'!AL39+'9'!AL39+'10'!AL39+'11'!AL39+'12'!AL39</f>
        <v>0</v>
      </c>
      <c r="AM39" s="91">
        <f>'7'!AM39+'8'!AM39+'9'!AM39+'10'!AM39+'11'!AM39+'12'!AM39</f>
        <v>0</v>
      </c>
      <c r="AN39" s="91">
        <f>'7'!AN39+'8'!AN39+'9'!AN39+'10'!AN39+'11'!AN39+'12'!AN39</f>
        <v>0</v>
      </c>
      <c r="AO39" s="91">
        <f>'7'!AO39+'8'!AO39+'9'!AO39+'10'!AO39+'11'!AO39+'12'!AO39</f>
        <v>0</v>
      </c>
      <c r="AP39" s="91">
        <f>'7'!AP39+'8'!AP39+'9'!AP39+'10'!AP39+'11'!AP39+'12'!AP39</f>
        <v>0</v>
      </c>
      <c r="AQ39" s="16">
        <f t="shared" si="3"/>
        <v>0</v>
      </c>
      <c r="AR39" s="17">
        <f t="shared" si="11"/>
        <v>0</v>
      </c>
      <c r="AS39" s="91">
        <f t="shared" si="15"/>
        <v>0</v>
      </c>
      <c r="AT39" s="91">
        <f>'7'!AT39+'8'!AT39+'9'!AT39+'10'!AT39+'11'!AT39+'12'!AT39</f>
        <v>0</v>
      </c>
      <c r="AU39" s="92">
        <f t="shared" si="16"/>
        <v>0</v>
      </c>
      <c r="AV39" s="92">
        <f t="shared" si="5"/>
        <v>0</v>
      </c>
      <c r="AW39" s="92">
        <f t="shared" si="17"/>
        <v>0</v>
      </c>
      <c r="AX39" s="92">
        <f t="shared" si="18"/>
        <v>0</v>
      </c>
      <c r="AY39" s="82">
        <f t="shared" si="20"/>
        <v>0</v>
      </c>
      <c r="AZ39" s="82">
        <f t="shared" si="20"/>
        <v>0</v>
      </c>
      <c r="BA39" s="95">
        <f t="shared" si="19"/>
        <v>0</v>
      </c>
      <c r="BB39" s="139"/>
      <c r="BC39"/>
    </row>
    <row r="40" spans="1:55" ht="15" hidden="1" customHeight="1" x14ac:dyDescent="0.3">
      <c r="A40" s="72" t="s">
        <v>43</v>
      </c>
      <c r="B40" s="111"/>
      <c r="C40" s="111">
        <v>51</v>
      </c>
      <c r="D40" s="121">
        <f t="shared" si="21"/>
        <v>0</v>
      </c>
      <c r="E40" s="16">
        <f t="shared" si="22"/>
        <v>0</v>
      </c>
      <c r="F40" s="91">
        <f>'7'!F40+'8'!F40+'9'!F40+'10'!F40+'11'!F40+'12'!F40</f>
        <v>0</v>
      </c>
      <c r="G40" s="91">
        <f>'7'!G40+'8'!G40+'9'!G40+'10'!G40+'11'!G40+'12'!G40</f>
        <v>0</v>
      </c>
      <c r="H40" s="135">
        <f>'7'!H40+'8'!H40+'9'!H40+'10'!H40+'11'!H40+'12'!H40</f>
        <v>0</v>
      </c>
      <c r="I40" s="135">
        <f>'7'!I40+'8'!I40+'9'!I40+'10'!I40+'11'!I40+'12'!I40</f>
        <v>0</v>
      </c>
      <c r="J40" s="9" t="s">
        <v>68</v>
      </c>
      <c r="K40" s="133">
        <f>'7'!K40+'8'!K40+'9'!K40+'10'!K40+'11'!K40+'12'!K40</f>
        <v>0</v>
      </c>
      <c r="L40" s="133">
        <f>'7'!L40+'8'!L40+'9'!L40+'10'!L40+'11'!L40+'12'!L40</f>
        <v>0</v>
      </c>
      <c r="M40" s="91">
        <f>'7'!M40+'8'!M40+'9'!M40+'10'!M40+'11'!M40+'12'!M40</f>
        <v>0</v>
      </c>
      <c r="N40" s="91">
        <f>'7'!N40+'8'!N40+'9'!N40+'10'!N40+'11'!N40+'12'!N40</f>
        <v>0</v>
      </c>
      <c r="O40" s="91">
        <f>'7'!O40+'8'!O40+'9'!O40+'10'!O40+'11'!O40+'12'!O40</f>
        <v>0</v>
      </c>
      <c r="P40" s="91">
        <f>'7'!P40+'8'!P40+'9'!P40+'10'!P40+'11'!P40+'12'!P40</f>
        <v>0</v>
      </c>
      <c r="Q40" s="91">
        <f>'7'!Q40+'8'!Q40+'9'!Q40+'10'!Q40+'11'!Q40+'12'!Q40</f>
        <v>0</v>
      </c>
      <c r="R40" s="91">
        <f>'7'!R40+'8'!R40+'9'!R40+'10'!R40+'11'!R40+'12'!R40</f>
        <v>0</v>
      </c>
      <c r="S40" s="91">
        <f>'7'!S40+'8'!S40+'9'!S40+'10'!S40+'11'!S40+'12'!S40</f>
        <v>0</v>
      </c>
      <c r="T40" s="91">
        <f>'7'!T40+'8'!T40+'9'!T40+'10'!T40+'11'!T40+'12'!T40</f>
        <v>0</v>
      </c>
      <c r="U40" s="91">
        <f>'7'!U40+'8'!U40+'9'!U40+'10'!U40+'11'!U40+'12'!U40</f>
        <v>0</v>
      </c>
      <c r="V40" s="91">
        <f>'7'!V40+'8'!V40+'9'!V40+'10'!V40+'11'!V40+'12'!V40</f>
        <v>0</v>
      </c>
      <c r="W40" s="91">
        <f>'7'!W40+'8'!W40+'9'!W40+'10'!W40+'11'!W40+'12'!W40</f>
        <v>0</v>
      </c>
      <c r="X40" s="91">
        <f>'7'!X40+'8'!X40+'9'!X40+'10'!X40+'11'!X40+'12'!X40</f>
        <v>0</v>
      </c>
      <c r="Y40" s="91">
        <f>'7'!Y40+'8'!Y40+'9'!Y40+'10'!Y40+'11'!Y40+'12'!Y40</f>
        <v>0</v>
      </c>
      <c r="Z40" s="91">
        <f>'7'!Z40+'8'!Z40+'9'!Z40+'10'!Z40+'11'!Z40+'12'!Z40</f>
        <v>0</v>
      </c>
      <c r="AA40" s="91">
        <f>'7'!AA40+'8'!AA40+'9'!AA40+'10'!AA40+'11'!AA40+'12'!AA40</f>
        <v>0</v>
      </c>
      <c r="AB40" s="91">
        <f>'7'!AB40+'8'!AB40+'9'!AB40+'10'!AB40+'11'!AB40+'12'!AB40</f>
        <v>0</v>
      </c>
      <c r="AC40" s="91">
        <f>'7'!AC40+'8'!AC40+'9'!AC40+'10'!AC40+'11'!AC40+'12'!AC40</f>
        <v>0</v>
      </c>
      <c r="AD40" s="91">
        <f>'7'!AD40+'8'!AD40+'9'!AD40+'10'!AD40+'11'!AD40+'12'!AD40</f>
        <v>0</v>
      </c>
      <c r="AE40" s="91">
        <f>'7'!AE40+'8'!AE40+'9'!AE40+'10'!AE40+'11'!AE40+'12'!AE40</f>
        <v>0</v>
      </c>
      <c r="AF40" s="91">
        <f>'7'!AF40+'8'!AF40+'9'!AF40+'10'!AF40+'11'!AF40+'12'!AF40</f>
        <v>0</v>
      </c>
      <c r="AG40" s="91">
        <f>'7'!AG40+'8'!AG40+'9'!AG40+'10'!AG40+'11'!AG40+'12'!AG40</f>
        <v>0</v>
      </c>
      <c r="AH40" s="91">
        <f>'7'!AH40+'8'!AH40+'9'!AH40+'10'!AH40+'11'!AH40+'12'!AH40</f>
        <v>0</v>
      </c>
      <c r="AI40" s="91">
        <f>'7'!AI40+'8'!AI40+'9'!AI40+'10'!AI40+'11'!AI40+'12'!AI40</f>
        <v>0</v>
      </c>
      <c r="AJ40" s="91">
        <f>'7'!AJ40+'8'!AJ40+'9'!AJ40+'10'!AJ40+'11'!AJ40+'12'!AJ40</f>
        <v>0</v>
      </c>
      <c r="AK40" s="91">
        <f>'7'!AK40+'8'!AK40+'9'!AK40+'10'!AK40+'11'!AK40+'12'!AK40</f>
        <v>0</v>
      </c>
      <c r="AL40" s="91">
        <f>'7'!AL40+'8'!AL40+'9'!AL40+'10'!AL40+'11'!AL40+'12'!AL40</f>
        <v>0</v>
      </c>
      <c r="AM40" s="91">
        <f>'7'!AM40+'8'!AM40+'9'!AM40+'10'!AM40+'11'!AM40+'12'!AM40</f>
        <v>0</v>
      </c>
      <c r="AN40" s="91">
        <f>'7'!AN40+'8'!AN40+'9'!AN40+'10'!AN40+'11'!AN40+'12'!AN40</f>
        <v>0</v>
      </c>
      <c r="AO40" s="91">
        <f>'7'!AO40+'8'!AO40+'9'!AO40+'10'!AO40+'11'!AO40+'12'!AO40</f>
        <v>0</v>
      </c>
      <c r="AP40" s="91">
        <f>'7'!AP40+'8'!AP40+'9'!AP40+'10'!AP40+'11'!AP40+'12'!AP40</f>
        <v>0</v>
      </c>
      <c r="AQ40" s="16">
        <f t="shared" si="3"/>
        <v>0</v>
      </c>
      <c r="AR40" s="17">
        <f t="shared" si="11"/>
        <v>0</v>
      </c>
      <c r="AS40" s="91">
        <f t="shared" si="15"/>
        <v>0</v>
      </c>
      <c r="AT40" s="91">
        <f>'7'!AT40+'8'!AT40+'9'!AT40+'10'!AT40+'11'!AT40+'12'!AT40</f>
        <v>0</v>
      </c>
      <c r="AU40" s="92">
        <f t="shared" si="16"/>
        <v>0</v>
      </c>
      <c r="AV40" s="92">
        <f t="shared" si="5"/>
        <v>0</v>
      </c>
      <c r="AW40" s="92">
        <f t="shared" si="17"/>
        <v>0</v>
      </c>
      <c r="AX40" s="92">
        <f t="shared" si="18"/>
        <v>0</v>
      </c>
      <c r="AY40" s="82">
        <f t="shared" si="20"/>
        <v>0</v>
      </c>
      <c r="AZ40" s="82">
        <f t="shared" si="20"/>
        <v>0</v>
      </c>
      <c r="BA40" s="95">
        <f t="shared" si="19"/>
        <v>0</v>
      </c>
      <c r="BB40" s="139"/>
      <c r="BC40"/>
    </row>
    <row r="41" spans="1:55" ht="15" hidden="1" customHeight="1" thickBot="1" x14ac:dyDescent="0.3">
      <c r="A41" s="100" t="s">
        <v>44</v>
      </c>
      <c r="B41" s="116"/>
      <c r="C41" s="116">
        <v>52</v>
      </c>
      <c r="D41" s="121">
        <f t="shared" si="21"/>
        <v>0</v>
      </c>
      <c r="E41" s="16">
        <f t="shared" si="22"/>
        <v>0</v>
      </c>
      <c r="F41" s="91">
        <f>'7'!F41+'8'!F41+'9'!F41+'10'!F41+'11'!F41+'12'!F41</f>
        <v>0</v>
      </c>
      <c r="G41" s="91">
        <f>'7'!G41+'8'!G41+'9'!G41+'10'!G41+'11'!G41+'12'!G41</f>
        <v>0</v>
      </c>
      <c r="H41" s="135">
        <f>'7'!H41+'8'!H41+'9'!H41+'10'!H41+'11'!H41+'12'!H41</f>
        <v>0</v>
      </c>
      <c r="I41" s="135">
        <f>'7'!I41+'8'!I41+'9'!I41+'10'!I41+'11'!I41+'12'!I41</f>
        <v>0</v>
      </c>
      <c r="J41" s="101" t="s">
        <v>68</v>
      </c>
      <c r="K41" s="133">
        <f>'7'!K41+'8'!K41+'9'!K41+'10'!K41+'11'!K41+'12'!K41</f>
        <v>0</v>
      </c>
      <c r="L41" s="133">
        <f>'7'!L41+'8'!L41+'9'!L41+'10'!L41+'11'!L41+'12'!L41</f>
        <v>0</v>
      </c>
      <c r="M41" s="91">
        <f>'7'!M41+'8'!M41+'9'!M41+'10'!M41+'11'!M41+'12'!M41</f>
        <v>0</v>
      </c>
      <c r="N41" s="91">
        <f>'7'!N41+'8'!N41+'9'!N41+'10'!N41+'11'!N41+'12'!N41</f>
        <v>0</v>
      </c>
      <c r="O41" s="91">
        <f>'7'!O41+'8'!O41+'9'!O41+'10'!O41+'11'!O41+'12'!O41</f>
        <v>0</v>
      </c>
      <c r="P41" s="91">
        <f>'7'!P41+'8'!P41+'9'!P41+'10'!P41+'11'!P41+'12'!P41</f>
        <v>0</v>
      </c>
      <c r="Q41" s="91">
        <f>'7'!Q41+'8'!Q41+'9'!Q41+'10'!Q41+'11'!Q41+'12'!Q41</f>
        <v>0</v>
      </c>
      <c r="R41" s="91">
        <f>'7'!R41+'8'!R41+'9'!R41+'10'!R41+'11'!R41+'12'!R41</f>
        <v>0</v>
      </c>
      <c r="S41" s="91">
        <f>'7'!S41+'8'!S41+'9'!S41+'10'!S41+'11'!S41+'12'!S41</f>
        <v>0</v>
      </c>
      <c r="T41" s="91">
        <f>'7'!T41+'8'!T41+'9'!T41+'10'!T41+'11'!T41+'12'!T41</f>
        <v>0</v>
      </c>
      <c r="U41" s="91">
        <f>'7'!U41+'8'!U41+'9'!U41+'10'!U41+'11'!U41+'12'!U41</f>
        <v>0</v>
      </c>
      <c r="V41" s="91">
        <f>'7'!V41+'8'!V41+'9'!V41+'10'!V41+'11'!V41+'12'!V41</f>
        <v>0</v>
      </c>
      <c r="W41" s="91">
        <f>'7'!W41+'8'!W41+'9'!W41+'10'!W41+'11'!W41+'12'!W41</f>
        <v>0</v>
      </c>
      <c r="X41" s="91">
        <f>'7'!X41+'8'!X41+'9'!X41+'10'!X41+'11'!X41+'12'!X41</f>
        <v>0</v>
      </c>
      <c r="Y41" s="91">
        <f>'7'!Y41+'8'!Y41+'9'!Y41+'10'!Y41+'11'!Y41+'12'!Y41</f>
        <v>0</v>
      </c>
      <c r="Z41" s="91">
        <f>'7'!Z41+'8'!Z41+'9'!Z41+'10'!Z41+'11'!Z41+'12'!Z41</f>
        <v>0</v>
      </c>
      <c r="AA41" s="91">
        <f>'7'!AA41+'8'!AA41+'9'!AA41+'10'!AA41+'11'!AA41+'12'!AA41</f>
        <v>0</v>
      </c>
      <c r="AB41" s="91">
        <f>'7'!AB41+'8'!AB41+'9'!AB41+'10'!AB41+'11'!AB41+'12'!AB41</f>
        <v>0</v>
      </c>
      <c r="AC41" s="91">
        <f>'7'!AC41+'8'!AC41+'9'!AC41+'10'!AC41+'11'!AC41+'12'!AC41</f>
        <v>0</v>
      </c>
      <c r="AD41" s="91">
        <f>'7'!AD41+'8'!AD41+'9'!AD41+'10'!AD41+'11'!AD41+'12'!AD41</f>
        <v>0</v>
      </c>
      <c r="AE41" s="91">
        <f>'7'!AE41+'8'!AE41+'9'!AE41+'10'!AE41+'11'!AE41+'12'!AE41</f>
        <v>0</v>
      </c>
      <c r="AF41" s="91">
        <f>'7'!AF41+'8'!AF41+'9'!AF41+'10'!AF41+'11'!AF41+'12'!AF41</f>
        <v>0</v>
      </c>
      <c r="AG41" s="91">
        <f>'7'!AG41+'8'!AG41+'9'!AG41+'10'!AG41+'11'!AG41+'12'!AG41</f>
        <v>0</v>
      </c>
      <c r="AH41" s="91">
        <f>'7'!AH41+'8'!AH41+'9'!AH41+'10'!AH41+'11'!AH41+'12'!AH41</f>
        <v>0</v>
      </c>
      <c r="AI41" s="91">
        <f>'7'!AI41+'8'!AI41+'9'!AI41+'10'!AI41+'11'!AI41+'12'!AI41</f>
        <v>0</v>
      </c>
      <c r="AJ41" s="91">
        <f>'7'!AJ41+'8'!AJ41+'9'!AJ41+'10'!AJ41+'11'!AJ41+'12'!AJ41</f>
        <v>0</v>
      </c>
      <c r="AK41" s="91">
        <f>'7'!AK41+'8'!AK41+'9'!AK41+'10'!AK41+'11'!AK41+'12'!AK41</f>
        <v>0</v>
      </c>
      <c r="AL41" s="91">
        <f>'7'!AL41+'8'!AL41+'9'!AL41+'10'!AL41+'11'!AL41+'12'!AL41</f>
        <v>0</v>
      </c>
      <c r="AM41" s="91">
        <f>'7'!AM41+'8'!AM41+'9'!AM41+'10'!AM41+'11'!AM41+'12'!AM41</f>
        <v>0</v>
      </c>
      <c r="AN41" s="91">
        <f>'7'!AN41+'8'!AN41+'9'!AN41+'10'!AN41+'11'!AN41+'12'!AN41</f>
        <v>0</v>
      </c>
      <c r="AO41" s="91">
        <f>'7'!AO41+'8'!AO41+'9'!AO41+'10'!AO41+'11'!AO41+'12'!AO41</f>
        <v>0</v>
      </c>
      <c r="AP41" s="91">
        <f>'7'!AP41+'8'!AP41+'9'!AP41+'10'!AP41+'11'!AP41+'12'!AP41</f>
        <v>0</v>
      </c>
      <c r="AQ41" s="16">
        <f t="shared" si="3"/>
        <v>0</v>
      </c>
      <c r="AR41" s="17">
        <f t="shared" si="11"/>
        <v>0</v>
      </c>
      <c r="AS41" s="91">
        <f t="shared" si="15"/>
        <v>0</v>
      </c>
      <c r="AT41" s="91">
        <f>'7'!AT41+'8'!AT41+'9'!AT41+'10'!AT41+'11'!AT41+'12'!AT41</f>
        <v>0</v>
      </c>
      <c r="AU41" s="92">
        <f t="shared" si="16"/>
        <v>0</v>
      </c>
      <c r="AV41" s="92">
        <f t="shared" si="5"/>
        <v>0</v>
      </c>
      <c r="AW41" s="92">
        <f t="shared" si="17"/>
        <v>0</v>
      </c>
      <c r="AX41" s="92">
        <f t="shared" si="18"/>
        <v>0</v>
      </c>
      <c r="AY41" s="82">
        <f t="shared" si="20"/>
        <v>0</v>
      </c>
      <c r="AZ41" s="82">
        <f t="shared" si="20"/>
        <v>0</v>
      </c>
      <c r="BA41" s="95">
        <f t="shared" si="19"/>
        <v>0</v>
      </c>
      <c r="BB41" s="140"/>
      <c r="BC41"/>
    </row>
    <row r="42" spans="1:55" ht="15" customHeight="1" thickBot="1" x14ac:dyDescent="0.3">
      <c r="A42" s="102" t="s">
        <v>81</v>
      </c>
      <c r="B42" s="124"/>
      <c r="C42" s="87"/>
      <c r="D42" s="129">
        <f t="shared" ref="D42:AP42" si="23">SUM(D43:D45)</f>
        <v>0</v>
      </c>
      <c r="E42" s="129">
        <f t="shared" si="23"/>
        <v>0</v>
      </c>
      <c r="F42" s="129">
        <f t="shared" si="23"/>
        <v>0</v>
      </c>
      <c r="G42" s="129">
        <f t="shared" si="23"/>
        <v>0</v>
      </c>
      <c r="H42" s="131">
        <f t="shared" si="23"/>
        <v>0</v>
      </c>
      <c r="I42" s="131">
        <f t="shared" si="23"/>
        <v>0</v>
      </c>
      <c r="J42" s="129">
        <f t="shared" si="23"/>
        <v>0</v>
      </c>
      <c r="K42" s="130">
        <f t="shared" si="23"/>
        <v>0</v>
      </c>
      <c r="L42" s="130">
        <f t="shared" si="23"/>
        <v>0</v>
      </c>
      <c r="M42" s="129">
        <f t="shared" si="23"/>
        <v>0</v>
      </c>
      <c r="N42" s="129">
        <f t="shared" si="23"/>
        <v>0</v>
      </c>
      <c r="O42" s="129">
        <f t="shared" si="23"/>
        <v>0</v>
      </c>
      <c r="P42" s="129">
        <f t="shared" si="23"/>
        <v>0</v>
      </c>
      <c r="Q42" s="129">
        <f t="shared" si="23"/>
        <v>0</v>
      </c>
      <c r="R42" s="129">
        <f t="shared" si="23"/>
        <v>0</v>
      </c>
      <c r="S42" s="129">
        <f t="shared" si="23"/>
        <v>0</v>
      </c>
      <c r="T42" s="129">
        <f t="shared" si="23"/>
        <v>0</v>
      </c>
      <c r="U42" s="129">
        <f t="shared" si="23"/>
        <v>0</v>
      </c>
      <c r="V42" s="129">
        <f t="shared" si="23"/>
        <v>0</v>
      </c>
      <c r="W42" s="129">
        <f t="shared" si="23"/>
        <v>0</v>
      </c>
      <c r="X42" s="129">
        <f t="shared" si="23"/>
        <v>0</v>
      </c>
      <c r="Y42" s="129">
        <f t="shared" si="23"/>
        <v>0</v>
      </c>
      <c r="Z42" s="129">
        <f t="shared" si="23"/>
        <v>0</v>
      </c>
      <c r="AA42" s="129">
        <f t="shared" si="23"/>
        <v>0</v>
      </c>
      <c r="AB42" s="129">
        <f t="shared" si="23"/>
        <v>0</v>
      </c>
      <c r="AC42" s="129">
        <f t="shared" si="23"/>
        <v>0</v>
      </c>
      <c r="AD42" s="129">
        <f t="shared" si="23"/>
        <v>0</v>
      </c>
      <c r="AE42" s="129">
        <f t="shared" si="23"/>
        <v>0</v>
      </c>
      <c r="AF42" s="129">
        <f t="shared" si="23"/>
        <v>0</v>
      </c>
      <c r="AG42" s="129">
        <f t="shared" si="23"/>
        <v>0</v>
      </c>
      <c r="AH42" s="129">
        <f t="shared" si="23"/>
        <v>0</v>
      </c>
      <c r="AI42" s="129">
        <f t="shared" si="23"/>
        <v>0</v>
      </c>
      <c r="AJ42" s="129">
        <f t="shared" si="23"/>
        <v>0</v>
      </c>
      <c r="AK42" s="129">
        <f t="shared" si="23"/>
        <v>0</v>
      </c>
      <c r="AL42" s="129">
        <f t="shared" si="23"/>
        <v>0</v>
      </c>
      <c r="AM42" s="129">
        <f t="shared" si="23"/>
        <v>0</v>
      </c>
      <c r="AN42" s="129">
        <f t="shared" si="23"/>
        <v>0</v>
      </c>
      <c r="AO42" s="129">
        <f t="shared" si="23"/>
        <v>0</v>
      </c>
      <c r="AP42" s="129">
        <f t="shared" si="23"/>
        <v>0</v>
      </c>
      <c r="AQ42" s="129">
        <f t="shared" si="3"/>
        <v>0</v>
      </c>
      <c r="AR42" s="129">
        <f t="shared" si="11"/>
        <v>0</v>
      </c>
      <c r="AS42" s="129">
        <f t="shared" si="15"/>
        <v>0</v>
      </c>
      <c r="AT42" s="129">
        <f>SUM(AT43:AT45)</f>
        <v>0</v>
      </c>
      <c r="AU42" s="131">
        <f t="shared" si="16"/>
        <v>0</v>
      </c>
      <c r="AV42" s="131">
        <f t="shared" si="5"/>
        <v>0</v>
      </c>
      <c r="AW42" s="131">
        <f t="shared" si="17"/>
        <v>0</v>
      </c>
      <c r="AX42" s="131">
        <f t="shared" si="18"/>
        <v>0</v>
      </c>
      <c r="AY42" s="131">
        <f>SUM(AY43:AY45)</f>
        <v>0</v>
      </c>
      <c r="AZ42" s="131">
        <f>SUM(AZ43:AZ45)</f>
        <v>0</v>
      </c>
      <c r="BA42" s="129">
        <f t="shared" si="19"/>
        <v>0</v>
      </c>
      <c r="BB42" s="141"/>
      <c r="BC42"/>
    </row>
    <row r="43" spans="1:55" ht="15" customHeight="1" x14ac:dyDescent="0.25">
      <c r="A43" s="97" t="s">
        <v>66</v>
      </c>
      <c r="B43" s="123" t="s">
        <v>139</v>
      </c>
      <c r="C43" s="115">
        <v>25</v>
      </c>
      <c r="D43" s="121">
        <f>AT43*AU43*AW43</f>
        <v>0</v>
      </c>
      <c r="E43" s="16">
        <f>ROUND(AT43*AV43*AX43,4)</f>
        <v>0</v>
      </c>
      <c r="F43" s="91">
        <f>'7'!F43+'8'!F43+'9'!F43+'10'!F43+'11'!F43+'12'!F43</f>
        <v>0</v>
      </c>
      <c r="G43" s="91">
        <f>'7'!G43+'8'!G43+'9'!G43+'10'!G43+'11'!G43+'12'!G43</f>
        <v>0</v>
      </c>
      <c r="H43" s="135">
        <f>'7'!H43+'8'!H43+'9'!H43+'10'!H43+'11'!H43+'12'!H43</f>
        <v>0</v>
      </c>
      <c r="I43" s="135">
        <f>'7'!I43+'8'!I43+'9'!I43+'10'!I43+'11'!I43+'12'!I43</f>
        <v>0</v>
      </c>
      <c r="J43" s="14" t="s">
        <v>55</v>
      </c>
      <c r="K43" s="133">
        <f>'7'!K43+'8'!K43+'9'!K43+'10'!K43+'11'!K43+'12'!K43</f>
        <v>0</v>
      </c>
      <c r="L43" s="133">
        <f>'7'!L43+'8'!L43+'9'!L43+'10'!L43+'11'!L43+'12'!L43</f>
        <v>0</v>
      </c>
      <c r="M43" s="91">
        <f>'7'!M43+'8'!M43+'9'!M43+'10'!M43+'11'!M43+'12'!M43</f>
        <v>0</v>
      </c>
      <c r="N43" s="91">
        <f>'7'!N43+'8'!N43+'9'!N43+'10'!N43+'11'!N43+'12'!N43</f>
        <v>0</v>
      </c>
      <c r="O43" s="91">
        <f>'7'!O43+'8'!O43+'9'!O43+'10'!O43+'11'!O43+'12'!O43</f>
        <v>0</v>
      </c>
      <c r="P43" s="91">
        <f>'7'!P43+'8'!P43+'9'!P43+'10'!P43+'11'!P43+'12'!P43</f>
        <v>0</v>
      </c>
      <c r="Q43" s="91">
        <f>'7'!Q43+'8'!Q43+'9'!Q43+'10'!Q43+'11'!Q43+'12'!Q43</f>
        <v>0</v>
      </c>
      <c r="R43" s="91">
        <f>'7'!R43+'8'!R43+'9'!R43+'10'!R43+'11'!R43+'12'!R43</f>
        <v>0</v>
      </c>
      <c r="S43" s="91">
        <f>'7'!S43+'8'!S43+'9'!S43+'10'!S43+'11'!S43+'12'!S43</f>
        <v>0</v>
      </c>
      <c r="T43" s="91">
        <f>'7'!T43+'8'!T43+'9'!T43+'10'!T43+'11'!T43+'12'!T43</f>
        <v>0</v>
      </c>
      <c r="U43" s="91">
        <f>'7'!U43+'8'!U43+'9'!U43+'10'!U43+'11'!U43+'12'!U43</f>
        <v>0</v>
      </c>
      <c r="V43" s="91">
        <f>'7'!V43+'8'!V43+'9'!V43+'10'!V43+'11'!V43+'12'!V43</f>
        <v>0</v>
      </c>
      <c r="W43" s="91">
        <f>'7'!W43+'8'!W43+'9'!W43+'10'!W43+'11'!W43+'12'!W43</f>
        <v>0</v>
      </c>
      <c r="X43" s="91">
        <f>'7'!X43+'8'!X43+'9'!X43+'10'!X43+'11'!X43+'12'!X43</f>
        <v>0</v>
      </c>
      <c r="Y43" s="91">
        <f>'7'!Y43+'8'!Y43+'9'!Y43+'10'!Y43+'11'!Y43+'12'!Y43</f>
        <v>0</v>
      </c>
      <c r="Z43" s="91">
        <f>'7'!Z43+'8'!Z43+'9'!Z43+'10'!Z43+'11'!Z43+'12'!Z43</f>
        <v>0</v>
      </c>
      <c r="AA43" s="91">
        <f>'7'!AA43+'8'!AA43+'9'!AA43+'10'!AA43+'11'!AA43+'12'!AA43</f>
        <v>0</v>
      </c>
      <c r="AB43" s="91">
        <f>'7'!AB43+'8'!AB43+'9'!AB43+'10'!AB43+'11'!AB43+'12'!AB43</f>
        <v>0</v>
      </c>
      <c r="AC43" s="91">
        <f>'7'!AC43+'8'!AC43+'9'!AC43+'10'!AC43+'11'!AC43+'12'!AC43</f>
        <v>0</v>
      </c>
      <c r="AD43" s="91">
        <f>'7'!AD43+'8'!AD43+'9'!AD43+'10'!AD43+'11'!AD43+'12'!AD43</f>
        <v>0</v>
      </c>
      <c r="AE43" s="91">
        <f>'7'!AE43+'8'!AE43+'9'!AE43+'10'!AE43+'11'!AE43+'12'!AE43</f>
        <v>0</v>
      </c>
      <c r="AF43" s="91">
        <f>'7'!AF43+'8'!AF43+'9'!AF43+'10'!AF43+'11'!AF43+'12'!AF43</f>
        <v>0</v>
      </c>
      <c r="AG43" s="91">
        <f>'7'!AG43+'8'!AG43+'9'!AG43+'10'!AG43+'11'!AG43+'12'!AG43</f>
        <v>0</v>
      </c>
      <c r="AH43" s="91">
        <f>'7'!AH43+'8'!AH43+'9'!AH43+'10'!AH43+'11'!AH43+'12'!AH43</f>
        <v>0</v>
      </c>
      <c r="AI43" s="91">
        <f>'7'!AI43+'8'!AI43+'9'!AI43+'10'!AI43+'11'!AI43+'12'!AI43</f>
        <v>0</v>
      </c>
      <c r="AJ43" s="91">
        <f>'7'!AJ43+'8'!AJ43+'9'!AJ43+'10'!AJ43+'11'!AJ43+'12'!AJ43</f>
        <v>0</v>
      </c>
      <c r="AK43" s="91">
        <f>'7'!AK43+'8'!AK43+'9'!AK43+'10'!AK43+'11'!AK43+'12'!AK43</f>
        <v>0</v>
      </c>
      <c r="AL43" s="91">
        <f>'7'!AL43+'8'!AL43+'9'!AL43+'10'!AL43+'11'!AL43+'12'!AL43</f>
        <v>0</v>
      </c>
      <c r="AM43" s="91">
        <f>'7'!AM43+'8'!AM43+'9'!AM43+'10'!AM43+'11'!AM43+'12'!AM43</f>
        <v>0</v>
      </c>
      <c r="AN43" s="91">
        <f>'7'!AN43+'8'!AN43+'9'!AN43+'10'!AN43+'11'!AN43+'12'!AN43</f>
        <v>0</v>
      </c>
      <c r="AO43" s="91">
        <f>'7'!AO43+'8'!AO43+'9'!AO43+'10'!AO43+'11'!AO43+'12'!AO43</f>
        <v>0</v>
      </c>
      <c r="AP43" s="91">
        <f>'7'!AP43+'8'!AP43+'9'!AP43+'10'!AP43+'11'!AP43+'12'!AP43</f>
        <v>0</v>
      </c>
      <c r="AQ43" s="16">
        <f t="shared" si="3"/>
        <v>0</v>
      </c>
      <c r="AR43" s="17">
        <f t="shared" si="11"/>
        <v>0</v>
      </c>
      <c r="AS43" s="91">
        <f t="shared" si="15"/>
        <v>0</v>
      </c>
      <c r="AT43" s="91">
        <f>'7'!AT43+'8'!AT43+'9'!AT43+'10'!AT43+'11'!AT43+'12'!AT43</f>
        <v>0</v>
      </c>
      <c r="AU43" s="92">
        <f t="shared" si="16"/>
        <v>0</v>
      </c>
      <c r="AV43" s="92">
        <f t="shared" si="5"/>
        <v>0</v>
      </c>
      <c r="AW43" s="92">
        <f t="shared" si="17"/>
        <v>0</v>
      </c>
      <c r="AX43" s="92">
        <f t="shared" si="18"/>
        <v>0</v>
      </c>
      <c r="AY43" s="92">
        <f>IF(D43=0,0,K43/D43/24)</f>
        <v>0</v>
      </c>
      <c r="AZ43" s="92">
        <f>IF(E43=0,0,L43/E43/24)</f>
        <v>0</v>
      </c>
      <c r="BA43" s="95">
        <f t="shared" si="19"/>
        <v>0</v>
      </c>
      <c r="BB43" s="138"/>
      <c r="BC43"/>
    </row>
    <row r="44" spans="1:55" ht="15" hidden="1" customHeight="1" x14ac:dyDescent="0.25">
      <c r="A44" s="72" t="s">
        <v>67</v>
      </c>
      <c r="B44" s="123"/>
      <c r="C44" s="111">
        <v>31</v>
      </c>
      <c r="D44" s="121">
        <f t="shared" ref="D44:D45" si="24">AT44*AU44*AW44</f>
        <v>0</v>
      </c>
      <c r="E44" s="16">
        <f t="shared" ref="E44:E45" si="25">ROUND(AT44*AV44*AX44,4)</f>
        <v>0</v>
      </c>
      <c r="F44" s="91">
        <f>'7'!F44+'8'!F44+'9'!F44+'10'!F44+'11'!F44+'12'!F44</f>
        <v>0</v>
      </c>
      <c r="G44" s="91">
        <f>'7'!G44+'8'!G44+'9'!G44+'10'!G44+'11'!G44+'12'!G44</f>
        <v>0</v>
      </c>
      <c r="H44" s="135">
        <f>'7'!H44+'8'!H44+'9'!H44+'10'!H44+'11'!H44+'12'!H44</f>
        <v>0</v>
      </c>
      <c r="I44" s="135">
        <f>'7'!I44+'8'!I44+'9'!I44+'10'!I44+'11'!I44+'12'!I44</f>
        <v>0</v>
      </c>
      <c r="J44" s="14" t="s">
        <v>55</v>
      </c>
      <c r="K44" s="133">
        <f>'7'!K44+'8'!K44+'9'!K44+'10'!K44+'11'!K44+'12'!K44</f>
        <v>0</v>
      </c>
      <c r="L44" s="133">
        <f>'7'!L44+'8'!L44+'9'!L44+'10'!L44+'11'!L44+'12'!L44</f>
        <v>0</v>
      </c>
      <c r="M44" s="91">
        <f>'7'!M44+'8'!M44+'9'!M44+'10'!M44+'11'!M44+'12'!M44</f>
        <v>0</v>
      </c>
      <c r="N44" s="91">
        <f>'7'!N44+'8'!N44+'9'!N44+'10'!N44+'11'!N44+'12'!N44</f>
        <v>0</v>
      </c>
      <c r="O44" s="91">
        <f>'7'!O44+'8'!O44+'9'!O44+'10'!O44+'11'!O44+'12'!O44</f>
        <v>0</v>
      </c>
      <c r="P44" s="91">
        <f>'7'!P44+'8'!P44+'9'!P44+'10'!P44+'11'!P44+'12'!P44</f>
        <v>0</v>
      </c>
      <c r="Q44" s="91">
        <f>'7'!Q44+'8'!Q44+'9'!Q44+'10'!Q44+'11'!Q44+'12'!Q44</f>
        <v>0</v>
      </c>
      <c r="R44" s="91">
        <f>'7'!R44+'8'!R44+'9'!R44+'10'!R44+'11'!R44+'12'!R44</f>
        <v>0</v>
      </c>
      <c r="S44" s="91">
        <f>'7'!S44+'8'!S44+'9'!S44+'10'!S44+'11'!S44+'12'!S44</f>
        <v>0</v>
      </c>
      <c r="T44" s="91">
        <f>'7'!T44+'8'!T44+'9'!T44+'10'!T44+'11'!T44+'12'!T44</f>
        <v>0</v>
      </c>
      <c r="U44" s="91">
        <f>'7'!U44+'8'!U44+'9'!U44+'10'!U44+'11'!U44+'12'!U44</f>
        <v>0</v>
      </c>
      <c r="V44" s="91">
        <f>'7'!V44+'8'!V44+'9'!V44+'10'!V44+'11'!V44+'12'!V44</f>
        <v>0</v>
      </c>
      <c r="W44" s="91">
        <f>'7'!W44+'8'!W44+'9'!W44+'10'!W44+'11'!W44+'12'!W44</f>
        <v>0</v>
      </c>
      <c r="X44" s="91">
        <f>'7'!X44+'8'!X44+'9'!X44+'10'!X44+'11'!X44+'12'!X44</f>
        <v>0</v>
      </c>
      <c r="Y44" s="91">
        <f>'7'!Y44+'8'!Y44+'9'!Y44+'10'!Y44+'11'!Y44+'12'!Y44</f>
        <v>0</v>
      </c>
      <c r="Z44" s="91">
        <f>'7'!Z44+'8'!Z44+'9'!Z44+'10'!Z44+'11'!Z44+'12'!Z44</f>
        <v>0</v>
      </c>
      <c r="AA44" s="91">
        <f>'7'!AA44+'8'!AA44+'9'!AA44+'10'!AA44+'11'!AA44+'12'!AA44</f>
        <v>0</v>
      </c>
      <c r="AB44" s="91">
        <f>'7'!AB44+'8'!AB44+'9'!AB44+'10'!AB44+'11'!AB44+'12'!AB44</f>
        <v>0</v>
      </c>
      <c r="AC44" s="91">
        <f>'7'!AC44+'8'!AC44+'9'!AC44+'10'!AC44+'11'!AC44+'12'!AC44</f>
        <v>0</v>
      </c>
      <c r="AD44" s="91">
        <f>'7'!AD44+'8'!AD44+'9'!AD44+'10'!AD44+'11'!AD44+'12'!AD44</f>
        <v>0</v>
      </c>
      <c r="AE44" s="91">
        <f>'7'!AE44+'8'!AE44+'9'!AE44+'10'!AE44+'11'!AE44+'12'!AE44</f>
        <v>0</v>
      </c>
      <c r="AF44" s="91">
        <f>'7'!AF44+'8'!AF44+'9'!AF44+'10'!AF44+'11'!AF44+'12'!AF44</f>
        <v>0</v>
      </c>
      <c r="AG44" s="91">
        <f>'7'!AG44+'8'!AG44+'9'!AG44+'10'!AG44+'11'!AG44+'12'!AG44</f>
        <v>0</v>
      </c>
      <c r="AH44" s="91">
        <f>'7'!AH44+'8'!AH44+'9'!AH44+'10'!AH44+'11'!AH44+'12'!AH44</f>
        <v>0</v>
      </c>
      <c r="AI44" s="91">
        <f>'7'!AI44+'8'!AI44+'9'!AI44+'10'!AI44+'11'!AI44+'12'!AI44</f>
        <v>0</v>
      </c>
      <c r="AJ44" s="91">
        <f>'7'!AJ44+'8'!AJ44+'9'!AJ44+'10'!AJ44+'11'!AJ44+'12'!AJ44</f>
        <v>0</v>
      </c>
      <c r="AK44" s="91">
        <f>'7'!AK44+'8'!AK44+'9'!AK44+'10'!AK44+'11'!AK44+'12'!AK44</f>
        <v>0</v>
      </c>
      <c r="AL44" s="91">
        <f>'7'!AL44+'8'!AL44+'9'!AL44+'10'!AL44+'11'!AL44+'12'!AL44</f>
        <v>0</v>
      </c>
      <c r="AM44" s="91">
        <f>'7'!AM44+'8'!AM44+'9'!AM44+'10'!AM44+'11'!AM44+'12'!AM44</f>
        <v>0</v>
      </c>
      <c r="AN44" s="91">
        <f>'7'!AN44+'8'!AN44+'9'!AN44+'10'!AN44+'11'!AN44+'12'!AN44</f>
        <v>0</v>
      </c>
      <c r="AO44" s="91">
        <f>'7'!AO44+'8'!AO44+'9'!AO44+'10'!AO44+'11'!AO44+'12'!AO44</f>
        <v>0</v>
      </c>
      <c r="AP44" s="91">
        <f>'7'!AP44+'8'!AP44+'9'!AP44+'10'!AP44+'11'!AP44+'12'!AP44</f>
        <v>0</v>
      </c>
      <c r="AQ44" s="16">
        <f t="shared" si="3"/>
        <v>0</v>
      </c>
      <c r="AR44" s="17">
        <f t="shared" si="11"/>
        <v>0</v>
      </c>
      <c r="AS44" s="91">
        <f t="shared" si="15"/>
        <v>0</v>
      </c>
      <c r="AT44" s="91">
        <f>'7'!AT44+'8'!AT44+'9'!AT44+'10'!AT44+'11'!AT44+'12'!AT44</f>
        <v>0</v>
      </c>
      <c r="AU44" s="92">
        <f t="shared" si="16"/>
        <v>0</v>
      </c>
      <c r="AV44" s="92">
        <f t="shared" si="5"/>
        <v>0</v>
      </c>
      <c r="AW44" s="92">
        <f t="shared" si="17"/>
        <v>0</v>
      </c>
      <c r="AX44" s="92">
        <f t="shared" si="18"/>
        <v>0</v>
      </c>
      <c r="AY44" s="92">
        <f t="shared" ref="AY44:AZ45" si="26">IF(D44=0,0,K44/D44/24)</f>
        <v>0</v>
      </c>
      <c r="AZ44" s="92">
        <f t="shared" si="26"/>
        <v>0</v>
      </c>
      <c r="BA44" s="95">
        <f t="shared" si="19"/>
        <v>0</v>
      </c>
      <c r="BB44" s="139"/>
      <c r="BC44"/>
    </row>
    <row r="45" spans="1:55" ht="15" customHeight="1" thickBot="1" x14ac:dyDescent="0.3">
      <c r="A45" s="103" t="s">
        <v>67</v>
      </c>
      <c r="B45" s="123" t="s">
        <v>140</v>
      </c>
      <c r="C45" s="114">
        <v>38</v>
      </c>
      <c r="D45" s="121">
        <f t="shared" si="24"/>
        <v>0</v>
      </c>
      <c r="E45" s="16">
        <f t="shared" si="25"/>
        <v>0</v>
      </c>
      <c r="F45" s="91">
        <f>'7'!F45+'8'!F45+'9'!F45+'10'!F45+'11'!F45+'12'!F45</f>
        <v>0</v>
      </c>
      <c r="G45" s="91">
        <f>'7'!G45+'8'!G45+'9'!G45+'10'!G45+'11'!G45+'12'!G45</f>
        <v>0</v>
      </c>
      <c r="H45" s="135">
        <f>'7'!H45+'8'!H45+'9'!H45+'10'!H45+'11'!H45+'12'!H45</f>
        <v>0</v>
      </c>
      <c r="I45" s="135">
        <f>'7'!I45+'8'!I45+'9'!I45+'10'!I45+'11'!I45+'12'!I45</f>
        <v>0</v>
      </c>
      <c r="J45" s="14" t="s">
        <v>55</v>
      </c>
      <c r="K45" s="133">
        <f>'7'!K45+'8'!K45+'9'!K45+'10'!K45+'11'!K45+'12'!K45</f>
        <v>0</v>
      </c>
      <c r="L45" s="133">
        <f>'7'!L45+'8'!L45+'9'!L45+'10'!L45+'11'!L45+'12'!L45</f>
        <v>0</v>
      </c>
      <c r="M45" s="91">
        <f>'7'!M45+'8'!M45+'9'!M45+'10'!M45+'11'!M45+'12'!M45</f>
        <v>0</v>
      </c>
      <c r="N45" s="91">
        <f>'7'!N45+'8'!N45+'9'!N45+'10'!N45+'11'!N45+'12'!N45</f>
        <v>0</v>
      </c>
      <c r="O45" s="91">
        <f>'7'!O45+'8'!O45+'9'!O45+'10'!O45+'11'!O45+'12'!O45</f>
        <v>0</v>
      </c>
      <c r="P45" s="91">
        <f>'7'!P45+'8'!P45+'9'!P45+'10'!P45+'11'!P45+'12'!P45</f>
        <v>0</v>
      </c>
      <c r="Q45" s="91">
        <f>'7'!Q45+'8'!Q45+'9'!Q45+'10'!Q45+'11'!Q45+'12'!Q45</f>
        <v>0</v>
      </c>
      <c r="R45" s="91">
        <f>'7'!R45+'8'!R45+'9'!R45+'10'!R45+'11'!R45+'12'!R45</f>
        <v>0</v>
      </c>
      <c r="S45" s="91">
        <f>'7'!S45+'8'!S45+'9'!S45+'10'!S45+'11'!S45+'12'!S45</f>
        <v>0</v>
      </c>
      <c r="T45" s="91">
        <f>'7'!T45+'8'!T45+'9'!T45+'10'!T45+'11'!T45+'12'!T45</f>
        <v>0</v>
      </c>
      <c r="U45" s="91">
        <f>'7'!U45+'8'!U45+'9'!U45+'10'!U45+'11'!U45+'12'!U45</f>
        <v>0</v>
      </c>
      <c r="V45" s="91">
        <f>'7'!V45+'8'!V45+'9'!V45+'10'!V45+'11'!V45+'12'!V45</f>
        <v>0</v>
      </c>
      <c r="W45" s="91">
        <f>'7'!W45+'8'!W45+'9'!W45+'10'!W45+'11'!W45+'12'!W45</f>
        <v>0</v>
      </c>
      <c r="X45" s="91">
        <f>'7'!X45+'8'!X45+'9'!X45+'10'!X45+'11'!X45+'12'!X45</f>
        <v>0</v>
      </c>
      <c r="Y45" s="91">
        <f>'7'!Y45+'8'!Y45+'9'!Y45+'10'!Y45+'11'!Y45+'12'!Y45</f>
        <v>0</v>
      </c>
      <c r="Z45" s="91">
        <f>'7'!Z45+'8'!Z45+'9'!Z45+'10'!Z45+'11'!Z45+'12'!Z45</f>
        <v>0</v>
      </c>
      <c r="AA45" s="91">
        <f>'7'!AA45+'8'!AA45+'9'!AA45+'10'!AA45+'11'!AA45+'12'!AA45</f>
        <v>0</v>
      </c>
      <c r="AB45" s="91">
        <f>'7'!AB45+'8'!AB45+'9'!AB45+'10'!AB45+'11'!AB45+'12'!AB45</f>
        <v>0</v>
      </c>
      <c r="AC45" s="91">
        <f>'7'!AC45+'8'!AC45+'9'!AC45+'10'!AC45+'11'!AC45+'12'!AC45</f>
        <v>0</v>
      </c>
      <c r="AD45" s="91">
        <f>'7'!AD45+'8'!AD45+'9'!AD45+'10'!AD45+'11'!AD45+'12'!AD45</f>
        <v>0</v>
      </c>
      <c r="AE45" s="91">
        <f>'7'!AE45+'8'!AE45+'9'!AE45+'10'!AE45+'11'!AE45+'12'!AE45</f>
        <v>0</v>
      </c>
      <c r="AF45" s="91">
        <f>'7'!AF45+'8'!AF45+'9'!AF45+'10'!AF45+'11'!AF45+'12'!AF45</f>
        <v>0</v>
      </c>
      <c r="AG45" s="91">
        <f>'7'!AG45+'8'!AG45+'9'!AG45+'10'!AG45+'11'!AG45+'12'!AG45</f>
        <v>0</v>
      </c>
      <c r="AH45" s="91">
        <f>'7'!AH45+'8'!AH45+'9'!AH45+'10'!AH45+'11'!AH45+'12'!AH45</f>
        <v>0</v>
      </c>
      <c r="AI45" s="91">
        <f>'7'!AI45+'8'!AI45+'9'!AI45+'10'!AI45+'11'!AI45+'12'!AI45</f>
        <v>0</v>
      </c>
      <c r="AJ45" s="91">
        <f>'7'!AJ45+'8'!AJ45+'9'!AJ45+'10'!AJ45+'11'!AJ45+'12'!AJ45</f>
        <v>0</v>
      </c>
      <c r="AK45" s="91">
        <f>'7'!AK45+'8'!AK45+'9'!AK45+'10'!AK45+'11'!AK45+'12'!AK45</f>
        <v>0</v>
      </c>
      <c r="AL45" s="91">
        <f>'7'!AL45+'8'!AL45+'9'!AL45+'10'!AL45+'11'!AL45+'12'!AL45</f>
        <v>0</v>
      </c>
      <c r="AM45" s="91">
        <f>'7'!AM45+'8'!AM45+'9'!AM45+'10'!AM45+'11'!AM45+'12'!AM45</f>
        <v>0</v>
      </c>
      <c r="AN45" s="91">
        <f>'7'!AN45+'8'!AN45+'9'!AN45+'10'!AN45+'11'!AN45+'12'!AN45</f>
        <v>0</v>
      </c>
      <c r="AO45" s="91">
        <f>'7'!AO45+'8'!AO45+'9'!AO45+'10'!AO45+'11'!AO45+'12'!AO45</f>
        <v>0</v>
      </c>
      <c r="AP45" s="91">
        <f>'7'!AP45+'8'!AP45+'9'!AP45+'10'!AP45+'11'!AP45+'12'!AP45</f>
        <v>0</v>
      </c>
      <c r="AQ45" s="16">
        <f t="shared" si="3"/>
        <v>0</v>
      </c>
      <c r="AR45" s="17">
        <f t="shared" si="11"/>
        <v>0</v>
      </c>
      <c r="AS45" s="91">
        <f t="shared" si="15"/>
        <v>0</v>
      </c>
      <c r="AT45" s="91">
        <f>'7'!AT45+'8'!AT45+'9'!AT45+'10'!AT45+'11'!AT45+'12'!AT45</f>
        <v>0</v>
      </c>
      <c r="AU45" s="92">
        <f t="shared" si="16"/>
        <v>0</v>
      </c>
      <c r="AV45" s="92">
        <f t="shared" si="5"/>
        <v>0</v>
      </c>
      <c r="AW45" s="92">
        <f t="shared" si="17"/>
        <v>0</v>
      </c>
      <c r="AX45" s="92">
        <f t="shared" si="18"/>
        <v>0</v>
      </c>
      <c r="AY45" s="92">
        <f t="shared" si="26"/>
        <v>0</v>
      </c>
      <c r="AZ45" s="92">
        <f t="shared" si="26"/>
        <v>0</v>
      </c>
      <c r="BA45" s="95">
        <f t="shared" si="19"/>
        <v>0</v>
      </c>
      <c r="BB45" s="140"/>
      <c r="BC45"/>
    </row>
    <row r="46" spans="1:55" ht="15" customHeight="1" thickBot="1" x14ac:dyDescent="0.3">
      <c r="A46" s="102" t="s">
        <v>82</v>
      </c>
      <c r="B46" s="124"/>
      <c r="C46" s="87"/>
      <c r="D46" s="129">
        <f t="shared" ref="D46:E46" si="27">SUM(D47:D51)</f>
        <v>0</v>
      </c>
      <c r="E46" s="129">
        <f t="shared" si="27"/>
        <v>0</v>
      </c>
      <c r="F46" s="129">
        <f>SUM(F47:F51)</f>
        <v>0</v>
      </c>
      <c r="G46" s="129">
        <f t="shared" ref="G46:AP46" si="28">SUM(G47:G51)</f>
        <v>0</v>
      </c>
      <c r="H46" s="131">
        <f t="shared" si="28"/>
        <v>0</v>
      </c>
      <c r="I46" s="131">
        <f t="shared" si="28"/>
        <v>0</v>
      </c>
      <c r="J46" s="129">
        <f t="shared" si="28"/>
        <v>0</v>
      </c>
      <c r="K46" s="130">
        <f t="shared" si="28"/>
        <v>0</v>
      </c>
      <c r="L46" s="130">
        <f t="shared" si="28"/>
        <v>0</v>
      </c>
      <c r="M46" s="129">
        <f t="shared" si="28"/>
        <v>0</v>
      </c>
      <c r="N46" s="129">
        <f t="shared" si="28"/>
        <v>0</v>
      </c>
      <c r="O46" s="129">
        <f t="shared" si="28"/>
        <v>0</v>
      </c>
      <c r="P46" s="129">
        <f t="shared" si="28"/>
        <v>0</v>
      </c>
      <c r="Q46" s="129">
        <f t="shared" si="28"/>
        <v>0</v>
      </c>
      <c r="R46" s="129">
        <f t="shared" si="28"/>
        <v>0</v>
      </c>
      <c r="S46" s="129">
        <f t="shared" si="28"/>
        <v>0</v>
      </c>
      <c r="T46" s="129">
        <f t="shared" si="28"/>
        <v>0</v>
      </c>
      <c r="U46" s="129">
        <f t="shared" si="28"/>
        <v>0</v>
      </c>
      <c r="V46" s="129">
        <f t="shared" si="28"/>
        <v>0</v>
      </c>
      <c r="W46" s="129">
        <f t="shared" si="28"/>
        <v>0</v>
      </c>
      <c r="X46" s="129">
        <f t="shared" si="28"/>
        <v>0</v>
      </c>
      <c r="Y46" s="129">
        <f t="shared" si="28"/>
        <v>0</v>
      </c>
      <c r="Z46" s="129">
        <f t="shared" si="28"/>
        <v>0</v>
      </c>
      <c r="AA46" s="129">
        <f t="shared" si="28"/>
        <v>0</v>
      </c>
      <c r="AB46" s="129">
        <f t="shared" si="28"/>
        <v>0</v>
      </c>
      <c r="AC46" s="129">
        <f t="shared" si="28"/>
        <v>0</v>
      </c>
      <c r="AD46" s="129">
        <f t="shared" si="28"/>
        <v>0</v>
      </c>
      <c r="AE46" s="129">
        <f t="shared" si="28"/>
        <v>0</v>
      </c>
      <c r="AF46" s="129">
        <f t="shared" si="28"/>
        <v>0</v>
      </c>
      <c r="AG46" s="129">
        <f t="shared" si="28"/>
        <v>0</v>
      </c>
      <c r="AH46" s="129">
        <f t="shared" si="28"/>
        <v>0</v>
      </c>
      <c r="AI46" s="129">
        <f t="shared" si="28"/>
        <v>0</v>
      </c>
      <c r="AJ46" s="129">
        <f t="shared" si="28"/>
        <v>0</v>
      </c>
      <c r="AK46" s="129">
        <f t="shared" si="28"/>
        <v>0</v>
      </c>
      <c r="AL46" s="129">
        <f t="shared" si="28"/>
        <v>0</v>
      </c>
      <c r="AM46" s="129">
        <f t="shared" si="28"/>
        <v>0</v>
      </c>
      <c r="AN46" s="129">
        <f t="shared" si="28"/>
        <v>0</v>
      </c>
      <c r="AO46" s="129">
        <f t="shared" si="28"/>
        <v>0</v>
      </c>
      <c r="AP46" s="129">
        <f t="shared" si="28"/>
        <v>0</v>
      </c>
      <c r="AQ46" s="129">
        <f t="shared" si="3"/>
        <v>0</v>
      </c>
      <c r="AR46" s="129">
        <f t="shared" si="11"/>
        <v>0</v>
      </c>
      <c r="AS46" s="129">
        <f t="shared" si="15"/>
        <v>0</v>
      </c>
      <c r="AT46" s="129">
        <f>SUM(AT47:AT51)</f>
        <v>0</v>
      </c>
      <c r="AU46" s="131">
        <f t="shared" si="16"/>
        <v>0</v>
      </c>
      <c r="AV46" s="131">
        <f t="shared" si="5"/>
        <v>0</v>
      </c>
      <c r="AW46" s="131">
        <f t="shared" si="17"/>
        <v>0</v>
      </c>
      <c r="AX46" s="131">
        <f t="shared" si="18"/>
        <v>0</v>
      </c>
      <c r="AY46" s="131">
        <f>SUM(AY47:AY51)</f>
        <v>0</v>
      </c>
      <c r="AZ46" s="131">
        <f>SUM(AZ47:AZ51)</f>
        <v>0</v>
      </c>
      <c r="BA46" s="129">
        <f t="shared" si="19"/>
        <v>0</v>
      </c>
      <c r="BB46" s="141"/>
      <c r="BC46"/>
    </row>
    <row r="47" spans="1:55" ht="15" customHeight="1" x14ac:dyDescent="0.25">
      <c r="A47" s="97" t="s">
        <v>46</v>
      </c>
      <c r="B47" s="123" t="s">
        <v>141</v>
      </c>
      <c r="C47" s="115">
        <v>28</v>
      </c>
      <c r="D47" s="121">
        <f>AT47*AU47*AW47</f>
        <v>0</v>
      </c>
      <c r="E47" s="16">
        <f>ROUND(AT47*AV47*AX47,4)</f>
        <v>0</v>
      </c>
      <c r="F47" s="91">
        <f>'7'!F47+'8'!F47+'9'!F47+'10'!F47+'11'!F47+'12'!F47</f>
        <v>0</v>
      </c>
      <c r="G47" s="91">
        <f>'7'!G47+'8'!G47+'9'!G47+'10'!G47+'11'!G47+'12'!G47</f>
        <v>0</v>
      </c>
      <c r="H47" s="135">
        <f>'7'!H47+'8'!H47+'9'!H47+'10'!H47+'11'!H47+'12'!H47</f>
        <v>0</v>
      </c>
      <c r="I47" s="135">
        <f>'7'!I47+'8'!I47+'9'!I47+'10'!I47+'11'!I47+'12'!I47</f>
        <v>0</v>
      </c>
      <c r="J47" s="14" t="s">
        <v>55</v>
      </c>
      <c r="K47" s="133">
        <f>'7'!K47+'8'!K47+'9'!K47+'10'!K47+'11'!K47+'12'!K47</f>
        <v>0</v>
      </c>
      <c r="L47" s="133">
        <f>'7'!L47+'8'!L47+'9'!L47+'10'!L47+'11'!L47+'12'!L47</f>
        <v>0</v>
      </c>
      <c r="M47" s="91">
        <f>'7'!M47+'8'!M47+'9'!M47+'10'!M47+'11'!M47+'12'!M47</f>
        <v>0</v>
      </c>
      <c r="N47" s="91">
        <f>'7'!N47+'8'!N47+'9'!N47+'10'!N47+'11'!N47+'12'!N47</f>
        <v>0</v>
      </c>
      <c r="O47" s="91">
        <f>'7'!O47+'8'!O47+'9'!O47+'10'!O47+'11'!O47+'12'!O47</f>
        <v>0</v>
      </c>
      <c r="P47" s="91">
        <f>'7'!P47+'8'!P47+'9'!P47+'10'!P47+'11'!P47+'12'!P47</f>
        <v>0</v>
      </c>
      <c r="Q47" s="91">
        <f>'7'!Q47+'8'!Q47+'9'!Q47+'10'!Q47+'11'!Q47+'12'!Q47</f>
        <v>0</v>
      </c>
      <c r="R47" s="91">
        <f>'7'!R47+'8'!R47+'9'!R47+'10'!R47+'11'!R47+'12'!R47</f>
        <v>0</v>
      </c>
      <c r="S47" s="91">
        <f>'7'!S47+'8'!S47+'9'!S47+'10'!S47+'11'!S47+'12'!S47</f>
        <v>0</v>
      </c>
      <c r="T47" s="91">
        <f>'7'!T47+'8'!T47+'9'!T47+'10'!T47+'11'!T47+'12'!T47</f>
        <v>0</v>
      </c>
      <c r="U47" s="91">
        <f>'7'!U47+'8'!U47+'9'!U47+'10'!U47+'11'!U47+'12'!U47</f>
        <v>0</v>
      </c>
      <c r="V47" s="91">
        <f>'7'!V47+'8'!V47+'9'!V47+'10'!V47+'11'!V47+'12'!V47</f>
        <v>0</v>
      </c>
      <c r="W47" s="91">
        <f>'7'!W47+'8'!W47+'9'!W47+'10'!W47+'11'!W47+'12'!W47</f>
        <v>0</v>
      </c>
      <c r="X47" s="91">
        <f>'7'!X47+'8'!X47+'9'!X47+'10'!X47+'11'!X47+'12'!X47</f>
        <v>0</v>
      </c>
      <c r="Y47" s="91">
        <f>'7'!Y47+'8'!Y47+'9'!Y47+'10'!Y47+'11'!Y47+'12'!Y47</f>
        <v>0</v>
      </c>
      <c r="Z47" s="91">
        <f>'7'!Z47+'8'!Z47+'9'!Z47+'10'!Z47+'11'!Z47+'12'!Z47</f>
        <v>0</v>
      </c>
      <c r="AA47" s="91">
        <f>'7'!AA47+'8'!AA47+'9'!AA47+'10'!AA47+'11'!AA47+'12'!AA47</f>
        <v>0</v>
      </c>
      <c r="AB47" s="91">
        <f>'7'!AB47+'8'!AB47+'9'!AB47+'10'!AB47+'11'!AB47+'12'!AB47</f>
        <v>0</v>
      </c>
      <c r="AC47" s="91">
        <f>'7'!AC47+'8'!AC47+'9'!AC47+'10'!AC47+'11'!AC47+'12'!AC47</f>
        <v>0</v>
      </c>
      <c r="AD47" s="91">
        <f>'7'!AD47+'8'!AD47+'9'!AD47+'10'!AD47+'11'!AD47+'12'!AD47</f>
        <v>0</v>
      </c>
      <c r="AE47" s="91">
        <f>'7'!AE47+'8'!AE47+'9'!AE47+'10'!AE47+'11'!AE47+'12'!AE47</f>
        <v>0</v>
      </c>
      <c r="AF47" s="91">
        <f>'7'!AF47+'8'!AF47+'9'!AF47+'10'!AF47+'11'!AF47+'12'!AF47</f>
        <v>0</v>
      </c>
      <c r="AG47" s="91">
        <f>'7'!AG47+'8'!AG47+'9'!AG47+'10'!AG47+'11'!AG47+'12'!AG47</f>
        <v>0</v>
      </c>
      <c r="AH47" s="91">
        <f>'7'!AH47+'8'!AH47+'9'!AH47+'10'!AH47+'11'!AH47+'12'!AH47</f>
        <v>0</v>
      </c>
      <c r="AI47" s="91">
        <f>'7'!AI47+'8'!AI47+'9'!AI47+'10'!AI47+'11'!AI47+'12'!AI47</f>
        <v>0</v>
      </c>
      <c r="AJ47" s="91">
        <f>'7'!AJ47+'8'!AJ47+'9'!AJ47+'10'!AJ47+'11'!AJ47+'12'!AJ47</f>
        <v>0</v>
      </c>
      <c r="AK47" s="91">
        <f>'7'!AK47+'8'!AK47+'9'!AK47+'10'!AK47+'11'!AK47+'12'!AK47</f>
        <v>0</v>
      </c>
      <c r="AL47" s="91">
        <f>'7'!AL47+'8'!AL47+'9'!AL47+'10'!AL47+'11'!AL47+'12'!AL47</f>
        <v>0</v>
      </c>
      <c r="AM47" s="91">
        <f>'7'!AM47+'8'!AM47+'9'!AM47+'10'!AM47+'11'!AM47+'12'!AM47</f>
        <v>0</v>
      </c>
      <c r="AN47" s="91">
        <f>'7'!AN47+'8'!AN47+'9'!AN47+'10'!AN47+'11'!AN47+'12'!AN47</f>
        <v>0</v>
      </c>
      <c r="AO47" s="91">
        <f>'7'!AO47+'8'!AO47+'9'!AO47+'10'!AO47+'11'!AO47+'12'!AO47</f>
        <v>0</v>
      </c>
      <c r="AP47" s="91">
        <f>'7'!AP47+'8'!AP47+'9'!AP47+'10'!AP47+'11'!AP47+'12'!AP47</f>
        <v>0</v>
      </c>
      <c r="AQ47" s="16">
        <f t="shared" si="3"/>
        <v>0</v>
      </c>
      <c r="AR47" s="17">
        <f t="shared" si="11"/>
        <v>0</v>
      </c>
      <c r="AS47" s="91">
        <f t="shared" si="15"/>
        <v>0</v>
      </c>
      <c r="AT47" s="91">
        <f>'7'!AT47+'8'!AT47+'9'!AT47+'10'!AT47+'11'!AT47+'12'!AT47</f>
        <v>0</v>
      </c>
      <c r="AU47" s="92">
        <f t="shared" si="16"/>
        <v>0</v>
      </c>
      <c r="AV47" s="92">
        <f t="shared" si="5"/>
        <v>0</v>
      </c>
      <c r="AW47" s="92">
        <f t="shared" si="17"/>
        <v>0</v>
      </c>
      <c r="AX47" s="92">
        <f t="shared" si="18"/>
        <v>0</v>
      </c>
      <c r="AY47" s="92">
        <f>IF(D47=0,0,K47/D47/24)</f>
        <v>0</v>
      </c>
      <c r="AZ47" s="92">
        <f>IF(E47=0,0,L47/E47/24)</f>
        <v>0</v>
      </c>
      <c r="BA47" s="95">
        <f t="shared" si="19"/>
        <v>0</v>
      </c>
      <c r="BB47" s="138"/>
      <c r="BC47"/>
    </row>
    <row r="48" spans="1:55" ht="15" customHeight="1" thickBot="1" x14ac:dyDescent="0.3">
      <c r="A48" s="71" t="s">
        <v>45</v>
      </c>
      <c r="B48" s="123" t="s">
        <v>142</v>
      </c>
      <c r="C48" s="112">
        <v>33</v>
      </c>
      <c r="D48" s="121">
        <f t="shared" ref="D48:D51" si="29">AT48*AU48*AW48</f>
        <v>0</v>
      </c>
      <c r="E48" s="16">
        <f t="shared" ref="E48:E51" si="30">ROUND(AT48*AV48*AX48,4)</f>
        <v>0</v>
      </c>
      <c r="F48" s="91">
        <f>'7'!F48+'8'!F48+'9'!F48+'10'!F48+'11'!F48+'12'!F48</f>
        <v>0</v>
      </c>
      <c r="G48" s="91">
        <f>'7'!G48+'8'!G48+'9'!G48+'10'!G48+'11'!G48+'12'!G48</f>
        <v>0</v>
      </c>
      <c r="H48" s="135">
        <f>'7'!H48+'8'!H48+'9'!H48+'10'!H48+'11'!H48+'12'!H48</f>
        <v>0</v>
      </c>
      <c r="I48" s="135">
        <f>'7'!I48+'8'!I48+'9'!I48+'10'!I48+'11'!I48+'12'!I48</f>
        <v>0</v>
      </c>
      <c r="J48" s="14" t="s">
        <v>55</v>
      </c>
      <c r="K48" s="133">
        <f>'7'!K48+'8'!K48+'9'!K48+'10'!K48+'11'!K48+'12'!K48</f>
        <v>0</v>
      </c>
      <c r="L48" s="133">
        <f>'7'!L48+'8'!L48+'9'!L48+'10'!L48+'11'!L48+'12'!L48</f>
        <v>0</v>
      </c>
      <c r="M48" s="91">
        <f>'7'!M48+'8'!M48+'9'!M48+'10'!M48+'11'!M48+'12'!M48</f>
        <v>0</v>
      </c>
      <c r="N48" s="91">
        <f>'7'!N48+'8'!N48+'9'!N48+'10'!N48+'11'!N48+'12'!N48</f>
        <v>0</v>
      </c>
      <c r="O48" s="91">
        <f>'7'!O48+'8'!O48+'9'!O48+'10'!O48+'11'!O48+'12'!O48</f>
        <v>0</v>
      </c>
      <c r="P48" s="91">
        <f>'7'!P48+'8'!P48+'9'!P48+'10'!P48+'11'!P48+'12'!P48</f>
        <v>0</v>
      </c>
      <c r="Q48" s="91">
        <f>'7'!Q48+'8'!Q48+'9'!Q48+'10'!Q48+'11'!Q48+'12'!Q48</f>
        <v>0</v>
      </c>
      <c r="R48" s="91">
        <f>'7'!R48+'8'!R48+'9'!R48+'10'!R48+'11'!R48+'12'!R48</f>
        <v>0</v>
      </c>
      <c r="S48" s="91">
        <f>'7'!S48+'8'!S48+'9'!S48+'10'!S48+'11'!S48+'12'!S48</f>
        <v>0</v>
      </c>
      <c r="T48" s="91">
        <f>'7'!T48+'8'!T48+'9'!T48+'10'!T48+'11'!T48+'12'!T48</f>
        <v>0</v>
      </c>
      <c r="U48" s="91">
        <f>'7'!U48+'8'!U48+'9'!U48+'10'!U48+'11'!U48+'12'!U48</f>
        <v>0</v>
      </c>
      <c r="V48" s="91">
        <f>'7'!V48+'8'!V48+'9'!V48+'10'!V48+'11'!V48+'12'!V48</f>
        <v>0</v>
      </c>
      <c r="W48" s="91">
        <f>'7'!W48+'8'!W48+'9'!W48+'10'!W48+'11'!W48+'12'!W48</f>
        <v>0</v>
      </c>
      <c r="X48" s="91">
        <f>'7'!X48+'8'!X48+'9'!X48+'10'!X48+'11'!X48+'12'!X48</f>
        <v>0</v>
      </c>
      <c r="Y48" s="91">
        <f>'7'!Y48+'8'!Y48+'9'!Y48+'10'!Y48+'11'!Y48+'12'!Y48</f>
        <v>0</v>
      </c>
      <c r="Z48" s="91">
        <f>'7'!Z48+'8'!Z48+'9'!Z48+'10'!Z48+'11'!Z48+'12'!Z48</f>
        <v>0</v>
      </c>
      <c r="AA48" s="91">
        <f>'7'!AA48+'8'!AA48+'9'!AA48+'10'!AA48+'11'!AA48+'12'!AA48</f>
        <v>0</v>
      </c>
      <c r="AB48" s="91">
        <f>'7'!AB48+'8'!AB48+'9'!AB48+'10'!AB48+'11'!AB48+'12'!AB48</f>
        <v>0</v>
      </c>
      <c r="AC48" s="91">
        <f>'7'!AC48+'8'!AC48+'9'!AC48+'10'!AC48+'11'!AC48+'12'!AC48</f>
        <v>0</v>
      </c>
      <c r="AD48" s="91">
        <f>'7'!AD48+'8'!AD48+'9'!AD48+'10'!AD48+'11'!AD48+'12'!AD48</f>
        <v>0</v>
      </c>
      <c r="AE48" s="91">
        <f>'7'!AE48+'8'!AE48+'9'!AE48+'10'!AE48+'11'!AE48+'12'!AE48</f>
        <v>0</v>
      </c>
      <c r="AF48" s="91">
        <f>'7'!AF48+'8'!AF48+'9'!AF48+'10'!AF48+'11'!AF48+'12'!AF48</f>
        <v>0</v>
      </c>
      <c r="AG48" s="91">
        <f>'7'!AG48+'8'!AG48+'9'!AG48+'10'!AG48+'11'!AG48+'12'!AG48</f>
        <v>0</v>
      </c>
      <c r="AH48" s="91">
        <f>'7'!AH48+'8'!AH48+'9'!AH48+'10'!AH48+'11'!AH48+'12'!AH48</f>
        <v>0</v>
      </c>
      <c r="AI48" s="91">
        <f>'7'!AI48+'8'!AI48+'9'!AI48+'10'!AI48+'11'!AI48+'12'!AI48</f>
        <v>0</v>
      </c>
      <c r="AJ48" s="91">
        <f>'7'!AJ48+'8'!AJ48+'9'!AJ48+'10'!AJ48+'11'!AJ48+'12'!AJ48</f>
        <v>0</v>
      </c>
      <c r="AK48" s="91">
        <f>'7'!AK48+'8'!AK48+'9'!AK48+'10'!AK48+'11'!AK48+'12'!AK48</f>
        <v>0</v>
      </c>
      <c r="AL48" s="91">
        <f>'7'!AL48+'8'!AL48+'9'!AL48+'10'!AL48+'11'!AL48+'12'!AL48</f>
        <v>0</v>
      </c>
      <c r="AM48" s="91">
        <f>'7'!AM48+'8'!AM48+'9'!AM48+'10'!AM48+'11'!AM48+'12'!AM48</f>
        <v>0</v>
      </c>
      <c r="AN48" s="91">
        <f>'7'!AN48+'8'!AN48+'9'!AN48+'10'!AN48+'11'!AN48+'12'!AN48</f>
        <v>0</v>
      </c>
      <c r="AO48" s="91">
        <f>'7'!AO48+'8'!AO48+'9'!AO48+'10'!AO48+'11'!AO48+'12'!AO48</f>
        <v>0</v>
      </c>
      <c r="AP48" s="91">
        <f>'7'!AP48+'8'!AP48+'9'!AP48+'10'!AP48+'11'!AP48+'12'!AP48</f>
        <v>0</v>
      </c>
      <c r="AQ48" s="16">
        <f t="shared" si="3"/>
        <v>0</v>
      </c>
      <c r="AR48" s="17">
        <f t="shared" si="11"/>
        <v>0</v>
      </c>
      <c r="AS48" s="91">
        <f t="shared" si="15"/>
        <v>0</v>
      </c>
      <c r="AT48" s="91">
        <f>'7'!AT48+'8'!AT48+'9'!AT48+'10'!AT48+'11'!AT48+'12'!AT48</f>
        <v>0</v>
      </c>
      <c r="AU48" s="92">
        <f t="shared" si="16"/>
        <v>0</v>
      </c>
      <c r="AV48" s="92">
        <f t="shared" si="5"/>
        <v>0</v>
      </c>
      <c r="AW48" s="92">
        <f t="shared" si="17"/>
        <v>0</v>
      </c>
      <c r="AX48" s="92">
        <f t="shared" si="18"/>
        <v>0</v>
      </c>
      <c r="AY48" s="92">
        <f>IF(D48=0,0,K48/D48/24)</f>
        <v>0</v>
      </c>
      <c r="AZ48" s="92">
        <f>IF(E48=0,0,L48/E48/24)</f>
        <v>0</v>
      </c>
      <c r="BA48" s="95">
        <f t="shared" si="19"/>
        <v>0</v>
      </c>
      <c r="BB48" s="139"/>
      <c r="BC48"/>
    </row>
    <row r="49" spans="1:55" ht="15" hidden="1" customHeight="1" x14ac:dyDescent="0.3">
      <c r="A49" s="72" t="s">
        <v>48</v>
      </c>
      <c r="B49" s="111"/>
      <c r="C49" s="111">
        <v>35</v>
      </c>
      <c r="D49" s="121">
        <f t="shared" si="29"/>
        <v>0</v>
      </c>
      <c r="E49" s="16">
        <f t="shared" si="30"/>
        <v>0</v>
      </c>
      <c r="F49" s="91">
        <f>'7'!F49+'8'!F49+'9'!F49+'10'!F49+'11'!F49+'12'!F49</f>
        <v>0</v>
      </c>
      <c r="G49" s="91">
        <f>'7'!G49+'8'!G49+'9'!G49+'10'!G49+'11'!G49+'12'!G49</f>
        <v>0</v>
      </c>
      <c r="H49" s="135">
        <f>'7'!H49+'8'!H49+'9'!H49+'10'!H49+'11'!H49+'12'!H49</f>
        <v>0</v>
      </c>
      <c r="I49" s="135">
        <f>'7'!I49+'8'!I49+'9'!I49+'10'!I49+'11'!I49+'12'!I49</f>
        <v>0</v>
      </c>
      <c r="J49" s="14" t="s">
        <v>55</v>
      </c>
      <c r="K49" s="133">
        <f>'7'!K49+'8'!K49+'9'!K49+'10'!K49+'11'!K49+'12'!K49</f>
        <v>0</v>
      </c>
      <c r="L49" s="133">
        <f>'7'!L49+'8'!L49+'9'!L49+'10'!L49+'11'!L49+'12'!L49</f>
        <v>0</v>
      </c>
      <c r="M49" s="91">
        <f>'7'!M49+'8'!M49+'9'!M49+'10'!M49+'11'!M49+'12'!M49</f>
        <v>0</v>
      </c>
      <c r="N49" s="91">
        <f>'7'!N49+'8'!N49+'9'!N49+'10'!N49+'11'!N49+'12'!N49</f>
        <v>0</v>
      </c>
      <c r="O49" s="91">
        <f>'7'!O49+'8'!O49+'9'!O49+'10'!O49+'11'!O49+'12'!O49</f>
        <v>0</v>
      </c>
      <c r="P49" s="91">
        <f>'7'!P49+'8'!P49+'9'!P49+'10'!P49+'11'!P49+'12'!P49</f>
        <v>0</v>
      </c>
      <c r="Q49" s="91">
        <f>'7'!Q49+'8'!Q49+'9'!Q49+'10'!Q49+'11'!Q49+'12'!Q49</f>
        <v>0</v>
      </c>
      <c r="R49" s="91">
        <f>'7'!R49+'8'!R49+'9'!R49+'10'!R49+'11'!R49+'12'!R49</f>
        <v>0</v>
      </c>
      <c r="S49" s="91">
        <f>'7'!S49+'8'!S49+'9'!S49+'10'!S49+'11'!S49+'12'!S49</f>
        <v>0</v>
      </c>
      <c r="T49" s="91">
        <f>'7'!T49+'8'!T49+'9'!T49+'10'!T49+'11'!T49+'12'!T49</f>
        <v>0</v>
      </c>
      <c r="U49" s="91">
        <f>'7'!U49+'8'!U49+'9'!U49+'10'!U49+'11'!U49+'12'!U49</f>
        <v>0</v>
      </c>
      <c r="V49" s="91">
        <f>'7'!V49+'8'!V49+'9'!V49+'10'!V49+'11'!V49+'12'!V49</f>
        <v>0</v>
      </c>
      <c r="W49" s="91">
        <f>'7'!W49+'8'!W49+'9'!W49+'10'!W49+'11'!W49+'12'!W49</f>
        <v>0</v>
      </c>
      <c r="X49" s="91">
        <f>'7'!X49+'8'!X49+'9'!X49+'10'!X49+'11'!X49+'12'!X49</f>
        <v>0</v>
      </c>
      <c r="Y49" s="91">
        <f>'7'!Y49+'8'!Y49+'9'!Y49+'10'!Y49+'11'!Y49+'12'!Y49</f>
        <v>0</v>
      </c>
      <c r="Z49" s="91">
        <f>'7'!Z49+'8'!Z49+'9'!Z49+'10'!Z49+'11'!Z49+'12'!Z49</f>
        <v>0</v>
      </c>
      <c r="AA49" s="91">
        <f>'7'!AA49+'8'!AA49+'9'!AA49+'10'!AA49+'11'!AA49+'12'!AA49</f>
        <v>0</v>
      </c>
      <c r="AB49" s="91">
        <f>'7'!AB49+'8'!AB49+'9'!AB49+'10'!AB49+'11'!AB49+'12'!AB49</f>
        <v>0</v>
      </c>
      <c r="AC49" s="91">
        <f>'7'!AC49+'8'!AC49+'9'!AC49+'10'!AC49+'11'!AC49+'12'!AC49</f>
        <v>0</v>
      </c>
      <c r="AD49" s="91">
        <f>'7'!AD49+'8'!AD49+'9'!AD49+'10'!AD49+'11'!AD49+'12'!AD49</f>
        <v>0</v>
      </c>
      <c r="AE49" s="91">
        <f>'7'!AE49+'8'!AE49+'9'!AE49+'10'!AE49+'11'!AE49+'12'!AE49</f>
        <v>0</v>
      </c>
      <c r="AF49" s="91">
        <f>'7'!AF49+'8'!AF49+'9'!AF49+'10'!AF49+'11'!AF49+'12'!AF49</f>
        <v>0</v>
      </c>
      <c r="AG49" s="91">
        <f>'7'!AG49+'8'!AG49+'9'!AG49+'10'!AG49+'11'!AG49+'12'!AG49</f>
        <v>0</v>
      </c>
      <c r="AH49" s="91">
        <f>'7'!AH49+'8'!AH49+'9'!AH49+'10'!AH49+'11'!AH49+'12'!AH49</f>
        <v>0</v>
      </c>
      <c r="AI49" s="91">
        <f>'7'!AI49+'8'!AI49+'9'!AI49+'10'!AI49+'11'!AI49+'12'!AI49</f>
        <v>0</v>
      </c>
      <c r="AJ49" s="91">
        <f>'7'!AJ49+'8'!AJ49+'9'!AJ49+'10'!AJ49+'11'!AJ49+'12'!AJ49</f>
        <v>0</v>
      </c>
      <c r="AK49" s="91">
        <f>'7'!AK49+'8'!AK49+'9'!AK49+'10'!AK49+'11'!AK49+'12'!AK49</f>
        <v>0</v>
      </c>
      <c r="AL49" s="91">
        <f>'7'!AL49+'8'!AL49+'9'!AL49+'10'!AL49+'11'!AL49+'12'!AL49</f>
        <v>0</v>
      </c>
      <c r="AM49" s="91">
        <f>'7'!AM49+'8'!AM49+'9'!AM49+'10'!AM49+'11'!AM49+'12'!AM49</f>
        <v>0</v>
      </c>
      <c r="AN49" s="91">
        <f>'7'!AN49+'8'!AN49+'9'!AN49+'10'!AN49+'11'!AN49+'12'!AN49</f>
        <v>0</v>
      </c>
      <c r="AO49" s="91">
        <f>'7'!AO49+'8'!AO49+'9'!AO49+'10'!AO49+'11'!AO49+'12'!AO49</f>
        <v>0</v>
      </c>
      <c r="AP49" s="91">
        <f>'7'!AP49+'8'!AP49+'9'!AP49+'10'!AP49+'11'!AP49+'12'!AP49</f>
        <v>0</v>
      </c>
      <c r="AQ49" s="16">
        <f t="shared" si="3"/>
        <v>0</v>
      </c>
      <c r="AR49" s="17">
        <f t="shared" si="11"/>
        <v>0</v>
      </c>
      <c r="AS49" s="91">
        <f t="shared" si="15"/>
        <v>0</v>
      </c>
      <c r="AT49" s="91">
        <f>'7'!AT49+'8'!AT49+'9'!AT49+'10'!AT49+'11'!AT49+'12'!AT49</f>
        <v>0</v>
      </c>
      <c r="AU49" s="92">
        <f t="shared" si="16"/>
        <v>0</v>
      </c>
      <c r="AV49" s="92">
        <f t="shared" si="5"/>
        <v>0</v>
      </c>
      <c r="AW49" s="92">
        <f t="shared" si="17"/>
        <v>0</v>
      </c>
      <c r="AX49" s="92">
        <f t="shared" si="18"/>
        <v>0</v>
      </c>
      <c r="AY49" s="18">
        <f t="shared" ref="AY49:AZ51" si="31">IF(D49=0,0,K49/D49/24)</f>
        <v>0</v>
      </c>
      <c r="AZ49" s="18">
        <f t="shared" si="31"/>
        <v>0</v>
      </c>
      <c r="BA49" s="95">
        <f t="shared" si="19"/>
        <v>0</v>
      </c>
      <c r="BB49" s="139"/>
      <c r="BC49"/>
    </row>
    <row r="50" spans="1:55" ht="15" hidden="1" customHeight="1" x14ac:dyDescent="0.3">
      <c r="A50" s="72" t="s">
        <v>47</v>
      </c>
      <c r="B50" s="111"/>
      <c r="C50" s="111">
        <v>36</v>
      </c>
      <c r="D50" s="121">
        <f t="shared" si="29"/>
        <v>0</v>
      </c>
      <c r="E50" s="16">
        <f t="shared" si="30"/>
        <v>0</v>
      </c>
      <c r="F50" s="91">
        <f>'7'!F50+'8'!F50+'9'!F50+'10'!F50+'11'!F50+'12'!F50</f>
        <v>0</v>
      </c>
      <c r="G50" s="91">
        <f>'7'!G50+'8'!G50+'9'!G50+'10'!G50+'11'!G50+'12'!G50</f>
        <v>0</v>
      </c>
      <c r="H50" s="135">
        <f>'7'!H50+'8'!H50+'9'!H50+'10'!H50+'11'!H50+'12'!H50</f>
        <v>0</v>
      </c>
      <c r="I50" s="135">
        <f>'7'!I50+'8'!I50+'9'!I50+'10'!I50+'11'!I50+'12'!I50</f>
        <v>0</v>
      </c>
      <c r="J50" s="14" t="s">
        <v>55</v>
      </c>
      <c r="K50" s="133">
        <f>'7'!K50+'8'!K50+'9'!K50+'10'!K50+'11'!K50+'12'!K50</f>
        <v>0</v>
      </c>
      <c r="L50" s="133">
        <f>'7'!L50+'8'!L50+'9'!L50+'10'!L50+'11'!L50+'12'!L50</f>
        <v>0</v>
      </c>
      <c r="M50" s="91">
        <f>'7'!M50+'8'!M50+'9'!M50+'10'!M50+'11'!M50+'12'!M50</f>
        <v>0</v>
      </c>
      <c r="N50" s="91">
        <f>'7'!N50+'8'!N50+'9'!N50+'10'!N50+'11'!N50+'12'!N50</f>
        <v>0</v>
      </c>
      <c r="O50" s="91">
        <f>'7'!O50+'8'!O50+'9'!O50+'10'!O50+'11'!O50+'12'!O50</f>
        <v>0</v>
      </c>
      <c r="P50" s="91">
        <f>'7'!P50+'8'!P50+'9'!P50+'10'!P50+'11'!P50+'12'!P50</f>
        <v>0</v>
      </c>
      <c r="Q50" s="91">
        <f>'7'!Q50+'8'!Q50+'9'!Q50+'10'!Q50+'11'!Q50+'12'!Q50</f>
        <v>0</v>
      </c>
      <c r="R50" s="91">
        <f>'7'!R50+'8'!R50+'9'!R50+'10'!R50+'11'!R50+'12'!R50</f>
        <v>0</v>
      </c>
      <c r="S50" s="91">
        <f>'7'!S50+'8'!S50+'9'!S50+'10'!S50+'11'!S50+'12'!S50</f>
        <v>0</v>
      </c>
      <c r="T50" s="91">
        <f>'7'!T50+'8'!T50+'9'!T50+'10'!T50+'11'!T50+'12'!T50</f>
        <v>0</v>
      </c>
      <c r="U50" s="91">
        <f>'7'!U50+'8'!U50+'9'!U50+'10'!U50+'11'!U50+'12'!U50</f>
        <v>0</v>
      </c>
      <c r="V50" s="91">
        <f>'7'!V50+'8'!V50+'9'!V50+'10'!V50+'11'!V50+'12'!V50</f>
        <v>0</v>
      </c>
      <c r="W50" s="91">
        <f>'7'!W50+'8'!W50+'9'!W50+'10'!W50+'11'!W50+'12'!W50</f>
        <v>0</v>
      </c>
      <c r="X50" s="91">
        <f>'7'!X50+'8'!X50+'9'!X50+'10'!X50+'11'!X50+'12'!X50</f>
        <v>0</v>
      </c>
      <c r="Y50" s="91">
        <f>'7'!Y50+'8'!Y50+'9'!Y50+'10'!Y50+'11'!Y50+'12'!Y50</f>
        <v>0</v>
      </c>
      <c r="Z50" s="91">
        <f>'7'!Z50+'8'!Z50+'9'!Z50+'10'!Z50+'11'!Z50+'12'!Z50</f>
        <v>0</v>
      </c>
      <c r="AA50" s="91">
        <f>'7'!AA50+'8'!AA50+'9'!AA50+'10'!AA50+'11'!AA50+'12'!AA50</f>
        <v>0</v>
      </c>
      <c r="AB50" s="91">
        <f>'7'!AB50+'8'!AB50+'9'!AB50+'10'!AB50+'11'!AB50+'12'!AB50</f>
        <v>0</v>
      </c>
      <c r="AC50" s="91">
        <f>'7'!AC50+'8'!AC50+'9'!AC50+'10'!AC50+'11'!AC50+'12'!AC50</f>
        <v>0</v>
      </c>
      <c r="AD50" s="91">
        <f>'7'!AD50+'8'!AD50+'9'!AD50+'10'!AD50+'11'!AD50+'12'!AD50</f>
        <v>0</v>
      </c>
      <c r="AE50" s="91">
        <f>'7'!AE50+'8'!AE50+'9'!AE50+'10'!AE50+'11'!AE50+'12'!AE50</f>
        <v>0</v>
      </c>
      <c r="AF50" s="91">
        <f>'7'!AF50+'8'!AF50+'9'!AF50+'10'!AF50+'11'!AF50+'12'!AF50</f>
        <v>0</v>
      </c>
      <c r="AG50" s="91">
        <f>'7'!AG50+'8'!AG50+'9'!AG50+'10'!AG50+'11'!AG50+'12'!AG50</f>
        <v>0</v>
      </c>
      <c r="AH50" s="91">
        <f>'7'!AH50+'8'!AH50+'9'!AH50+'10'!AH50+'11'!AH50+'12'!AH50</f>
        <v>0</v>
      </c>
      <c r="AI50" s="91">
        <f>'7'!AI50+'8'!AI50+'9'!AI50+'10'!AI50+'11'!AI50+'12'!AI50</f>
        <v>0</v>
      </c>
      <c r="AJ50" s="91">
        <f>'7'!AJ50+'8'!AJ50+'9'!AJ50+'10'!AJ50+'11'!AJ50+'12'!AJ50</f>
        <v>0</v>
      </c>
      <c r="AK50" s="91">
        <f>'7'!AK50+'8'!AK50+'9'!AK50+'10'!AK50+'11'!AK50+'12'!AK50</f>
        <v>0</v>
      </c>
      <c r="AL50" s="91">
        <f>'7'!AL50+'8'!AL50+'9'!AL50+'10'!AL50+'11'!AL50+'12'!AL50</f>
        <v>0</v>
      </c>
      <c r="AM50" s="91">
        <f>'7'!AM50+'8'!AM50+'9'!AM50+'10'!AM50+'11'!AM50+'12'!AM50</f>
        <v>0</v>
      </c>
      <c r="AN50" s="91">
        <f>'7'!AN50+'8'!AN50+'9'!AN50+'10'!AN50+'11'!AN50+'12'!AN50</f>
        <v>0</v>
      </c>
      <c r="AO50" s="91">
        <f>'7'!AO50+'8'!AO50+'9'!AO50+'10'!AO50+'11'!AO50+'12'!AO50</f>
        <v>0</v>
      </c>
      <c r="AP50" s="91">
        <f>'7'!AP50+'8'!AP50+'9'!AP50+'10'!AP50+'11'!AP50+'12'!AP50</f>
        <v>0</v>
      </c>
      <c r="AQ50" s="16">
        <f t="shared" si="3"/>
        <v>0</v>
      </c>
      <c r="AR50" s="17">
        <f t="shared" si="11"/>
        <v>0</v>
      </c>
      <c r="AS50" s="91">
        <f t="shared" si="15"/>
        <v>0</v>
      </c>
      <c r="AT50" s="91">
        <f>'7'!AT50+'8'!AT50+'9'!AT50+'10'!AT50+'11'!AT50+'12'!AT50</f>
        <v>0</v>
      </c>
      <c r="AU50" s="92">
        <f t="shared" si="16"/>
        <v>0</v>
      </c>
      <c r="AV50" s="92">
        <f t="shared" si="5"/>
        <v>0</v>
      </c>
      <c r="AW50" s="92">
        <f t="shared" si="17"/>
        <v>0</v>
      </c>
      <c r="AX50" s="92">
        <f t="shared" si="18"/>
        <v>0</v>
      </c>
      <c r="AY50" s="18">
        <f t="shared" si="31"/>
        <v>0</v>
      </c>
      <c r="AZ50" s="18">
        <f t="shared" si="31"/>
        <v>0</v>
      </c>
      <c r="BA50" s="95">
        <f t="shared" si="19"/>
        <v>0</v>
      </c>
      <c r="BB50" s="139"/>
      <c r="BC50"/>
    </row>
    <row r="51" spans="1:55" ht="15" hidden="1" customHeight="1" thickBot="1" x14ac:dyDescent="0.3">
      <c r="A51" s="100" t="s">
        <v>64</v>
      </c>
      <c r="B51" s="116"/>
      <c r="C51" s="116">
        <v>37</v>
      </c>
      <c r="D51" s="121">
        <f t="shared" si="29"/>
        <v>0</v>
      </c>
      <c r="E51" s="16">
        <f t="shared" si="30"/>
        <v>0</v>
      </c>
      <c r="F51" s="91">
        <f>'7'!F51+'8'!F51+'9'!F51+'10'!F51+'11'!F51+'12'!F51</f>
        <v>0</v>
      </c>
      <c r="G51" s="91">
        <f>'7'!G51+'8'!G51+'9'!G51+'10'!G51+'11'!G51+'12'!G51</f>
        <v>0</v>
      </c>
      <c r="H51" s="135">
        <f>'7'!H51+'8'!H51+'9'!H51+'10'!H51+'11'!H51+'12'!H51</f>
        <v>0</v>
      </c>
      <c r="I51" s="135">
        <f>'7'!I51+'8'!I51+'9'!I51+'10'!I51+'11'!I51+'12'!I51</f>
        <v>0</v>
      </c>
      <c r="J51" s="14" t="s">
        <v>55</v>
      </c>
      <c r="K51" s="133">
        <f>'7'!K51+'8'!K51+'9'!K51+'10'!K51+'11'!K51+'12'!K51</f>
        <v>0</v>
      </c>
      <c r="L51" s="133">
        <f>'7'!L51+'8'!L51+'9'!L51+'10'!L51+'11'!L51+'12'!L51</f>
        <v>0</v>
      </c>
      <c r="M51" s="91">
        <f>'7'!M51+'8'!M51+'9'!M51+'10'!M51+'11'!M51+'12'!M51</f>
        <v>0</v>
      </c>
      <c r="N51" s="91">
        <f>'7'!N51+'8'!N51+'9'!N51+'10'!N51+'11'!N51+'12'!N51</f>
        <v>0</v>
      </c>
      <c r="O51" s="91">
        <f>'7'!O51+'8'!O51+'9'!O51+'10'!O51+'11'!O51+'12'!O51</f>
        <v>0</v>
      </c>
      <c r="P51" s="91">
        <f>'7'!P51+'8'!P51+'9'!P51+'10'!P51+'11'!P51+'12'!P51</f>
        <v>0</v>
      </c>
      <c r="Q51" s="91">
        <f>'7'!Q51+'8'!Q51+'9'!Q51+'10'!Q51+'11'!Q51+'12'!Q51</f>
        <v>0</v>
      </c>
      <c r="R51" s="91">
        <f>'7'!R51+'8'!R51+'9'!R51+'10'!R51+'11'!R51+'12'!R51</f>
        <v>0</v>
      </c>
      <c r="S51" s="91">
        <f>'7'!S51+'8'!S51+'9'!S51+'10'!S51+'11'!S51+'12'!S51</f>
        <v>0</v>
      </c>
      <c r="T51" s="91">
        <f>'7'!T51+'8'!T51+'9'!T51+'10'!T51+'11'!T51+'12'!T51</f>
        <v>0</v>
      </c>
      <c r="U51" s="91">
        <f>'7'!U51+'8'!U51+'9'!U51+'10'!U51+'11'!U51+'12'!U51</f>
        <v>0</v>
      </c>
      <c r="V51" s="91">
        <f>'7'!V51+'8'!V51+'9'!V51+'10'!V51+'11'!V51+'12'!V51</f>
        <v>0</v>
      </c>
      <c r="W51" s="91">
        <f>'7'!W51+'8'!W51+'9'!W51+'10'!W51+'11'!W51+'12'!W51</f>
        <v>0</v>
      </c>
      <c r="X51" s="91">
        <f>'7'!X51+'8'!X51+'9'!X51+'10'!X51+'11'!X51+'12'!X51</f>
        <v>0</v>
      </c>
      <c r="Y51" s="91">
        <f>'7'!Y51+'8'!Y51+'9'!Y51+'10'!Y51+'11'!Y51+'12'!Y51</f>
        <v>0</v>
      </c>
      <c r="Z51" s="91">
        <f>'7'!Z51+'8'!Z51+'9'!Z51+'10'!Z51+'11'!Z51+'12'!Z51</f>
        <v>0</v>
      </c>
      <c r="AA51" s="91">
        <f>'7'!AA51+'8'!AA51+'9'!AA51+'10'!AA51+'11'!AA51+'12'!AA51</f>
        <v>0</v>
      </c>
      <c r="AB51" s="91">
        <f>'7'!AB51+'8'!AB51+'9'!AB51+'10'!AB51+'11'!AB51+'12'!AB51</f>
        <v>0</v>
      </c>
      <c r="AC51" s="91">
        <f>'7'!AC51+'8'!AC51+'9'!AC51+'10'!AC51+'11'!AC51+'12'!AC51</f>
        <v>0</v>
      </c>
      <c r="AD51" s="91">
        <f>'7'!AD51+'8'!AD51+'9'!AD51+'10'!AD51+'11'!AD51+'12'!AD51</f>
        <v>0</v>
      </c>
      <c r="AE51" s="91">
        <f>'7'!AE51+'8'!AE51+'9'!AE51+'10'!AE51+'11'!AE51+'12'!AE51</f>
        <v>0</v>
      </c>
      <c r="AF51" s="91">
        <f>'7'!AF51+'8'!AF51+'9'!AF51+'10'!AF51+'11'!AF51+'12'!AF51</f>
        <v>0</v>
      </c>
      <c r="AG51" s="91">
        <f>'7'!AG51+'8'!AG51+'9'!AG51+'10'!AG51+'11'!AG51+'12'!AG51</f>
        <v>0</v>
      </c>
      <c r="AH51" s="91">
        <f>'7'!AH51+'8'!AH51+'9'!AH51+'10'!AH51+'11'!AH51+'12'!AH51</f>
        <v>0</v>
      </c>
      <c r="AI51" s="91">
        <f>'7'!AI51+'8'!AI51+'9'!AI51+'10'!AI51+'11'!AI51+'12'!AI51</f>
        <v>0</v>
      </c>
      <c r="AJ51" s="91">
        <f>'7'!AJ51+'8'!AJ51+'9'!AJ51+'10'!AJ51+'11'!AJ51+'12'!AJ51</f>
        <v>0</v>
      </c>
      <c r="AK51" s="91">
        <f>'7'!AK51+'8'!AK51+'9'!AK51+'10'!AK51+'11'!AK51+'12'!AK51</f>
        <v>0</v>
      </c>
      <c r="AL51" s="91">
        <f>'7'!AL51+'8'!AL51+'9'!AL51+'10'!AL51+'11'!AL51+'12'!AL51</f>
        <v>0</v>
      </c>
      <c r="AM51" s="91">
        <f>'7'!AM51+'8'!AM51+'9'!AM51+'10'!AM51+'11'!AM51+'12'!AM51</f>
        <v>0</v>
      </c>
      <c r="AN51" s="91">
        <f>'7'!AN51+'8'!AN51+'9'!AN51+'10'!AN51+'11'!AN51+'12'!AN51</f>
        <v>0</v>
      </c>
      <c r="AO51" s="91">
        <f>'7'!AO51+'8'!AO51+'9'!AO51+'10'!AO51+'11'!AO51+'12'!AO51</f>
        <v>0</v>
      </c>
      <c r="AP51" s="91">
        <f>'7'!AP51+'8'!AP51+'9'!AP51+'10'!AP51+'11'!AP51+'12'!AP51</f>
        <v>0</v>
      </c>
      <c r="AQ51" s="16">
        <f t="shared" si="3"/>
        <v>0</v>
      </c>
      <c r="AR51" s="17">
        <f t="shared" si="11"/>
        <v>0</v>
      </c>
      <c r="AS51" s="91">
        <f t="shared" si="15"/>
        <v>0</v>
      </c>
      <c r="AT51" s="91">
        <f>'7'!AT51+'8'!AT51+'9'!AT51+'10'!AT51+'11'!AT51+'12'!AT51</f>
        <v>0</v>
      </c>
      <c r="AU51" s="92">
        <f t="shared" si="16"/>
        <v>0</v>
      </c>
      <c r="AV51" s="92">
        <f t="shared" si="5"/>
        <v>0</v>
      </c>
      <c r="AW51" s="92">
        <f t="shared" si="17"/>
        <v>0</v>
      </c>
      <c r="AX51" s="92">
        <f t="shared" si="18"/>
        <v>0</v>
      </c>
      <c r="AY51" s="92">
        <f t="shared" si="31"/>
        <v>0</v>
      </c>
      <c r="AZ51" s="92">
        <f t="shared" si="31"/>
        <v>0</v>
      </c>
      <c r="BA51" s="95">
        <f t="shared" si="19"/>
        <v>0</v>
      </c>
      <c r="BB51" s="140"/>
      <c r="BC51"/>
    </row>
    <row r="52" spans="1:55" ht="15" customHeight="1" thickBot="1" x14ac:dyDescent="0.3">
      <c r="A52" s="102" t="s">
        <v>49</v>
      </c>
      <c r="B52" s="124"/>
      <c r="C52" s="87"/>
      <c r="D52" s="129">
        <f t="shared" ref="D52:E52" si="32">SUM(D53:D54)</f>
        <v>0</v>
      </c>
      <c r="E52" s="129">
        <f t="shared" si="32"/>
        <v>0</v>
      </c>
      <c r="F52" s="129">
        <f>SUM(F53:F54)</f>
        <v>0</v>
      </c>
      <c r="G52" s="129">
        <f t="shared" ref="G52:AP52" si="33">SUM(G53:G54)</f>
        <v>0</v>
      </c>
      <c r="H52" s="131">
        <f t="shared" si="33"/>
        <v>0</v>
      </c>
      <c r="I52" s="131">
        <f t="shared" si="33"/>
        <v>0</v>
      </c>
      <c r="J52" s="129">
        <f t="shared" si="33"/>
        <v>0</v>
      </c>
      <c r="K52" s="130">
        <f t="shared" si="33"/>
        <v>0</v>
      </c>
      <c r="L52" s="130">
        <f t="shared" si="33"/>
        <v>0</v>
      </c>
      <c r="M52" s="129">
        <f t="shared" si="33"/>
        <v>0</v>
      </c>
      <c r="N52" s="129">
        <f t="shared" si="33"/>
        <v>0</v>
      </c>
      <c r="O52" s="129">
        <f t="shared" si="33"/>
        <v>0</v>
      </c>
      <c r="P52" s="129">
        <f t="shared" si="33"/>
        <v>0</v>
      </c>
      <c r="Q52" s="129">
        <f t="shared" si="33"/>
        <v>0</v>
      </c>
      <c r="R52" s="129">
        <f t="shared" si="33"/>
        <v>0</v>
      </c>
      <c r="S52" s="129">
        <f t="shared" si="33"/>
        <v>0</v>
      </c>
      <c r="T52" s="129">
        <f t="shared" si="33"/>
        <v>0</v>
      </c>
      <c r="U52" s="129">
        <f t="shared" si="33"/>
        <v>0</v>
      </c>
      <c r="V52" s="129">
        <f t="shared" si="33"/>
        <v>0</v>
      </c>
      <c r="W52" s="129">
        <f t="shared" si="33"/>
        <v>0</v>
      </c>
      <c r="X52" s="129">
        <f t="shared" si="33"/>
        <v>0</v>
      </c>
      <c r="Y52" s="129">
        <f t="shared" si="33"/>
        <v>0</v>
      </c>
      <c r="Z52" s="129">
        <f t="shared" si="33"/>
        <v>0</v>
      </c>
      <c r="AA52" s="129">
        <f t="shared" si="33"/>
        <v>0</v>
      </c>
      <c r="AB52" s="129">
        <f t="shared" si="33"/>
        <v>0</v>
      </c>
      <c r="AC52" s="129">
        <f t="shared" si="33"/>
        <v>0</v>
      </c>
      <c r="AD52" s="129">
        <f t="shared" si="33"/>
        <v>0</v>
      </c>
      <c r="AE52" s="129">
        <f t="shared" si="33"/>
        <v>0</v>
      </c>
      <c r="AF52" s="129">
        <f t="shared" si="33"/>
        <v>0</v>
      </c>
      <c r="AG52" s="129">
        <f t="shared" si="33"/>
        <v>0</v>
      </c>
      <c r="AH52" s="129">
        <f t="shared" si="33"/>
        <v>0</v>
      </c>
      <c r="AI52" s="129">
        <f t="shared" si="33"/>
        <v>0</v>
      </c>
      <c r="AJ52" s="129">
        <f t="shared" si="33"/>
        <v>0</v>
      </c>
      <c r="AK52" s="129">
        <f t="shared" si="33"/>
        <v>0</v>
      </c>
      <c r="AL52" s="129">
        <f t="shared" si="33"/>
        <v>0</v>
      </c>
      <c r="AM52" s="129">
        <f t="shared" si="33"/>
        <v>0</v>
      </c>
      <c r="AN52" s="129">
        <f t="shared" si="33"/>
        <v>0</v>
      </c>
      <c r="AO52" s="129">
        <f t="shared" si="33"/>
        <v>0</v>
      </c>
      <c r="AP52" s="129">
        <f t="shared" si="33"/>
        <v>0</v>
      </c>
      <c r="AQ52" s="129">
        <f t="shared" si="3"/>
        <v>0</v>
      </c>
      <c r="AR52" s="129">
        <f t="shared" si="11"/>
        <v>0</v>
      </c>
      <c r="AS52" s="129">
        <f t="shared" si="15"/>
        <v>0</v>
      </c>
      <c r="AT52" s="129">
        <f>SUM(AT53:AT54)</f>
        <v>0</v>
      </c>
      <c r="AU52" s="131">
        <f t="shared" si="16"/>
        <v>0</v>
      </c>
      <c r="AV52" s="131">
        <f t="shared" si="5"/>
        <v>0</v>
      </c>
      <c r="AW52" s="131">
        <f t="shared" si="17"/>
        <v>0</v>
      </c>
      <c r="AX52" s="131">
        <f t="shared" si="18"/>
        <v>0</v>
      </c>
      <c r="AY52" s="131"/>
      <c r="AZ52" s="131"/>
      <c r="BA52" s="129">
        <f t="shared" si="19"/>
        <v>0</v>
      </c>
      <c r="BB52" s="141"/>
      <c r="BC52"/>
    </row>
    <row r="53" spans="1:55" ht="15" customHeight="1" x14ac:dyDescent="0.25">
      <c r="A53" s="97" t="s">
        <v>51</v>
      </c>
      <c r="B53" s="123" t="s">
        <v>143</v>
      </c>
      <c r="C53" s="115">
        <v>4</v>
      </c>
      <c r="D53" s="121">
        <f>AT53*AU53*AW53</f>
        <v>0</v>
      </c>
      <c r="E53" s="16">
        <f>ROUND(AT53*AV53*AX53,4)</f>
        <v>0</v>
      </c>
      <c r="F53" s="91">
        <f>'7'!F53+'8'!F53+'9'!F53+'10'!F53+'11'!F53+'12'!F53</f>
        <v>0</v>
      </c>
      <c r="G53" s="91">
        <f>'7'!G53+'8'!G53+'9'!G53+'10'!G53+'11'!G53+'12'!G53</f>
        <v>0</v>
      </c>
      <c r="H53" s="135">
        <f>'7'!H53+'8'!H53+'9'!H53+'10'!H53+'11'!H53+'12'!H53</f>
        <v>0</v>
      </c>
      <c r="I53" s="135">
        <f>'7'!I53+'8'!I53+'9'!I53+'10'!I53+'11'!I53+'12'!I53</f>
        <v>0</v>
      </c>
      <c r="J53" s="14" t="s">
        <v>83</v>
      </c>
      <c r="K53" s="133">
        <f>'7'!K53+'8'!K53+'9'!K53+'10'!K53+'11'!K53+'12'!K53</f>
        <v>0</v>
      </c>
      <c r="L53" s="133">
        <f>'7'!L53+'8'!L53+'9'!L53+'10'!L53+'11'!L53+'12'!L53</f>
        <v>0</v>
      </c>
      <c r="M53" s="91">
        <f>'7'!M53+'8'!M53+'9'!M53+'10'!M53+'11'!M53+'12'!M53</f>
        <v>0</v>
      </c>
      <c r="N53" s="91">
        <f>'7'!N53+'8'!N53+'9'!N53+'10'!N53+'11'!N53+'12'!N53</f>
        <v>0</v>
      </c>
      <c r="O53" s="91">
        <f>'7'!O53+'8'!O53+'9'!O53+'10'!O53+'11'!O53+'12'!O53</f>
        <v>0</v>
      </c>
      <c r="P53" s="91">
        <f>'7'!P53+'8'!P53+'9'!P53+'10'!P53+'11'!P53+'12'!P53</f>
        <v>0</v>
      </c>
      <c r="Q53" s="91">
        <f>'7'!Q53+'8'!Q53+'9'!Q53+'10'!Q53+'11'!Q53+'12'!Q53</f>
        <v>0</v>
      </c>
      <c r="R53" s="91">
        <f>'7'!R53+'8'!R53+'9'!R53+'10'!R53+'11'!R53+'12'!R53</f>
        <v>0</v>
      </c>
      <c r="S53" s="91">
        <f>'7'!S53+'8'!S53+'9'!S53+'10'!S53+'11'!S53+'12'!S53</f>
        <v>0</v>
      </c>
      <c r="T53" s="91">
        <f>'7'!T53+'8'!T53+'9'!T53+'10'!T53+'11'!T53+'12'!T53</f>
        <v>0</v>
      </c>
      <c r="U53" s="91">
        <f>'7'!U53+'8'!U53+'9'!U53+'10'!U53+'11'!U53+'12'!U53</f>
        <v>0</v>
      </c>
      <c r="V53" s="91">
        <f>'7'!V53+'8'!V53+'9'!V53+'10'!V53+'11'!V53+'12'!V53</f>
        <v>0</v>
      </c>
      <c r="W53" s="91">
        <f>'7'!W53+'8'!W53+'9'!W53+'10'!W53+'11'!W53+'12'!W53</f>
        <v>0</v>
      </c>
      <c r="X53" s="91">
        <f>'7'!X53+'8'!X53+'9'!X53+'10'!X53+'11'!X53+'12'!X53</f>
        <v>0</v>
      </c>
      <c r="Y53" s="91">
        <f>'7'!Y53+'8'!Y53+'9'!Y53+'10'!Y53+'11'!Y53+'12'!Y53</f>
        <v>0</v>
      </c>
      <c r="Z53" s="91">
        <f>'7'!Z53+'8'!Z53+'9'!Z53+'10'!Z53+'11'!Z53+'12'!Z53</f>
        <v>0</v>
      </c>
      <c r="AA53" s="91">
        <f>'7'!AA53+'8'!AA53+'9'!AA53+'10'!AA53+'11'!AA53+'12'!AA53</f>
        <v>0</v>
      </c>
      <c r="AB53" s="91">
        <f>'7'!AB53+'8'!AB53+'9'!AB53+'10'!AB53+'11'!AB53+'12'!AB53</f>
        <v>0</v>
      </c>
      <c r="AC53" s="91">
        <f>'7'!AC53+'8'!AC53+'9'!AC53+'10'!AC53+'11'!AC53+'12'!AC53</f>
        <v>0</v>
      </c>
      <c r="AD53" s="91">
        <f>'7'!AD53+'8'!AD53+'9'!AD53+'10'!AD53+'11'!AD53+'12'!AD53</f>
        <v>0</v>
      </c>
      <c r="AE53" s="91">
        <f>'7'!AE53+'8'!AE53+'9'!AE53+'10'!AE53+'11'!AE53+'12'!AE53</f>
        <v>0</v>
      </c>
      <c r="AF53" s="91">
        <f>'7'!AF53+'8'!AF53+'9'!AF53+'10'!AF53+'11'!AF53+'12'!AF53</f>
        <v>0</v>
      </c>
      <c r="AG53" s="91">
        <f>'7'!AG53+'8'!AG53+'9'!AG53+'10'!AG53+'11'!AG53+'12'!AG53</f>
        <v>0</v>
      </c>
      <c r="AH53" s="91">
        <f>'7'!AH53+'8'!AH53+'9'!AH53+'10'!AH53+'11'!AH53+'12'!AH53</f>
        <v>0</v>
      </c>
      <c r="AI53" s="91">
        <f>'7'!AI53+'8'!AI53+'9'!AI53+'10'!AI53+'11'!AI53+'12'!AI53</f>
        <v>0</v>
      </c>
      <c r="AJ53" s="91">
        <f>'7'!AJ53+'8'!AJ53+'9'!AJ53+'10'!AJ53+'11'!AJ53+'12'!AJ53</f>
        <v>0</v>
      </c>
      <c r="AK53" s="91">
        <f>'7'!AK53+'8'!AK53+'9'!AK53+'10'!AK53+'11'!AK53+'12'!AK53</f>
        <v>0</v>
      </c>
      <c r="AL53" s="91">
        <f>'7'!AL53+'8'!AL53+'9'!AL53+'10'!AL53+'11'!AL53+'12'!AL53</f>
        <v>0</v>
      </c>
      <c r="AM53" s="91">
        <f>'7'!AM53+'8'!AM53+'9'!AM53+'10'!AM53+'11'!AM53+'12'!AM53</f>
        <v>0</v>
      </c>
      <c r="AN53" s="91">
        <f>'7'!AN53+'8'!AN53+'9'!AN53+'10'!AN53+'11'!AN53+'12'!AN53</f>
        <v>0</v>
      </c>
      <c r="AO53" s="91">
        <f>'7'!AO53+'8'!AO53+'9'!AO53+'10'!AO53+'11'!AO53+'12'!AO53</f>
        <v>0</v>
      </c>
      <c r="AP53" s="91">
        <f>'7'!AP53+'8'!AP53+'9'!AP53+'10'!AP53+'11'!AP53+'12'!AP53</f>
        <v>0</v>
      </c>
      <c r="AQ53" s="16">
        <f t="shared" si="3"/>
        <v>0</v>
      </c>
      <c r="AR53" s="17">
        <f t="shared" si="11"/>
        <v>0</v>
      </c>
      <c r="AS53" s="91">
        <f t="shared" si="15"/>
        <v>0</v>
      </c>
      <c r="AT53" s="91">
        <f>'7'!AT53+'8'!AT53+'9'!AT53+'10'!AT53+'11'!AT53+'12'!AT53</f>
        <v>0</v>
      </c>
      <c r="AU53" s="92">
        <f t="shared" si="16"/>
        <v>0</v>
      </c>
      <c r="AV53" s="92">
        <f t="shared" si="5"/>
        <v>0</v>
      </c>
      <c r="AW53" s="92">
        <f t="shared" si="17"/>
        <v>0</v>
      </c>
      <c r="AX53" s="92">
        <f t="shared" si="18"/>
        <v>0</v>
      </c>
      <c r="AY53" s="92">
        <f>IF(D53=0,0,K53/D53/24)</f>
        <v>0</v>
      </c>
      <c r="AZ53" s="92">
        <f>IF(E53=0,0,L53/E53/24)</f>
        <v>0</v>
      </c>
      <c r="BA53" s="95">
        <f t="shared" si="19"/>
        <v>0</v>
      </c>
      <c r="BB53" s="138"/>
      <c r="BC53"/>
    </row>
    <row r="54" spans="1:55" ht="15" customHeight="1" thickBot="1" x14ac:dyDescent="0.3">
      <c r="A54" s="104" t="s">
        <v>50</v>
      </c>
      <c r="B54" s="123" t="s">
        <v>153</v>
      </c>
      <c r="C54" s="117">
        <v>5</v>
      </c>
      <c r="D54" s="121">
        <f>AT54*AU54*AW54</f>
        <v>0</v>
      </c>
      <c r="E54" s="16">
        <f>ROUND(AT54*AV54*AX54,4)</f>
        <v>0</v>
      </c>
      <c r="F54" s="91">
        <f>'7'!F54+'8'!F54+'9'!F54+'10'!F54+'11'!F54+'12'!F54</f>
        <v>0</v>
      </c>
      <c r="G54" s="91">
        <f>'7'!G54+'8'!G54+'9'!G54+'10'!G54+'11'!G54+'12'!G54</f>
        <v>0</v>
      </c>
      <c r="H54" s="135">
        <f>'7'!H54+'8'!H54+'9'!H54+'10'!H54+'11'!H54+'12'!H54</f>
        <v>0</v>
      </c>
      <c r="I54" s="135">
        <f>'7'!I54+'8'!I54+'9'!I54+'10'!I54+'11'!I54+'12'!I54</f>
        <v>0</v>
      </c>
      <c r="J54" s="13" t="s">
        <v>83</v>
      </c>
      <c r="K54" s="133">
        <f>'7'!K54+'8'!K54+'9'!K54+'10'!K54+'11'!K54+'12'!K54</f>
        <v>0</v>
      </c>
      <c r="L54" s="133">
        <f>'7'!L54+'8'!L54+'9'!L54+'10'!L54+'11'!L54+'12'!L54</f>
        <v>0</v>
      </c>
      <c r="M54" s="91">
        <f>'7'!M54+'8'!M54+'9'!M54+'10'!M54+'11'!M54+'12'!M54</f>
        <v>0</v>
      </c>
      <c r="N54" s="91">
        <f>'7'!N54+'8'!N54+'9'!N54+'10'!N54+'11'!N54+'12'!N54</f>
        <v>0</v>
      </c>
      <c r="O54" s="91">
        <f>'7'!O54+'8'!O54+'9'!O54+'10'!O54+'11'!O54+'12'!O54</f>
        <v>0</v>
      </c>
      <c r="P54" s="91">
        <f>'7'!P54+'8'!P54+'9'!P54+'10'!P54+'11'!P54+'12'!P54</f>
        <v>0</v>
      </c>
      <c r="Q54" s="91">
        <f>'7'!Q54+'8'!Q54+'9'!Q54+'10'!Q54+'11'!Q54+'12'!Q54</f>
        <v>0</v>
      </c>
      <c r="R54" s="91">
        <f>'7'!R54+'8'!R54+'9'!R54+'10'!R54+'11'!R54+'12'!R54</f>
        <v>0</v>
      </c>
      <c r="S54" s="91">
        <f>'7'!S54+'8'!S54+'9'!S54+'10'!S54+'11'!S54+'12'!S54</f>
        <v>0</v>
      </c>
      <c r="T54" s="91">
        <f>'7'!T54+'8'!T54+'9'!T54+'10'!T54+'11'!T54+'12'!T54</f>
        <v>0</v>
      </c>
      <c r="U54" s="91">
        <f>'7'!U54+'8'!U54+'9'!U54+'10'!U54+'11'!U54+'12'!U54</f>
        <v>0</v>
      </c>
      <c r="V54" s="91">
        <f>'7'!V54+'8'!V54+'9'!V54+'10'!V54+'11'!V54+'12'!V54</f>
        <v>0</v>
      </c>
      <c r="W54" s="91">
        <f>'7'!W54+'8'!W54+'9'!W54+'10'!W54+'11'!W54+'12'!W54</f>
        <v>0</v>
      </c>
      <c r="X54" s="91">
        <f>'7'!X54+'8'!X54+'9'!X54+'10'!X54+'11'!X54+'12'!X54</f>
        <v>0</v>
      </c>
      <c r="Y54" s="91">
        <f>'7'!Y54+'8'!Y54+'9'!Y54+'10'!Y54+'11'!Y54+'12'!Y54</f>
        <v>0</v>
      </c>
      <c r="Z54" s="91">
        <f>'7'!Z54+'8'!Z54+'9'!Z54+'10'!Z54+'11'!Z54+'12'!Z54</f>
        <v>0</v>
      </c>
      <c r="AA54" s="91">
        <f>'7'!AA54+'8'!AA54+'9'!AA54+'10'!AA54+'11'!AA54+'12'!AA54</f>
        <v>0</v>
      </c>
      <c r="AB54" s="91">
        <f>'7'!AB54+'8'!AB54+'9'!AB54+'10'!AB54+'11'!AB54+'12'!AB54</f>
        <v>0</v>
      </c>
      <c r="AC54" s="91">
        <f>'7'!AC54+'8'!AC54+'9'!AC54+'10'!AC54+'11'!AC54+'12'!AC54</f>
        <v>0</v>
      </c>
      <c r="AD54" s="91">
        <f>'7'!AD54+'8'!AD54+'9'!AD54+'10'!AD54+'11'!AD54+'12'!AD54</f>
        <v>0</v>
      </c>
      <c r="AE54" s="91">
        <f>'7'!AE54+'8'!AE54+'9'!AE54+'10'!AE54+'11'!AE54+'12'!AE54</f>
        <v>0</v>
      </c>
      <c r="AF54" s="91">
        <f>'7'!AF54+'8'!AF54+'9'!AF54+'10'!AF54+'11'!AF54+'12'!AF54</f>
        <v>0</v>
      </c>
      <c r="AG54" s="91">
        <f>'7'!AG54+'8'!AG54+'9'!AG54+'10'!AG54+'11'!AG54+'12'!AG54</f>
        <v>0</v>
      </c>
      <c r="AH54" s="91">
        <f>'7'!AH54+'8'!AH54+'9'!AH54+'10'!AH54+'11'!AH54+'12'!AH54</f>
        <v>0</v>
      </c>
      <c r="AI54" s="91">
        <f>'7'!AI54+'8'!AI54+'9'!AI54+'10'!AI54+'11'!AI54+'12'!AI54</f>
        <v>0</v>
      </c>
      <c r="AJ54" s="91">
        <f>'7'!AJ54+'8'!AJ54+'9'!AJ54+'10'!AJ54+'11'!AJ54+'12'!AJ54</f>
        <v>0</v>
      </c>
      <c r="AK54" s="91">
        <f>'7'!AK54+'8'!AK54+'9'!AK54+'10'!AK54+'11'!AK54+'12'!AK54</f>
        <v>0</v>
      </c>
      <c r="AL54" s="91">
        <f>'7'!AL54+'8'!AL54+'9'!AL54+'10'!AL54+'11'!AL54+'12'!AL54</f>
        <v>0</v>
      </c>
      <c r="AM54" s="91">
        <f>'7'!AM54+'8'!AM54+'9'!AM54+'10'!AM54+'11'!AM54+'12'!AM54</f>
        <v>0</v>
      </c>
      <c r="AN54" s="91">
        <f>'7'!AN54+'8'!AN54+'9'!AN54+'10'!AN54+'11'!AN54+'12'!AN54</f>
        <v>0</v>
      </c>
      <c r="AO54" s="91">
        <f>'7'!AO54+'8'!AO54+'9'!AO54+'10'!AO54+'11'!AO54+'12'!AO54</f>
        <v>0</v>
      </c>
      <c r="AP54" s="91">
        <f>'7'!AP54+'8'!AP54+'9'!AP54+'10'!AP54+'11'!AP54+'12'!AP54</f>
        <v>0</v>
      </c>
      <c r="AQ54" s="16">
        <f t="shared" si="3"/>
        <v>0</v>
      </c>
      <c r="AR54" s="17">
        <f t="shared" si="11"/>
        <v>0</v>
      </c>
      <c r="AS54" s="91">
        <f t="shared" si="15"/>
        <v>0</v>
      </c>
      <c r="AT54" s="91">
        <f>'7'!AT54+'8'!AT54+'9'!AT54+'10'!AT54+'11'!AT54+'12'!AT54</f>
        <v>0</v>
      </c>
      <c r="AU54" s="92">
        <f t="shared" si="16"/>
        <v>0</v>
      </c>
      <c r="AV54" s="92">
        <f t="shared" si="5"/>
        <v>0</v>
      </c>
      <c r="AW54" s="92">
        <f t="shared" si="17"/>
        <v>0</v>
      </c>
      <c r="AX54" s="92">
        <f t="shared" si="18"/>
        <v>0</v>
      </c>
      <c r="AY54" s="92">
        <f>IF(D54=0,0,K54/D54/24)</f>
        <v>0</v>
      </c>
      <c r="AZ54" s="92">
        <f>IF(E54=0,0,L54/E54/24)</f>
        <v>0</v>
      </c>
      <c r="BA54" s="95">
        <f t="shared" si="19"/>
        <v>0</v>
      </c>
      <c r="BB54" s="140"/>
      <c r="BC54"/>
    </row>
    <row r="55" spans="1:55" ht="15" customHeight="1" thickBot="1" x14ac:dyDescent="0.3">
      <c r="A55" s="87" t="s">
        <v>52</v>
      </c>
      <c r="B55" s="124"/>
      <c r="C55" s="87"/>
      <c r="D55" s="129">
        <f t="shared" ref="D55:E55" si="34">SUM(D56:D61)</f>
        <v>0</v>
      </c>
      <c r="E55" s="129">
        <f t="shared" si="34"/>
        <v>0</v>
      </c>
      <c r="F55" s="129">
        <f>SUM(F56:F61)</f>
        <v>0</v>
      </c>
      <c r="G55" s="129">
        <f t="shared" ref="G55:AP55" si="35">SUM(G56:G61)</f>
        <v>0</v>
      </c>
      <c r="H55" s="131">
        <f t="shared" si="35"/>
        <v>0</v>
      </c>
      <c r="I55" s="131">
        <f t="shared" si="35"/>
        <v>0</v>
      </c>
      <c r="J55" s="129">
        <f t="shared" si="35"/>
        <v>0</v>
      </c>
      <c r="K55" s="130">
        <f t="shared" si="35"/>
        <v>0</v>
      </c>
      <c r="L55" s="130">
        <f t="shared" si="35"/>
        <v>0</v>
      </c>
      <c r="M55" s="129">
        <f t="shared" si="35"/>
        <v>0</v>
      </c>
      <c r="N55" s="129">
        <f t="shared" si="35"/>
        <v>0</v>
      </c>
      <c r="O55" s="129">
        <f t="shared" si="35"/>
        <v>0</v>
      </c>
      <c r="P55" s="129">
        <f t="shared" si="35"/>
        <v>0</v>
      </c>
      <c r="Q55" s="129">
        <f t="shared" si="35"/>
        <v>0</v>
      </c>
      <c r="R55" s="129">
        <f t="shared" si="35"/>
        <v>0</v>
      </c>
      <c r="S55" s="129">
        <f t="shared" si="35"/>
        <v>0</v>
      </c>
      <c r="T55" s="129">
        <f t="shared" si="35"/>
        <v>0</v>
      </c>
      <c r="U55" s="129">
        <f t="shared" si="35"/>
        <v>0</v>
      </c>
      <c r="V55" s="129">
        <f t="shared" si="35"/>
        <v>0</v>
      </c>
      <c r="W55" s="129">
        <f t="shared" si="35"/>
        <v>0</v>
      </c>
      <c r="X55" s="129">
        <f t="shared" si="35"/>
        <v>0</v>
      </c>
      <c r="Y55" s="129">
        <f t="shared" si="35"/>
        <v>0</v>
      </c>
      <c r="Z55" s="129">
        <f t="shared" si="35"/>
        <v>0</v>
      </c>
      <c r="AA55" s="129">
        <f t="shared" si="35"/>
        <v>0</v>
      </c>
      <c r="AB55" s="129">
        <f t="shared" si="35"/>
        <v>0</v>
      </c>
      <c r="AC55" s="129">
        <f t="shared" si="35"/>
        <v>0</v>
      </c>
      <c r="AD55" s="129">
        <f t="shared" si="35"/>
        <v>0</v>
      </c>
      <c r="AE55" s="129">
        <f t="shared" si="35"/>
        <v>0</v>
      </c>
      <c r="AF55" s="129">
        <f t="shared" si="35"/>
        <v>0</v>
      </c>
      <c r="AG55" s="129">
        <f t="shared" si="35"/>
        <v>0</v>
      </c>
      <c r="AH55" s="129">
        <f t="shared" si="35"/>
        <v>0</v>
      </c>
      <c r="AI55" s="129">
        <f t="shared" si="35"/>
        <v>0</v>
      </c>
      <c r="AJ55" s="129">
        <f t="shared" si="35"/>
        <v>0</v>
      </c>
      <c r="AK55" s="129">
        <f t="shared" si="35"/>
        <v>0</v>
      </c>
      <c r="AL55" s="129">
        <f t="shared" si="35"/>
        <v>0</v>
      </c>
      <c r="AM55" s="129">
        <f t="shared" si="35"/>
        <v>0</v>
      </c>
      <c r="AN55" s="129">
        <f t="shared" si="35"/>
        <v>0</v>
      </c>
      <c r="AO55" s="129">
        <f t="shared" si="35"/>
        <v>0</v>
      </c>
      <c r="AP55" s="129">
        <f t="shared" si="35"/>
        <v>0</v>
      </c>
      <c r="AQ55" s="129">
        <f t="shared" si="3"/>
        <v>0</v>
      </c>
      <c r="AR55" s="129">
        <f t="shared" si="11"/>
        <v>0</v>
      </c>
      <c r="AS55" s="129">
        <f t="shared" si="15"/>
        <v>0</v>
      </c>
      <c r="AT55" s="129">
        <f>SUM(AT56:AT61)</f>
        <v>0</v>
      </c>
      <c r="AU55" s="131">
        <f t="shared" si="16"/>
        <v>0</v>
      </c>
      <c r="AV55" s="131">
        <f>IF(AT55=0,0,(AT55-N55-P55-R55-AC55-AD55-AE55-AF55-AG55-AH55-AI55-AJ55-AL55)/AT55)</f>
        <v>0</v>
      </c>
      <c r="AW55" s="131">
        <f t="shared" si="17"/>
        <v>0</v>
      </c>
      <c r="AX55" s="131">
        <f t="shared" si="18"/>
        <v>0</v>
      </c>
      <c r="AY55" s="131"/>
      <c r="AZ55" s="131"/>
      <c r="BA55" s="129">
        <f t="shared" si="19"/>
        <v>0</v>
      </c>
      <c r="BB55" s="141"/>
      <c r="BC55"/>
    </row>
    <row r="56" spans="1:55" ht="15" customHeight="1" x14ac:dyDescent="0.25">
      <c r="A56" s="97" t="s">
        <v>53</v>
      </c>
      <c r="B56" s="123" t="s">
        <v>144</v>
      </c>
      <c r="C56" s="115">
        <v>15</v>
      </c>
      <c r="D56" s="121">
        <f>AT56*AU56*AW56</f>
        <v>0</v>
      </c>
      <c r="E56" s="16">
        <f>ROUND(AT56*AV56*AX56,4)</f>
        <v>0</v>
      </c>
      <c r="F56" s="91">
        <f>'7'!F56+'8'!F56+'9'!F56+'10'!F56+'11'!F56+'12'!F56</f>
        <v>0</v>
      </c>
      <c r="G56" s="91">
        <f>'7'!G56+'8'!G56+'9'!G56+'10'!G56+'11'!G56+'12'!G56</f>
        <v>0</v>
      </c>
      <c r="H56" s="135">
        <f>'7'!H56+'8'!H56+'9'!H56+'10'!H56+'11'!H56+'12'!H56</f>
        <v>0</v>
      </c>
      <c r="I56" s="135">
        <f>'7'!I56+'8'!I56+'9'!I56+'10'!I56+'11'!I56+'12'!I56</f>
        <v>0</v>
      </c>
      <c r="J56" s="14" t="s">
        <v>55</v>
      </c>
      <c r="K56" s="133">
        <f>'7'!K56+'8'!K56+'9'!K56+'10'!K56+'11'!K56+'12'!K56</f>
        <v>0</v>
      </c>
      <c r="L56" s="133">
        <f>'7'!L56+'8'!L56+'9'!L56+'10'!L56+'11'!L56+'12'!L56</f>
        <v>0</v>
      </c>
      <c r="M56" s="91">
        <f>'7'!M56+'8'!M56+'9'!M56+'10'!M56+'11'!M56+'12'!M56</f>
        <v>0</v>
      </c>
      <c r="N56" s="91">
        <f>'7'!N56+'8'!N56+'9'!N56+'10'!N56+'11'!N56+'12'!N56</f>
        <v>0</v>
      </c>
      <c r="O56" s="91">
        <f>'7'!O56+'8'!O56+'9'!O56+'10'!O56+'11'!O56+'12'!O56</f>
        <v>0</v>
      </c>
      <c r="P56" s="91">
        <f>'7'!P56+'8'!P56+'9'!P56+'10'!P56+'11'!P56+'12'!P56</f>
        <v>0</v>
      </c>
      <c r="Q56" s="91">
        <f>'7'!Q56+'8'!Q56+'9'!Q56+'10'!Q56+'11'!Q56+'12'!Q56</f>
        <v>0</v>
      </c>
      <c r="R56" s="91">
        <f>'7'!R56+'8'!R56+'9'!R56+'10'!R56+'11'!R56+'12'!R56</f>
        <v>0</v>
      </c>
      <c r="S56" s="91">
        <f>'7'!S56+'8'!S56+'9'!S56+'10'!S56+'11'!S56+'12'!S56</f>
        <v>0</v>
      </c>
      <c r="T56" s="91">
        <f>'7'!T56+'8'!T56+'9'!T56+'10'!T56+'11'!T56+'12'!T56</f>
        <v>0</v>
      </c>
      <c r="U56" s="91">
        <f>'7'!U56+'8'!U56+'9'!U56+'10'!U56+'11'!U56+'12'!U56</f>
        <v>0</v>
      </c>
      <c r="V56" s="91">
        <f>'7'!V56+'8'!V56+'9'!V56+'10'!V56+'11'!V56+'12'!V56</f>
        <v>0</v>
      </c>
      <c r="W56" s="91">
        <f>'7'!W56+'8'!W56+'9'!W56+'10'!W56+'11'!W56+'12'!W56</f>
        <v>0</v>
      </c>
      <c r="X56" s="91">
        <f>'7'!X56+'8'!X56+'9'!X56+'10'!X56+'11'!X56+'12'!X56</f>
        <v>0</v>
      </c>
      <c r="Y56" s="91">
        <f>'7'!Y56+'8'!Y56+'9'!Y56+'10'!Y56+'11'!Y56+'12'!Y56</f>
        <v>0</v>
      </c>
      <c r="Z56" s="91">
        <f>'7'!Z56+'8'!Z56+'9'!Z56+'10'!Z56+'11'!Z56+'12'!Z56</f>
        <v>0</v>
      </c>
      <c r="AA56" s="91">
        <f>'7'!AA56+'8'!AA56+'9'!AA56+'10'!AA56+'11'!AA56+'12'!AA56</f>
        <v>0</v>
      </c>
      <c r="AB56" s="91">
        <f>'7'!AB56+'8'!AB56+'9'!AB56+'10'!AB56+'11'!AB56+'12'!AB56</f>
        <v>0</v>
      </c>
      <c r="AC56" s="91">
        <f>'7'!AC56+'8'!AC56+'9'!AC56+'10'!AC56+'11'!AC56+'12'!AC56</f>
        <v>0</v>
      </c>
      <c r="AD56" s="91">
        <f>'7'!AD56+'8'!AD56+'9'!AD56+'10'!AD56+'11'!AD56+'12'!AD56</f>
        <v>0</v>
      </c>
      <c r="AE56" s="91">
        <f>'7'!AE56+'8'!AE56+'9'!AE56+'10'!AE56+'11'!AE56+'12'!AE56</f>
        <v>0</v>
      </c>
      <c r="AF56" s="91">
        <f>'7'!AF56+'8'!AF56+'9'!AF56+'10'!AF56+'11'!AF56+'12'!AF56</f>
        <v>0</v>
      </c>
      <c r="AG56" s="91">
        <f>'7'!AG56+'8'!AG56+'9'!AG56+'10'!AG56+'11'!AG56+'12'!AG56</f>
        <v>0</v>
      </c>
      <c r="AH56" s="91">
        <f>'7'!AH56+'8'!AH56+'9'!AH56+'10'!AH56+'11'!AH56+'12'!AH56</f>
        <v>0</v>
      </c>
      <c r="AI56" s="91">
        <f>'7'!AI56+'8'!AI56+'9'!AI56+'10'!AI56+'11'!AI56+'12'!AI56</f>
        <v>0</v>
      </c>
      <c r="AJ56" s="91">
        <f>'7'!AJ56+'8'!AJ56+'9'!AJ56+'10'!AJ56+'11'!AJ56+'12'!AJ56</f>
        <v>0</v>
      </c>
      <c r="AK56" s="91">
        <f>'7'!AK56+'8'!AK56+'9'!AK56+'10'!AK56+'11'!AK56+'12'!AK56</f>
        <v>0</v>
      </c>
      <c r="AL56" s="91">
        <f>'7'!AL56+'8'!AL56+'9'!AL56+'10'!AL56+'11'!AL56+'12'!AL56</f>
        <v>0</v>
      </c>
      <c r="AM56" s="91">
        <f>'7'!AM56+'8'!AM56+'9'!AM56+'10'!AM56+'11'!AM56+'12'!AM56</f>
        <v>0</v>
      </c>
      <c r="AN56" s="91">
        <f>'7'!AN56+'8'!AN56+'9'!AN56+'10'!AN56+'11'!AN56+'12'!AN56</f>
        <v>0</v>
      </c>
      <c r="AO56" s="91">
        <f>'7'!AO56+'8'!AO56+'9'!AO56+'10'!AO56+'11'!AO56+'12'!AO56</f>
        <v>0</v>
      </c>
      <c r="AP56" s="91">
        <f>'7'!AP56+'8'!AP56+'9'!AP56+'10'!AP56+'11'!AP56+'12'!AP56</f>
        <v>0</v>
      </c>
      <c r="AQ56" s="16">
        <f t="shared" si="3"/>
        <v>0</v>
      </c>
      <c r="AR56" s="17">
        <f t="shared" si="11"/>
        <v>0</v>
      </c>
      <c r="AS56" s="91">
        <f t="shared" si="15"/>
        <v>0</v>
      </c>
      <c r="AT56" s="91">
        <f>'7'!AT56+'8'!AT56+'9'!AT56+'10'!AT56+'11'!AT56+'12'!AT56</f>
        <v>0</v>
      </c>
      <c r="AU56" s="92">
        <f t="shared" si="16"/>
        <v>0</v>
      </c>
      <c r="AV56" s="92">
        <f t="shared" si="5"/>
        <v>0</v>
      </c>
      <c r="AW56" s="92">
        <f t="shared" si="17"/>
        <v>0</v>
      </c>
      <c r="AX56" s="92">
        <f t="shared" si="18"/>
        <v>0</v>
      </c>
      <c r="AY56" s="92">
        <f t="shared" ref="AY56:AZ59" si="36">IF(D56=0,0,K56/D56/24)</f>
        <v>0</v>
      </c>
      <c r="AZ56" s="92">
        <f t="shared" si="36"/>
        <v>0</v>
      </c>
      <c r="BA56" s="95">
        <f t="shared" si="19"/>
        <v>0</v>
      </c>
      <c r="BB56" s="138"/>
      <c r="BC56"/>
    </row>
    <row r="57" spans="1:55" ht="15" customHeight="1" x14ac:dyDescent="0.25">
      <c r="A57" s="71" t="s">
        <v>54</v>
      </c>
      <c r="B57" s="123" t="s">
        <v>145</v>
      </c>
      <c r="C57" s="112">
        <v>16</v>
      </c>
      <c r="D57" s="121">
        <f>AT57*AU57*AW57</f>
        <v>0</v>
      </c>
      <c r="E57" s="16">
        <f>ROUND(AT57*AV57*AX57,4)</f>
        <v>0</v>
      </c>
      <c r="F57" s="91">
        <f>'7'!F57+'8'!F57+'9'!F57+'10'!F57+'11'!F57+'12'!F57</f>
        <v>0</v>
      </c>
      <c r="G57" s="91">
        <f>'7'!G57+'8'!G57+'9'!G57+'10'!G57+'11'!G57+'12'!G57</f>
        <v>0</v>
      </c>
      <c r="H57" s="135">
        <f>'7'!H57+'8'!H57+'9'!H57+'10'!H57+'11'!H57+'12'!H57</f>
        <v>0</v>
      </c>
      <c r="I57" s="135">
        <f>'7'!I57+'8'!I57+'9'!I57+'10'!I57+'11'!I57+'12'!I57</f>
        <v>0</v>
      </c>
      <c r="J57" s="7" t="s">
        <v>55</v>
      </c>
      <c r="K57" s="133">
        <f>'7'!K57+'8'!K57+'9'!K57+'10'!K57+'11'!K57+'12'!K57</f>
        <v>0</v>
      </c>
      <c r="L57" s="133">
        <f>'7'!L57+'8'!L57+'9'!L57+'10'!L57+'11'!L57+'12'!L57</f>
        <v>0</v>
      </c>
      <c r="M57" s="91">
        <f>'7'!M57+'8'!M57+'9'!M57+'10'!M57+'11'!M57+'12'!M57</f>
        <v>0</v>
      </c>
      <c r="N57" s="91">
        <f>'7'!N57+'8'!N57+'9'!N57+'10'!N57+'11'!N57+'12'!N57</f>
        <v>0</v>
      </c>
      <c r="O57" s="91">
        <f>'7'!O57+'8'!O57+'9'!O57+'10'!O57+'11'!O57+'12'!O57</f>
        <v>0</v>
      </c>
      <c r="P57" s="91">
        <f>'7'!P57+'8'!P57+'9'!P57+'10'!P57+'11'!P57+'12'!P57</f>
        <v>0</v>
      </c>
      <c r="Q57" s="91">
        <f>'7'!Q57+'8'!Q57+'9'!Q57+'10'!Q57+'11'!Q57+'12'!Q57</f>
        <v>0</v>
      </c>
      <c r="R57" s="91">
        <f>'7'!R57+'8'!R57+'9'!R57+'10'!R57+'11'!R57+'12'!R57</f>
        <v>0</v>
      </c>
      <c r="S57" s="91">
        <f>'7'!S57+'8'!S57+'9'!S57+'10'!S57+'11'!S57+'12'!S57</f>
        <v>0</v>
      </c>
      <c r="T57" s="91">
        <f>'7'!T57+'8'!T57+'9'!T57+'10'!T57+'11'!T57+'12'!T57</f>
        <v>0</v>
      </c>
      <c r="U57" s="91">
        <f>'7'!U57+'8'!U57+'9'!U57+'10'!U57+'11'!U57+'12'!U57</f>
        <v>0</v>
      </c>
      <c r="V57" s="91">
        <f>'7'!V57+'8'!V57+'9'!V57+'10'!V57+'11'!V57+'12'!V57</f>
        <v>0</v>
      </c>
      <c r="W57" s="91">
        <f>'7'!W57+'8'!W57+'9'!W57+'10'!W57+'11'!W57+'12'!W57</f>
        <v>0</v>
      </c>
      <c r="X57" s="91">
        <f>'7'!X57+'8'!X57+'9'!X57+'10'!X57+'11'!X57+'12'!X57</f>
        <v>0</v>
      </c>
      <c r="Y57" s="91">
        <f>'7'!Y57+'8'!Y57+'9'!Y57+'10'!Y57+'11'!Y57+'12'!Y57</f>
        <v>0</v>
      </c>
      <c r="Z57" s="91">
        <f>'7'!Z57+'8'!Z57+'9'!Z57+'10'!Z57+'11'!Z57+'12'!Z57</f>
        <v>0</v>
      </c>
      <c r="AA57" s="91">
        <f>'7'!AA57+'8'!AA57+'9'!AA57+'10'!AA57+'11'!AA57+'12'!AA57</f>
        <v>0</v>
      </c>
      <c r="AB57" s="91">
        <f>'7'!AB57+'8'!AB57+'9'!AB57+'10'!AB57+'11'!AB57+'12'!AB57</f>
        <v>0</v>
      </c>
      <c r="AC57" s="91">
        <f>'7'!AC57+'8'!AC57+'9'!AC57+'10'!AC57+'11'!AC57+'12'!AC57</f>
        <v>0</v>
      </c>
      <c r="AD57" s="91">
        <f>'7'!AD57+'8'!AD57+'9'!AD57+'10'!AD57+'11'!AD57+'12'!AD57</f>
        <v>0</v>
      </c>
      <c r="AE57" s="91">
        <f>'7'!AE57+'8'!AE57+'9'!AE57+'10'!AE57+'11'!AE57+'12'!AE57</f>
        <v>0</v>
      </c>
      <c r="AF57" s="91">
        <f>'7'!AF57+'8'!AF57+'9'!AF57+'10'!AF57+'11'!AF57+'12'!AF57</f>
        <v>0</v>
      </c>
      <c r="AG57" s="91">
        <f>'7'!AG57+'8'!AG57+'9'!AG57+'10'!AG57+'11'!AG57+'12'!AG57</f>
        <v>0</v>
      </c>
      <c r="AH57" s="91">
        <f>'7'!AH57+'8'!AH57+'9'!AH57+'10'!AH57+'11'!AH57+'12'!AH57</f>
        <v>0</v>
      </c>
      <c r="AI57" s="91">
        <f>'7'!AI57+'8'!AI57+'9'!AI57+'10'!AI57+'11'!AI57+'12'!AI57</f>
        <v>0</v>
      </c>
      <c r="AJ57" s="91">
        <f>'7'!AJ57+'8'!AJ57+'9'!AJ57+'10'!AJ57+'11'!AJ57+'12'!AJ57</f>
        <v>0</v>
      </c>
      <c r="AK57" s="91">
        <f>'7'!AK57+'8'!AK57+'9'!AK57+'10'!AK57+'11'!AK57+'12'!AK57</f>
        <v>0</v>
      </c>
      <c r="AL57" s="91">
        <f>'7'!AL57+'8'!AL57+'9'!AL57+'10'!AL57+'11'!AL57+'12'!AL57</f>
        <v>0</v>
      </c>
      <c r="AM57" s="91">
        <f>'7'!AM57+'8'!AM57+'9'!AM57+'10'!AM57+'11'!AM57+'12'!AM57</f>
        <v>0</v>
      </c>
      <c r="AN57" s="91">
        <f>'7'!AN57+'8'!AN57+'9'!AN57+'10'!AN57+'11'!AN57+'12'!AN57</f>
        <v>0</v>
      </c>
      <c r="AO57" s="91">
        <f>'7'!AO57+'8'!AO57+'9'!AO57+'10'!AO57+'11'!AO57+'12'!AO57</f>
        <v>0</v>
      </c>
      <c r="AP57" s="91">
        <f>'7'!AP57+'8'!AP57+'9'!AP57+'10'!AP57+'11'!AP57+'12'!AP57</f>
        <v>0</v>
      </c>
      <c r="AQ57" s="16">
        <f t="shared" si="3"/>
        <v>0</v>
      </c>
      <c r="AR57" s="17">
        <f t="shared" si="11"/>
        <v>0</v>
      </c>
      <c r="AS57" s="91">
        <f t="shared" si="15"/>
        <v>0</v>
      </c>
      <c r="AT57" s="91">
        <f>'7'!AT57+'8'!AT57+'9'!AT57+'10'!AT57+'11'!AT57+'12'!AT57</f>
        <v>0</v>
      </c>
      <c r="AU57" s="92">
        <f t="shared" si="16"/>
        <v>0</v>
      </c>
      <c r="AV57" s="92">
        <f t="shared" si="5"/>
        <v>0</v>
      </c>
      <c r="AW57" s="92">
        <f t="shared" si="17"/>
        <v>0</v>
      </c>
      <c r="AX57" s="92">
        <f t="shared" si="18"/>
        <v>0</v>
      </c>
      <c r="AY57" s="92">
        <f t="shared" si="36"/>
        <v>0</v>
      </c>
      <c r="AZ57" s="92">
        <f t="shared" si="36"/>
        <v>0</v>
      </c>
      <c r="BA57" s="95">
        <f t="shared" si="19"/>
        <v>0</v>
      </c>
      <c r="BB57" s="139"/>
      <c r="BC57"/>
    </row>
    <row r="58" spans="1:55" ht="15" customHeight="1" x14ac:dyDescent="0.25">
      <c r="A58" s="73" t="s">
        <v>124</v>
      </c>
      <c r="B58" s="123" t="s">
        <v>146</v>
      </c>
      <c r="C58" s="113">
        <v>26</v>
      </c>
      <c r="D58" s="121">
        <f>AT58*AU58*AW58</f>
        <v>0</v>
      </c>
      <c r="E58" s="16">
        <f>ROUND(AT58*AV58*AX58,4)</f>
        <v>0</v>
      </c>
      <c r="F58" s="91">
        <f>'7'!F58+'8'!F58+'9'!F58+'10'!F58+'11'!F58+'12'!F58</f>
        <v>0</v>
      </c>
      <c r="G58" s="91">
        <f>'7'!G58+'8'!G58+'9'!G58+'10'!G58+'11'!G58+'12'!G58</f>
        <v>0</v>
      </c>
      <c r="H58" s="135">
        <f>'7'!H58+'8'!H58+'9'!H58+'10'!H58+'11'!H58+'12'!H58</f>
        <v>0</v>
      </c>
      <c r="I58" s="135">
        <f>'7'!I58+'8'!I58+'9'!I58+'10'!I58+'11'!I58+'12'!I58</f>
        <v>0</v>
      </c>
      <c r="J58" s="7" t="s">
        <v>55</v>
      </c>
      <c r="K58" s="133">
        <f>'7'!K58+'8'!K58+'9'!K58+'10'!K58+'11'!K58+'12'!K58</f>
        <v>0</v>
      </c>
      <c r="L58" s="133">
        <f>'7'!L58+'8'!L58+'9'!L58+'10'!L58+'11'!L58+'12'!L58</f>
        <v>0</v>
      </c>
      <c r="M58" s="91">
        <f>'7'!M58+'8'!M58+'9'!M58+'10'!M58+'11'!M58+'12'!M58</f>
        <v>0</v>
      </c>
      <c r="N58" s="91">
        <f>'7'!N58+'8'!N58+'9'!N58+'10'!N58+'11'!N58+'12'!N58</f>
        <v>0</v>
      </c>
      <c r="O58" s="91">
        <f>'7'!O58+'8'!O58+'9'!O58+'10'!O58+'11'!O58+'12'!O58</f>
        <v>0</v>
      </c>
      <c r="P58" s="91">
        <f>'7'!P58+'8'!P58+'9'!P58+'10'!P58+'11'!P58+'12'!P58</f>
        <v>0</v>
      </c>
      <c r="Q58" s="91">
        <f>'7'!Q58+'8'!Q58+'9'!Q58+'10'!Q58+'11'!Q58+'12'!Q58</f>
        <v>0</v>
      </c>
      <c r="R58" s="91">
        <f>'7'!R58+'8'!R58+'9'!R58+'10'!R58+'11'!R58+'12'!R58</f>
        <v>0</v>
      </c>
      <c r="S58" s="91">
        <f>'7'!S58+'8'!S58+'9'!S58+'10'!S58+'11'!S58+'12'!S58</f>
        <v>0</v>
      </c>
      <c r="T58" s="91">
        <f>'7'!T58+'8'!T58+'9'!T58+'10'!T58+'11'!T58+'12'!T58</f>
        <v>0</v>
      </c>
      <c r="U58" s="91">
        <f>'7'!U58+'8'!U58+'9'!U58+'10'!U58+'11'!U58+'12'!U58</f>
        <v>0</v>
      </c>
      <c r="V58" s="91">
        <f>'7'!V58+'8'!V58+'9'!V58+'10'!V58+'11'!V58+'12'!V58</f>
        <v>0</v>
      </c>
      <c r="W58" s="91">
        <f>'7'!W58+'8'!W58+'9'!W58+'10'!W58+'11'!W58+'12'!W58</f>
        <v>0</v>
      </c>
      <c r="X58" s="91">
        <f>'7'!X58+'8'!X58+'9'!X58+'10'!X58+'11'!X58+'12'!X58</f>
        <v>0</v>
      </c>
      <c r="Y58" s="91">
        <f>'7'!Y58+'8'!Y58+'9'!Y58+'10'!Y58+'11'!Y58+'12'!Y58</f>
        <v>0</v>
      </c>
      <c r="Z58" s="91">
        <f>'7'!Z58+'8'!Z58+'9'!Z58+'10'!Z58+'11'!Z58+'12'!Z58</f>
        <v>0</v>
      </c>
      <c r="AA58" s="91">
        <f>'7'!AA58+'8'!AA58+'9'!AA58+'10'!AA58+'11'!AA58+'12'!AA58</f>
        <v>0</v>
      </c>
      <c r="AB58" s="91">
        <f>'7'!AB58+'8'!AB58+'9'!AB58+'10'!AB58+'11'!AB58+'12'!AB58</f>
        <v>0</v>
      </c>
      <c r="AC58" s="91">
        <f>'7'!AC58+'8'!AC58+'9'!AC58+'10'!AC58+'11'!AC58+'12'!AC58</f>
        <v>0</v>
      </c>
      <c r="AD58" s="91">
        <f>'7'!AD58+'8'!AD58+'9'!AD58+'10'!AD58+'11'!AD58+'12'!AD58</f>
        <v>0</v>
      </c>
      <c r="AE58" s="91">
        <f>'7'!AE58+'8'!AE58+'9'!AE58+'10'!AE58+'11'!AE58+'12'!AE58</f>
        <v>0</v>
      </c>
      <c r="AF58" s="91">
        <f>'7'!AF58+'8'!AF58+'9'!AF58+'10'!AF58+'11'!AF58+'12'!AF58</f>
        <v>0</v>
      </c>
      <c r="AG58" s="91">
        <f>'7'!AG58+'8'!AG58+'9'!AG58+'10'!AG58+'11'!AG58+'12'!AG58</f>
        <v>0</v>
      </c>
      <c r="AH58" s="91">
        <f>'7'!AH58+'8'!AH58+'9'!AH58+'10'!AH58+'11'!AH58+'12'!AH58</f>
        <v>0</v>
      </c>
      <c r="AI58" s="91">
        <f>'7'!AI58+'8'!AI58+'9'!AI58+'10'!AI58+'11'!AI58+'12'!AI58</f>
        <v>0</v>
      </c>
      <c r="AJ58" s="91">
        <f>'7'!AJ58+'8'!AJ58+'9'!AJ58+'10'!AJ58+'11'!AJ58+'12'!AJ58</f>
        <v>0</v>
      </c>
      <c r="AK58" s="91">
        <f>'7'!AK58+'8'!AK58+'9'!AK58+'10'!AK58+'11'!AK58+'12'!AK58</f>
        <v>0</v>
      </c>
      <c r="AL58" s="91">
        <f>'7'!AL58+'8'!AL58+'9'!AL58+'10'!AL58+'11'!AL58+'12'!AL58</f>
        <v>0</v>
      </c>
      <c r="AM58" s="91">
        <f>'7'!AM58+'8'!AM58+'9'!AM58+'10'!AM58+'11'!AM58+'12'!AM58</f>
        <v>0</v>
      </c>
      <c r="AN58" s="91">
        <f>'7'!AN58+'8'!AN58+'9'!AN58+'10'!AN58+'11'!AN58+'12'!AN58</f>
        <v>0</v>
      </c>
      <c r="AO58" s="91">
        <f>'7'!AO58+'8'!AO58+'9'!AO58+'10'!AO58+'11'!AO58+'12'!AO58</f>
        <v>0</v>
      </c>
      <c r="AP58" s="91">
        <f>'7'!AP58+'8'!AP58+'9'!AP58+'10'!AP58+'11'!AP58+'12'!AP58</f>
        <v>0</v>
      </c>
      <c r="AQ58" s="16">
        <f t="shared" si="3"/>
        <v>0</v>
      </c>
      <c r="AR58" s="17">
        <f t="shared" si="11"/>
        <v>0</v>
      </c>
      <c r="AS58" s="91">
        <f t="shared" si="15"/>
        <v>0</v>
      </c>
      <c r="AT58" s="91">
        <f>'7'!AT58+'8'!AT58+'9'!AT58+'10'!AT58+'11'!AT58+'12'!AT58</f>
        <v>0</v>
      </c>
      <c r="AU58" s="92">
        <f t="shared" si="16"/>
        <v>0</v>
      </c>
      <c r="AV58" s="92">
        <f t="shared" si="5"/>
        <v>0</v>
      </c>
      <c r="AW58" s="92">
        <f t="shared" si="17"/>
        <v>0</v>
      </c>
      <c r="AX58" s="92">
        <f t="shared" si="18"/>
        <v>0</v>
      </c>
      <c r="AY58" s="92">
        <f t="shared" si="36"/>
        <v>0</v>
      </c>
      <c r="AZ58" s="92">
        <f t="shared" si="36"/>
        <v>0</v>
      </c>
      <c r="BA58" s="95">
        <f t="shared" si="19"/>
        <v>0</v>
      </c>
      <c r="BB58" s="139"/>
      <c r="BC58"/>
    </row>
    <row r="59" spans="1:55" ht="15" customHeight="1" x14ac:dyDescent="0.25">
      <c r="A59" s="73" t="s">
        <v>125</v>
      </c>
      <c r="B59" s="123" t="s">
        <v>147</v>
      </c>
      <c r="C59" s="112">
        <v>30</v>
      </c>
      <c r="D59" s="121">
        <f>AT59*AU59*AW59</f>
        <v>0</v>
      </c>
      <c r="E59" s="16">
        <f>ROUND(AT59*AV59*AX59,4)</f>
        <v>0</v>
      </c>
      <c r="F59" s="91">
        <f>'7'!F59+'8'!F59+'9'!F59+'10'!F59+'11'!F59+'12'!F59</f>
        <v>0</v>
      </c>
      <c r="G59" s="91">
        <f>'7'!G59+'8'!G59+'9'!G59+'10'!G59+'11'!G59+'12'!G59</f>
        <v>0</v>
      </c>
      <c r="H59" s="135">
        <f>'7'!H59+'8'!H59+'9'!H59+'10'!H59+'11'!H59+'12'!H59</f>
        <v>0</v>
      </c>
      <c r="I59" s="135">
        <f>'7'!I59+'8'!I59+'9'!I59+'10'!I59+'11'!I59+'12'!I59</f>
        <v>0</v>
      </c>
      <c r="J59" s="7" t="s">
        <v>55</v>
      </c>
      <c r="K59" s="133">
        <f>'7'!K59+'8'!K59+'9'!K59+'10'!K59+'11'!K59+'12'!K59</f>
        <v>0</v>
      </c>
      <c r="L59" s="133">
        <f>'7'!L59+'8'!L59+'9'!L59+'10'!L59+'11'!L59+'12'!L59</f>
        <v>0</v>
      </c>
      <c r="M59" s="91">
        <f>'7'!M59+'8'!M59+'9'!M59+'10'!M59+'11'!M59+'12'!M59</f>
        <v>0</v>
      </c>
      <c r="N59" s="91">
        <f>'7'!N59+'8'!N59+'9'!N59+'10'!N59+'11'!N59+'12'!N59</f>
        <v>0</v>
      </c>
      <c r="O59" s="91">
        <f>'7'!O59+'8'!O59+'9'!O59+'10'!O59+'11'!O59+'12'!O59</f>
        <v>0</v>
      </c>
      <c r="P59" s="91">
        <f>'7'!P59+'8'!P59+'9'!P59+'10'!P59+'11'!P59+'12'!P59</f>
        <v>0</v>
      </c>
      <c r="Q59" s="91">
        <f>'7'!Q59+'8'!Q59+'9'!Q59+'10'!Q59+'11'!Q59+'12'!Q59</f>
        <v>0</v>
      </c>
      <c r="R59" s="91">
        <f>'7'!R59+'8'!R59+'9'!R59+'10'!R59+'11'!R59+'12'!R59</f>
        <v>0</v>
      </c>
      <c r="S59" s="91">
        <f>'7'!S59+'8'!S59+'9'!S59+'10'!S59+'11'!S59+'12'!S59</f>
        <v>0</v>
      </c>
      <c r="T59" s="91">
        <f>'7'!T59+'8'!T59+'9'!T59+'10'!T59+'11'!T59+'12'!T59</f>
        <v>0</v>
      </c>
      <c r="U59" s="91">
        <f>'7'!U59+'8'!U59+'9'!U59+'10'!U59+'11'!U59+'12'!U59</f>
        <v>0</v>
      </c>
      <c r="V59" s="91">
        <f>'7'!V59+'8'!V59+'9'!V59+'10'!V59+'11'!V59+'12'!V59</f>
        <v>0</v>
      </c>
      <c r="W59" s="91">
        <f>'7'!W59+'8'!W59+'9'!W59+'10'!W59+'11'!W59+'12'!W59</f>
        <v>0</v>
      </c>
      <c r="X59" s="91">
        <f>'7'!X59+'8'!X59+'9'!X59+'10'!X59+'11'!X59+'12'!X59</f>
        <v>0</v>
      </c>
      <c r="Y59" s="91">
        <f>'7'!Y59+'8'!Y59+'9'!Y59+'10'!Y59+'11'!Y59+'12'!Y59</f>
        <v>0</v>
      </c>
      <c r="Z59" s="91">
        <f>'7'!Z59+'8'!Z59+'9'!Z59+'10'!Z59+'11'!Z59+'12'!Z59</f>
        <v>0</v>
      </c>
      <c r="AA59" s="91">
        <f>'7'!AA59+'8'!AA59+'9'!AA59+'10'!AA59+'11'!AA59+'12'!AA59</f>
        <v>0</v>
      </c>
      <c r="AB59" s="91">
        <f>'7'!AB59+'8'!AB59+'9'!AB59+'10'!AB59+'11'!AB59+'12'!AB59</f>
        <v>0</v>
      </c>
      <c r="AC59" s="91">
        <f>'7'!AC59+'8'!AC59+'9'!AC59+'10'!AC59+'11'!AC59+'12'!AC59</f>
        <v>0</v>
      </c>
      <c r="AD59" s="91">
        <f>'7'!AD59+'8'!AD59+'9'!AD59+'10'!AD59+'11'!AD59+'12'!AD59</f>
        <v>0</v>
      </c>
      <c r="AE59" s="91">
        <f>'7'!AE59+'8'!AE59+'9'!AE59+'10'!AE59+'11'!AE59+'12'!AE59</f>
        <v>0</v>
      </c>
      <c r="AF59" s="91">
        <f>'7'!AF59+'8'!AF59+'9'!AF59+'10'!AF59+'11'!AF59+'12'!AF59</f>
        <v>0</v>
      </c>
      <c r="AG59" s="91">
        <f>'7'!AG59+'8'!AG59+'9'!AG59+'10'!AG59+'11'!AG59+'12'!AG59</f>
        <v>0</v>
      </c>
      <c r="AH59" s="91">
        <f>'7'!AH59+'8'!AH59+'9'!AH59+'10'!AH59+'11'!AH59+'12'!AH59</f>
        <v>0</v>
      </c>
      <c r="AI59" s="91">
        <f>'7'!AI59+'8'!AI59+'9'!AI59+'10'!AI59+'11'!AI59+'12'!AI59</f>
        <v>0</v>
      </c>
      <c r="AJ59" s="91">
        <f>'7'!AJ59+'8'!AJ59+'9'!AJ59+'10'!AJ59+'11'!AJ59+'12'!AJ59</f>
        <v>0</v>
      </c>
      <c r="AK59" s="91">
        <f>'7'!AK59+'8'!AK59+'9'!AK59+'10'!AK59+'11'!AK59+'12'!AK59</f>
        <v>0</v>
      </c>
      <c r="AL59" s="91">
        <f>'7'!AL59+'8'!AL59+'9'!AL59+'10'!AL59+'11'!AL59+'12'!AL59</f>
        <v>0</v>
      </c>
      <c r="AM59" s="91">
        <f>'7'!AM59+'8'!AM59+'9'!AM59+'10'!AM59+'11'!AM59+'12'!AM59</f>
        <v>0</v>
      </c>
      <c r="AN59" s="91">
        <f>'7'!AN59+'8'!AN59+'9'!AN59+'10'!AN59+'11'!AN59+'12'!AN59</f>
        <v>0</v>
      </c>
      <c r="AO59" s="91">
        <f>'7'!AO59+'8'!AO59+'9'!AO59+'10'!AO59+'11'!AO59+'12'!AO59</f>
        <v>0</v>
      </c>
      <c r="AP59" s="91">
        <f>'7'!AP59+'8'!AP59+'9'!AP59+'10'!AP59+'11'!AP59+'12'!AP59</f>
        <v>0</v>
      </c>
      <c r="AQ59" s="16">
        <f t="shared" si="3"/>
        <v>0</v>
      </c>
      <c r="AR59" s="17">
        <f t="shared" si="11"/>
        <v>0</v>
      </c>
      <c r="AS59" s="91">
        <f t="shared" si="15"/>
        <v>0</v>
      </c>
      <c r="AT59" s="91">
        <f>'7'!AT59+'8'!AT59+'9'!AT59+'10'!AT59+'11'!AT59+'12'!AT59</f>
        <v>0</v>
      </c>
      <c r="AU59" s="92">
        <f t="shared" si="16"/>
        <v>0</v>
      </c>
      <c r="AV59" s="92">
        <f t="shared" si="5"/>
        <v>0</v>
      </c>
      <c r="AW59" s="92">
        <f t="shared" si="17"/>
        <v>0</v>
      </c>
      <c r="AX59" s="92">
        <f t="shared" si="18"/>
        <v>0</v>
      </c>
      <c r="AY59" s="92">
        <f t="shared" si="36"/>
        <v>0</v>
      </c>
      <c r="AZ59" s="92">
        <f t="shared" si="36"/>
        <v>0</v>
      </c>
      <c r="BA59" s="95">
        <f t="shared" si="19"/>
        <v>0</v>
      </c>
      <c r="BB59" s="139"/>
      <c r="BC59"/>
    </row>
    <row r="60" spans="1:55" ht="15" customHeight="1" x14ac:dyDescent="0.25">
      <c r="A60" s="73" t="s">
        <v>151</v>
      </c>
      <c r="B60" s="148" t="s">
        <v>150</v>
      </c>
      <c r="C60" s="112">
        <v>32</v>
      </c>
      <c r="D60" s="121">
        <f t="shared" ref="D60:D61" si="37">AT60*AU60*AW60</f>
        <v>0</v>
      </c>
      <c r="E60" s="16">
        <f t="shared" ref="E60:E61" si="38">ROUND(AT60*AV60*AX60,4)</f>
        <v>0</v>
      </c>
      <c r="F60" s="91">
        <f>'7'!F60+'8'!F60+'9'!F60+'10'!F60+'11'!F60+'12'!F60</f>
        <v>0</v>
      </c>
      <c r="G60" s="91">
        <f>'7'!G60+'8'!G60+'9'!G60+'10'!G60+'11'!G60+'12'!G60</f>
        <v>0</v>
      </c>
      <c r="H60" s="135">
        <f>'7'!H60+'8'!H60+'9'!H60+'10'!H60+'11'!H60+'12'!H60</f>
        <v>0</v>
      </c>
      <c r="I60" s="135">
        <f>'7'!I60+'8'!I60+'9'!I60+'10'!I60+'11'!I60+'12'!I60</f>
        <v>0</v>
      </c>
      <c r="J60" s="7" t="s">
        <v>55</v>
      </c>
      <c r="K60" s="133">
        <f>'7'!K60+'8'!K60+'9'!K60+'10'!K60+'11'!K60+'12'!K60</f>
        <v>0</v>
      </c>
      <c r="L60" s="133">
        <f>'7'!L60+'8'!L60+'9'!L60+'10'!L60+'11'!L60+'12'!L60</f>
        <v>0</v>
      </c>
      <c r="M60" s="91">
        <f>'7'!M60+'8'!M60+'9'!M60+'10'!M60+'11'!M60+'12'!M60</f>
        <v>0</v>
      </c>
      <c r="N60" s="91">
        <f>'7'!N60+'8'!N60+'9'!N60+'10'!N60+'11'!N60+'12'!N60</f>
        <v>0</v>
      </c>
      <c r="O60" s="91">
        <f>'7'!O60+'8'!O60+'9'!O60+'10'!O60+'11'!O60+'12'!O60</f>
        <v>0</v>
      </c>
      <c r="P60" s="91">
        <f>'7'!P60+'8'!P60+'9'!P60+'10'!P60+'11'!P60+'12'!P60</f>
        <v>0</v>
      </c>
      <c r="Q60" s="91">
        <f>'7'!Q60+'8'!Q60+'9'!Q60+'10'!Q60+'11'!Q60+'12'!Q60</f>
        <v>0</v>
      </c>
      <c r="R60" s="91">
        <f>'7'!R60+'8'!R60+'9'!R60+'10'!R60+'11'!R60+'12'!R60</f>
        <v>0</v>
      </c>
      <c r="S60" s="91">
        <f>'7'!S60+'8'!S60+'9'!S60+'10'!S60+'11'!S60+'12'!S60</f>
        <v>0</v>
      </c>
      <c r="T60" s="91">
        <f>'7'!T60+'8'!T60+'9'!T60+'10'!T60+'11'!T60+'12'!T60</f>
        <v>0</v>
      </c>
      <c r="U60" s="91">
        <f>'7'!U60+'8'!U60+'9'!U60+'10'!U60+'11'!U60+'12'!U60</f>
        <v>0</v>
      </c>
      <c r="V60" s="91">
        <f>'7'!V60+'8'!V60+'9'!V60+'10'!V60+'11'!V60+'12'!V60</f>
        <v>0</v>
      </c>
      <c r="W60" s="91">
        <f>'7'!W60+'8'!W60+'9'!W60+'10'!W60+'11'!W60+'12'!W60</f>
        <v>0</v>
      </c>
      <c r="X60" s="91">
        <f>'7'!X60+'8'!X60+'9'!X60+'10'!X60+'11'!X60+'12'!X60</f>
        <v>0</v>
      </c>
      <c r="Y60" s="91">
        <f>'7'!Y60+'8'!Y60+'9'!Y60+'10'!Y60+'11'!Y60+'12'!Y60</f>
        <v>0</v>
      </c>
      <c r="Z60" s="91">
        <f>'7'!Z60+'8'!Z60+'9'!Z60+'10'!Z60+'11'!Z60+'12'!Z60</f>
        <v>0</v>
      </c>
      <c r="AA60" s="91">
        <f>'7'!AA60+'8'!AA60+'9'!AA60+'10'!AA60+'11'!AA60+'12'!AA60</f>
        <v>0</v>
      </c>
      <c r="AB60" s="91">
        <f>'7'!AB60+'8'!AB60+'9'!AB60+'10'!AB60+'11'!AB60+'12'!AB60</f>
        <v>0</v>
      </c>
      <c r="AC60" s="91">
        <f>'7'!AC60+'8'!AC60+'9'!AC60+'10'!AC60+'11'!AC60+'12'!AC60</f>
        <v>0</v>
      </c>
      <c r="AD60" s="91">
        <f>'7'!AD60+'8'!AD60+'9'!AD60+'10'!AD60+'11'!AD60+'12'!AD60</f>
        <v>0</v>
      </c>
      <c r="AE60" s="91">
        <f>'7'!AE60+'8'!AE60+'9'!AE60+'10'!AE60+'11'!AE60+'12'!AE60</f>
        <v>0</v>
      </c>
      <c r="AF60" s="91">
        <f>'7'!AF60+'8'!AF60+'9'!AF60+'10'!AF60+'11'!AF60+'12'!AF60</f>
        <v>0</v>
      </c>
      <c r="AG60" s="91">
        <f>'7'!AG60+'8'!AG60+'9'!AG60+'10'!AG60+'11'!AG60+'12'!AG60</f>
        <v>0</v>
      </c>
      <c r="AH60" s="91">
        <f>'7'!AH60+'8'!AH60+'9'!AH60+'10'!AH60+'11'!AH60+'12'!AH60</f>
        <v>0</v>
      </c>
      <c r="AI60" s="91">
        <f>'7'!AI60+'8'!AI60+'9'!AI60+'10'!AI60+'11'!AI60+'12'!AI60</f>
        <v>0</v>
      </c>
      <c r="AJ60" s="91">
        <f>'7'!AJ60+'8'!AJ60+'9'!AJ60+'10'!AJ60+'11'!AJ60+'12'!AJ60</f>
        <v>0</v>
      </c>
      <c r="AK60" s="91">
        <f>'7'!AK60+'8'!AK60+'9'!AK60+'10'!AK60+'11'!AK60+'12'!AK60</f>
        <v>0</v>
      </c>
      <c r="AL60" s="91">
        <f>'7'!AL60+'8'!AL60+'9'!AL60+'10'!AL60+'11'!AL60+'12'!AL60</f>
        <v>0</v>
      </c>
      <c r="AM60" s="91">
        <f>'7'!AM60+'8'!AM60+'9'!AM60+'10'!AM60+'11'!AM60+'12'!AM60</f>
        <v>0</v>
      </c>
      <c r="AN60" s="91">
        <f>'7'!AN60+'8'!AN60+'9'!AN60+'10'!AN60+'11'!AN60+'12'!AN60</f>
        <v>0</v>
      </c>
      <c r="AO60" s="91">
        <f>'7'!AO60+'8'!AO60+'9'!AO60+'10'!AO60+'11'!AO60+'12'!AO60</f>
        <v>0</v>
      </c>
      <c r="AP60" s="91">
        <f>'7'!AP60+'8'!AP60+'9'!AP60+'10'!AP60+'11'!AP60+'12'!AP60</f>
        <v>0</v>
      </c>
      <c r="AQ60" s="16">
        <f t="shared" ref="AQ60:AQ61" si="39">M60+O60+S60+U60+W60+AA60+Q60+Y60</f>
        <v>0</v>
      </c>
      <c r="AR60" s="17">
        <f t="shared" ref="AR60:AR61" si="40">N60+P60+R60+AC60+AD60+AE60+AF60+AG60+AH60+AI60+AJ60+AK60+AL60+AM60+AN60+AO60+AP60+T60+V60+AB60</f>
        <v>0</v>
      </c>
      <c r="AS60" s="91">
        <f t="shared" ref="AS60:AS61" si="41">AT60</f>
        <v>0</v>
      </c>
      <c r="AT60" s="91">
        <f>'7'!AT60+'8'!AT60+'9'!AT60+'10'!AT60+'11'!AT60+'12'!AT60</f>
        <v>0</v>
      </c>
      <c r="AU60" s="92">
        <f t="shared" ref="AU60:AU61" si="42">IF(AT60-AQ60=0,0,(AT60-M60-O60-Q60)/AT60)</f>
        <v>0</v>
      </c>
      <c r="AV60" s="92">
        <f t="shared" ref="AV60:AV61" si="43">IF(AT60=0,0,(AT60-N60-P60-R60-AC60-AD60-AE60-AF60-AG60-AH60-AI60-AJ60-AL60)/AT60)</f>
        <v>0</v>
      </c>
      <c r="AW60" s="92">
        <f t="shared" ref="AW60:AW61" si="44">IF(OR(AT60=0,AU60=0),0,((AT60*AU60)-S60-U60-W60-AA60-Y60)/(AT60*AU60))</f>
        <v>0</v>
      </c>
      <c r="AX60" s="92">
        <f t="shared" ref="AX60:AX61" si="45">IF(OR(AT60=0,AV60=0),0,((AT60*AV60)-AK60-AM60-AN60-AO60-AP60-T60-V60-X60-Z60-AB60)/(AT60*AV60))</f>
        <v>0</v>
      </c>
      <c r="AY60" s="92">
        <f t="shared" ref="AY60:AY61" si="46">IF(D60=0,0,K60/D60/24)</f>
        <v>0</v>
      </c>
      <c r="AZ60" s="92">
        <f t="shared" ref="AZ60:AZ61" si="47">IF(E60=0,0,L60/E60/24)</f>
        <v>0</v>
      </c>
      <c r="BA60" s="95">
        <f t="shared" ref="BA60:BA61" si="48">ROUND(AT60-E60-AR60,4)</f>
        <v>0</v>
      </c>
      <c r="BB60" s="139"/>
      <c r="BC60"/>
    </row>
    <row r="61" spans="1:55" ht="15" customHeight="1" thickBot="1" x14ac:dyDescent="0.3">
      <c r="A61" s="143" t="s">
        <v>152</v>
      </c>
      <c r="B61" s="125" t="s">
        <v>154</v>
      </c>
      <c r="C61" s="144">
        <v>24</v>
      </c>
      <c r="D61" s="122">
        <f t="shared" si="37"/>
        <v>0</v>
      </c>
      <c r="E61" s="63">
        <f t="shared" si="38"/>
        <v>0</v>
      </c>
      <c r="F61" s="64">
        <f>'7'!F61+'8'!F61+'9'!F61+'10'!F61+'11'!F61+'12'!F61</f>
        <v>0</v>
      </c>
      <c r="G61" s="64">
        <f>'7'!G61+'8'!G61+'9'!G61+'10'!G61+'11'!G61+'12'!G61</f>
        <v>0</v>
      </c>
      <c r="H61" s="136">
        <f>'7'!H61+'8'!H61+'9'!H61+'10'!H61+'11'!H61+'12'!H61</f>
        <v>0</v>
      </c>
      <c r="I61" s="136">
        <f>'7'!I61+'8'!I61+'9'!I61+'10'!I61+'11'!I61+'12'!I61</f>
        <v>0</v>
      </c>
      <c r="J61" s="66" t="s">
        <v>55</v>
      </c>
      <c r="K61" s="134">
        <f>'7'!K61+'8'!K61+'9'!K61+'10'!K61+'11'!K61+'12'!K61</f>
        <v>0</v>
      </c>
      <c r="L61" s="134">
        <f>'7'!L61+'8'!L61+'9'!L61+'10'!L61+'11'!L61+'12'!L61</f>
        <v>0</v>
      </c>
      <c r="M61" s="64">
        <f>'7'!M61+'8'!M61+'9'!M61+'10'!M61+'11'!M61+'12'!M61</f>
        <v>0</v>
      </c>
      <c r="N61" s="64">
        <f>'7'!N61+'8'!N61+'9'!N61+'10'!N61+'11'!N61+'12'!N61</f>
        <v>0</v>
      </c>
      <c r="O61" s="64">
        <f>'7'!O61+'8'!O61+'9'!O61+'10'!O61+'11'!O61+'12'!O61</f>
        <v>0</v>
      </c>
      <c r="P61" s="64">
        <f>'7'!P61+'8'!P61+'9'!P61+'10'!P61+'11'!P61+'12'!P61</f>
        <v>0</v>
      </c>
      <c r="Q61" s="64">
        <f>'7'!Q61+'8'!Q61+'9'!Q61+'10'!Q61+'11'!Q61+'12'!Q61</f>
        <v>0</v>
      </c>
      <c r="R61" s="64">
        <f>'7'!R61+'8'!R61+'9'!R61+'10'!R61+'11'!R61+'12'!R61</f>
        <v>0</v>
      </c>
      <c r="S61" s="64">
        <f>'7'!S61+'8'!S61+'9'!S61+'10'!S61+'11'!S61+'12'!S61</f>
        <v>0</v>
      </c>
      <c r="T61" s="64">
        <f>'7'!T61+'8'!T61+'9'!T61+'10'!T61+'11'!T61+'12'!T61</f>
        <v>0</v>
      </c>
      <c r="U61" s="64">
        <f>'7'!U61+'8'!U61+'9'!U61+'10'!U61+'11'!U61+'12'!U61</f>
        <v>0</v>
      </c>
      <c r="V61" s="64">
        <f>'7'!V61+'8'!V61+'9'!V61+'10'!V61+'11'!V61+'12'!V61</f>
        <v>0</v>
      </c>
      <c r="W61" s="64">
        <f>'7'!W61+'8'!W61+'9'!W61+'10'!W61+'11'!W61+'12'!W61</f>
        <v>0</v>
      </c>
      <c r="X61" s="64">
        <f>'7'!X61+'8'!X61+'9'!X61+'10'!X61+'11'!X61+'12'!X61</f>
        <v>0</v>
      </c>
      <c r="Y61" s="64">
        <f>'7'!Y61+'8'!Y61+'9'!Y61+'10'!Y61+'11'!Y61+'12'!Y61</f>
        <v>0</v>
      </c>
      <c r="Z61" s="64">
        <f>'7'!Z61+'8'!Z61+'9'!Z61+'10'!Z61+'11'!Z61+'12'!Z61</f>
        <v>0</v>
      </c>
      <c r="AA61" s="64">
        <f>'7'!AA61+'8'!AA61+'9'!AA61+'10'!AA61+'11'!AA61+'12'!AA61</f>
        <v>0</v>
      </c>
      <c r="AB61" s="64">
        <f>'7'!AB61+'8'!AB61+'9'!AB61+'10'!AB61+'11'!AB61+'12'!AB61</f>
        <v>0</v>
      </c>
      <c r="AC61" s="64">
        <f>'7'!AC61+'8'!AC61+'9'!AC61+'10'!AC61+'11'!AC61+'12'!AC61</f>
        <v>0</v>
      </c>
      <c r="AD61" s="64">
        <f>'7'!AD61+'8'!AD61+'9'!AD61+'10'!AD61+'11'!AD61+'12'!AD61</f>
        <v>0</v>
      </c>
      <c r="AE61" s="64">
        <f>'7'!AE61+'8'!AE61+'9'!AE61+'10'!AE61+'11'!AE61+'12'!AE61</f>
        <v>0</v>
      </c>
      <c r="AF61" s="64">
        <f>'7'!AF61+'8'!AF61+'9'!AF61+'10'!AF61+'11'!AF61+'12'!AF61</f>
        <v>0</v>
      </c>
      <c r="AG61" s="64">
        <f>'7'!AG61+'8'!AG61+'9'!AG61+'10'!AG61+'11'!AG61+'12'!AG61</f>
        <v>0</v>
      </c>
      <c r="AH61" s="64">
        <f>'7'!AH61+'8'!AH61+'9'!AH61+'10'!AH61+'11'!AH61+'12'!AH61</f>
        <v>0</v>
      </c>
      <c r="AI61" s="64">
        <f>'7'!AI61+'8'!AI61+'9'!AI61+'10'!AI61+'11'!AI61+'12'!AI61</f>
        <v>0</v>
      </c>
      <c r="AJ61" s="64">
        <f>'7'!AJ61+'8'!AJ61+'9'!AJ61+'10'!AJ61+'11'!AJ61+'12'!AJ61</f>
        <v>0</v>
      </c>
      <c r="AK61" s="64">
        <f>'7'!AK61+'8'!AK61+'9'!AK61+'10'!AK61+'11'!AK61+'12'!AK61</f>
        <v>0</v>
      </c>
      <c r="AL61" s="64">
        <f>'7'!AL61+'8'!AL61+'9'!AL61+'10'!AL61+'11'!AL61+'12'!AL61</f>
        <v>0</v>
      </c>
      <c r="AM61" s="64">
        <f>'7'!AM61+'8'!AM61+'9'!AM61+'10'!AM61+'11'!AM61+'12'!AM61</f>
        <v>0</v>
      </c>
      <c r="AN61" s="64">
        <f>'7'!AN61+'8'!AN61+'9'!AN61+'10'!AN61+'11'!AN61+'12'!AN61</f>
        <v>0</v>
      </c>
      <c r="AO61" s="64">
        <f>'7'!AO61+'8'!AO61+'9'!AO61+'10'!AO61+'11'!AO61+'12'!AO61</f>
        <v>0</v>
      </c>
      <c r="AP61" s="64">
        <f>'7'!AP61+'8'!AP61+'9'!AP61+'10'!AP61+'11'!AP61+'12'!AP61</f>
        <v>0</v>
      </c>
      <c r="AQ61" s="63">
        <f t="shared" si="39"/>
        <v>0</v>
      </c>
      <c r="AR61" s="149">
        <f t="shared" si="40"/>
        <v>0</v>
      </c>
      <c r="AS61" s="64">
        <f t="shared" si="41"/>
        <v>0</v>
      </c>
      <c r="AT61" s="64">
        <f>'7'!AT61+'8'!AT61+'9'!AT61+'10'!AT61+'11'!AT61+'12'!AT61</f>
        <v>0</v>
      </c>
      <c r="AU61" s="65">
        <f t="shared" si="42"/>
        <v>0</v>
      </c>
      <c r="AV61" s="65">
        <f t="shared" si="43"/>
        <v>0</v>
      </c>
      <c r="AW61" s="65">
        <f t="shared" si="44"/>
        <v>0</v>
      </c>
      <c r="AX61" s="65">
        <f t="shared" si="45"/>
        <v>0</v>
      </c>
      <c r="AY61" s="65">
        <f t="shared" si="46"/>
        <v>0</v>
      </c>
      <c r="AZ61" s="65">
        <f t="shared" si="47"/>
        <v>0</v>
      </c>
      <c r="BA61" s="151">
        <f t="shared" si="48"/>
        <v>0</v>
      </c>
      <c r="BB61" s="142"/>
      <c r="BC61"/>
    </row>
    <row r="62" spans="1:55" x14ac:dyDescent="0.25">
      <c r="C62" s="2"/>
      <c r="D62" s="3"/>
      <c r="F62" s="2"/>
      <c r="G62" s="2"/>
      <c r="H62" s="1"/>
      <c r="I62" s="1"/>
      <c r="M62" s="5"/>
      <c r="O62" s="4"/>
      <c r="P62" s="5"/>
      <c r="Q62" s="5"/>
      <c r="U62" s="2"/>
      <c r="V62" s="2"/>
      <c r="W62" s="2"/>
      <c r="X62" s="2"/>
      <c r="Y62" s="1"/>
      <c r="Z62" s="1"/>
      <c r="AA62" s="1"/>
      <c r="AB62" s="1"/>
    </row>
    <row r="63" spans="1:55" x14ac:dyDescent="0.25">
      <c r="A63" s="10"/>
      <c r="B63" s="10"/>
      <c r="C63" s="10"/>
      <c r="D63" s="3"/>
      <c r="F63" s="2"/>
      <c r="G63" s="2"/>
      <c r="H63" s="1"/>
      <c r="I63" s="1"/>
      <c r="M63" s="5"/>
      <c r="O63" s="4"/>
      <c r="P63" s="5"/>
      <c r="Q63" s="5"/>
      <c r="U63" s="2"/>
      <c r="V63" s="2"/>
      <c r="W63" s="2"/>
      <c r="X63" s="2"/>
      <c r="Y63" s="1"/>
      <c r="Z63" s="1"/>
      <c r="AA63" s="1"/>
      <c r="AB63" s="1"/>
    </row>
    <row r="64" spans="1:55" x14ac:dyDescent="0.2">
      <c r="A64" s="6" t="s">
        <v>126</v>
      </c>
      <c r="B64" s="6"/>
      <c r="C64" s="6"/>
      <c r="D64" s="6"/>
      <c r="F64" s="2"/>
      <c r="G64" s="2"/>
      <c r="H64" s="1"/>
      <c r="I64" s="1"/>
      <c r="M64" s="5"/>
      <c r="O64" s="4"/>
      <c r="P64" s="5"/>
      <c r="Q64" s="5"/>
      <c r="U64" s="2"/>
      <c r="V64" s="2"/>
      <c r="W64" s="2"/>
      <c r="X64" s="2"/>
      <c r="Y64" s="1"/>
      <c r="Z64" s="1"/>
      <c r="AA64" s="1"/>
      <c r="AB64" s="1"/>
    </row>
    <row r="65" spans="1:28" x14ac:dyDescent="0.2">
      <c r="A65" s="6"/>
      <c r="B65" s="6"/>
      <c r="C65" s="6"/>
      <c r="D65" s="6"/>
      <c r="F65" s="2"/>
      <c r="G65" s="2"/>
      <c r="H65" s="1"/>
      <c r="I65" s="1"/>
      <c r="M65" s="5"/>
      <c r="O65" s="4"/>
      <c r="P65" s="5"/>
      <c r="Q65" s="5"/>
      <c r="U65" s="2"/>
      <c r="V65" s="2"/>
      <c r="W65" s="2"/>
      <c r="X65" s="2"/>
      <c r="Y65" s="1"/>
      <c r="Z65" s="1"/>
      <c r="AA65" s="1"/>
      <c r="AB65" s="1"/>
    </row>
    <row r="66" spans="1:28" x14ac:dyDescent="0.2">
      <c r="A66" s="6" t="s">
        <v>128</v>
      </c>
      <c r="B66" s="6"/>
      <c r="C66" s="6"/>
      <c r="D66" s="6"/>
      <c r="F66" s="2"/>
      <c r="G66" s="2"/>
      <c r="H66" s="1"/>
      <c r="I66" s="1"/>
      <c r="M66" s="5"/>
      <c r="O66" s="4"/>
      <c r="P66" s="5"/>
      <c r="Q66" s="5"/>
      <c r="U66" s="2"/>
      <c r="V66" s="2"/>
      <c r="W66" s="2"/>
      <c r="X66" s="2"/>
      <c r="Y66" s="1"/>
      <c r="Z66" s="1"/>
      <c r="AA66" s="1"/>
      <c r="AB66" s="1"/>
    </row>
    <row r="67" spans="1:28" x14ac:dyDescent="0.2">
      <c r="A67" s="6"/>
      <c r="B67" s="6"/>
      <c r="C67" s="6"/>
      <c r="D67" s="6"/>
      <c r="F67" s="2"/>
      <c r="G67" s="2"/>
      <c r="H67" s="1"/>
      <c r="I67" s="1"/>
      <c r="M67" s="5"/>
      <c r="O67" s="4"/>
      <c r="P67" s="5"/>
      <c r="Q67" s="5"/>
      <c r="U67" s="2"/>
      <c r="V67" s="2"/>
      <c r="W67" s="2"/>
      <c r="X67" s="2"/>
      <c r="Y67" s="1"/>
      <c r="Z67" s="1"/>
      <c r="AA67" s="1"/>
      <c r="AB67" s="1"/>
    </row>
    <row r="68" spans="1:28" x14ac:dyDescent="0.2">
      <c r="A68" s="6" t="s">
        <v>127</v>
      </c>
      <c r="B68" s="6"/>
      <c r="C68" s="6"/>
      <c r="D68" s="6"/>
      <c r="F68" s="2"/>
      <c r="G68" s="2"/>
      <c r="H68" s="1"/>
      <c r="I68" s="1"/>
      <c r="M68" s="5"/>
      <c r="O68" s="4"/>
      <c r="P68" s="5"/>
      <c r="Q68" s="5"/>
      <c r="U68" s="2"/>
      <c r="V68" s="2"/>
      <c r="W68" s="2"/>
      <c r="X68" s="2"/>
      <c r="Y68" s="1"/>
      <c r="Z68" s="1"/>
      <c r="AA68" s="1"/>
      <c r="AB68" s="1"/>
    </row>
    <row r="69" spans="1:28" x14ac:dyDescent="0.25">
      <c r="A69" s="10"/>
      <c r="B69" s="10"/>
    </row>
    <row r="72" spans="1:28" x14ac:dyDescent="0.25">
      <c r="A72" s="10"/>
      <c r="B72" s="10"/>
    </row>
    <row r="73" spans="1:28" x14ac:dyDescent="0.25">
      <c r="A73" s="10"/>
      <c r="B73" s="10"/>
    </row>
    <row r="74" spans="1:28" x14ac:dyDescent="0.25">
      <c r="A74" s="10"/>
      <c r="B74" s="10"/>
    </row>
    <row r="75" spans="1:28" x14ac:dyDescent="0.25">
      <c r="A75" s="10"/>
      <c r="B75" s="10"/>
    </row>
    <row r="76" spans="1:28" x14ac:dyDescent="0.25">
      <c r="A76" s="10"/>
      <c r="B76" s="10"/>
    </row>
    <row r="77" spans="1:28" x14ac:dyDescent="0.25">
      <c r="A77" s="10"/>
      <c r="B77" s="10"/>
    </row>
    <row r="78" spans="1:28" x14ac:dyDescent="0.25">
      <c r="A78" s="10"/>
      <c r="B78" s="10"/>
    </row>
    <row r="79" spans="1:28" x14ac:dyDescent="0.25">
      <c r="A79" s="10"/>
      <c r="B79" s="10"/>
    </row>
  </sheetData>
  <mergeCells count="32">
    <mergeCell ref="AC14:AJ14"/>
    <mergeCell ref="AK14:AN14"/>
    <mergeCell ref="AO14:AO15"/>
    <mergeCell ref="AP14:AP15"/>
    <mergeCell ref="A7:BB7"/>
    <mergeCell ref="A9:BB9"/>
    <mergeCell ref="C12:C15"/>
    <mergeCell ref="D12:E14"/>
    <mergeCell ref="H12:I14"/>
    <mergeCell ref="J12:J15"/>
    <mergeCell ref="K12:L14"/>
    <mergeCell ref="M12:AP12"/>
    <mergeCell ref="AQ12:AR14"/>
    <mergeCell ref="AS12:AT14"/>
    <mergeCell ref="AU12:AV14"/>
    <mergeCell ref="AW12:AX14"/>
    <mergeCell ref="AY12:AZ14"/>
    <mergeCell ref="BA12:BA15"/>
    <mergeCell ref="BB12:BB15"/>
    <mergeCell ref="M13:AB13"/>
    <mergeCell ref="A12:A15"/>
    <mergeCell ref="B12:B15"/>
    <mergeCell ref="F12:G14"/>
    <mergeCell ref="M14:N14"/>
    <mergeCell ref="O14:P14"/>
    <mergeCell ref="Q14:R14"/>
    <mergeCell ref="S14:T14"/>
    <mergeCell ref="U14:V14"/>
    <mergeCell ref="W14:X14"/>
    <mergeCell ref="AC13:AP13"/>
    <mergeCell ref="Y14:Z14"/>
    <mergeCell ref="AA14:AB14"/>
  </mergeCells>
  <conditionalFormatting sqref="AQ18:AQ23 AQ25:AQ41 AQ43:AQ45 AQ47:AQ51 AQ53:AQ54 AQ56:AQ61">
    <cfRule type="expression" dxfId="23" priority="8" stopIfTrue="1">
      <formula>100*(1-AQ18/AP18)&gt;5</formula>
    </cfRule>
  </conditionalFormatting>
  <conditionalFormatting sqref="AS18 AS20:AS22">
    <cfRule type="expression" dxfId="22" priority="7" stopIfTrue="1">
      <formula>100*(1-AS18/AR18)&gt;5</formula>
    </cfRule>
  </conditionalFormatting>
  <conditionalFormatting sqref="AS19">
    <cfRule type="expression" dxfId="21" priority="6" stopIfTrue="1">
      <formula>100*(1-AS19/AR19)&gt;5</formula>
    </cfRule>
  </conditionalFormatting>
  <conditionalFormatting sqref="AQ24:AR24">
    <cfRule type="expression" dxfId="20" priority="5" stopIfTrue="1">
      <formula>100*(1-AQ24/AP24)&gt;5</formula>
    </cfRule>
  </conditionalFormatting>
  <conditionalFormatting sqref="AQ42:AR42">
    <cfRule type="expression" dxfId="19" priority="4" stopIfTrue="1">
      <formula>100*(1-AQ42/AP42)&gt;5</formula>
    </cfRule>
  </conditionalFormatting>
  <conditionalFormatting sqref="AQ46:AR46">
    <cfRule type="expression" dxfId="18" priority="3" stopIfTrue="1">
      <formula>100*(1-AQ46/AP46)&gt;5</formula>
    </cfRule>
  </conditionalFormatting>
  <conditionalFormatting sqref="AQ52:AR52">
    <cfRule type="expression" dxfId="17" priority="2" stopIfTrue="1">
      <formula>100*(1-AQ52/AP52)&gt;5</formula>
    </cfRule>
  </conditionalFormatting>
  <conditionalFormatting sqref="AQ55:AR55">
    <cfRule type="expression" dxfId="16" priority="1" stopIfTrue="1">
      <formula>100*(1-AQ55/AP55)&gt;5</formula>
    </cfRule>
  </conditionalFormatting>
  <pageMargins left="0.7" right="0.7" top="0.75" bottom="0.75" header="0.3" footer="0.3"/>
  <pageSetup paperSize="9" orientation="portrait" r:id="rId1"/>
  <ignoredErrors>
    <ignoredError sqref="D24:E55 AY42:AZ46 AY24:AZ24" formula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9"/>
  <sheetViews>
    <sheetView showZeros="0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9" sqref="A9:BB9"/>
    </sheetView>
  </sheetViews>
  <sheetFormatPr defaultRowHeight="14.25" x14ac:dyDescent="0.25"/>
  <cols>
    <col min="1" max="1" width="30.7109375" style="2" customWidth="1"/>
    <col min="2" max="2" width="10.7109375" style="2" customWidth="1"/>
    <col min="3" max="3" width="9.7109375" style="3" customWidth="1"/>
    <col min="4" max="5" width="9.7109375" style="2" customWidth="1"/>
    <col min="6" max="7" width="9.7109375" style="1" customWidth="1"/>
    <col min="8" max="9" width="9.7109375" style="5" customWidth="1"/>
    <col min="10" max="10" width="8.7109375" style="5" customWidth="1"/>
    <col min="11" max="12" width="14.7109375" style="5" customWidth="1"/>
    <col min="13" max="13" width="9.7109375" style="4" customWidth="1"/>
    <col min="14" max="15" width="9.7109375" style="5" customWidth="1"/>
    <col min="16" max="20" width="9.7109375" style="2" customWidth="1"/>
    <col min="21" max="24" width="9.7109375" style="1" customWidth="1"/>
    <col min="25" max="54" width="9.7109375" style="2" customWidth="1"/>
    <col min="55" max="16384" width="9.140625" style="2"/>
  </cols>
  <sheetData>
    <row r="1" spans="1:55" ht="12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/>
      <c r="AJ1"/>
      <c r="AK1"/>
      <c r="AL1"/>
      <c r="AM1"/>
    </row>
    <row r="2" spans="1:55" ht="12.75" customHeight="1" x14ac:dyDescent="0.25">
      <c r="A2" s="11" t="s">
        <v>134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X2" s="11" t="s">
        <v>56</v>
      </c>
      <c r="AY2"/>
      <c r="AZ2"/>
      <c r="BA2"/>
      <c r="BB2"/>
      <c r="BC2"/>
    </row>
    <row r="3" spans="1:55" s="6" customFormat="1" ht="12.75" customHeight="1" x14ac:dyDescent="0.25">
      <c r="A3" s="11" t="s">
        <v>57</v>
      </c>
      <c r="AX3" s="11" t="s">
        <v>65</v>
      </c>
      <c r="AY3"/>
      <c r="AZ3"/>
      <c r="BA3"/>
      <c r="BB3"/>
      <c r="BC3"/>
    </row>
    <row r="4" spans="1:55" s="6" customFormat="1" ht="12.75" customHeight="1" x14ac:dyDescent="0.25">
      <c r="AX4" s="24" t="s">
        <v>123</v>
      </c>
      <c r="AY4"/>
      <c r="AZ4"/>
      <c r="BA4"/>
      <c r="BB4"/>
      <c r="BC4"/>
    </row>
    <row r="5" spans="1:55" s="6" customFormat="1" ht="12.75" customHeight="1" x14ac:dyDescent="0.25">
      <c r="AY5"/>
      <c r="AZ5"/>
      <c r="BA5"/>
      <c r="BB5"/>
      <c r="BC5"/>
    </row>
    <row r="6" spans="1:55" s="6" customFormat="1" ht="15" x14ac:dyDescent="0.25">
      <c r="AX6" s="25" t="s">
        <v>85</v>
      </c>
      <c r="AY6"/>
      <c r="AZ6"/>
      <c r="BA6"/>
      <c r="BB6"/>
      <c r="BC6"/>
    </row>
    <row r="7" spans="1:55" s="6" customFormat="1" ht="15.75" customHeight="1" x14ac:dyDescent="0.2">
      <c r="A7" s="184" t="s">
        <v>58</v>
      </c>
      <c r="B7" s="184"/>
      <c r="C7" s="184"/>
      <c r="D7" s="184"/>
      <c r="E7" s="184"/>
      <c r="F7" s="184"/>
      <c r="G7" s="184"/>
      <c r="H7" s="184"/>
      <c r="I7" s="184"/>
      <c r="J7" s="184"/>
      <c r="K7" s="184"/>
      <c r="L7" s="184"/>
      <c r="M7" s="184"/>
      <c r="N7" s="184"/>
      <c r="O7" s="184"/>
      <c r="P7" s="184"/>
      <c r="Q7" s="184"/>
      <c r="R7" s="184"/>
      <c r="S7" s="184"/>
      <c r="T7" s="184"/>
      <c r="U7" s="184"/>
      <c r="V7" s="184"/>
      <c r="W7" s="184"/>
      <c r="X7" s="184"/>
      <c r="Y7" s="184"/>
      <c r="Z7" s="184"/>
      <c r="AA7" s="184"/>
      <c r="AB7" s="184"/>
      <c r="AC7" s="184"/>
      <c r="AD7" s="184"/>
      <c r="AE7" s="184"/>
      <c r="AF7" s="184"/>
      <c r="AG7" s="184"/>
      <c r="AH7" s="184"/>
      <c r="AI7" s="184"/>
      <c r="AJ7" s="184"/>
      <c r="AK7" s="184"/>
      <c r="AL7" s="184"/>
      <c r="AM7" s="184"/>
      <c r="AN7" s="184"/>
      <c r="AO7" s="184"/>
      <c r="AP7" s="184"/>
      <c r="AQ7" s="184"/>
      <c r="AR7" s="184"/>
      <c r="AS7" s="184"/>
      <c r="AT7" s="184"/>
      <c r="AU7" s="184"/>
      <c r="AV7" s="184"/>
      <c r="AW7" s="184"/>
      <c r="AX7" s="184"/>
      <c r="AY7" s="184"/>
      <c r="AZ7" s="184"/>
      <c r="BA7" s="184"/>
      <c r="BB7" s="184"/>
      <c r="BC7" s="109"/>
    </row>
    <row r="8" spans="1:55" s="6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55" ht="15.75" x14ac:dyDescent="0.25">
      <c r="A9" s="185"/>
      <c r="B9" s="185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  <c r="Z9" s="185"/>
      <c r="AA9" s="185"/>
      <c r="AB9" s="185"/>
      <c r="AC9" s="185"/>
      <c r="AD9" s="185"/>
      <c r="AE9" s="185"/>
      <c r="AF9" s="185"/>
      <c r="AG9" s="185"/>
      <c r="AH9" s="185"/>
      <c r="AI9" s="185"/>
      <c r="AJ9" s="185"/>
      <c r="AK9" s="185"/>
      <c r="AL9" s="185"/>
      <c r="AM9" s="185"/>
      <c r="AN9" s="185"/>
      <c r="AO9" s="185"/>
      <c r="AP9" s="185"/>
      <c r="AQ9" s="185"/>
      <c r="AR9" s="185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08"/>
    </row>
    <row r="10" spans="1:55" s="6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55" ht="12.7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3"/>
      <c r="L11" s="2"/>
      <c r="M11" s="2"/>
      <c r="N11" s="2"/>
      <c r="O11" s="2"/>
      <c r="U11" s="2"/>
      <c r="V11" s="2"/>
      <c r="W11" s="2"/>
      <c r="X11" s="2"/>
    </row>
    <row r="12" spans="1:55" ht="14.25" customHeight="1" x14ac:dyDescent="0.25">
      <c r="A12" s="190" t="s">
        <v>2</v>
      </c>
      <c r="B12" s="163" t="s">
        <v>129</v>
      </c>
      <c r="C12" s="163" t="s">
        <v>3</v>
      </c>
      <c r="D12" s="177" t="s">
        <v>60</v>
      </c>
      <c r="E12" s="194"/>
      <c r="F12" s="154" t="s">
        <v>131</v>
      </c>
      <c r="G12" s="155"/>
      <c r="H12" s="194" t="s">
        <v>1</v>
      </c>
      <c r="I12" s="194"/>
      <c r="J12" s="186" t="s">
        <v>135</v>
      </c>
      <c r="K12" s="154" t="s">
        <v>4</v>
      </c>
      <c r="L12" s="155"/>
      <c r="M12" s="154" t="s">
        <v>62</v>
      </c>
      <c r="N12" s="195"/>
      <c r="O12" s="195"/>
      <c r="P12" s="195"/>
      <c r="Q12" s="195"/>
      <c r="R12" s="195"/>
      <c r="S12" s="195"/>
      <c r="T12" s="195"/>
      <c r="U12" s="195"/>
      <c r="V12" s="195"/>
      <c r="W12" s="195"/>
      <c r="X12" s="195"/>
      <c r="Y12" s="195"/>
      <c r="Z12" s="195"/>
      <c r="AA12" s="195"/>
      <c r="AB12" s="195"/>
      <c r="AC12" s="195"/>
      <c r="AD12" s="195"/>
      <c r="AE12" s="195"/>
      <c r="AF12" s="195"/>
      <c r="AG12" s="195"/>
      <c r="AH12" s="195"/>
      <c r="AI12" s="195"/>
      <c r="AJ12" s="195"/>
      <c r="AK12" s="195"/>
      <c r="AL12" s="195"/>
      <c r="AM12" s="195"/>
      <c r="AN12" s="195"/>
      <c r="AO12" s="195"/>
      <c r="AP12" s="155"/>
      <c r="AQ12" s="195" t="s">
        <v>69</v>
      </c>
      <c r="AR12" s="155"/>
      <c r="AS12" s="154" t="s">
        <v>59</v>
      </c>
      <c r="AT12" s="155"/>
      <c r="AU12" s="154" t="s">
        <v>70</v>
      </c>
      <c r="AV12" s="155"/>
      <c r="AW12" s="154" t="s">
        <v>71</v>
      </c>
      <c r="AX12" s="155"/>
      <c r="AY12" s="154" t="s">
        <v>72</v>
      </c>
      <c r="AZ12" s="155"/>
      <c r="BA12" s="154" t="s">
        <v>73</v>
      </c>
      <c r="BB12" s="198" t="s">
        <v>133</v>
      </c>
      <c r="BC12"/>
    </row>
    <row r="13" spans="1:55" ht="14.25" customHeight="1" x14ac:dyDescent="0.25">
      <c r="A13" s="191"/>
      <c r="B13" s="164"/>
      <c r="C13" s="164"/>
      <c r="D13" s="153"/>
      <c r="E13" s="189"/>
      <c r="F13" s="156"/>
      <c r="G13" s="157"/>
      <c r="H13" s="189"/>
      <c r="I13" s="189"/>
      <c r="J13" s="187"/>
      <c r="K13" s="156"/>
      <c r="L13" s="157"/>
      <c r="M13" s="152" t="s">
        <v>5</v>
      </c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  <c r="AA13" s="178"/>
      <c r="AB13" s="153"/>
      <c r="AC13" s="189" t="s">
        <v>6</v>
      </c>
      <c r="AD13" s="189"/>
      <c r="AE13" s="189"/>
      <c r="AF13" s="189"/>
      <c r="AG13" s="189"/>
      <c r="AH13" s="189"/>
      <c r="AI13" s="189"/>
      <c r="AJ13" s="189"/>
      <c r="AK13" s="189"/>
      <c r="AL13" s="189"/>
      <c r="AM13" s="189"/>
      <c r="AN13" s="189"/>
      <c r="AO13" s="189"/>
      <c r="AP13" s="189"/>
      <c r="AQ13" s="196"/>
      <c r="AR13" s="157"/>
      <c r="AS13" s="156"/>
      <c r="AT13" s="157"/>
      <c r="AU13" s="156"/>
      <c r="AV13" s="157"/>
      <c r="AW13" s="156"/>
      <c r="AX13" s="157"/>
      <c r="AY13" s="156"/>
      <c r="AZ13" s="157"/>
      <c r="BA13" s="156"/>
      <c r="BB13" s="199"/>
      <c r="BC13"/>
    </row>
    <row r="14" spans="1:55" ht="63.75" customHeight="1" x14ac:dyDescent="0.25">
      <c r="A14" s="191"/>
      <c r="B14" s="164"/>
      <c r="C14" s="164"/>
      <c r="D14" s="153"/>
      <c r="E14" s="189"/>
      <c r="F14" s="158"/>
      <c r="G14" s="159"/>
      <c r="H14" s="189"/>
      <c r="I14" s="189"/>
      <c r="J14" s="187"/>
      <c r="K14" s="158"/>
      <c r="L14" s="159"/>
      <c r="M14" s="152" t="s">
        <v>10</v>
      </c>
      <c r="N14" s="153"/>
      <c r="O14" s="152" t="s">
        <v>74</v>
      </c>
      <c r="P14" s="153"/>
      <c r="Q14" s="152" t="s">
        <v>75</v>
      </c>
      <c r="R14" s="153"/>
      <c r="S14" s="152" t="s">
        <v>86</v>
      </c>
      <c r="T14" s="153"/>
      <c r="U14" s="152" t="s">
        <v>136</v>
      </c>
      <c r="V14" s="153"/>
      <c r="W14" s="193" t="s">
        <v>132</v>
      </c>
      <c r="X14" s="193"/>
      <c r="Y14" s="152" t="s">
        <v>84</v>
      </c>
      <c r="Z14" s="153"/>
      <c r="AA14" s="152" t="s">
        <v>76</v>
      </c>
      <c r="AB14" s="153"/>
      <c r="AC14" s="152" t="s">
        <v>7</v>
      </c>
      <c r="AD14" s="178"/>
      <c r="AE14" s="178"/>
      <c r="AF14" s="178"/>
      <c r="AG14" s="178"/>
      <c r="AH14" s="178"/>
      <c r="AI14" s="178"/>
      <c r="AJ14" s="153"/>
      <c r="AK14" s="152" t="s">
        <v>8</v>
      </c>
      <c r="AL14" s="178"/>
      <c r="AM14" s="178"/>
      <c r="AN14" s="153"/>
      <c r="AO14" s="171" t="s">
        <v>77</v>
      </c>
      <c r="AP14" s="173" t="s">
        <v>18</v>
      </c>
      <c r="AQ14" s="196"/>
      <c r="AR14" s="157"/>
      <c r="AS14" s="156"/>
      <c r="AT14" s="157"/>
      <c r="AU14" s="156"/>
      <c r="AV14" s="157"/>
      <c r="AW14" s="156"/>
      <c r="AX14" s="157"/>
      <c r="AY14" s="156"/>
      <c r="AZ14" s="157"/>
      <c r="BA14" s="156"/>
      <c r="BB14" s="199"/>
      <c r="BC14"/>
    </row>
    <row r="15" spans="1:55" ht="38.25" customHeight="1" thickBot="1" x14ac:dyDescent="0.3">
      <c r="A15" s="192"/>
      <c r="B15" s="165"/>
      <c r="C15" s="165"/>
      <c r="D15" s="118" t="s">
        <v>61</v>
      </c>
      <c r="E15" s="77" t="s">
        <v>9</v>
      </c>
      <c r="F15" s="77" t="s">
        <v>11</v>
      </c>
      <c r="G15" s="77" t="s">
        <v>130</v>
      </c>
      <c r="H15" s="77" t="s">
        <v>0</v>
      </c>
      <c r="I15" s="77" t="s">
        <v>78</v>
      </c>
      <c r="J15" s="188"/>
      <c r="K15" s="77" t="s">
        <v>61</v>
      </c>
      <c r="L15" s="77" t="s">
        <v>9</v>
      </c>
      <c r="M15" s="77" t="s">
        <v>61</v>
      </c>
      <c r="N15" s="77" t="s">
        <v>9</v>
      </c>
      <c r="O15" s="77" t="s">
        <v>61</v>
      </c>
      <c r="P15" s="77" t="s">
        <v>9</v>
      </c>
      <c r="Q15" s="77" t="s">
        <v>61</v>
      </c>
      <c r="R15" s="77" t="s">
        <v>9</v>
      </c>
      <c r="S15" s="77" t="s">
        <v>61</v>
      </c>
      <c r="T15" s="77" t="s">
        <v>9</v>
      </c>
      <c r="U15" s="77" t="s">
        <v>61</v>
      </c>
      <c r="V15" s="77" t="s">
        <v>9</v>
      </c>
      <c r="W15" s="77" t="s">
        <v>61</v>
      </c>
      <c r="X15" s="77" t="s">
        <v>9</v>
      </c>
      <c r="Y15" s="77" t="s">
        <v>61</v>
      </c>
      <c r="Z15" s="77" t="s">
        <v>9</v>
      </c>
      <c r="AA15" s="77" t="s">
        <v>61</v>
      </c>
      <c r="AB15" s="77" t="s">
        <v>9</v>
      </c>
      <c r="AC15" s="77" t="s">
        <v>11</v>
      </c>
      <c r="AD15" s="77" t="s">
        <v>12</v>
      </c>
      <c r="AE15" s="77" t="s">
        <v>13</v>
      </c>
      <c r="AF15" s="77" t="s">
        <v>14</v>
      </c>
      <c r="AG15" s="77" t="s">
        <v>15</v>
      </c>
      <c r="AH15" s="77" t="s">
        <v>16</v>
      </c>
      <c r="AI15" s="107" t="s">
        <v>18</v>
      </c>
      <c r="AJ15" s="107" t="s">
        <v>17</v>
      </c>
      <c r="AK15" s="77" t="s">
        <v>19</v>
      </c>
      <c r="AL15" s="77" t="s">
        <v>20</v>
      </c>
      <c r="AM15" s="77" t="s">
        <v>21</v>
      </c>
      <c r="AN15" s="77" t="s">
        <v>22</v>
      </c>
      <c r="AO15" s="172"/>
      <c r="AP15" s="174"/>
      <c r="AQ15" s="77" t="s">
        <v>61</v>
      </c>
      <c r="AR15" s="77" t="s">
        <v>9</v>
      </c>
      <c r="AS15" s="77" t="s">
        <v>61</v>
      </c>
      <c r="AT15" s="77" t="s">
        <v>9</v>
      </c>
      <c r="AU15" s="77" t="s">
        <v>61</v>
      </c>
      <c r="AV15" s="77" t="s">
        <v>9</v>
      </c>
      <c r="AW15" s="77" t="s">
        <v>61</v>
      </c>
      <c r="AX15" s="77" t="s">
        <v>9</v>
      </c>
      <c r="AY15" s="77" t="s">
        <v>61</v>
      </c>
      <c r="AZ15" s="77" t="s">
        <v>9</v>
      </c>
      <c r="BA15" s="197"/>
      <c r="BB15" s="200"/>
      <c r="BC15"/>
    </row>
    <row r="16" spans="1:55" ht="15" customHeight="1" thickBot="1" x14ac:dyDescent="0.3">
      <c r="A16" s="106">
        <v>1</v>
      </c>
      <c r="B16" s="106">
        <v>2</v>
      </c>
      <c r="C16" s="106">
        <v>3</v>
      </c>
      <c r="D16" s="105">
        <v>4</v>
      </c>
      <c r="E16" s="78">
        <v>5</v>
      </c>
      <c r="F16" s="78">
        <v>6</v>
      </c>
      <c r="G16" s="78">
        <v>7</v>
      </c>
      <c r="H16" s="78">
        <v>8</v>
      </c>
      <c r="I16" s="78">
        <v>9</v>
      </c>
      <c r="J16" s="78">
        <v>10</v>
      </c>
      <c r="K16" s="78">
        <v>11</v>
      </c>
      <c r="L16" s="78">
        <v>12</v>
      </c>
      <c r="M16" s="78">
        <v>13</v>
      </c>
      <c r="N16" s="78">
        <v>14</v>
      </c>
      <c r="O16" s="78">
        <v>15</v>
      </c>
      <c r="P16" s="78">
        <v>16</v>
      </c>
      <c r="Q16" s="78">
        <v>17</v>
      </c>
      <c r="R16" s="78">
        <v>18</v>
      </c>
      <c r="S16" s="78">
        <v>19</v>
      </c>
      <c r="T16" s="78">
        <v>20</v>
      </c>
      <c r="U16" s="78">
        <v>21</v>
      </c>
      <c r="V16" s="78">
        <v>22</v>
      </c>
      <c r="W16" s="78">
        <v>23</v>
      </c>
      <c r="X16" s="78">
        <v>24</v>
      </c>
      <c r="Y16" s="78">
        <v>25</v>
      </c>
      <c r="Z16" s="78">
        <v>26</v>
      </c>
      <c r="AA16" s="78">
        <v>27</v>
      </c>
      <c r="AB16" s="78">
        <v>28</v>
      </c>
      <c r="AC16" s="78">
        <v>29</v>
      </c>
      <c r="AD16" s="78">
        <v>30</v>
      </c>
      <c r="AE16" s="78">
        <v>31</v>
      </c>
      <c r="AF16" s="78">
        <v>32</v>
      </c>
      <c r="AG16" s="78">
        <v>33</v>
      </c>
      <c r="AH16" s="78">
        <v>34</v>
      </c>
      <c r="AI16" s="78">
        <v>35</v>
      </c>
      <c r="AJ16" s="78">
        <v>36</v>
      </c>
      <c r="AK16" s="78">
        <v>37</v>
      </c>
      <c r="AL16" s="78">
        <v>38</v>
      </c>
      <c r="AM16" s="78">
        <v>39</v>
      </c>
      <c r="AN16" s="78">
        <v>40</v>
      </c>
      <c r="AO16" s="78">
        <v>41</v>
      </c>
      <c r="AP16" s="78">
        <v>42</v>
      </c>
      <c r="AQ16" s="78">
        <v>43</v>
      </c>
      <c r="AR16" s="78">
        <v>44</v>
      </c>
      <c r="AS16" s="78">
        <v>45</v>
      </c>
      <c r="AT16" s="78">
        <v>46</v>
      </c>
      <c r="AU16" s="78">
        <v>47</v>
      </c>
      <c r="AV16" s="78">
        <v>48</v>
      </c>
      <c r="AW16" s="78">
        <v>49</v>
      </c>
      <c r="AX16" s="78">
        <v>50</v>
      </c>
      <c r="AY16" s="78">
        <v>51</v>
      </c>
      <c r="AZ16" s="78">
        <v>52</v>
      </c>
      <c r="BA16" s="78">
        <v>53</v>
      </c>
      <c r="BB16" s="79">
        <v>54</v>
      </c>
      <c r="BC16"/>
    </row>
    <row r="17" spans="1:55" ht="15" customHeight="1" thickBot="1" x14ac:dyDescent="0.3">
      <c r="A17" s="87" t="s">
        <v>79</v>
      </c>
      <c r="B17" s="87"/>
      <c r="C17" s="87"/>
      <c r="D17" s="129">
        <f t="shared" ref="D17:E17" si="0">SUM(D18:D23)</f>
        <v>0</v>
      </c>
      <c r="E17" s="129">
        <f t="shared" si="0"/>
        <v>0</v>
      </c>
      <c r="F17" s="129">
        <f>SUM(F18:F23)</f>
        <v>0</v>
      </c>
      <c r="G17" s="129">
        <f t="shared" ref="G17:I17" si="1">SUM(G18:G23)</f>
        <v>0</v>
      </c>
      <c r="H17" s="131">
        <f t="shared" si="1"/>
        <v>0</v>
      </c>
      <c r="I17" s="131">
        <f t="shared" si="1"/>
        <v>0</v>
      </c>
      <c r="J17" s="129"/>
      <c r="K17" s="130">
        <f t="shared" ref="K17:AP17" si="2">SUM(K18:K23)</f>
        <v>0</v>
      </c>
      <c r="L17" s="130">
        <f t="shared" si="2"/>
        <v>0</v>
      </c>
      <c r="M17" s="129">
        <f t="shared" si="2"/>
        <v>0</v>
      </c>
      <c r="N17" s="129">
        <f t="shared" si="2"/>
        <v>0</v>
      </c>
      <c r="O17" s="129">
        <f t="shared" si="2"/>
        <v>0</v>
      </c>
      <c r="P17" s="129">
        <f t="shared" si="2"/>
        <v>0</v>
      </c>
      <c r="Q17" s="129">
        <f t="shared" si="2"/>
        <v>0</v>
      </c>
      <c r="R17" s="129">
        <f t="shared" si="2"/>
        <v>0</v>
      </c>
      <c r="S17" s="129">
        <f t="shared" si="2"/>
        <v>0</v>
      </c>
      <c r="T17" s="129">
        <f t="shared" si="2"/>
        <v>0</v>
      </c>
      <c r="U17" s="129">
        <f t="shared" si="2"/>
        <v>0</v>
      </c>
      <c r="V17" s="129">
        <f t="shared" si="2"/>
        <v>0</v>
      </c>
      <c r="W17" s="129">
        <f t="shared" si="2"/>
        <v>0</v>
      </c>
      <c r="X17" s="129">
        <f t="shared" si="2"/>
        <v>0</v>
      </c>
      <c r="Y17" s="129">
        <f t="shared" si="2"/>
        <v>0</v>
      </c>
      <c r="Z17" s="129">
        <f t="shared" si="2"/>
        <v>0</v>
      </c>
      <c r="AA17" s="129">
        <f t="shared" si="2"/>
        <v>0</v>
      </c>
      <c r="AB17" s="129">
        <f t="shared" si="2"/>
        <v>0</v>
      </c>
      <c r="AC17" s="129">
        <f t="shared" si="2"/>
        <v>0</v>
      </c>
      <c r="AD17" s="129">
        <f t="shared" si="2"/>
        <v>0</v>
      </c>
      <c r="AE17" s="129">
        <f t="shared" si="2"/>
        <v>0</v>
      </c>
      <c r="AF17" s="129">
        <f t="shared" si="2"/>
        <v>0</v>
      </c>
      <c r="AG17" s="129">
        <f t="shared" si="2"/>
        <v>0</v>
      </c>
      <c r="AH17" s="129">
        <f t="shared" si="2"/>
        <v>0</v>
      </c>
      <c r="AI17" s="129">
        <f t="shared" si="2"/>
        <v>0</v>
      </c>
      <c r="AJ17" s="129">
        <f t="shared" si="2"/>
        <v>0</v>
      </c>
      <c r="AK17" s="129">
        <f t="shared" si="2"/>
        <v>0</v>
      </c>
      <c r="AL17" s="129">
        <f t="shared" si="2"/>
        <v>0</v>
      </c>
      <c r="AM17" s="129">
        <f t="shared" si="2"/>
        <v>0</v>
      </c>
      <c r="AN17" s="129">
        <f t="shared" si="2"/>
        <v>0</v>
      </c>
      <c r="AO17" s="129">
        <f t="shared" si="2"/>
        <v>0</v>
      </c>
      <c r="AP17" s="129">
        <f t="shared" si="2"/>
        <v>0</v>
      </c>
      <c r="AQ17" s="129">
        <f t="shared" ref="AQ17:AQ59" si="3">M17+O17+S17+U17+W17+AA17+Q17+Y17</f>
        <v>0</v>
      </c>
      <c r="AR17" s="129">
        <f>N17+P17+R17+AC17+AD17+AE17+AF17+AG17+AH17+AI17+AJ17+AK17+AL17+AM17+AN17+AO17+AP17+T17+V17+AB17</f>
        <v>0</v>
      </c>
      <c r="AS17" s="129">
        <f>AT17</f>
        <v>0</v>
      </c>
      <c r="AT17" s="129">
        <f>SUM(AT18:AT23)</f>
        <v>0</v>
      </c>
      <c r="AU17" s="131">
        <f>IF(AT17-AQ17=0,0,(AT17-M17-O17-Q17)/AT17)</f>
        <v>0</v>
      </c>
      <c r="AV17" s="131">
        <f t="shared" ref="AV17:AV59" si="4">IF(AT17=0,0,(AT17-N17-P17-R17-AC17-AD17-AE17-AF17-AG17-AH17-AI17-AJ17-AL17)/AT17)</f>
        <v>0</v>
      </c>
      <c r="AW17" s="131">
        <f t="shared" ref="AW17:AW22" si="5">IF(OR(AT17=0,AU17=0),0,((AT17*AU17)-S17-U17-W17-AA17-Y17)/(AT17*AU17))</f>
        <v>0</v>
      </c>
      <c r="AX17" s="131">
        <f t="shared" ref="AX17:AX22" si="6">IF(OR(AT17=0,AV17=0),0,((AT17*AV17)-AK17-AM17-AN17-AO17-AP17-T17-V17-X17-Z17-AB17)/(AT17*AV17))</f>
        <v>0</v>
      </c>
      <c r="AY17" s="131">
        <f>SUM(AY18:AY23)</f>
        <v>0</v>
      </c>
      <c r="AZ17" s="131">
        <f>SUM(AZ18:AZ23)</f>
        <v>0</v>
      </c>
      <c r="BA17" s="129">
        <f>ROUND(AS17-E17-AR17,4)</f>
        <v>0</v>
      </c>
      <c r="BB17" s="137"/>
      <c r="BC17"/>
    </row>
    <row r="18" spans="1:55" ht="15" hidden="1" customHeight="1" x14ac:dyDescent="0.25">
      <c r="A18" s="80" t="s">
        <v>23</v>
      </c>
      <c r="B18" s="110">
        <v>22</v>
      </c>
      <c r="C18" s="110">
        <v>22</v>
      </c>
      <c r="D18" s="121">
        <f t="shared" ref="D18:D22" si="7">AT18*AU18*AW18</f>
        <v>0</v>
      </c>
      <c r="E18" s="16">
        <f t="shared" ref="E18:E22" si="8">ROUND(AT18*AV18*AX18,4)</f>
        <v>0</v>
      </c>
      <c r="F18" s="91">
        <f>'1'!F18+'2'!F18+'3'!F18+'4'!F18+'5'!F18+'6'!F18</f>
        <v>0</v>
      </c>
      <c r="G18" s="91">
        <f>'1'!G18+'2'!G18+'3'!G18+'4'!G18+'5'!G18+'6'!G18</f>
        <v>0</v>
      </c>
      <c r="H18" s="135">
        <f>'1'!H18+'2'!H18+'3'!H18+'4'!H18+'5'!H18+'6'!H18</f>
        <v>0</v>
      </c>
      <c r="I18" s="135">
        <f>'1'!I18+'2'!I18+'3'!I18+'4'!I18+'5'!I18+'6'!I18</f>
        <v>0</v>
      </c>
      <c r="J18" s="83" t="s">
        <v>55</v>
      </c>
      <c r="K18" s="133">
        <f>'1'!K18+'2'!K18+'3'!K18+'4'!K18+'5'!K18+'6'!K18</f>
        <v>0</v>
      </c>
      <c r="L18" s="133">
        <f>'1'!L18+'2'!L18+'3'!L18+'4'!L18+'5'!L18+'6'!L18</f>
        <v>0</v>
      </c>
      <c r="M18" s="91">
        <f>'1'!M18+'2'!M18+'3'!M18+'4'!M18+'5'!M18+'6'!M18</f>
        <v>0</v>
      </c>
      <c r="N18" s="91">
        <f>'1'!N18+'2'!N18+'3'!N18+'4'!N18+'5'!N18+'6'!N18</f>
        <v>0</v>
      </c>
      <c r="O18" s="91">
        <f>'1'!O18+'2'!O18+'3'!O18+'4'!O18+'5'!O18+'6'!O18</f>
        <v>0</v>
      </c>
      <c r="P18" s="91">
        <f>'1'!P18+'2'!P18+'3'!P18+'4'!P18+'5'!P18+'6'!P18</f>
        <v>0</v>
      </c>
      <c r="Q18" s="91">
        <f>'1'!Q18+'2'!Q18+'3'!Q18+'4'!Q18+'5'!Q18+'6'!Q18</f>
        <v>0</v>
      </c>
      <c r="R18" s="91">
        <f>'1'!R18+'2'!R18+'3'!R18+'4'!R18+'5'!R18+'6'!R18</f>
        <v>0</v>
      </c>
      <c r="S18" s="91">
        <f>'1'!S18+'2'!S18+'3'!S18+'4'!S18+'5'!S18+'6'!S18</f>
        <v>0</v>
      </c>
      <c r="T18" s="91">
        <f>'1'!T18+'2'!T18+'3'!T18+'4'!T18+'5'!T18+'6'!T18</f>
        <v>0</v>
      </c>
      <c r="U18" s="91">
        <f>'1'!U18+'2'!U18+'3'!U18+'4'!U18+'5'!U18+'6'!U18</f>
        <v>0</v>
      </c>
      <c r="V18" s="91">
        <f>'1'!V18+'2'!V18+'3'!V18+'4'!V18+'5'!V18+'6'!V18</f>
        <v>0</v>
      </c>
      <c r="W18" s="91">
        <f>'1'!W18+'2'!W18+'3'!W18+'4'!W18+'5'!W18+'6'!W18</f>
        <v>0</v>
      </c>
      <c r="X18" s="91">
        <f>'1'!X18+'2'!X18+'3'!X18+'4'!X18+'5'!X18+'6'!X18</f>
        <v>0</v>
      </c>
      <c r="Y18" s="91">
        <f>'1'!Y18+'2'!Y18+'3'!Y18+'4'!Y18+'5'!Y18+'6'!Y18</f>
        <v>0</v>
      </c>
      <c r="Z18" s="91">
        <f>'1'!Z18+'2'!Z18+'3'!Z18+'4'!Z18+'5'!Z18+'6'!Z18</f>
        <v>0</v>
      </c>
      <c r="AA18" s="91">
        <f>'1'!AA18+'2'!AA18+'3'!AA18+'4'!AA18+'5'!AA18+'6'!AA18</f>
        <v>0</v>
      </c>
      <c r="AB18" s="91">
        <f>'1'!AB18+'2'!AB18+'3'!AB18+'4'!AB18+'5'!AB18+'6'!AB18</f>
        <v>0</v>
      </c>
      <c r="AC18" s="91">
        <f>'1'!AC18+'2'!AC18+'3'!AC18+'4'!AC18+'5'!AC18+'6'!AC18</f>
        <v>0</v>
      </c>
      <c r="AD18" s="91">
        <f>'1'!AD18+'2'!AD18+'3'!AD18+'4'!AD18+'5'!AD18+'6'!AD18</f>
        <v>0</v>
      </c>
      <c r="AE18" s="91">
        <f>'1'!AE18+'2'!AE18+'3'!AE18+'4'!AE18+'5'!AE18+'6'!AE18</f>
        <v>0</v>
      </c>
      <c r="AF18" s="91">
        <f>'1'!AF18+'2'!AF18+'3'!AF18+'4'!AF18+'5'!AF18+'6'!AF18</f>
        <v>0</v>
      </c>
      <c r="AG18" s="91">
        <f>'1'!AG18+'2'!AG18+'3'!AG18+'4'!AG18+'5'!AG18+'6'!AG18</f>
        <v>0</v>
      </c>
      <c r="AH18" s="91">
        <f>'1'!AH18+'2'!AH18+'3'!AH18+'4'!AH18+'5'!AH18+'6'!AH18</f>
        <v>0</v>
      </c>
      <c r="AI18" s="91">
        <f>'1'!AI18+'2'!AI18+'3'!AI18+'4'!AI18+'5'!AI18+'6'!AI18</f>
        <v>0</v>
      </c>
      <c r="AJ18" s="91">
        <f>'1'!AJ18+'2'!AJ18+'3'!AJ18+'4'!AJ18+'5'!AJ18+'6'!AJ18</f>
        <v>0</v>
      </c>
      <c r="AK18" s="91">
        <f>'1'!AK18+'2'!AK18+'3'!AK18+'4'!AK18+'5'!AK18+'6'!AK18</f>
        <v>0</v>
      </c>
      <c r="AL18" s="91">
        <f>'1'!AL18+'2'!AL18+'3'!AL18+'4'!AL18+'5'!AL18+'6'!AL18</f>
        <v>0</v>
      </c>
      <c r="AM18" s="91">
        <f>'1'!AM18+'2'!AM18+'3'!AM18+'4'!AM18+'5'!AM18+'6'!AM18</f>
        <v>0</v>
      </c>
      <c r="AN18" s="91">
        <f>'1'!AN18+'2'!AN18+'3'!AN18+'4'!AN18+'5'!AN18+'6'!AN18</f>
        <v>0</v>
      </c>
      <c r="AO18" s="91">
        <f>'1'!AO18+'2'!AO18+'3'!AO18+'4'!AO18+'5'!AO18+'6'!AO18</f>
        <v>0</v>
      </c>
      <c r="AP18" s="91">
        <f>'1'!AP18+'2'!AP18+'3'!AP18+'4'!AP18+'5'!AP18+'6'!AP18</f>
        <v>0</v>
      </c>
      <c r="AQ18" s="16">
        <f t="shared" si="3"/>
        <v>0</v>
      </c>
      <c r="AR18" s="17">
        <f>N18+P18+R18+AC18+AD18+AE18+AF18+AG18+AH18+AI18+AJ18+AK18+AL18+AM18+AN18+AO18+AP18+T18+V18+AB18</f>
        <v>0</v>
      </c>
      <c r="AS18" s="17"/>
      <c r="AT18" s="17"/>
      <c r="AU18" s="92">
        <f t="shared" ref="AU18:AU22" si="9">IF(AT18-AQ18=0,0,(AT18-M18-O18-Q18)/AT18)</f>
        <v>0</v>
      </c>
      <c r="AV18" s="92">
        <f t="shared" si="4"/>
        <v>0</v>
      </c>
      <c r="AW18" s="92">
        <f t="shared" si="5"/>
        <v>0</v>
      </c>
      <c r="AX18" s="92">
        <f t="shared" si="6"/>
        <v>0</v>
      </c>
      <c r="AY18" s="82">
        <f t="shared" ref="AY18:AZ22" si="10">IF(K18=0,0,K18/(D18-Y18)/24)</f>
        <v>0</v>
      </c>
      <c r="AZ18" s="82">
        <f t="shared" si="10"/>
        <v>0</v>
      </c>
      <c r="BA18" s="85">
        <f>ROUND(AS18-E18-AR18,4)</f>
        <v>0</v>
      </c>
      <c r="BB18" s="138"/>
      <c r="BC18"/>
    </row>
    <row r="19" spans="1:55" ht="15" hidden="1" customHeight="1" x14ac:dyDescent="0.25">
      <c r="A19" s="68" t="s">
        <v>24</v>
      </c>
      <c r="B19" s="111">
        <v>23</v>
      </c>
      <c r="C19" s="111">
        <v>23</v>
      </c>
      <c r="D19" s="121">
        <f t="shared" si="7"/>
        <v>0</v>
      </c>
      <c r="E19" s="16">
        <f t="shared" si="8"/>
        <v>0</v>
      </c>
      <c r="F19" s="91">
        <f>'1'!F19+'2'!F19+'3'!F19+'4'!F19+'5'!F19+'6'!F19</f>
        <v>0</v>
      </c>
      <c r="G19" s="91">
        <f>'1'!G19+'2'!G19+'3'!G19+'4'!G19+'5'!G19+'6'!G19</f>
        <v>0</v>
      </c>
      <c r="H19" s="135">
        <f>'1'!H19+'2'!H19+'3'!H19+'4'!H19+'5'!H19+'6'!H19</f>
        <v>0</v>
      </c>
      <c r="I19" s="135">
        <f>'1'!I19+'2'!I19+'3'!I19+'4'!I19+'5'!I19+'6'!I19</f>
        <v>0</v>
      </c>
      <c r="J19" s="8" t="s">
        <v>55</v>
      </c>
      <c r="K19" s="133">
        <f>'1'!K19+'2'!K19+'3'!K19+'4'!K19+'5'!K19+'6'!K19</f>
        <v>0</v>
      </c>
      <c r="L19" s="133">
        <f>'1'!L19+'2'!L19+'3'!L19+'4'!L19+'5'!L19+'6'!L19</f>
        <v>0</v>
      </c>
      <c r="M19" s="91">
        <f>'1'!M19+'2'!M19+'3'!M19+'4'!M19+'5'!M19+'6'!M19</f>
        <v>0</v>
      </c>
      <c r="N19" s="91">
        <f>'1'!N19+'2'!N19+'3'!N19+'4'!N19+'5'!N19+'6'!N19</f>
        <v>0</v>
      </c>
      <c r="O19" s="91">
        <f>'1'!O19+'2'!O19+'3'!O19+'4'!O19+'5'!O19+'6'!O19</f>
        <v>0</v>
      </c>
      <c r="P19" s="91">
        <f>'1'!P19+'2'!P19+'3'!P19+'4'!P19+'5'!P19+'6'!P19</f>
        <v>0</v>
      </c>
      <c r="Q19" s="91">
        <f>'1'!Q19+'2'!Q19+'3'!Q19+'4'!Q19+'5'!Q19+'6'!Q19</f>
        <v>0</v>
      </c>
      <c r="R19" s="91">
        <f>'1'!R19+'2'!R19+'3'!R19+'4'!R19+'5'!R19+'6'!R19</f>
        <v>0</v>
      </c>
      <c r="S19" s="91">
        <f>'1'!S19+'2'!S19+'3'!S19+'4'!S19+'5'!S19+'6'!S19</f>
        <v>0</v>
      </c>
      <c r="T19" s="91">
        <f>'1'!T19+'2'!T19+'3'!T19+'4'!T19+'5'!T19+'6'!T19</f>
        <v>0</v>
      </c>
      <c r="U19" s="91">
        <f>'1'!U19+'2'!U19+'3'!U19+'4'!U19+'5'!U19+'6'!U19</f>
        <v>0</v>
      </c>
      <c r="V19" s="91">
        <f>'1'!V19+'2'!V19+'3'!V19+'4'!V19+'5'!V19+'6'!V19</f>
        <v>0</v>
      </c>
      <c r="W19" s="91">
        <f>'1'!W19+'2'!W19+'3'!W19+'4'!W19+'5'!W19+'6'!W19</f>
        <v>0</v>
      </c>
      <c r="X19" s="91">
        <f>'1'!X19+'2'!X19+'3'!X19+'4'!X19+'5'!X19+'6'!X19</f>
        <v>0</v>
      </c>
      <c r="Y19" s="91">
        <f>'1'!Y19+'2'!Y19+'3'!Y19+'4'!Y19+'5'!Y19+'6'!Y19</f>
        <v>0</v>
      </c>
      <c r="Z19" s="91">
        <f>'1'!Z19+'2'!Z19+'3'!Z19+'4'!Z19+'5'!Z19+'6'!Z19</f>
        <v>0</v>
      </c>
      <c r="AA19" s="91">
        <f>'1'!AA19+'2'!AA19+'3'!AA19+'4'!AA19+'5'!AA19+'6'!AA19</f>
        <v>0</v>
      </c>
      <c r="AB19" s="91">
        <f>'1'!AB19+'2'!AB19+'3'!AB19+'4'!AB19+'5'!AB19+'6'!AB19</f>
        <v>0</v>
      </c>
      <c r="AC19" s="91">
        <f>'1'!AC19+'2'!AC19+'3'!AC19+'4'!AC19+'5'!AC19+'6'!AC19</f>
        <v>0</v>
      </c>
      <c r="AD19" s="91">
        <f>'1'!AD19+'2'!AD19+'3'!AD19+'4'!AD19+'5'!AD19+'6'!AD19</f>
        <v>0</v>
      </c>
      <c r="AE19" s="91">
        <f>'1'!AE19+'2'!AE19+'3'!AE19+'4'!AE19+'5'!AE19+'6'!AE19</f>
        <v>0</v>
      </c>
      <c r="AF19" s="91">
        <f>'1'!AF19+'2'!AF19+'3'!AF19+'4'!AF19+'5'!AF19+'6'!AF19</f>
        <v>0</v>
      </c>
      <c r="AG19" s="91">
        <f>'1'!AG19+'2'!AG19+'3'!AG19+'4'!AG19+'5'!AG19+'6'!AG19</f>
        <v>0</v>
      </c>
      <c r="AH19" s="91">
        <f>'1'!AH19+'2'!AH19+'3'!AH19+'4'!AH19+'5'!AH19+'6'!AH19</f>
        <v>0</v>
      </c>
      <c r="AI19" s="91">
        <f>'1'!AI19+'2'!AI19+'3'!AI19+'4'!AI19+'5'!AI19+'6'!AI19</f>
        <v>0</v>
      </c>
      <c r="AJ19" s="91">
        <f>'1'!AJ19+'2'!AJ19+'3'!AJ19+'4'!AJ19+'5'!AJ19+'6'!AJ19</f>
        <v>0</v>
      </c>
      <c r="AK19" s="91">
        <f>'1'!AK19+'2'!AK19+'3'!AK19+'4'!AK19+'5'!AK19+'6'!AK19</f>
        <v>0</v>
      </c>
      <c r="AL19" s="91">
        <f>'1'!AL19+'2'!AL19+'3'!AL19+'4'!AL19+'5'!AL19+'6'!AL19</f>
        <v>0</v>
      </c>
      <c r="AM19" s="91">
        <f>'1'!AM19+'2'!AM19+'3'!AM19+'4'!AM19+'5'!AM19+'6'!AM19</f>
        <v>0</v>
      </c>
      <c r="AN19" s="91">
        <f>'1'!AN19+'2'!AN19+'3'!AN19+'4'!AN19+'5'!AN19+'6'!AN19</f>
        <v>0</v>
      </c>
      <c r="AO19" s="91">
        <f>'1'!AO19+'2'!AO19+'3'!AO19+'4'!AO19+'5'!AO19+'6'!AO19</f>
        <v>0</v>
      </c>
      <c r="AP19" s="91">
        <f>'1'!AP19+'2'!AP19+'3'!AP19+'4'!AP19+'5'!AP19+'6'!AP19</f>
        <v>0</v>
      </c>
      <c r="AQ19" s="16">
        <f t="shared" si="3"/>
        <v>0</v>
      </c>
      <c r="AR19" s="17">
        <f t="shared" ref="AR19:AR59" si="11">N19+P19+R19+AC19+AD19+AE19+AF19+AG19+AH19+AI19+AJ19+AK19+AL19+AM19+AN19+AO19+AP19+T19+V19+AB19</f>
        <v>0</v>
      </c>
      <c r="AS19" s="15"/>
      <c r="AT19" s="15"/>
      <c r="AU19" s="92">
        <f t="shared" si="9"/>
        <v>0</v>
      </c>
      <c r="AV19" s="92">
        <f t="shared" si="4"/>
        <v>0</v>
      </c>
      <c r="AW19" s="92">
        <f t="shared" si="5"/>
        <v>0</v>
      </c>
      <c r="AX19" s="92">
        <f t="shared" si="6"/>
        <v>0</v>
      </c>
      <c r="AY19" s="18">
        <f t="shared" si="10"/>
        <v>0</v>
      </c>
      <c r="AZ19" s="18">
        <f t="shared" si="10"/>
        <v>0</v>
      </c>
      <c r="BA19" s="74">
        <f>ROUND(AS19-E19-AR19,4)</f>
        <v>0</v>
      </c>
      <c r="BB19" s="139"/>
      <c r="BC19"/>
    </row>
    <row r="20" spans="1:55" ht="15" hidden="1" customHeight="1" x14ac:dyDescent="0.25">
      <c r="A20" s="69" t="s">
        <v>25</v>
      </c>
      <c r="B20" s="112"/>
      <c r="C20" s="112">
        <v>24</v>
      </c>
      <c r="D20" s="121">
        <f t="shared" si="7"/>
        <v>0</v>
      </c>
      <c r="E20" s="16">
        <f t="shared" si="8"/>
        <v>0</v>
      </c>
      <c r="F20" s="91">
        <f>'1'!F20+'2'!F20+'3'!F20+'4'!F20+'5'!F20+'6'!F20</f>
        <v>0</v>
      </c>
      <c r="G20" s="91">
        <f>'1'!G20+'2'!G20+'3'!G20+'4'!G20+'5'!G20+'6'!G20</f>
        <v>0</v>
      </c>
      <c r="H20" s="135">
        <f>'1'!H20+'2'!H20+'3'!H20+'4'!H20+'5'!H20+'6'!H20</f>
        <v>0</v>
      </c>
      <c r="I20" s="135">
        <f>'1'!I20+'2'!I20+'3'!I20+'4'!I20+'5'!I20+'6'!I20</f>
        <v>0</v>
      </c>
      <c r="J20" s="8" t="s">
        <v>55</v>
      </c>
      <c r="K20" s="133">
        <f>'1'!K20+'2'!K20+'3'!K20+'4'!K20+'5'!K20+'6'!K20</f>
        <v>0</v>
      </c>
      <c r="L20" s="133">
        <f>'1'!L20+'2'!L20+'3'!L20+'4'!L20+'5'!L20+'6'!L20</f>
        <v>0</v>
      </c>
      <c r="M20" s="91">
        <f>'1'!M20+'2'!M20+'3'!M20+'4'!M20+'5'!M20+'6'!M20</f>
        <v>0</v>
      </c>
      <c r="N20" s="91">
        <f>'1'!N20+'2'!N20+'3'!N20+'4'!N20+'5'!N20+'6'!N20</f>
        <v>0</v>
      </c>
      <c r="O20" s="91">
        <f>'1'!O20+'2'!O20+'3'!O20+'4'!O20+'5'!O20+'6'!O20</f>
        <v>0</v>
      </c>
      <c r="P20" s="91">
        <f>'1'!P20+'2'!P20+'3'!P20+'4'!P20+'5'!P20+'6'!P20</f>
        <v>0</v>
      </c>
      <c r="Q20" s="91">
        <f>'1'!Q20+'2'!Q20+'3'!Q20+'4'!Q20+'5'!Q20+'6'!Q20</f>
        <v>0</v>
      </c>
      <c r="R20" s="91">
        <f>'1'!R20+'2'!R20+'3'!R20+'4'!R20+'5'!R20+'6'!R20</f>
        <v>0</v>
      </c>
      <c r="S20" s="91">
        <f>'1'!S20+'2'!S20+'3'!S20+'4'!S20+'5'!S20+'6'!S20</f>
        <v>0</v>
      </c>
      <c r="T20" s="91">
        <f>'1'!T20+'2'!T20+'3'!T20+'4'!T20+'5'!T20+'6'!T20</f>
        <v>0</v>
      </c>
      <c r="U20" s="91">
        <f>'1'!U20+'2'!U20+'3'!U20+'4'!U20+'5'!U20+'6'!U20</f>
        <v>0</v>
      </c>
      <c r="V20" s="91">
        <f>'1'!V20+'2'!V20+'3'!V20+'4'!V20+'5'!V20+'6'!V20</f>
        <v>0</v>
      </c>
      <c r="W20" s="91">
        <f>'1'!W20+'2'!W20+'3'!W20+'4'!W20+'5'!W20+'6'!W20</f>
        <v>0</v>
      </c>
      <c r="X20" s="91">
        <f>'1'!X20+'2'!X20+'3'!X20+'4'!X20+'5'!X20+'6'!X20</f>
        <v>0</v>
      </c>
      <c r="Y20" s="91">
        <f>'1'!Y20+'2'!Y20+'3'!Y20+'4'!Y20+'5'!Y20+'6'!Y20</f>
        <v>0</v>
      </c>
      <c r="Z20" s="91">
        <f>'1'!Z20+'2'!Z20+'3'!Z20+'4'!Z20+'5'!Z20+'6'!Z20</f>
        <v>0</v>
      </c>
      <c r="AA20" s="91">
        <f>'1'!AA20+'2'!AA20+'3'!AA20+'4'!AA20+'5'!AA20+'6'!AA20</f>
        <v>0</v>
      </c>
      <c r="AB20" s="91">
        <f>'1'!AB20+'2'!AB20+'3'!AB20+'4'!AB20+'5'!AB20+'6'!AB20</f>
        <v>0</v>
      </c>
      <c r="AC20" s="91">
        <f>'1'!AC20+'2'!AC20+'3'!AC20+'4'!AC20+'5'!AC20+'6'!AC20</f>
        <v>0</v>
      </c>
      <c r="AD20" s="91">
        <f>'1'!AD20+'2'!AD20+'3'!AD20+'4'!AD20+'5'!AD20+'6'!AD20</f>
        <v>0</v>
      </c>
      <c r="AE20" s="91">
        <f>'1'!AE20+'2'!AE20+'3'!AE20+'4'!AE20+'5'!AE20+'6'!AE20</f>
        <v>0</v>
      </c>
      <c r="AF20" s="91">
        <f>'1'!AF20+'2'!AF20+'3'!AF20+'4'!AF20+'5'!AF20+'6'!AF20</f>
        <v>0</v>
      </c>
      <c r="AG20" s="91">
        <f>'1'!AG20+'2'!AG20+'3'!AG20+'4'!AG20+'5'!AG20+'6'!AG20</f>
        <v>0</v>
      </c>
      <c r="AH20" s="91">
        <f>'1'!AH20+'2'!AH20+'3'!AH20+'4'!AH20+'5'!AH20+'6'!AH20</f>
        <v>0</v>
      </c>
      <c r="AI20" s="91">
        <f>'1'!AI20+'2'!AI20+'3'!AI20+'4'!AI20+'5'!AI20+'6'!AI20</f>
        <v>0</v>
      </c>
      <c r="AJ20" s="91">
        <f>'1'!AJ20+'2'!AJ20+'3'!AJ20+'4'!AJ20+'5'!AJ20+'6'!AJ20</f>
        <v>0</v>
      </c>
      <c r="AK20" s="91">
        <f>'1'!AK20+'2'!AK20+'3'!AK20+'4'!AK20+'5'!AK20+'6'!AK20</f>
        <v>0</v>
      </c>
      <c r="AL20" s="91">
        <f>'1'!AL20+'2'!AL20+'3'!AL20+'4'!AL20+'5'!AL20+'6'!AL20</f>
        <v>0</v>
      </c>
      <c r="AM20" s="91">
        <f>'1'!AM20+'2'!AM20+'3'!AM20+'4'!AM20+'5'!AM20+'6'!AM20</f>
        <v>0</v>
      </c>
      <c r="AN20" s="91">
        <f>'1'!AN20+'2'!AN20+'3'!AN20+'4'!AN20+'5'!AN20+'6'!AN20</f>
        <v>0</v>
      </c>
      <c r="AO20" s="91">
        <f>'1'!AO20+'2'!AO20+'3'!AO20+'4'!AO20+'5'!AO20+'6'!AO20</f>
        <v>0</v>
      </c>
      <c r="AP20" s="91">
        <f>'1'!AP20+'2'!AP20+'3'!AP20+'4'!AP20+'5'!AP20+'6'!AP20</f>
        <v>0</v>
      </c>
      <c r="AQ20" s="16">
        <f t="shared" si="3"/>
        <v>0</v>
      </c>
      <c r="AR20" s="17">
        <f t="shared" si="11"/>
        <v>0</v>
      </c>
      <c r="AS20" s="15"/>
      <c r="AT20" s="15"/>
      <c r="AU20" s="92">
        <f t="shared" si="9"/>
        <v>0</v>
      </c>
      <c r="AV20" s="92">
        <f t="shared" si="4"/>
        <v>0</v>
      </c>
      <c r="AW20" s="92">
        <f t="shared" si="5"/>
        <v>0</v>
      </c>
      <c r="AX20" s="92">
        <f t="shared" si="6"/>
        <v>0</v>
      </c>
      <c r="AY20" s="18">
        <f t="shared" si="10"/>
        <v>0</v>
      </c>
      <c r="AZ20" s="18">
        <f t="shared" si="10"/>
        <v>0</v>
      </c>
      <c r="BA20" s="74">
        <f t="shared" ref="BA20:BA22" si="12">ROUND(AS20-E20-AR20,4)</f>
        <v>0</v>
      </c>
      <c r="BB20" s="139"/>
      <c r="BC20"/>
    </row>
    <row r="21" spans="1:55" ht="15" hidden="1" customHeight="1" x14ac:dyDescent="0.25">
      <c r="A21" s="68" t="s">
        <v>26</v>
      </c>
      <c r="B21" s="111"/>
      <c r="C21" s="111">
        <v>24</v>
      </c>
      <c r="D21" s="121">
        <f t="shared" si="7"/>
        <v>0</v>
      </c>
      <c r="E21" s="16">
        <f t="shared" si="8"/>
        <v>0</v>
      </c>
      <c r="F21" s="91">
        <f>'1'!F21+'2'!F21+'3'!F21+'4'!F21+'5'!F21+'6'!F21</f>
        <v>0</v>
      </c>
      <c r="G21" s="91">
        <f>'1'!G21+'2'!G21+'3'!G21+'4'!G21+'5'!G21+'6'!G21</f>
        <v>0</v>
      </c>
      <c r="H21" s="135">
        <f>'1'!H21+'2'!H21+'3'!H21+'4'!H21+'5'!H21+'6'!H21</f>
        <v>0</v>
      </c>
      <c r="I21" s="135">
        <f>'1'!I21+'2'!I21+'3'!I21+'4'!I21+'5'!I21+'6'!I21</f>
        <v>0</v>
      </c>
      <c r="J21" s="8" t="s">
        <v>55</v>
      </c>
      <c r="K21" s="133">
        <f>'1'!K21+'2'!K21+'3'!K21+'4'!K21+'5'!K21+'6'!K21</f>
        <v>0</v>
      </c>
      <c r="L21" s="133">
        <f>'1'!L21+'2'!L21+'3'!L21+'4'!L21+'5'!L21+'6'!L21</f>
        <v>0</v>
      </c>
      <c r="M21" s="91">
        <f>'1'!M21+'2'!M21+'3'!M21+'4'!M21+'5'!M21+'6'!M21</f>
        <v>0</v>
      </c>
      <c r="N21" s="91">
        <f>'1'!N21+'2'!N21+'3'!N21+'4'!N21+'5'!N21+'6'!N21</f>
        <v>0</v>
      </c>
      <c r="O21" s="91">
        <f>'1'!O21+'2'!O21+'3'!O21+'4'!O21+'5'!O21+'6'!O21</f>
        <v>0</v>
      </c>
      <c r="P21" s="91">
        <f>'1'!P21+'2'!P21+'3'!P21+'4'!P21+'5'!P21+'6'!P21</f>
        <v>0</v>
      </c>
      <c r="Q21" s="91">
        <f>'1'!Q21+'2'!Q21+'3'!Q21+'4'!Q21+'5'!Q21+'6'!Q21</f>
        <v>0</v>
      </c>
      <c r="R21" s="91">
        <f>'1'!R21+'2'!R21+'3'!R21+'4'!R21+'5'!R21+'6'!R21</f>
        <v>0</v>
      </c>
      <c r="S21" s="91">
        <f>'1'!S21+'2'!S21+'3'!S21+'4'!S21+'5'!S21+'6'!S21</f>
        <v>0</v>
      </c>
      <c r="T21" s="91">
        <f>'1'!T21+'2'!T21+'3'!T21+'4'!T21+'5'!T21+'6'!T21</f>
        <v>0</v>
      </c>
      <c r="U21" s="91">
        <f>'1'!U21+'2'!U21+'3'!U21+'4'!U21+'5'!U21+'6'!U21</f>
        <v>0</v>
      </c>
      <c r="V21" s="91">
        <f>'1'!V21+'2'!V21+'3'!V21+'4'!V21+'5'!V21+'6'!V21</f>
        <v>0</v>
      </c>
      <c r="W21" s="91">
        <f>'1'!W21+'2'!W21+'3'!W21+'4'!W21+'5'!W21+'6'!W21</f>
        <v>0</v>
      </c>
      <c r="X21" s="91">
        <f>'1'!X21+'2'!X21+'3'!X21+'4'!X21+'5'!X21+'6'!X21</f>
        <v>0</v>
      </c>
      <c r="Y21" s="91">
        <f>'1'!Y21+'2'!Y21+'3'!Y21+'4'!Y21+'5'!Y21+'6'!Y21</f>
        <v>0</v>
      </c>
      <c r="Z21" s="91">
        <f>'1'!Z21+'2'!Z21+'3'!Z21+'4'!Z21+'5'!Z21+'6'!Z21</f>
        <v>0</v>
      </c>
      <c r="AA21" s="91">
        <f>'1'!AA21+'2'!AA21+'3'!AA21+'4'!AA21+'5'!AA21+'6'!AA21</f>
        <v>0</v>
      </c>
      <c r="AB21" s="91">
        <f>'1'!AB21+'2'!AB21+'3'!AB21+'4'!AB21+'5'!AB21+'6'!AB21</f>
        <v>0</v>
      </c>
      <c r="AC21" s="91">
        <f>'1'!AC21+'2'!AC21+'3'!AC21+'4'!AC21+'5'!AC21+'6'!AC21</f>
        <v>0</v>
      </c>
      <c r="AD21" s="91">
        <f>'1'!AD21+'2'!AD21+'3'!AD21+'4'!AD21+'5'!AD21+'6'!AD21</f>
        <v>0</v>
      </c>
      <c r="AE21" s="91">
        <f>'1'!AE21+'2'!AE21+'3'!AE21+'4'!AE21+'5'!AE21+'6'!AE21</f>
        <v>0</v>
      </c>
      <c r="AF21" s="91">
        <f>'1'!AF21+'2'!AF21+'3'!AF21+'4'!AF21+'5'!AF21+'6'!AF21</f>
        <v>0</v>
      </c>
      <c r="AG21" s="91">
        <f>'1'!AG21+'2'!AG21+'3'!AG21+'4'!AG21+'5'!AG21+'6'!AG21</f>
        <v>0</v>
      </c>
      <c r="AH21" s="91">
        <f>'1'!AH21+'2'!AH21+'3'!AH21+'4'!AH21+'5'!AH21+'6'!AH21</f>
        <v>0</v>
      </c>
      <c r="AI21" s="91">
        <f>'1'!AI21+'2'!AI21+'3'!AI21+'4'!AI21+'5'!AI21+'6'!AI21</f>
        <v>0</v>
      </c>
      <c r="AJ21" s="91">
        <f>'1'!AJ21+'2'!AJ21+'3'!AJ21+'4'!AJ21+'5'!AJ21+'6'!AJ21</f>
        <v>0</v>
      </c>
      <c r="AK21" s="91">
        <f>'1'!AK21+'2'!AK21+'3'!AK21+'4'!AK21+'5'!AK21+'6'!AK21</f>
        <v>0</v>
      </c>
      <c r="AL21" s="91">
        <f>'1'!AL21+'2'!AL21+'3'!AL21+'4'!AL21+'5'!AL21+'6'!AL21</f>
        <v>0</v>
      </c>
      <c r="AM21" s="91">
        <f>'1'!AM21+'2'!AM21+'3'!AM21+'4'!AM21+'5'!AM21+'6'!AM21</f>
        <v>0</v>
      </c>
      <c r="AN21" s="91">
        <f>'1'!AN21+'2'!AN21+'3'!AN21+'4'!AN21+'5'!AN21+'6'!AN21</f>
        <v>0</v>
      </c>
      <c r="AO21" s="91">
        <f>'1'!AO21+'2'!AO21+'3'!AO21+'4'!AO21+'5'!AO21+'6'!AO21</f>
        <v>0</v>
      </c>
      <c r="AP21" s="91">
        <f>'1'!AP21+'2'!AP21+'3'!AP21+'4'!AP21+'5'!AP21+'6'!AP21</f>
        <v>0</v>
      </c>
      <c r="AQ21" s="16">
        <f t="shared" si="3"/>
        <v>0</v>
      </c>
      <c r="AR21" s="17">
        <f t="shared" si="11"/>
        <v>0</v>
      </c>
      <c r="AS21" s="15"/>
      <c r="AT21" s="15"/>
      <c r="AU21" s="92">
        <f t="shared" si="9"/>
        <v>0</v>
      </c>
      <c r="AV21" s="92">
        <f t="shared" si="4"/>
        <v>0</v>
      </c>
      <c r="AW21" s="92">
        <f t="shared" si="5"/>
        <v>0</v>
      </c>
      <c r="AX21" s="92">
        <f t="shared" si="6"/>
        <v>0</v>
      </c>
      <c r="AY21" s="18">
        <f t="shared" si="10"/>
        <v>0</v>
      </c>
      <c r="AZ21" s="18">
        <f t="shared" si="10"/>
        <v>0</v>
      </c>
      <c r="BA21" s="74">
        <f t="shared" si="12"/>
        <v>0</v>
      </c>
      <c r="BB21" s="139"/>
      <c r="BC21"/>
    </row>
    <row r="22" spans="1:55" ht="15" hidden="1" customHeight="1" x14ac:dyDescent="0.25">
      <c r="A22" s="70" t="s">
        <v>63</v>
      </c>
      <c r="B22" s="113"/>
      <c r="C22" s="113">
        <v>25</v>
      </c>
      <c r="D22" s="121">
        <f t="shared" si="7"/>
        <v>0</v>
      </c>
      <c r="E22" s="16">
        <f t="shared" si="8"/>
        <v>0</v>
      </c>
      <c r="F22" s="91">
        <f>'1'!F22+'2'!F22+'3'!F22+'4'!F22+'5'!F22+'6'!F22</f>
        <v>0</v>
      </c>
      <c r="G22" s="91">
        <f>'1'!G22+'2'!G22+'3'!G22+'4'!G22+'5'!G22+'6'!G22</f>
        <v>0</v>
      </c>
      <c r="H22" s="135">
        <f>'1'!H22+'2'!H22+'3'!H22+'4'!H22+'5'!H22+'6'!H22</f>
        <v>0</v>
      </c>
      <c r="I22" s="135">
        <f>'1'!I22+'2'!I22+'3'!I22+'4'!I22+'5'!I22+'6'!I22</f>
        <v>0</v>
      </c>
      <c r="J22" s="8" t="s">
        <v>55</v>
      </c>
      <c r="K22" s="133">
        <f>'1'!K22+'2'!K22+'3'!K22+'4'!K22+'5'!K22+'6'!K22</f>
        <v>0</v>
      </c>
      <c r="L22" s="133">
        <f>'1'!L22+'2'!L22+'3'!L22+'4'!L22+'5'!L22+'6'!L22</f>
        <v>0</v>
      </c>
      <c r="M22" s="91">
        <f>'1'!M22+'2'!M22+'3'!M22+'4'!M22+'5'!M22+'6'!M22</f>
        <v>0</v>
      </c>
      <c r="N22" s="91">
        <f>'1'!N22+'2'!N22+'3'!N22+'4'!N22+'5'!N22+'6'!N22</f>
        <v>0</v>
      </c>
      <c r="O22" s="91">
        <f>'1'!O22+'2'!O22+'3'!O22+'4'!O22+'5'!O22+'6'!O22</f>
        <v>0</v>
      </c>
      <c r="P22" s="91">
        <f>'1'!P22+'2'!P22+'3'!P22+'4'!P22+'5'!P22+'6'!P22</f>
        <v>0</v>
      </c>
      <c r="Q22" s="91">
        <f>'1'!Q22+'2'!Q22+'3'!Q22+'4'!Q22+'5'!Q22+'6'!Q22</f>
        <v>0</v>
      </c>
      <c r="R22" s="91">
        <f>'1'!R22+'2'!R22+'3'!R22+'4'!R22+'5'!R22+'6'!R22</f>
        <v>0</v>
      </c>
      <c r="S22" s="91">
        <f>'1'!S22+'2'!S22+'3'!S22+'4'!S22+'5'!S22+'6'!S22</f>
        <v>0</v>
      </c>
      <c r="T22" s="91">
        <f>'1'!T22+'2'!T22+'3'!T22+'4'!T22+'5'!T22+'6'!T22</f>
        <v>0</v>
      </c>
      <c r="U22" s="91">
        <f>'1'!U22+'2'!U22+'3'!U22+'4'!U22+'5'!U22+'6'!U22</f>
        <v>0</v>
      </c>
      <c r="V22" s="91">
        <f>'1'!V22+'2'!V22+'3'!V22+'4'!V22+'5'!V22+'6'!V22</f>
        <v>0</v>
      </c>
      <c r="W22" s="91">
        <f>'1'!W22+'2'!W22+'3'!W22+'4'!W22+'5'!W22+'6'!W22</f>
        <v>0</v>
      </c>
      <c r="X22" s="91">
        <f>'1'!X22+'2'!X22+'3'!X22+'4'!X22+'5'!X22+'6'!X22</f>
        <v>0</v>
      </c>
      <c r="Y22" s="91">
        <f>'1'!Y22+'2'!Y22+'3'!Y22+'4'!Y22+'5'!Y22+'6'!Y22</f>
        <v>0</v>
      </c>
      <c r="Z22" s="91">
        <f>'1'!Z22+'2'!Z22+'3'!Z22+'4'!Z22+'5'!Z22+'6'!Z22</f>
        <v>0</v>
      </c>
      <c r="AA22" s="91">
        <f>'1'!AA22+'2'!AA22+'3'!AA22+'4'!AA22+'5'!AA22+'6'!AA22</f>
        <v>0</v>
      </c>
      <c r="AB22" s="91">
        <f>'1'!AB22+'2'!AB22+'3'!AB22+'4'!AB22+'5'!AB22+'6'!AB22</f>
        <v>0</v>
      </c>
      <c r="AC22" s="91">
        <f>'1'!AC22+'2'!AC22+'3'!AC22+'4'!AC22+'5'!AC22+'6'!AC22</f>
        <v>0</v>
      </c>
      <c r="AD22" s="91">
        <f>'1'!AD22+'2'!AD22+'3'!AD22+'4'!AD22+'5'!AD22+'6'!AD22</f>
        <v>0</v>
      </c>
      <c r="AE22" s="91">
        <f>'1'!AE22+'2'!AE22+'3'!AE22+'4'!AE22+'5'!AE22+'6'!AE22</f>
        <v>0</v>
      </c>
      <c r="AF22" s="91">
        <f>'1'!AF22+'2'!AF22+'3'!AF22+'4'!AF22+'5'!AF22+'6'!AF22</f>
        <v>0</v>
      </c>
      <c r="AG22" s="91">
        <f>'1'!AG22+'2'!AG22+'3'!AG22+'4'!AG22+'5'!AG22+'6'!AG22</f>
        <v>0</v>
      </c>
      <c r="AH22" s="91">
        <f>'1'!AH22+'2'!AH22+'3'!AH22+'4'!AH22+'5'!AH22+'6'!AH22</f>
        <v>0</v>
      </c>
      <c r="AI22" s="91">
        <f>'1'!AI22+'2'!AI22+'3'!AI22+'4'!AI22+'5'!AI22+'6'!AI22</f>
        <v>0</v>
      </c>
      <c r="AJ22" s="91">
        <f>'1'!AJ22+'2'!AJ22+'3'!AJ22+'4'!AJ22+'5'!AJ22+'6'!AJ22</f>
        <v>0</v>
      </c>
      <c r="AK22" s="91">
        <f>'1'!AK22+'2'!AK22+'3'!AK22+'4'!AK22+'5'!AK22+'6'!AK22</f>
        <v>0</v>
      </c>
      <c r="AL22" s="91">
        <f>'1'!AL22+'2'!AL22+'3'!AL22+'4'!AL22+'5'!AL22+'6'!AL22</f>
        <v>0</v>
      </c>
      <c r="AM22" s="91">
        <f>'1'!AM22+'2'!AM22+'3'!AM22+'4'!AM22+'5'!AM22+'6'!AM22</f>
        <v>0</v>
      </c>
      <c r="AN22" s="91">
        <f>'1'!AN22+'2'!AN22+'3'!AN22+'4'!AN22+'5'!AN22+'6'!AN22</f>
        <v>0</v>
      </c>
      <c r="AO22" s="91">
        <f>'1'!AO22+'2'!AO22+'3'!AO22+'4'!AO22+'5'!AO22+'6'!AO22</f>
        <v>0</v>
      </c>
      <c r="AP22" s="91">
        <f>'1'!AP22+'2'!AP22+'3'!AP22+'4'!AP22+'5'!AP22+'6'!AP22</f>
        <v>0</v>
      </c>
      <c r="AQ22" s="16">
        <f t="shared" si="3"/>
        <v>0</v>
      </c>
      <c r="AR22" s="17">
        <f t="shared" si="11"/>
        <v>0</v>
      </c>
      <c r="AS22" s="15"/>
      <c r="AT22" s="15"/>
      <c r="AU22" s="92">
        <f t="shared" si="9"/>
        <v>0</v>
      </c>
      <c r="AV22" s="92">
        <f t="shared" si="4"/>
        <v>0</v>
      </c>
      <c r="AW22" s="92">
        <f t="shared" si="5"/>
        <v>0</v>
      </c>
      <c r="AX22" s="92">
        <f t="shared" si="6"/>
        <v>0</v>
      </c>
      <c r="AY22" s="18">
        <f t="shared" si="10"/>
        <v>0</v>
      </c>
      <c r="AZ22" s="18">
        <f t="shared" si="10"/>
        <v>0</v>
      </c>
      <c r="BA22" s="74">
        <f t="shared" si="12"/>
        <v>0</v>
      </c>
      <c r="BB22" s="139"/>
      <c r="BC22"/>
    </row>
    <row r="23" spans="1:55" ht="15" customHeight="1" thickBot="1" x14ac:dyDescent="0.3">
      <c r="A23" s="90" t="s">
        <v>27</v>
      </c>
      <c r="B23" s="123" t="s">
        <v>148</v>
      </c>
      <c r="C23" s="114">
        <v>17</v>
      </c>
      <c r="D23" s="121">
        <f>AT23*AU23*AW23</f>
        <v>0</v>
      </c>
      <c r="E23" s="16">
        <f>ROUND(AT23*AV23*AX23,4)</f>
        <v>0</v>
      </c>
      <c r="F23" s="91">
        <f>'1'!F23+'2'!F23+'3'!F23+'4'!F23+'5'!F23+'6'!F23</f>
        <v>0</v>
      </c>
      <c r="G23" s="91">
        <f>'1'!G23+'2'!G23+'3'!G23+'4'!G23+'5'!G23+'6'!G23</f>
        <v>0</v>
      </c>
      <c r="H23" s="135">
        <f>'1'!H23+'2'!H23+'3'!H23+'4'!H23+'5'!H23+'6'!H23</f>
        <v>0</v>
      </c>
      <c r="I23" s="135">
        <f>'1'!I23+'2'!I23+'3'!I23+'4'!I23+'5'!I23+'6'!I23</f>
        <v>0</v>
      </c>
      <c r="J23" s="93" t="s">
        <v>55</v>
      </c>
      <c r="K23" s="133">
        <f>'1'!K23+'2'!K23+'3'!K23+'4'!K23+'5'!K23+'6'!K23</f>
        <v>0</v>
      </c>
      <c r="L23" s="133">
        <f>'1'!L23+'2'!L23+'3'!L23+'4'!L23+'5'!L23+'6'!L23</f>
        <v>0</v>
      </c>
      <c r="M23" s="91">
        <f>'1'!M23+'2'!M23+'3'!M23+'4'!M23+'5'!M23+'6'!M23</f>
        <v>0</v>
      </c>
      <c r="N23" s="91">
        <f>'1'!N23+'2'!N23+'3'!N23+'4'!N23+'5'!N23+'6'!N23</f>
        <v>0</v>
      </c>
      <c r="O23" s="91">
        <f>'1'!O23+'2'!O23+'3'!O23+'4'!O23+'5'!O23+'6'!O23</f>
        <v>0</v>
      </c>
      <c r="P23" s="91">
        <f>'1'!P23+'2'!P23+'3'!P23+'4'!P23+'5'!P23+'6'!P23</f>
        <v>0</v>
      </c>
      <c r="Q23" s="91">
        <f>'1'!Q23+'2'!Q23+'3'!Q23+'4'!Q23+'5'!Q23+'6'!Q23</f>
        <v>0</v>
      </c>
      <c r="R23" s="91">
        <f>'1'!R23+'2'!R23+'3'!R23+'4'!R23+'5'!R23+'6'!R23</f>
        <v>0</v>
      </c>
      <c r="S23" s="91">
        <f>'1'!S23+'2'!S23+'3'!S23+'4'!S23+'5'!S23+'6'!S23</f>
        <v>0</v>
      </c>
      <c r="T23" s="91">
        <f>'1'!T23+'2'!T23+'3'!T23+'4'!T23+'5'!T23+'6'!T23</f>
        <v>0</v>
      </c>
      <c r="U23" s="91">
        <f>'1'!U23+'2'!U23+'3'!U23+'4'!U23+'5'!U23+'6'!U23</f>
        <v>0</v>
      </c>
      <c r="V23" s="91">
        <f>'1'!V23+'2'!V23+'3'!V23+'4'!V23+'5'!V23+'6'!V23</f>
        <v>0</v>
      </c>
      <c r="W23" s="91">
        <f>'1'!W23+'2'!W23+'3'!W23+'4'!W23+'5'!W23+'6'!W23</f>
        <v>0</v>
      </c>
      <c r="X23" s="91">
        <f>'1'!X23+'2'!X23+'3'!X23+'4'!X23+'5'!X23+'6'!X23</f>
        <v>0</v>
      </c>
      <c r="Y23" s="91">
        <f>'1'!Y23+'2'!Y23+'3'!Y23+'4'!Y23+'5'!Y23+'6'!Y23</f>
        <v>0</v>
      </c>
      <c r="Z23" s="91">
        <f>'1'!Z23+'2'!Z23+'3'!Z23+'4'!Z23+'5'!Z23+'6'!Z23</f>
        <v>0</v>
      </c>
      <c r="AA23" s="91">
        <f>'1'!AA23+'2'!AA23+'3'!AA23+'4'!AA23+'5'!AA23+'6'!AA23</f>
        <v>0</v>
      </c>
      <c r="AB23" s="91">
        <f>'1'!AB23+'2'!AB23+'3'!AB23+'4'!AB23+'5'!AB23+'6'!AB23</f>
        <v>0</v>
      </c>
      <c r="AC23" s="91">
        <f>'1'!AC23+'2'!AC23+'3'!AC23+'4'!AC23+'5'!AC23+'6'!AC23</f>
        <v>0</v>
      </c>
      <c r="AD23" s="91">
        <f>'1'!AD23+'2'!AD23+'3'!AD23+'4'!AD23+'5'!AD23+'6'!AD23</f>
        <v>0</v>
      </c>
      <c r="AE23" s="91">
        <f>'1'!AE23+'2'!AE23+'3'!AE23+'4'!AE23+'5'!AE23+'6'!AE23</f>
        <v>0</v>
      </c>
      <c r="AF23" s="91">
        <f>'1'!AF23+'2'!AF23+'3'!AF23+'4'!AF23+'5'!AF23+'6'!AF23</f>
        <v>0</v>
      </c>
      <c r="AG23" s="91">
        <f>'1'!AG23+'2'!AG23+'3'!AG23+'4'!AG23+'5'!AG23+'6'!AG23</f>
        <v>0</v>
      </c>
      <c r="AH23" s="91">
        <f>'1'!AH23+'2'!AH23+'3'!AH23+'4'!AH23+'5'!AH23+'6'!AH23</f>
        <v>0</v>
      </c>
      <c r="AI23" s="91">
        <f>'1'!AI23+'2'!AI23+'3'!AI23+'4'!AI23+'5'!AI23+'6'!AI23</f>
        <v>0</v>
      </c>
      <c r="AJ23" s="91">
        <f>'1'!AJ23+'2'!AJ23+'3'!AJ23+'4'!AJ23+'5'!AJ23+'6'!AJ23</f>
        <v>0</v>
      </c>
      <c r="AK23" s="91">
        <f>'1'!AK23+'2'!AK23+'3'!AK23+'4'!AK23+'5'!AK23+'6'!AK23</f>
        <v>0</v>
      </c>
      <c r="AL23" s="91">
        <f>'1'!AL23+'2'!AL23+'3'!AL23+'4'!AL23+'5'!AL23+'6'!AL23</f>
        <v>0</v>
      </c>
      <c r="AM23" s="91">
        <f>'1'!AM23+'2'!AM23+'3'!AM23+'4'!AM23+'5'!AM23+'6'!AM23</f>
        <v>0</v>
      </c>
      <c r="AN23" s="91">
        <f>'1'!AN23+'2'!AN23+'3'!AN23+'4'!AN23+'5'!AN23+'6'!AN23</f>
        <v>0</v>
      </c>
      <c r="AO23" s="91">
        <f>'1'!AO23+'2'!AO23+'3'!AO23+'4'!AO23+'5'!AO23+'6'!AO23</f>
        <v>0</v>
      </c>
      <c r="AP23" s="91">
        <f>'1'!AP23+'2'!AP23+'3'!AP23+'4'!AP23+'5'!AP23+'6'!AP23</f>
        <v>0</v>
      </c>
      <c r="AQ23" s="16">
        <f t="shared" si="3"/>
        <v>0</v>
      </c>
      <c r="AR23" s="17">
        <f t="shared" si="11"/>
        <v>0</v>
      </c>
      <c r="AS23" s="91">
        <f>AT23</f>
        <v>0</v>
      </c>
      <c r="AT23" s="91">
        <f>'1'!AT23+'2'!AT23+'3'!AT23+'4'!AT23+'5'!AT23+'6'!AT23</f>
        <v>0</v>
      </c>
      <c r="AU23" s="92">
        <f>IF(AT23-AQ23=0,0,(AT23-M23-O23-Q23)/AT23)</f>
        <v>0</v>
      </c>
      <c r="AV23" s="92">
        <f>IF(AT23=0,0,(AT23-N23-P23-R23-AC23-AD23-AE23-AF23-AG23-AH23-AI23-AJ23-AL23)/AT23)</f>
        <v>0</v>
      </c>
      <c r="AW23" s="92">
        <f>IF(OR(AT23=0,AU23=0),0,((AT23*AU23)-S23-U23-W23-AA23-Y23)/(AT23*AU23))</f>
        <v>0</v>
      </c>
      <c r="AX23" s="92">
        <f>IF(OR(AT23=0,AV23=0),0,((AT23*AV23)-AK23-AM23-AN23-AO23-AP23-T23-V23-X23-Z23-AB23)/(AT23*AV23))</f>
        <v>0</v>
      </c>
      <c r="AY23" s="92">
        <f>IF(D23=0,0,K23/D23/24)</f>
        <v>0</v>
      </c>
      <c r="AZ23" s="92">
        <f>IF(E23=0,0,L23/E23/24)</f>
        <v>0</v>
      </c>
      <c r="BA23" s="95">
        <f>ROUND(AT23-E23-AR23,4)</f>
        <v>0</v>
      </c>
      <c r="BB23" s="140"/>
      <c r="BC23"/>
    </row>
    <row r="24" spans="1:55" ht="15" customHeight="1" thickBot="1" x14ac:dyDescent="0.3">
      <c r="A24" s="87" t="s">
        <v>80</v>
      </c>
      <c r="B24" s="124"/>
      <c r="C24" s="87"/>
      <c r="D24" s="129">
        <f t="shared" ref="D24" si="13">SUM(D25:D41)</f>
        <v>0</v>
      </c>
      <c r="E24" s="129">
        <f>SUM(E25:E41)</f>
        <v>0</v>
      </c>
      <c r="F24" s="129">
        <f>SUM(F25:F41)</f>
        <v>0</v>
      </c>
      <c r="G24" s="129">
        <f t="shared" ref="G24:AP24" si="14">SUM(G25:G41)</f>
        <v>0</v>
      </c>
      <c r="H24" s="131">
        <f t="shared" si="14"/>
        <v>0</v>
      </c>
      <c r="I24" s="131">
        <f t="shared" si="14"/>
        <v>0</v>
      </c>
      <c r="J24" s="129">
        <f t="shared" si="14"/>
        <v>0</v>
      </c>
      <c r="K24" s="130">
        <f t="shared" si="14"/>
        <v>0</v>
      </c>
      <c r="L24" s="130">
        <f t="shared" si="14"/>
        <v>0</v>
      </c>
      <c r="M24" s="129">
        <f t="shared" si="14"/>
        <v>0</v>
      </c>
      <c r="N24" s="129">
        <f t="shared" si="14"/>
        <v>0</v>
      </c>
      <c r="O24" s="129">
        <f t="shared" si="14"/>
        <v>0</v>
      </c>
      <c r="P24" s="129">
        <f t="shared" si="14"/>
        <v>0</v>
      </c>
      <c r="Q24" s="129">
        <f t="shared" si="14"/>
        <v>0</v>
      </c>
      <c r="R24" s="129">
        <f t="shared" si="14"/>
        <v>0</v>
      </c>
      <c r="S24" s="129">
        <f t="shared" si="14"/>
        <v>0</v>
      </c>
      <c r="T24" s="129">
        <f t="shared" si="14"/>
        <v>0</v>
      </c>
      <c r="U24" s="129">
        <f t="shared" si="14"/>
        <v>0</v>
      </c>
      <c r="V24" s="129">
        <f t="shared" si="14"/>
        <v>0</v>
      </c>
      <c r="W24" s="129">
        <f t="shared" si="14"/>
        <v>0</v>
      </c>
      <c r="X24" s="129">
        <f t="shared" si="14"/>
        <v>0</v>
      </c>
      <c r="Y24" s="129">
        <f t="shared" si="14"/>
        <v>0</v>
      </c>
      <c r="Z24" s="129">
        <f t="shared" si="14"/>
        <v>0</v>
      </c>
      <c r="AA24" s="129">
        <f t="shared" si="14"/>
        <v>0</v>
      </c>
      <c r="AB24" s="129">
        <f t="shared" si="14"/>
        <v>0</v>
      </c>
      <c r="AC24" s="129">
        <f t="shared" si="14"/>
        <v>0</v>
      </c>
      <c r="AD24" s="129">
        <f t="shared" si="14"/>
        <v>0</v>
      </c>
      <c r="AE24" s="129">
        <f t="shared" si="14"/>
        <v>0</v>
      </c>
      <c r="AF24" s="129">
        <f t="shared" si="14"/>
        <v>0</v>
      </c>
      <c r="AG24" s="129">
        <f t="shared" si="14"/>
        <v>0</v>
      </c>
      <c r="AH24" s="129">
        <f t="shared" si="14"/>
        <v>0</v>
      </c>
      <c r="AI24" s="129">
        <f t="shared" si="14"/>
        <v>0</v>
      </c>
      <c r="AJ24" s="129">
        <f t="shared" si="14"/>
        <v>0</v>
      </c>
      <c r="AK24" s="129">
        <f t="shared" si="14"/>
        <v>0</v>
      </c>
      <c r="AL24" s="129">
        <f>SUM(AL25:AL41)</f>
        <v>0</v>
      </c>
      <c r="AM24" s="129">
        <f t="shared" si="14"/>
        <v>0</v>
      </c>
      <c r="AN24" s="129">
        <f t="shared" si="14"/>
        <v>0</v>
      </c>
      <c r="AO24" s="129">
        <f t="shared" si="14"/>
        <v>0</v>
      </c>
      <c r="AP24" s="129">
        <f t="shared" si="14"/>
        <v>0</v>
      </c>
      <c r="AQ24" s="129">
        <f t="shared" si="3"/>
        <v>0</v>
      </c>
      <c r="AR24" s="129">
        <f t="shared" si="11"/>
        <v>0</v>
      </c>
      <c r="AS24" s="129">
        <f t="shared" ref="AS24:AS59" si="15">AT24</f>
        <v>0</v>
      </c>
      <c r="AT24" s="129">
        <f>SUM(AT25:AT41)</f>
        <v>0</v>
      </c>
      <c r="AU24" s="131">
        <f t="shared" ref="AU24:AU59" si="16">IF(AT24-AQ24=0,0,(AT24-M24-O24-Q24)/AT24)</f>
        <v>0</v>
      </c>
      <c r="AV24" s="131">
        <f t="shared" si="4"/>
        <v>0</v>
      </c>
      <c r="AW24" s="131">
        <f t="shared" ref="AW24:AW59" si="17">IF(OR(AT24=0,AU24=0),0,((AT24*AU24)-S24-U24-W24-AA24-Y24)/(AT24*AU24))</f>
        <v>0</v>
      </c>
      <c r="AX24" s="131">
        <f t="shared" ref="AX24:AX59" si="18">IF(OR(AT24=0,AV24=0),0,((AT24*AV24)-AK24-AM24-AN24-AO24-AP24-T24-V24-X24-Z24-AB24)/(AT24*AV24))</f>
        <v>0</v>
      </c>
      <c r="AY24" s="131">
        <f>SUM(AY25:AY41)</f>
        <v>0</v>
      </c>
      <c r="AZ24" s="131">
        <f>SUM(AZ25:AZ41)</f>
        <v>0</v>
      </c>
      <c r="BA24" s="129">
        <f t="shared" ref="BA24:BA59" si="19">ROUND(AT24-E24-AR24,4)</f>
        <v>0</v>
      </c>
      <c r="BB24" s="141"/>
      <c r="BC24"/>
    </row>
    <row r="25" spans="1:55" ht="15" hidden="1" customHeight="1" x14ac:dyDescent="0.25">
      <c r="A25" s="97" t="s">
        <v>28</v>
      </c>
      <c r="B25" s="115"/>
      <c r="C25" s="115">
        <v>30</v>
      </c>
      <c r="D25" s="121">
        <f>AT25*AU25*AW25</f>
        <v>0</v>
      </c>
      <c r="E25" s="16">
        <f>ROUND(AT25*AV25*AX25,4)</f>
        <v>0</v>
      </c>
      <c r="F25" s="91">
        <f>'1'!F25+'2'!F25+'3'!F25+'4'!F25+'5'!F25+'6'!F25</f>
        <v>0</v>
      </c>
      <c r="G25" s="91">
        <f>'1'!G25+'2'!G25+'3'!G25+'4'!G25+'5'!G25+'6'!G25</f>
        <v>0</v>
      </c>
      <c r="H25" s="135">
        <f>'1'!H25+'2'!H25+'3'!H25+'4'!H25+'5'!H25+'6'!H25</f>
        <v>0</v>
      </c>
      <c r="I25" s="135">
        <f>'1'!I25+'2'!I25+'3'!I25+'4'!I25+'5'!I25+'6'!I25</f>
        <v>0</v>
      </c>
      <c r="J25" s="98" t="s">
        <v>68</v>
      </c>
      <c r="K25" s="133">
        <f>'1'!K25+'2'!K25+'3'!K25+'4'!K25+'5'!K25+'6'!K25</f>
        <v>0</v>
      </c>
      <c r="L25" s="133">
        <f>'1'!L25+'2'!L25+'3'!L25+'4'!L25+'5'!L25+'6'!L25</f>
        <v>0</v>
      </c>
      <c r="M25" s="91">
        <f>'1'!M25+'2'!M25+'3'!M25+'4'!M25+'5'!M25+'6'!M25</f>
        <v>0</v>
      </c>
      <c r="N25" s="91">
        <f>'1'!N25+'2'!N25+'3'!N25+'4'!N25+'5'!N25+'6'!N25</f>
        <v>0</v>
      </c>
      <c r="O25" s="91">
        <f>'1'!O25+'2'!O25+'3'!O25+'4'!O25+'5'!O25+'6'!O25</f>
        <v>0</v>
      </c>
      <c r="P25" s="91">
        <f>'1'!P25+'2'!P25+'3'!P25+'4'!P25+'5'!P25+'6'!P25</f>
        <v>0</v>
      </c>
      <c r="Q25" s="91">
        <f>'1'!Q25+'2'!Q25+'3'!Q25+'4'!Q25+'5'!Q25+'6'!Q25</f>
        <v>0</v>
      </c>
      <c r="R25" s="91">
        <f>'1'!R25+'2'!R25+'3'!R25+'4'!R25+'5'!R25+'6'!R25</f>
        <v>0</v>
      </c>
      <c r="S25" s="91">
        <f>'1'!S25+'2'!S25+'3'!S25+'4'!S25+'5'!S25+'6'!S25</f>
        <v>0</v>
      </c>
      <c r="T25" s="91">
        <f>'1'!T25+'2'!T25+'3'!T25+'4'!T25+'5'!T25+'6'!T25</f>
        <v>0</v>
      </c>
      <c r="U25" s="91">
        <f>'1'!U25+'2'!U25+'3'!U25+'4'!U25+'5'!U25+'6'!U25</f>
        <v>0</v>
      </c>
      <c r="V25" s="91">
        <f>'1'!V25+'2'!V25+'3'!V25+'4'!V25+'5'!V25+'6'!V25</f>
        <v>0</v>
      </c>
      <c r="W25" s="91">
        <f>'1'!W25+'2'!W25+'3'!W25+'4'!W25+'5'!W25+'6'!W25</f>
        <v>0</v>
      </c>
      <c r="X25" s="91">
        <f>'1'!X25+'2'!X25+'3'!X25+'4'!X25+'5'!X25+'6'!X25</f>
        <v>0</v>
      </c>
      <c r="Y25" s="91">
        <f>'1'!Y25+'2'!Y25+'3'!Y25+'4'!Y25+'5'!Y25+'6'!Y25</f>
        <v>0</v>
      </c>
      <c r="Z25" s="91">
        <f>'1'!Z25+'2'!Z25+'3'!Z25+'4'!Z25+'5'!Z25+'6'!Z25</f>
        <v>0</v>
      </c>
      <c r="AA25" s="91">
        <f>'1'!AA25+'2'!AA25+'3'!AA25+'4'!AA25+'5'!AA25+'6'!AA25</f>
        <v>0</v>
      </c>
      <c r="AB25" s="91">
        <f>'1'!AB25+'2'!AB25+'3'!AB25+'4'!AB25+'5'!AB25+'6'!AB25</f>
        <v>0</v>
      </c>
      <c r="AC25" s="91">
        <f>'1'!AC25+'2'!AC25+'3'!AC25+'4'!AC25+'5'!AC25+'6'!AC25</f>
        <v>0</v>
      </c>
      <c r="AD25" s="91">
        <f>'1'!AD25+'2'!AD25+'3'!AD25+'4'!AD25+'5'!AD25+'6'!AD25</f>
        <v>0</v>
      </c>
      <c r="AE25" s="91">
        <f>'1'!AE25+'2'!AE25+'3'!AE25+'4'!AE25+'5'!AE25+'6'!AE25</f>
        <v>0</v>
      </c>
      <c r="AF25" s="91">
        <f>'1'!AF25+'2'!AF25+'3'!AF25+'4'!AF25+'5'!AF25+'6'!AF25</f>
        <v>0</v>
      </c>
      <c r="AG25" s="91">
        <f>'1'!AG25+'2'!AG25+'3'!AG25+'4'!AG25+'5'!AG25+'6'!AG25</f>
        <v>0</v>
      </c>
      <c r="AH25" s="91">
        <f>'1'!AH25+'2'!AH25+'3'!AH25+'4'!AH25+'5'!AH25+'6'!AH25</f>
        <v>0</v>
      </c>
      <c r="AI25" s="91">
        <f>'1'!AI25+'2'!AI25+'3'!AI25+'4'!AI25+'5'!AI25+'6'!AI25</f>
        <v>0</v>
      </c>
      <c r="AJ25" s="91">
        <f>'1'!AJ25+'2'!AJ25+'3'!AJ25+'4'!AJ25+'5'!AJ25+'6'!AJ25</f>
        <v>0</v>
      </c>
      <c r="AK25" s="91">
        <f>'1'!AK25+'2'!AK25+'3'!AK25+'4'!AK25+'5'!AK25+'6'!AK25</f>
        <v>0</v>
      </c>
      <c r="AL25" s="91">
        <f>'1'!AL25+'2'!AL25+'3'!AL25+'4'!AL25+'5'!AL25+'6'!AL25</f>
        <v>0</v>
      </c>
      <c r="AM25" s="91">
        <f>'1'!AM25+'2'!AM25+'3'!AM25+'4'!AM25+'5'!AM25+'6'!AM25</f>
        <v>0</v>
      </c>
      <c r="AN25" s="91">
        <f>'1'!AN25+'2'!AN25+'3'!AN25+'4'!AN25+'5'!AN25+'6'!AN25</f>
        <v>0</v>
      </c>
      <c r="AO25" s="91">
        <f>'1'!AO25+'2'!AO25+'3'!AO25+'4'!AO25+'5'!AO25+'6'!AO25</f>
        <v>0</v>
      </c>
      <c r="AP25" s="91">
        <f>'1'!AP25+'2'!AP25+'3'!AP25+'4'!AP25+'5'!AP25+'6'!AP25</f>
        <v>0</v>
      </c>
      <c r="AQ25" s="16">
        <f t="shared" si="3"/>
        <v>0</v>
      </c>
      <c r="AR25" s="17">
        <f t="shared" si="11"/>
        <v>0</v>
      </c>
      <c r="AS25" s="91">
        <f t="shared" si="15"/>
        <v>0</v>
      </c>
      <c r="AT25" s="17"/>
      <c r="AU25" s="92">
        <f t="shared" si="16"/>
        <v>0</v>
      </c>
      <c r="AV25" s="92">
        <f t="shared" si="4"/>
        <v>0</v>
      </c>
      <c r="AW25" s="92">
        <f t="shared" si="17"/>
        <v>0</v>
      </c>
      <c r="AX25" s="92">
        <f t="shared" si="18"/>
        <v>0</v>
      </c>
      <c r="AY25" s="82">
        <f t="shared" ref="AY25:AZ41" si="20">IF(D25=0,0,K25/D25/24)</f>
        <v>0</v>
      </c>
      <c r="AZ25" s="82">
        <f t="shared" si="20"/>
        <v>0</v>
      </c>
      <c r="BA25" s="95">
        <f t="shared" si="19"/>
        <v>0</v>
      </c>
      <c r="BB25" s="138"/>
      <c r="BC25"/>
    </row>
    <row r="26" spans="1:55" ht="15" customHeight="1" x14ac:dyDescent="0.25">
      <c r="A26" s="71" t="s">
        <v>29</v>
      </c>
      <c r="B26" s="123" t="s">
        <v>137</v>
      </c>
      <c r="C26" s="112">
        <v>32</v>
      </c>
      <c r="D26" s="121">
        <f>AT26*AU26*AW26</f>
        <v>0</v>
      </c>
      <c r="E26" s="16">
        <f>ROUND(AT26*AV26*AX26,4)</f>
        <v>0</v>
      </c>
      <c r="F26" s="91">
        <f>'1'!F26+'2'!F26+'3'!F26+'4'!F26+'5'!F26+'6'!F26</f>
        <v>0</v>
      </c>
      <c r="G26" s="91">
        <f>'1'!G26+'2'!G26+'3'!G26+'4'!G26+'5'!G26+'6'!G26</f>
        <v>0</v>
      </c>
      <c r="H26" s="135">
        <f>'1'!H26+'2'!H26+'3'!H26+'4'!H26+'5'!H26+'6'!H26</f>
        <v>0</v>
      </c>
      <c r="I26" s="135">
        <f>'1'!I26+'2'!I26+'3'!I26+'4'!I26+'5'!I26+'6'!I26</f>
        <v>0</v>
      </c>
      <c r="J26" s="9" t="s">
        <v>68</v>
      </c>
      <c r="K26" s="133">
        <f>'1'!K26+'2'!K26+'3'!K26+'4'!K26+'5'!K26+'6'!K26</f>
        <v>0</v>
      </c>
      <c r="L26" s="133">
        <f>'1'!L26+'2'!L26+'3'!L26+'4'!L26+'5'!L26+'6'!L26</f>
        <v>0</v>
      </c>
      <c r="M26" s="91">
        <f>'1'!M26+'2'!M26+'3'!M26+'4'!M26+'5'!M26+'6'!M26</f>
        <v>0</v>
      </c>
      <c r="N26" s="91">
        <f>'1'!N26+'2'!N26+'3'!N26+'4'!N26+'5'!N26+'6'!N26</f>
        <v>0</v>
      </c>
      <c r="O26" s="91">
        <f>'1'!O26+'2'!O26+'3'!O26+'4'!O26+'5'!O26+'6'!O26</f>
        <v>0</v>
      </c>
      <c r="P26" s="91">
        <f>'1'!P26+'2'!P26+'3'!P26+'4'!P26+'5'!P26+'6'!P26</f>
        <v>0</v>
      </c>
      <c r="Q26" s="91">
        <f>'1'!Q26+'2'!Q26+'3'!Q26+'4'!Q26+'5'!Q26+'6'!Q26</f>
        <v>0</v>
      </c>
      <c r="R26" s="91">
        <f>'1'!R26+'2'!R26+'3'!R26+'4'!R26+'5'!R26+'6'!R26</f>
        <v>0</v>
      </c>
      <c r="S26" s="91">
        <f>'1'!S26+'2'!S26+'3'!S26+'4'!S26+'5'!S26+'6'!S26</f>
        <v>0</v>
      </c>
      <c r="T26" s="91">
        <f>'1'!T26+'2'!T26+'3'!T26+'4'!T26+'5'!T26+'6'!T26</f>
        <v>0</v>
      </c>
      <c r="U26" s="91">
        <f>'1'!U26+'2'!U26+'3'!U26+'4'!U26+'5'!U26+'6'!U26</f>
        <v>0</v>
      </c>
      <c r="V26" s="91">
        <f>'1'!V26+'2'!V26+'3'!V26+'4'!V26+'5'!V26+'6'!V26</f>
        <v>0</v>
      </c>
      <c r="W26" s="91">
        <f>'1'!W26+'2'!W26+'3'!W26+'4'!W26+'5'!W26+'6'!W26</f>
        <v>0</v>
      </c>
      <c r="X26" s="91">
        <f>'1'!X26+'2'!X26+'3'!X26+'4'!X26+'5'!X26+'6'!X26</f>
        <v>0</v>
      </c>
      <c r="Y26" s="91">
        <f>'1'!Y26+'2'!Y26+'3'!Y26+'4'!Y26+'5'!Y26+'6'!Y26</f>
        <v>0</v>
      </c>
      <c r="Z26" s="91">
        <f>'1'!Z26+'2'!Z26+'3'!Z26+'4'!Z26+'5'!Z26+'6'!Z26</f>
        <v>0</v>
      </c>
      <c r="AA26" s="91">
        <f>'1'!AA26+'2'!AA26+'3'!AA26+'4'!AA26+'5'!AA26+'6'!AA26</f>
        <v>0</v>
      </c>
      <c r="AB26" s="91">
        <f>'1'!AB26+'2'!AB26+'3'!AB26+'4'!AB26+'5'!AB26+'6'!AB26</f>
        <v>0</v>
      </c>
      <c r="AC26" s="91">
        <f>'1'!AC26+'2'!AC26+'3'!AC26+'4'!AC26+'5'!AC26+'6'!AC26</f>
        <v>0</v>
      </c>
      <c r="AD26" s="91">
        <f>'1'!AD26+'2'!AD26+'3'!AD26+'4'!AD26+'5'!AD26+'6'!AD26</f>
        <v>0</v>
      </c>
      <c r="AE26" s="91">
        <f>'1'!AE26+'2'!AE26+'3'!AE26+'4'!AE26+'5'!AE26+'6'!AE26</f>
        <v>0</v>
      </c>
      <c r="AF26" s="91">
        <f>'1'!AF26+'2'!AF26+'3'!AF26+'4'!AF26+'5'!AF26+'6'!AF26</f>
        <v>0</v>
      </c>
      <c r="AG26" s="91">
        <f>'1'!AG26+'2'!AG26+'3'!AG26+'4'!AG26+'5'!AG26+'6'!AG26</f>
        <v>0</v>
      </c>
      <c r="AH26" s="91">
        <f>'1'!AH26+'2'!AH26+'3'!AH26+'4'!AH26+'5'!AH26+'6'!AH26</f>
        <v>0</v>
      </c>
      <c r="AI26" s="91">
        <f>'1'!AI26+'2'!AI26+'3'!AI26+'4'!AI26+'5'!AI26+'6'!AI26</f>
        <v>0</v>
      </c>
      <c r="AJ26" s="91">
        <f>'1'!AJ26+'2'!AJ26+'3'!AJ26+'4'!AJ26+'5'!AJ26+'6'!AJ26</f>
        <v>0</v>
      </c>
      <c r="AK26" s="91">
        <f>'1'!AK26+'2'!AK26+'3'!AK26+'4'!AK26+'5'!AK26+'6'!AK26</f>
        <v>0</v>
      </c>
      <c r="AL26" s="91">
        <f>'1'!AL26+'2'!AL26+'3'!AL26+'4'!AL26+'5'!AL26+'6'!AL26</f>
        <v>0</v>
      </c>
      <c r="AM26" s="91">
        <f>'1'!AM26+'2'!AM26+'3'!AM26+'4'!AM26+'5'!AM26+'6'!AM26</f>
        <v>0</v>
      </c>
      <c r="AN26" s="91">
        <f>'1'!AN26+'2'!AN26+'3'!AN26+'4'!AN26+'5'!AN26+'6'!AN26</f>
        <v>0</v>
      </c>
      <c r="AO26" s="91">
        <f>'1'!AO26+'2'!AO26+'3'!AO26+'4'!AO26+'5'!AO26+'6'!AO26</f>
        <v>0</v>
      </c>
      <c r="AP26" s="91">
        <f>'1'!AP26+'2'!AP26+'3'!AP26+'4'!AP26+'5'!AP26+'6'!AP26</f>
        <v>0</v>
      </c>
      <c r="AQ26" s="16">
        <f t="shared" si="3"/>
        <v>0</v>
      </c>
      <c r="AR26" s="17">
        <f t="shared" si="11"/>
        <v>0</v>
      </c>
      <c r="AS26" s="91">
        <f t="shared" si="15"/>
        <v>0</v>
      </c>
      <c r="AT26" s="91">
        <f>'1'!AT26+'2'!AT26+'3'!AT26+'4'!AT26+'5'!AT26+'6'!AT26</f>
        <v>0</v>
      </c>
      <c r="AU26" s="92">
        <f t="shared" si="16"/>
        <v>0</v>
      </c>
      <c r="AV26" s="92">
        <f t="shared" si="4"/>
        <v>0</v>
      </c>
      <c r="AW26" s="92">
        <f t="shared" si="17"/>
        <v>0</v>
      </c>
      <c r="AX26" s="92">
        <f t="shared" si="18"/>
        <v>0</v>
      </c>
      <c r="AY26" s="82">
        <f t="shared" si="20"/>
        <v>0</v>
      </c>
      <c r="AZ26" s="82">
        <f t="shared" si="20"/>
        <v>0</v>
      </c>
      <c r="BA26" s="95">
        <f t="shared" si="19"/>
        <v>0</v>
      </c>
      <c r="BB26" s="139"/>
      <c r="BC26"/>
    </row>
    <row r="27" spans="1:55" ht="15" customHeight="1" thickBot="1" x14ac:dyDescent="0.3">
      <c r="A27" s="71" t="s">
        <v>30</v>
      </c>
      <c r="B27" s="123" t="s">
        <v>138</v>
      </c>
      <c r="C27" s="112">
        <v>35</v>
      </c>
      <c r="D27" s="121">
        <f>AT27*AU27*AW27</f>
        <v>0</v>
      </c>
      <c r="E27" s="16">
        <f>ROUND(AT27*AV27*AX27,4)</f>
        <v>0</v>
      </c>
      <c r="F27" s="91">
        <f>'1'!F27+'2'!F27+'3'!F27+'4'!F27+'5'!F27+'6'!F27</f>
        <v>0</v>
      </c>
      <c r="G27" s="91">
        <f>'1'!G27+'2'!G27+'3'!G27+'4'!G27+'5'!G27+'6'!G27</f>
        <v>0</v>
      </c>
      <c r="H27" s="135">
        <f>'1'!H27+'2'!H27+'3'!H27+'4'!H27+'5'!H27+'6'!H27</f>
        <v>0</v>
      </c>
      <c r="I27" s="135">
        <f>'1'!I27+'2'!I27+'3'!I27+'4'!I27+'5'!I27+'6'!I27</f>
        <v>0</v>
      </c>
      <c r="J27" s="9" t="s">
        <v>68</v>
      </c>
      <c r="K27" s="133">
        <f>'1'!K27+'2'!K27+'3'!K27+'4'!K27+'5'!K27+'6'!K27</f>
        <v>0</v>
      </c>
      <c r="L27" s="133">
        <f>'1'!L27+'2'!L27+'3'!L27+'4'!L27+'5'!L27+'6'!L27</f>
        <v>0</v>
      </c>
      <c r="M27" s="91">
        <f>'1'!M27+'2'!M27+'3'!M27+'4'!M27+'5'!M27+'6'!M27</f>
        <v>0</v>
      </c>
      <c r="N27" s="91">
        <f>'1'!N27+'2'!N27+'3'!N27+'4'!N27+'5'!N27+'6'!N27</f>
        <v>0</v>
      </c>
      <c r="O27" s="91">
        <f>'1'!O27+'2'!O27+'3'!O27+'4'!O27+'5'!O27+'6'!O27</f>
        <v>0</v>
      </c>
      <c r="P27" s="91">
        <f>'1'!P27+'2'!P27+'3'!P27+'4'!P27+'5'!P27+'6'!P27</f>
        <v>0</v>
      </c>
      <c r="Q27" s="91">
        <f>'1'!Q27+'2'!Q27+'3'!Q27+'4'!Q27+'5'!Q27+'6'!Q27</f>
        <v>0</v>
      </c>
      <c r="R27" s="91">
        <f>'1'!R27+'2'!R27+'3'!R27+'4'!R27+'5'!R27+'6'!R27</f>
        <v>0</v>
      </c>
      <c r="S27" s="91">
        <f>'1'!S27+'2'!S27+'3'!S27+'4'!S27+'5'!S27+'6'!S27</f>
        <v>0</v>
      </c>
      <c r="T27" s="91">
        <f>'1'!T27+'2'!T27+'3'!T27+'4'!T27+'5'!T27+'6'!T27</f>
        <v>0</v>
      </c>
      <c r="U27" s="91">
        <f>'1'!U27+'2'!U27+'3'!U27+'4'!U27+'5'!U27+'6'!U27</f>
        <v>0</v>
      </c>
      <c r="V27" s="91">
        <f>'1'!V27+'2'!V27+'3'!V27+'4'!V27+'5'!V27+'6'!V27</f>
        <v>0</v>
      </c>
      <c r="W27" s="91">
        <f>'1'!W27+'2'!W27+'3'!W27+'4'!W27+'5'!W27+'6'!W27</f>
        <v>0</v>
      </c>
      <c r="X27" s="91">
        <f>'1'!X27+'2'!X27+'3'!X27+'4'!X27+'5'!X27+'6'!X27</f>
        <v>0</v>
      </c>
      <c r="Y27" s="91">
        <f>'1'!Y27+'2'!Y27+'3'!Y27+'4'!Y27+'5'!Y27+'6'!Y27</f>
        <v>0</v>
      </c>
      <c r="Z27" s="91">
        <f>'1'!Z27+'2'!Z27+'3'!Z27+'4'!Z27+'5'!Z27+'6'!Z27</f>
        <v>0</v>
      </c>
      <c r="AA27" s="91">
        <f>'1'!AA27+'2'!AA27+'3'!AA27+'4'!AA27+'5'!AA27+'6'!AA27</f>
        <v>0</v>
      </c>
      <c r="AB27" s="91">
        <f>'1'!AB27+'2'!AB27+'3'!AB27+'4'!AB27+'5'!AB27+'6'!AB27</f>
        <v>0</v>
      </c>
      <c r="AC27" s="91">
        <f>'1'!AC27+'2'!AC27+'3'!AC27+'4'!AC27+'5'!AC27+'6'!AC27</f>
        <v>0</v>
      </c>
      <c r="AD27" s="91">
        <f>'1'!AD27+'2'!AD27+'3'!AD27+'4'!AD27+'5'!AD27+'6'!AD27</f>
        <v>0</v>
      </c>
      <c r="AE27" s="91">
        <f>'1'!AE27+'2'!AE27+'3'!AE27+'4'!AE27+'5'!AE27+'6'!AE27</f>
        <v>0</v>
      </c>
      <c r="AF27" s="91">
        <f>'1'!AF27+'2'!AF27+'3'!AF27+'4'!AF27+'5'!AF27+'6'!AF27</f>
        <v>0</v>
      </c>
      <c r="AG27" s="91">
        <f>'1'!AG27+'2'!AG27+'3'!AG27+'4'!AG27+'5'!AG27+'6'!AG27</f>
        <v>0</v>
      </c>
      <c r="AH27" s="91">
        <f>'1'!AH27+'2'!AH27+'3'!AH27+'4'!AH27+'5'!AH27+'6'!AH27</f>
        <v>0</v>
      </c>
      <c r="AI27" s="91">
        <f>'1'!AI27+'2'!AI27+'3'!AI27+'4'!AI27+'5'!AI27+'6'!AI27</f>
        <v>0</v>
      </c>
      <c r="AJ27" s="91">
        <f>'1'!AJ27+'2'!AJ27+'3'!AJ27+'4'!AJ27+'5'!AJ27+'6'!AJ27</f>
        <v>0</v>
      </c>
      <c r="AK27" s="91">
        <f>'1'!AK27+'2'!AK27+'3'!AK27+'4'!AK27+'5'!AK27+'6'!AK27</f>
        <v>0</v>
      </c>
      <c r="AL27" s="91">
        <f>'1'!AL27+'2'!AL27+'3'!AL27+'4'!AL27+'5'!AL27+'6'!AL27</f>
        <v>0</v>
      </c>
      <c r="AM27" s="91">
        <f>'1'!AM27+'2'!AM27+'3'!AM27+'4'!AM27+'5'!AM27+'6'!AM27</f>
        <v>0</v>
      </c>
      <c r="AN27" s="91">
        <f>'1'!AN27+'2'!AN27+'3'!AN27+'4'!AN27+'5'!AN27+'6'!AN27</f>
        <v>0</v>
      </c>
      <c r="AO27" s="91">
        <f>'1'!AO27+'2'!AO27+'3'!AO27+'4'!AO27+'5'!AO27+'6'!AO27</f>
        <v>0</v>
      </c>
      <c r="AP27" s="91">
        <f>'1'!AP27+'2'!AP27+'3'!AP27+'4'!AP27+'5'!AP27+'6'!AP27</f>
        <v>0</v>
      </c>
      <c r="AQ27" s="16">
        <f t="shared" si="3"/>
        <v>0</v>
      </c>
      <c r="AR27" s="17">
        <f t="shared" si="11"/>
        <v>0</v>
      </c>
      <c r="AS27" s="91">
        <f t="shared" si="15"/>
        <v>0</v>
      </c>
      <c r="AT27" s="91">
        <f>'1'!AT27+'2'!AT27+'3'!AT27+'4'!AT27+'5'!AT27+'6'!AT27</f>
        <v>0</v>
      </c>
      <c r="AU27" s="92">
        <f t="shared" si="16"/>
        <v>0</v>
      </c>
      <c r="AV27" s="92">
        <f t="shared" si="4"/>
        <v>0</v>
      </c>
      <c r="AW27" s="92">
        <f t="shared" si="17"/>
        <v>0</v>
      </c>
      <c r="AX27" s="92">
        <f t="shared" si="18"/>
        <v>0</v>
      </c>
      <c r="AY27" s="82">
        <f t="shared" si="20"/>
        <v>0</v>
      </c>
      <c r="AZ27" s="82">
        <f t="shared" si="20"/>
        <v>0</v>
      </c>
      <c r="BA27" s="95">
        <f t="shared" si="19"/>
        <v>0</v>
      </c>
      <c r="BB27" s="139"/>
      <c r="BC27"/>
    </row>
    <row r="28" spans="1:55" ht="15" hidden="1" customHeight="1" x14ac:dyDescent="0.3">
      <c r="A28" s="72" t="s">
        <v>31</v>
      </c>
      <c r="B28" s="111"/>
      <c r="C28" s="111">
        <v>39</v>
      </c>
      <c r="D28" s="121">
        <f t="shared" ref="D28:D41" si="21">AT28*AU28*AW28</f>
        <v>0</v>
      </c>
      <c r="E28" s="16">
        <f t="shared" ref="E28:E41" si="22">ROUND(AT28*AV28*AX28,4)</f>
        <v>0</v>
      </c>
      <c r="F28" s="91">
        <f>'1'!F28+'2'!F28+'3'!F28+'4'!F28+'5'!F28+'6'!F28</f>
        <v>0</v>
      </c>
      <c r="G28" s="91">
        <f>'1'!G28+'2'!G28+'3'!G28+'4'!G28+'5'!G28+'6'!G28</f>
        <v>0</v>
      </c>
      <c r="H28" s="135">
        <f>'1'!H28+'2'!H28+'3'!H28+'4'!H28+'5'!H28+'6'!H28</f>
        <v>0</v>
      </c>
      <c r="I28" s="135">
        <f>'1'!I28+'2'!I28+'3'!I28+'4'!I28+'5'!I28+'6'!I28</f>
        <v>0</v>
      </c>
      <c r="J28" s="9" t="s">
        <v>68</v>
      </c>
      <c r="K28" s="133">
        <f>'1'!K28+'2'!K28+'3'!K28+'4'!K28+'5'!K28+'6'!K28</f>
        <v>0</v>
      </c>
      <c r="L28" s="133">
        <f>'1'!L28+'2'!L28+'3'!L28+'4'!L28+'5'!L28+'6'!L28</f>
        <v>0</v>
      </c>
      <c r="M28" s="91">
        <f>'1'!M28+'2'!M28+'3'!M28+'4'!M28+'5'!M28+'6'!M28</f>
        <v>0</v>
      </c>
      <c r="N28" s="91">
        <f>'1'!N28+'2'!N28+'3'!N28+'4'!N28+'5'!N28+'6'!N28</f>
        <v>0</v>
      </c>
      <c r="O28" s="91">
        <f>'1'!O28+'2'!O28+'3'!O28+'4'!O28+'5'!O28+'6'!O28</f>
        <v>0</v>
      </c>
      <c r="P28" s="91">
        <f>'1'!P28+'2'!P28+'3'!P28+'4'!P28+'5'!P28+'6'!P28</f>
        <v>0</v>
      </c>
      <c r="Q28" s="91">
        <f>'1'!Q28+'2'!Q28+'3'!Q28+'4'!Q28+'5'!Q28+'6'!Q28</f>
        <v>0</v>
      </c>
      <c r="R28" s="91">
        <f>'1'!R28+'2'!R28+'3'!R28+'4'!R28+'5'!R28+'6'!R28</f>
        <v>0</v>
      </c>
      <c r="S28" s="91">
        <f>'1'!S28+'2'!S28+'3'!S28+'4'!S28+'5'!S28+'6'!S28</f>
        <v>0</v>
      </c>
      <c r="T28" s="91">
        <f>'1'!T28+'2'!T28+'3'!T28+'4'!T28+'5'!T28+'6'!T28</f>
        <v>0</v>
      </c>
      <c r="U28" s="91">
        <f>'1'!U28+'2'!U28+'3'!U28+'4'!U28+'5'!U28+'6'!U28</f>
        <v>0</v>
      </c>
      <c r="V28" s="91">
        <f>'1'!V28+'2'!V28+'3'!V28+'4'!V28+'5'!V28+'6'!V28</f>
        <v>0</v>
      </c>
      <c r="W28" s="91">
        <f>'1'!W28+'2'!W28+'3'!W28+'4'!W28+'5'!W28+'6'!W28</f>
        <v>0</v>
      </c>
      <c r="X28" s="91">
        <f>'1'!X28+'2'!X28+'3'!X28+'4'!X28+'5'!X28+'6'!X28</f>
        <v>0</v>
      </c>
      <c r="Y28" s="91">
        <f>'1'!Y28+'2'!Y28+'3'!Y28+'4'!Y28+'5'!Y28+'6'!Y28</f>
        <v>0</v>
      </c>
      <c r="Z28" s="91">
        <f>'1'!Z28+'2'!Z28+'3'!Z28+'4'!Z28+'5'!Z28+'6'!Z28</f>
        <v>0</v>
      </c>
      <c r="AA28" s="91">
        <f>'1'!AA28+'2'!AA28+'3'!AA28+'4'!AA28+'5'!AA28+'6'!AA28</f>
        <v>0</v>
      </c>
      <c r="AB28" s="91">
        <f>'1'!AB28+'2'!AB28+'3'!AB28+'4'!AB28+'5'!AB28+'6'!AB28</f>
        <v>0</v>
      </c>
      <c r="AC28" s="91">
        <f>'1'!AC28+'2'!AC28+'3'!AC28+'4'!AC28+'5'!AC28+'6'!AC28</f>
        <v>0</v>
      </c>
      <c r="AD28" s="91">
        <f>'1'!AD28+'2'!AD28+'3'!AD28+'4'!AD28+'5'!AD28+'6'!AD28</f>
        <v>0</v>
      </c>
      <c r="AE28" s="91">
        <f>'1'!AE28+'2'!AE28+'3'!AE28+'4'!AE28+'5'!AE28+'6'!AE28</f>
        <v>0</v>
      </c>
      <c r="AF28" s="91">
        <f>'1'!AF28+'2'!AF28+'3'!AF28+'4'!AF28+'5'!AF28+'6'!AF28</f>
        <v>0</v>
      </c>
      <c r="AG28" s="91">
        <f>'1'!AG28+'2'!AG28+'3'!AG28+'4'!AG28+'5'!AG28+'6'!AG28</f>
        <v>0</v>
      </c>
      <c r="AH28" s="91">
        <f>'1'!AH28+'2'!AH28+'3'!AH28+'4'!AH28+'5'!AH28+'6'!AH28</f>
        <v>0</v>
      </c>
      <c r="AI28" s="91">
        <f>'1'!AI28+'2'!AI28+'3'!AI28+'4'!AI28+'5'!AI28+'6'!AI28</f>
        <v>0</v>
      </c>
      <c r="AJ28" s="91">
        <f>'1'!AJ28+'2'!AJ28+'3'!AJ28+'4'!AJ28+'5'!AJ28+'6'!AJ28</f>
        <v>0</v>
      </c>
      <c r="AK28" s="91">
        <f>'1'!AK28+'2'!AK28+'3'!AK28+'4'!AK28+'5'!AK28+'6'!AK28</f>
        <v>0</v>
      </c>
      <c r="AL28" s="91">
        <f>'1'!AL28+'2'!AL28+'3'!AL28+'4'!AL28+'5'!AL28+'6'!AL28</f>
        <v>0</v>
      </c>
      <c r="AM28" s="91">
        <f>'1'!AM28+'2'!AM28+'3'!AM28+'4'!AM28+'5'!AM28+'6'!AM28</f>
        <v>0</v>
      </c>
      <c r="AN28" s="91">
        <f>'1'!AN28+'2'!AN28+'3'!AN28+'4'!AN28+'5'!AN28+'6'!AN28</f>
        <v>0</v>
      </c>
      <c r="AO28" s="91">
        <f>'1'!AO28+'2'!AO28+'3'!AO28+'4'!AO28+'5'!AO28+'6'!AO28</f>
        <v>0</v>
      </c>
      <c r="AP28" s="91">
        <f>'1'!AP28+'2'!AP28+'3'!AP28+'4'!AP28+'5'!AP28+'6'!AP28</f>
        <v>0</v>
      </c>
      <c r="AQ28" s="16">
        <f t="shared" si="3"/>
        <v>0</v>
      </c>
      <c r="AR28" s="17">
        <f t="shared" si="11"/>
        <v>0</v>
      </c>
      <c r="AS28" s="91">
        <f t="shared" si="15"/>
        <v>0</v>
      </c>
      <c r="AT28" s="15"/>
      <c r="AU28" s="92">
        <f t="shared" si="16"/>
        <v>0</v>
      </c>
      <c r="AV28" s="92">
        <f t="shared" si="4"/>
        <v>0</v>
      </c>
      <c r="AW28" s="92">
        <f t="shared" si="17"/>
        <v>0</v>
      </c>
      <c r="AX28" s="92">
        <f t="shared" si="18"/>
        <v>0</v>
      </c>
      <c r="AY28" s="82">
        <f t="shared" si="20"/>
        <v>0</v>
      </c>
      <c r="AZ28" s="82">
        <f t="shared" si="20"/>
        <v>0</v>
      </c>
      <c r="BA28" s="95">
        <f t="shared" si="19"/>
        <v>0</v>
      </c>
      <c r="BB28" s="139"/>
      <c r="BC28"/>
    </row>
    <row r="29" spans="1:55" ht="15" hidden="1" customHeight="1" x14ac:dyDescent="0.3">
      <c r="A29" s="72" t="s">
        <v>32</v>
      </c>
      <c r="B29" s="111"/>
      <c r="C29" s="111">
        <v>40</v>
      </c>
      <c r="D29" s="121">
        <f t="shared" si="21"/>
        <v>0</v>
      </c>
      <c r="E29" s="16">
        <f t="shared" si="22"/>
        <v>0</v>
      </c>
      <c r="F29" s="91">
        <f>'1'!F29+'2'!F29+'3'!F29+'4'!F29+'5'!F29+'6'!F29</f>
        <v>0</v>
      </c>
      <c r="G29" s="91">
        <f>'1'!G29+'2'!G29+'3'!G29+'4'!G29+'5'!G29+'6'!G29</f>
        <v>0</v>
      </c>
      <c r="H29" s="135">
        <f>'1'!H29+'2'!H29+'3'!H29+'4'!H29+'5'!H29+'6'!H29</f>
        <v>0</v>
      </c>
      <c r="I29" s="135">
        <f>'1'!I29+'2'!I29+'3'!I29+'4'!I29+'5'!I29+'6'!I29</f>
        <v>0</v>
      </c>
      <c r="J29" s="9" t="s">
        <v>68</v>
      </c>
      <c r="K29" s="133">
        <f>'1'!K29+'2'!K29+'3'!K29+'4'!K29+'5'!K29+'6'!K29</f>
        <v>0</v>
      </c>
      <c r="L29" s="133">
        <f>'1'!L29+'2'!L29+'3'!L29+'4'!L29+'5'!L29+'6'!L29</f>
        <v>0</v>
      </c>
      <c r="M29" s="91">
        <f>'1'!M29+'2'!M29+'3'!M29+'4'!M29+'5'!M29+'6'!M29</f>
        <v>0</v>
      </c>
      <c r="N29" s="91">
        <f>'1'!N29+'2'!N29+'3'!N29+'4'!N29+'5'!N29+'6'!N29</f>
        <v>0</v>
      </c>
      <c r="O29" s="91">
        <f>'1'!O29+'2'!O29+'3'!O29+'4'!O29+'5'!O29+'6'!O29</f>
        <v>0</v>
      </c>
      <c r="P29" s="91">
        <f>'1'!P29+'2'!P29+'3'!P29+'4'!P29+'5'!P29+'6'!P29</f>
        <v>0</v>
      </c>
      <c r="Q29" s="91">
        <f>'1'!Q29+'2'!Q29+'3'!Q29+'4'!Q29+'5'!Q29+'6'!Q29</f>
        <v>0</v>
      </c>
      <c r="R29" s="91">
        <f>'1'!R29+'2'!R29+'3'!R29+'4'!R29+'5'!R29+'6'!R29</f>
        <v>0</v>
      </c>
      <c r="S29" s="91">
        <f>'1'!S29+'2'!S29+'3'!S29+'4'!S29+'5'!S29+'6'!S29</f>
        <v>0</v>
      </c>
      <c r="T29" s="91">
        <f>'1'!T29+'2'!T29+'3'!T29+'4'!T29+'5'!T29+'6'!T29</f>
        <v>0</v>
      </c>
      <c r="U29" s="91">
        <f>'1'!U29+'2'!U29+'3'!U29+'4'!U29+'5'!U29+'6'!U29</f>
        <v>0</v>
      </c>
      <c r="V29" s="91">
        <f>'1'!V29+'2'!V29+'3'!V29+'4'!V29+'5'!V29+'6'!V29</f>
        <v>0</v>
      </c>
      <c r="W29" s="91">
        <f>'1'!W29+'2'!W29+'3'!W29+'4'!W29+'5'!W29+'6'!W29</f>
        <v>0</v>
      </c>
      <c r="X29" s="91">
        <f>'1'!X29+'2'!X29+'3'!X29+'4'!X29+'5'!X29+'6'!X29</f>
        <v>0</v>
      </c>
      <c r="Y29" s="91">
        <f>'1'!Y29+'2'!Y29+'3'!Y29+'4'!Y29+'5'!Y29+'6'!Y29</f>
        <v>0</v>
      </c>
      <c r="Z29" s="91">
        <f>'1'!Z29+'2'!Z29+'3'!Z29+'4'!Z29+'5'!Z29+'6'!Z29</f>
        <v>0</v>
      </c>
      <c r="AA29" s="91">
        <f>'1'!AA29+'2'!AA29+'3'!AA29+'4'!AA29+'5'!AA29+'6'!AA29</f>
        <v>0</v>
      </c>
      <c r="AB29" s="91">
        <f>'1'!AB29+'2'!AB29+'3'!AB29+'4'!AB29+'5'!AB29+'6'!AB29</f>
        <v>0</v>
      </c>
      <c r="AC29" s="91">
        <f>'1'!AC29+'2'!AC29+'3'!AC29+'4'!AC29+'5'!AC29+'6'!AC29</f>
        <v>0</v>
      </c>
      <c r="AD29" s="91">
        <f>'1'!AD29+'2'!AD29+'3'!AD29+'4'!AD29+'5'!AD29+'6'!AD29</f>
        <v>0</v>
      </c>
      <c r="AE29" s="91">
        <f>'1'!AE29+'2'!AE29+'3'!AE29+'4'!AE29+'5'!AE29+'6'!AE29</f>
        <v>0</v>
      </c>
      <c r="AF29" s="91">
        <f>'1'!AF29+'2'!AF29+'3'!AF29+'4'!AF29+'5'!AF29+'6'!AF29</f>
        <v>0</v>
      </c>
      <c r="AG29" s="91">
        <f>'1'!AG29+'2'!AG29+'3'!AG29+'4'!AG29+'5'!AG29+'6'!AG29</f>
        <v>0</v>
      </c>
      <c r="AH29" s="91">
        <f>'1'!AH29+'2'!AH29+'3'!AH29+'4'!AH29+'5'!AH29+'6'!AH29</f>
        <v>0</v>
      </c>
      <c r="AI29" s="91">
        <f>'1'!AI29+'2'!AI29+'3'!AI29+'4'!AI29+'5'!AI29+'6'!AI29</f>
        <v>0</v>
      </c>
      <c r="AJ29" s="91">
        <f>'1'!AJ29+'2'!AJ29+'3'!AJ29+'4'!AJ29+'5'!AJ29+'6'!AJ29</f>
        <v>0</v>
      </c>
      <c r="AK29" s="91">
        <f>'1'!AK29+'2'!AK29+'3'!AK29+'4'!AK29+'5'!AK29+'6'!AK29</f>
        <v>0</v>
      </c>
      <c r="AL29" s="91">
        <f>'1'!AL29+'2'!AL29+'3'!AL29+'4'!AL29+'5'!AL29+'6'!AL29</f>
        <v>0</v>
      </c>
      <c r="AM29" s="91">
        <f>'1'!AM29+'2'!AM29+'3'!AM29+'4'!AM29+'5'!AM29+'6'!AM29</f>
        <v>0</v>
      </c>
      <c r="AN29" s="91">
        <f>'1'!AN29+'2'!AN29+'3'!AN29+'4'!AN29+'5'!AN29+'6'!AN29</f>
        <v>0</v>
      </c>
      <c r="AO29" s="91">
        <f>'1'!AO29+'2'!AO29+'3'!AO29+'4'!AO29+'5'!AO29+'6'!AO29</f>
        <v>0</v>
      </c>
      <c r="AP29" s="91">
        <f>'1'!AP29+'2'!AP29+'3'!AP29+'4'!AP29+'5'!AP29+'6'!AP29</f>
        <v>0</v>
      </c>
      <c r="AQ29" s="16">
        <f t="shared" si="3"/>
        <v>0</v>
      </c>
      <c r="AR29" s="17">
        <f t="shared" si="11"/>
        <v>0</v>
      </c>
      <c r="AS29" s="91">
        <f t="shared" si="15"/>
        <v>0</v>
      </c>
      <c r="AT29" s="15"/>
      <c r="AU29" s="92">
        <f t="shared" si="16"/>
        <v>0</v>
      </c>
      <c r="AV29" s="92">
        <f t="shared" si="4"/>
        <v>0</v>
      </c>
      <c r="AW29" s="92">
        <f t="shared" si="17"/>
        <v>0</v>
      </c>
      <c r="AX29" s="92">
        <f t="shared" si="18"/>
        <v>0</v>
      </c>
      <c r="AY29" s="82">
        <f t="shared" si="20"/>
        <v>0</v>
      </c>
      <c r="AZ29" s="82">
        <f t="shared" si="20"/>
        <v>0</v>
      </c>
      <c r="BA29" s="95">
        <f t="shared" si="19"/>
        <v>0</v>
      </c>
      <c r="BB29" s="139"/>
      <c r="BC29"/>
    </row>
    <row r="30" spans="1:55" ht="15" hidden="1" customHeight="1" x14ac:dyDescent="0.3">
      <c r="A30" s="72" t="s">
        <v>33</v>
      </c>
      <c r="B30" s="111"/>
      <c r="C30" s="111">
        <v>41</v>
      </c>
      <c r="D30" s="121">
        <f t="shared" si="21"/>
        <v>0</v>
      </c>
      <c r="E30" s="16">
        <f t="shared" si="22"/>
        <v>0</v>
      </c>
      <c r="F30" s="91">
        <f>'1'!F30+'2'!F30+'3'!F30+'4'!F30+'5'!F30+'6'!F30</f>
        <v>0</v>
      </c>
      <c r="G30" s="91">
        <f>'1'!G30+'2'!G30+'3'!G30+'4'!G30+'5'!G30+'6'!G30</f>
        <v>0</v>
      </c>
      <c r="H30" s="135">
        <f>'1'!H30+'2'!H30+'3'!H30+'4'!H30+'5'!H30+'6'!H30</f>
        <v>0</v>
      </c>
      <c r="I30" s="135">
        <f>'1'!I30+'2'!I30+'3'!I30+'4'!I30+'5'!I30+'6'!I30</f>
        <v>0</v>
      </c>
      <c r="J30" s="9" t="s">
        <v>68</v>
      </c>
      <c r="K30" s="133">
        <f>'1'!K30+'2'!K30+'3'!K30+'4'!K30+'5'!K30+'6'!K30</f>
        <v>0</v>
      </c>
      <c r="L30" s="133">
        <f>'1'!L30+'2'!L30+'3'!L30+'4'!L30+'5'!L30+'6'!L30</f>
        <v>0</v>
      </c>
      <c r="M30" s="91">
        <f>'1'!M30+'2'!M30+'3'!M30+'4'!M30+'5'!M30+'6'!M30</f>
        <v>0</v>
      </c>
      <c r="N30" s="91">
        <f>'1'!N30+'2'!N30+'3'!N30+'4'!N30+'5'!N30+'6'!N30</f>
        <v>0</v>
      </c>
      <c r="O30" s="91">
        <f>'1'!O30+'2'!O30+'3'!O30+'4'!O30+'5'!O30+'6'!O30</f>
        <v>0</v>
      </c>
      <c r="P30" s="91">
        <f>'1'!P30+'2'!P30+'3'!P30+'4'!P30+'5'!P30+'6'!P30</f>
        <v>0</v>
      </c>
      <c r="Q30" s="91">
        <f>'1'!Q30+'2'!Q30+'3'!Q30+'4'!Q30+'5'!Q30+'6'!Q30</f>
        <v>0</v>
      </c>
      <c r="R30" s="91">
        <f>'1'!R30+'2'!R30+'3'!R30+'4'!R30+'5'!R30+'6'!R30</f>
        <v>0</v>
      </c>
      <c r="S30" s="91">
        <f>'1'!S30+'2'!S30+'3'!S30+'4'!S30+'5'!S30+'6'!S30</f>
        <v>0</v>
      </c>
      <c r="T30" s="91">
        <f>'1'!T30+'2'!T30+'3'!T30+'4'!T30+'5'!T30+'6'!T30</f>
        <v>0</v>
      </c>
      <c r="U30" s="91">
        <f>'1'!U30+'2'!U30+'3'!U30+'4'!U30+'5'!U30+'6'!U30</f>
        <v>0</v>
      </c>
      <c r="V30" s="91">
        <f>'1'!V30+'2'!V30+'3'!V30+'4'!V30+'5'!V30+'6'!V30</f>
        <v>0</v>
      </c>
      <c r="W30" s="91">
        <f>'1'!W30+'2'!W30+'3'!W30+'4'!W30+'5'!W30+'6'!W30</f>
        <v>0</v>
      </c>
      <c r="X30" s="91">
        <f>'1'!X30+'2'!X30+'3'!X30+'4'!X30+'5'!X30+'6'!X30</f>
        <v>0</v>
      </c>
      <c r="Y30" s="91">
        <f>'1'!Y30+'2'!Y30+'3'!Y30+'4'!Y30+'5'!Y30+'6'!Y30</f>
        <v>0</v>
      </c>
      <c r="Z30" s="91">
        <f>'1'!Z30+'2'!Z30+'3'!Z30+'4'!Z30+'5'!Z30+'6'!Z30</f>
        <v>0</v>
      </c>
      <c r="AA30" s="91">
        <f>'1'!AA30+'2'!AA30+'3'!AA30+'4'!AA30+'5'!AA30+'6'!AA30</f>
        <v>0</v>
      </c>
      <c r="AB30" s="91">
        <f>'1'!AB30+'2'!AB30+'3'!AB30+'4'!AB30+'5'!AB30+'6'!AB30</f>
        <v>0</v>
      </c>
      <c r="AC30" s="91">
        <f>'1'!AC30+'2'!AC30+'3'!AC30+'4'!AC30+'5'!AC30+'6'!AC30</f>
        <v>0</v>
      </c>
      <c r="AD30" s="91">
        <f>'1'!AD30+'2'!AD30+'3'!AD30+'4'!AD30+'5'!AD30+'6'!AD30</f>
        <v>0</v>
      </c>
      <c r="AE30" s="91">
        <f>'1'!AE30+'2'!AE30+'3'!AE30+'4'!AE30+'5'!AE30+'6'!AE30</f>
        <v>0</v>
      </c>
      <c r="AF30" s="91">
        <f>'1'!AF30+'2'!AF30+'3'!AF30+'4'!AF30+'5'!AF30+'6'!AF30</f>
        <v>0</v>
      </c>
      <c r="AG30" s="91">
        <f>'1'!AG30+'2'!AG30+'3'!AG30+'4'!AG30+'5'!AG30+'6'!AG30</f>
        <v>0</v>
      </c>
      <c r="AH30" s="91">
        <f>'1'!AH30+'2'!AH30+'3'!AH30+'4'!AH30+'5'!AH30+'6'!AH30</f>
        <v>0</v>
      </c>
      <c r="AI30" s="91">
        <f>'1'!AI30+'2'!AI30+'3'!AI30+'4'!AI30+'5'!AI30+'6'!AI30</f>
        <v>0</v>
      </c>
      <c r="AJ30" s="91">
        <f>'1'!AJ30+'2'!AJ30+'3'!AJ30+'4'!AJ30+'5'!AJ30+'6'!AJ30</f>
        <v>0</v>
      </c>
      <c r="AK30" s="91">
        <f>'1'!AK30+'2'!AK30+'3'!AK30+'4'!AK30+'5'!AK30+'6'!AK30</f>
        <v>0</v>
      </c>
      <c r="AL30" s="91">
        <f>'1'!AL30+'2'!AL30+'3'!AL30+'4'!AL30+'5'!AL30+'6'!AL30</f>
        <v>0</v>
      </c>
      <c r="AM30" s="91">
        <f>'1'!AM30+'2'!AM30+'3'!AM30+'4'!AM30+'5'!AM30+'6'!AM30</f>
        <v>0</v>
      </c>
      <c r="AN30" s="91">
        <f>'1'!AN30+'2'!AN30+'3'!AN30+'4'!AN30+'5'!AN30+'6'!AN30</f>
        <v>0</v>
      </c>
      <c r="AO30" s="91">
        <f>'1'!AO30+'2'!AO30+'3'!AO30+'4'!AO30+'5'!AO30+'6'!AO30</f>
        <v>0</v>
      </c>
      <c r="AP30" s="91">
        <f>'1'!AP30+'2'!AP30+'3'!AP30+'4'!AP30+'5'!AP30+'6'!AP30</f>
        <v>0</v>
      </c>
      <c r="AQ30" s="16">
        <f t="shared" si="3"/>
        <v>0</v>
      </c>
      <c r="AR30" s="17">
        <f t="shared" si="11"/>
        <v>0</v>
      </c>
      <c r="AS30" s="91">
        <f t="shared" si="15"/>
        <v>0</v>
      </c>
      <c r="AT30" s="15"/>
      <c r="AU30" s="92">
        <f t="shared" si="16"/>
        <v>0</v>
      </c>
      <c r="AV30" s="92">
        <f t="shared" si="4"/>
        <v>0</v>
      </c>
      <c r="AW30" s="92">
        <f t="shared" si="17"/>
        <v>0</v>
      </c>
      <c r="AX30" s="92">
        <f t="shared" si="18"/>
        <v>0</v>
      </c>
      <c r="AY30" s="82">
        <f t="shared" si="20"/>
        <v>0</v>
      </c>
      <c r="AZ30" s="82">
        <f t="shared" si="20"/>
        <v>0</v>
      </c>
      <c r="BA30" s="95">
        <f t="shared" si="19"/>
        <v>0</v>
      </c>
      <c r="BB30" s="139"/>
      <c r="BC30"/>
    </row>
    <row r="31" spans="1:55" ht="15" hidden="1" customHeight="1" x14ac:dyDescent="0.3">
      <c r="A31" s="72" t="s">
        <v>34</v>
      </c>
      <c r="B31" s="111"/>
      <c r="C31" s="111">
        <v>42</v>
      </c>
      <c r="D31" s="121">
        <f t="shared" si="21"/>
        <v>0</v>
      </c>
      <c r="E31" s="16">
        <f t="shared" si="22"/>
        <v>0</v>
      </c>
      <c r="F31" s="91">
        <f>'1'!F31+'2'!F31+'3'!F31+'4'!F31+'5'!F31+'6'!F31</f>
        <v>0</v>
      </c>
      <c r="G31" s="91">
        <f>'1'!G31+'2'!G31+'3'!G31+'4'!G31+'5'!G31+'6'!G31</f>
        <v>0</v>
      </c>
      <c r="H31" s="135">
        <f>'1'!H31+'2'!H31+'3'!H31+'4'!H31+'5'!H31+'6'!H31</f>
        <v>0</v>
      </c>
      <c r="I31" s="135">
        <f>'1'!I31+'2'!I31+'3'!I31+'4'!I31+'5'!I31+'6'!I31</f>
        <v>0</v>
      </c>
      <c r="J31" s="9" t="s">
        <v>68</v>
      </c>
      <c r="K31" s="133">
        <f>'1'!K31+'2'!K31+'3'!K31+'4'!K31+'5'!K31+'6'!K31</f>
        <v>0</v>
      </c>
      <c r="L31" s="133">
        <f>'1'!L31+'2'!L31+'3'!L31+'4'!L31+'5'!L31+'6'!L31</f>
        <v>0</v>
      </c>
      <c r="M31" s="91">
        <f>'1'!M31+'2'!M31+'3'!M31+'4'!M31+'5'!M31+'6'!M31</f>
        <v>0</v>
      </c>
      <c r="N31" s="91">
        <f>'1'!N31+'2'!N31+'3'!N31+'4'!N31+'5'!N31+'6'!N31</f>
        <v>0</v>
      </c>
      <c r="O31" s="91">
        <f>'1'!O31+'2'!O31+'3'!O31+'4'!O31+'5'!O31+'6'!O31</f>
        <v>0</v>
      </c>
      <c r="P31" s="91">
        <f>'1'!P31+'2'!P31+'3'!P31+'4'!P31+'5'!P31+'6'!P31</f>
        <v>0</v>
      </c>
      <c r="Q31" s="91">
        <f>'1'!Q31+'2'!Q31+'3'!Q31+'4'!Q31+'5'!Q31+'6'!Q31</f>
        <v>0</v>
      </c>
      <c r="R31" s="91">
        <f>'1'!R31+'2'!R31+'3'!R31+'4'!R31+'5'!R31+'6'!R31</f>
        <v>0</v>
      </c>
      <c r="S31" s="91">
        <f>'1'!S31+'2'!S31+'3'!S31+'4'!S31+'5'!S31+'6'!S31</f>
        <v>0</v>
      </c>
      <c r="T31" s="91">
        <f>'1'!T31+'2'!T31+'3'!T31+'4'!T31+'5'!T31+'6'!T31</f>
        <v>0</v>
      </c>
      <c r="U31" s="91">
        <f>'1'!U31+'2'!U31+'3'!U31+'4'!U31+'5'!U31+'6'!U31</f>
        <v>0</v>
      </c>
      <c r="V31" s="91">
        <f>'1'!V31+'2'!V31+'3'!V31+'4'!V31+'5'!V31+'6'!V31</f>
        <v>0</v>
      </c>
      <c r="W31" s="91">
        <f>'1'!W31+'2'!W31+'3'!W31+'4'!W31+'5'!W31+'6'!W31</f>
        <v>0</v>
      </c>
      <c r="X31" s="91">
        <f>'1'!X31+'2'!X31+'3'!X31+'4'!X31+'5'!X31+'6'!X31</f>
        <v>0</v>
      </c>
      <c r="Y31" s="91">
        <f>'1'!Y31+'2'!Y31+'3'!Y31+'4'!Y31+'5'!Y31+'6'!Y31</f>
        <v>0</v>
      </c>
      <c r="Z31" s="91">
        <f>'1'!Z31+'2'!Z31+'3'!Z31+'4'!Z31+'5'!Z31+'6'!Z31</f>
        <v>0</v>
      </c>
      <c r="AA31" s="91">
        <f>'1'!AA31+'2'!AA31+'3'!AA31+'4'!AA31+'5'!AA31+'6'!AA31</f>
        <v>0</v>
      </c>
      <c r="AB31" s="91">
        <f>'1'!AB31+'2'!AB31+'3'!AB31+'4'!AB31+'5'!AB31+'6'!AB31</f>
        <v>0</v>
      </c>
      <c r="AC31" s="91">
        <f>'1'!AC31+'2'!AC31+'3'!AC31+'4'!AC31+'5'!AC31+'6'!AC31</f>
        <v>0</v>
      </c>
      <c r="AD31" s="91">
        <f>'1'!AD31+'2'!AD31+'3'!AD31+'4'!AD31+'5'!AD31+'6'!AD31</f>
        <v>0</v>
      </c>
      <c r="AE31" s="91">
        <f>'1'!AE31+'2'!AE31+'3'!AE31+'4'!AE31+'5'!AE31+'6'!AE31</f>
        <v>0</v>
      </c>
      <c r="AF31" s="91">
        <f>'1'!AF31+'2'!AF31+'3'!AF31+'4'!AF31+'5'!AF31+'6'!AF31</f>
        <v>0</v>
      </c>
      <c r="AG31" s="91">
        <f>'1'!AG31+'2'!AG31+'3'!AG31+'4'!AG31+'5'!AG31+'6'!AG31</f>
        <v>0</v>
      </c>
      <c r="AH31" s="91">
        <f>'1'!AH31+'2'!AH31+'3'!AH31+'4'!AH31+'5'!AH31+'6'!AH31</f>
        <v>0</v>
      </c>
      <c r="AI31" s="91">
        <f>'1'!AI31+'2'!AI31+'3'!AI31+'4'!AI31+'5'!AI31+'6'!AI31</f>
        <v>0</v>
      </c>
      <c r="AJ31" s="91">
        <f>'1'!AJ31+'2'!AJ31+'3'!AJ31+'4'!AJ31+'5'!AJ31+'6'!AJ31</f>
        <v>0</v>
      </c>
      <c r="AK31" s="91">
        <f>'1'!AK31+'2'!AK31+'3'!AK31+'4'!AK31+'5'!AK31+'6'!AK31</f>
        <v>0</v>
      </c>
      <c r="AL31" s="91">
        <f>'1'!AL31+'2'!AL31+'3'!AL31+'4'!AL31+'5'!AL31+'6'!AL31</f>
        <v>0</v>
      </c>
      <c r="AM31" s="91">
        <f>'1'!AM31+'2'!AM31+'3'!AM31+'4'!AM31+'5'!AM31+'6'!AM31</f>
        <v>0</v>
      </c>
      <c r="AN31" s="91">
        <f>'1'!AN31+'2'!AN31+'3'!AN31+'4'!AN31+'5'!AN31+'6'!AN31</f>
        <v>0</v>
      </c>
      <c r="AO31" s="91">
        <f>'1'!AO31+'2'!AO31+'3'!AO31+'4'!AO31+'5'!AO31+'6'!AO31</f>
        <v>0</v>
      </c>
      <c r="AP31" s="91">
        <f>'1'!AP31+'2'!AP31+'3'!AP31+'4'!AP31+'5'!AP31+'6'!AP31</f>
        <v>0</v>
      </c>
      <c r="AQ31" s="16">
        <f t="shared" si="3"/>
        <v>0</v>
      </c>
      <c r="AR31" s="17">
        <f t="shared" si="11"/>
        <v>0</v>
      </c>
      <c r="AS31" s="91">
        <f t="shared" si="15"/>
        <v>0</v>
      </c>
      <c r="AT31" s="15"/>
      <c r="AU31" s="92">
        <f t="shared" si="16"/>
        <v>0</v>
      </c>
      <c r="AV31" s="92">
        <f t="shared" si="4"/>
        <v>0</v>
      </c>
      <c r="AW31" s="92">
        <f t="shared" si="17"/>
        <v>0</v>
      </c>
      <c r="AX31" s="92">
        <f t="shared" si="18"/>
        <v>0</v>
      </c>
      <c r="AY31" s="82">
        <f t="shared" si="20"/>
        <v>0</v>
      </c>
      <c r="AZ31" s="82">
        <f t="shared" si="20"/>
        <v>0</v>
      </c>
      <c r="BA31" s="95">
        <f t="shared" si="19"/>
        <v>0</v>
      </c>
      <c r="BB31" s="139"/>
      <c r="BC31"/>
    </row>
    <row r="32" spans="1:55" ht="15" hidden="1" customHeight="1" x14ac:dyDescent="0.3">
      <c r="A32" s="72" t="s">
        <v>35</v>
      </c>
      <c r="B32" s="111"/>
      <c r="C32" s="111">
        <v>43</v>
      </c>
      <c r="D32" s="121">
        <f t="shared" si="21"/>
        <v>0</v>
      </c>
      <c r="E32" s="16">
        <f t="shared" si="22"/>
        <v>0</v>
      </c>
      <c r="F32" s="91">
        <f>'1'!F32+'2'!F32+'3'!F32+'4'!F32+'5'!F32+'6'!F32</f>
        <v>0</v>
      </c>
      <c r="G32" s="91">
        <f>'1'!G32+'2'!G32+'3'!G32+'4'!G32+'5'!G32+'6'!G32</f>
        <v>0</v>
      </c>
      <c r="H32" s="135">
        <f>'1'!H32+'2'!H32+'3'!H32+'4'!H32+'5'!H32+'6'!H32</f>
        <v>0</v>
      </c>
      <c r="I32" s="135">
        <f>'1'!I32+'2'!I32+'3'!I32+'4'!I32+'5'!I32+'6'!I32</f>
        <v>0</v>
      </c>
      <c r="J32" s="9" t="s">
        <v>68</v>
      </c>
      <c r="K32" s="133">
        <f>'1'!K32+'2'!K32+'3'!K32+'4'!K32+'5'!K32+'6'!K32</f>
        <v>0</v>
      </c>
      <c r="L32" s="133">
        <f>'1'!L32+'2'!L32+'3'!L32+'4'!L32+'5'!L32+'6'!L32</f>
        <v>0</v>
      </c>
      <c r="M32" s="91">
        <f>'1'!M32+'2'!M32+'3'!M32+'4'!M32+'5'!M32+'6'!M32</f>
        <v>0</v>
      </c>
      <c r="N32" s="91">
        <f>'1'!N32+'2'!N32+'3'!N32+'4'!N32+'5'!N32+'6'!N32</f>
        <v>0</v>
      </c>
      <c r="O32" s="91">
        <f>'1'!O32+'2'!O32+'3'!O32+'4'!O32+'5'!O32+'6'!O32</f>
        <v>0</v>
      </c>
      <c r="P32" s="91">
        <f>'1'!P32+'2'!P32+'3'!P32+'4'!P32+'5'!P32+'6'!P32</f>
        <v>0</v>
      </c>
      <c r="Q32" s="91">
        <f>'1'!Q32+'2'!Q32+'3'!Q32+'4'!Q32+'5'!Q32+'6'!Q32</f>
        <v>0</v>
      </c>
      <c r="R32" s="91">
        <f>'1'!R32+'2'!R32+'3'!R32+'4'!R32+'5'!R32+'6'!R32</f>
        <v>0</v>
      </c>
      <c r="S32" s="91">
        <f>'1'!S32+'2'!S32+'3'!S32+'4'!S32+'5'!S32+'6'!S32</f>
        <v>0</v>
      </c>
      <c r="T32" s="91">
        <f>'1'!T32+'2'!T32+'3'!T32+'4'!T32+'5'!T32+'6'!T32</f>
        <v>0</v>
      </c>
      <c r="U32" s="91">
        <f>'1'!U32+'2'!U32+'3'!U32+'4'!U32+'5'!U32+'6'!U32</f>
        <v>0</v>
      </c>
      <c r="V32" s="91">
        <f>'1'!V32+'2'!V32+'3'!V32+'4'!V32+'5'!V32+'6'!V32</f>
        <v>0</v>
      </c>
      <c r="W32" s="91">
        <f>'1'!W32+'2'!W32+'3'!W32+'4'!W32+'5'!W32+'6'!W32</f>
        <v>0</v>
      </c>
      <c r="X32" s="91">
        <f>'1'!X32+'2'!X32+'3'!X32+'4'!X32+'5'!X32+'6'!X32</f>
        <v>0</v>
      </c>
      <c r="Y32" s="91">
        <f>'1'!Y32+'2'!Y32+'3'!Y32+'4'!Y32+'5'!Y32+'6'!Y32</f>
        <v>0</v>
      </c>
      <c r="Z32" s="91">
        <f>'1'!Z32+'2'!Z32+'3'!Z32+'4'!Z32+'5'!Z32+'6'!Z32</f>
        <v>0</v>
      </c>
      <c r="AA32" s="91">
        <f>'1'!AA32+'2'!AA32+'3'!AA32+'4'!AA32+'5'!AA32+'6'!AA32</f>
        <v>0</v>
      </c>
      <c r="AB32" s="91">
        <f>'1'!AB32+'2'!AB32+'3'!AB32+'4'!AB32+'5'!AB32+'6'!AB32</f>
        <v>0</v>
      </c>
      <c r="AC32" s="91">
        <f>'1'!AC32+'2'!AC32+'3'!AC32+'4'!AC32+'5'!AC32+'6'!AC32</f>
        <v>0</v>
      </c>
      <c r="AD32" s="91">
        <f>'1'!AD32+'2'!AD32+'3'!AD32+'4'!AD32+'5'!AD32+'6'!AD32</f>
        <v>0</v>
      </c>
      <c r="AE32" s="91">
        <f>'1'!AE32+'2'!AE32+'3'!AE32+'4'!AE32+'5'!AE32+'6'!AE32</f>
        <v>0</v>
      </c>
      <c r="AF32" s="91">
        <f>'1'!AF32+'2'!AF32+'3'!AF32+'4'!AF32+'5'!AF32+'6'!AF32</f>
        <v>0</v>
      </c>
      <c r="AG32" s="91">
        <f>'1'!AG32+'2'!AG32+'3'!AG32+'4'!AG32+'5'!AG32+'6'!AG32</f>
        <v>0</v>
      </c>
      <c r="AH32" s="91">
        <f>'1'!AH32+'2'!AH32+'3'!AH32+'4'!AH32+'5'!AH32+'6'!AH32</f>
        <v>0</v>
      </c>
      <c r="AI32" s="91">
        <f>'1'!AI32+'2'!AI32+'3'!AI32+'4'!AI32+'5'!AI32+'6'!AI32</f>
        <v>0</v>
      </c>
      <c r="AJ32" s="91">
        <f>'1'!AJ32+'2'!AJ32+'3'!AJ32+'4'!AJ32+'5'!AJ32+'6'!AJ32</f>
        <v>0</v>
      </c>
      <c r="AK32" s="91">
        <f>'1'!AK32+'2'!AK32+'3'!AK32+'4'!AK32+'5'!AK32+'6'!AK32</f>
        <v>0</v>
      </c>
      <c r="AL32" s="91">
        <f>'1'!AL32+'2'!AL32+'3'!AL32+'4'!AL32+'5'!AL32+'6'!AL32</f>
        <v>0</v>
      </c>
      <c r="AM32" s="91">
        <f>'1'!AM32+'2'!AM32+'3'!AM32+'4'!AM32+'5'!AM32+'6'!AM32</f>
        <v>0</v>
      </c>
      <c r="AN32" s="91">
        <f>'1'!AN32+'2'!AN32+'3'!AN32+'4'!AN32+'5'!AN32+'6'!AN32</f>
        <v>0</v>
      </c>
      <c r="AO32" s="91">
        <f>'1'!AO32+'2'!AO32+'3'!AO32+'4'!AO32+'5'!AO32+'6'!AO32</f>
        <v>0</v>
      </c>
      <c r="AP32" s="91">
        <f>'1'!AP32+'2'!AP32+'3'!AP32+'4'!AP32+'5'!AP32+'6'!AP32</f>
        <v>0</v>
      </c>
      <c r="AQ32" s="16">
        <f t="shared" si="3"/>
        <v>0</v>
      </c>
      <c r="AR32" s="17">
        <f t="shared" si="11"/>
        <v>0</v>
      </c>
      <c r="AS32" s="91">
        <f t="shared" si="15"/>
        <v>0</v>
      </c>
      <c r="AT32" s="15"/>
      <c r="AU32" s="92">
        <f t="shared" si="16"/>
        <v>0</v>
      </c>
      <c r="AV32" s="92">
        <f t="shared" si="4"/>
        <v>0</v>
      </c>
      <c r="AW32" s="92">
        <f t="shared" si="17"/>
        <v>0</v>
      </c>
      <c r="AX32" s="92">
        <f t="shared" si="18"/>
        <v>0</v>
      </c>
      <c r="AY32" s="82">
        <f t="shared" si="20"/>
        <v>0</v>
      </c>
      <c r="AZ32" s="82">
        <f t="shared" si="20"/>
        <v>0</v>
      </c>
      <c r="BA32" s="95">
        <f t="shared" si="19"/>
        <v>0</v>
      </c>
      <c r="BB32" s="139"/>
      <c r="BC32"/>
    </row>
    <row r="33" spans="1:55" ht="15" hidden="1" customHeight="1" x14ac:dyDescent="0.3">
      <c r="A33" s="72" t="s">
        <v>36</v>
      </c>
      <c r="B33" s="111"/>
      <c r="C33" s="111">
        <v>44</v>
      </c>
      <c r="D33" s="121">
        <f t="shared" si="21"/>
        <v>0</v>
      </c>
      <c r="E33" s="16">
        <f t="shared" si="22"/>
        <v>0</v>
      </c>
      <c r="F33" s="91">
        <f>'1'!F33+'2'!F33+'3'!F33+'4'!F33+'5'!F33+'6'!F33</f>
        <v>0</v>
      </c>
      <c r="G33" s="91">
        <f>'1'!G33+'2'!G33+'3'!G33+'4'!G33+'5'!G33+'6'!G33</f>
        <v>0</v>
      </c>
      <c r="H33" s="135">
        <f>'1'!H33+'2'!H33+'3'!H33+'4'!H33+'5'!H33+'6'!H33</f>
        <v>0</v>
      </c>
      <c r="I33" s="135">
        <f>'1'!I33+'2'!I33+'3'!I33+'4'!I33+'5'!I33+'6'!I33</f>
        <v>0</v>
      </c>
      <c r="J33" s="9" t="s">
        <v>68</v>
      </c>
      <c r="K33" s="133">
        <f>'1'!K33+'2'!K33+'3'!K33+'4'!K33+'5'!K33+'6'!K33</f>
        <v>0</v>
      </c>
      <c r="L33" s="133">
        <f>'1'!L33+'2'!L33+'3'!L33+'4'!L33+'5'!L33+'6'!L33</f>
        <v>0</v>
      </c>
      <c r="M33" s="91">
        <f>'1'!M33+'2'!M33+'3'!M33+'4'!M33+'5'!M33+'6'!M33</f>
        <v>0</v>
      </c>
      <c r="N33" s="91">
        <f>'1'!N33+'2'!N33+'3'!N33+'4'!N33+'5'!N33+'6'!N33</f>
        <v>0</v>
      </c>
      <c r="O33" s="91">
        <f>'1'!O33+'2'!O33+'3'!O33+'4'!O33+'5'!O33+'6'!O33</f>
        <v>0</v>
      </c>
      <c r="P33" s="91">
        <f>'1'!P33+'2'!P33+'3'!P33+'4'!P33+'5'!P33+'6'!P33</f>
        <v>0</v>
      </c>
      <c r="Q33" s="91">
        <f>'1'!Q33+'2'!Q33+'3'!Q33+'4'!Q33+'5'!Q33+'6'!Q33</f>
        <v>0</v>
      </c>
      <c r="R33" s="91">
        <f>'1'!R33+'2'!R33+'3'!R33+'4'!R33+'5'!R33+'6'!R33</f>
        <v>0</v>
      </c>
      <c r="S33" s="91">
        <f>'1'!S33+'2'!S33+'3'!S33+'4'!S33+'5'!S33+'6'!S33</f>
        <v>0</v>
      </c>
      <c r="T33" s="91">
        <f>'1'!T33+'2'!T33+'3'!T33+'4'!T33+'5'!T33+'6'!T33</f>
        <v>0</v>
      </c>
      <c r="U33" s="91">
        <f>'1'!U33+'2'!U33+'3'!U33+'4'!U33+'5'!U33+'6'!U33</f>
        <v>0</v>
      </c>
      <c r="V33" s="91">
        <f>'1'!V33+'2'!V33+'3'!V33+'4'!V33+'5'!V33+'6'!V33</f>
        <v>0</v>
      </c>
      <c r="W33" s="91">
        <f>'1'!W33+'2'!W33+'3'!W33+'4'!W33+'5'!W33+'6'!W33</f>
        <v>0</v>
      </c>
      <c r="X33" s="91">
        <f>'1'!X33+'2'!X33+'3'!X33+'4'!X33+'5'!X33+'6'!X33</f>
        <v>0</v>
      </c>
      <c r="Y33" s="91">
        <f>'1'!Y33+'2'!Y33+'3'!Y33+'4'!Y33+'5'!Y33+'6'!Y33</f>
        <v>0</v>
      </c>
      <c r="Z33" s="91">
        <f>'1'!Z33+'2'!Z33+'3'!Z33+'4'!Z33+'5'!Z33+'6'!Z33</f>
        <v>0</v>
      </c>
      <c r="AA33" s="91">
        <f>'1'!AA33+'2'!AA33+'3'!AA33+'4'!AA33+'5'!AA33+'6'!AA33</f>
        <v>0</v>
      </c>
      <c r="AB33" s="91">
        <f>'1'!AB33+'2'!AB33+'3'!AB33+'4'!AB33+'5'!AB33+'6'!AB33</f>
        <v>0</v>
      </c>
      <c r="AC33" s="91">
        <f>'1'!AC33+'2'!AC33+'3'!AC33+'4'!AC33+'5'!AC33+'6'!AC33</f>
        <v>0</v>
      </c>
      <c r="AD33" s="91">
        <f>'1'!AD33+'2'!AD33+'3'!AD33+'4'!AD33+'5'!AD33+'6'!AD33</f>
        <v>0</v>
      </c>
      <c r="AE33" s="91">
        <f>'1'!AE33+'2'!AE33+'3'!AE33+'4'!AE33+'5'!AE33+'6'!AE33</f>
        <v>0</v>
      </c>
      <c r="AF33" s="91">
        <f>'1'!AF33+'2'!AF33+'3'!AF33+'4'!AF33+'5'!AF33+'6'!AF33</f>
        <v>0</v>
      </c>
      <c r="AG33" s="91">
        <f>'1'!AG33+'2'!AG33+'3'!AG33+'4'!AG33+'5'!AG33+'6'!AG33</f>
        <v>0</v>
      </c>
      <c r="AH33" s="91">
        <f>'1'!AH33+'2'!AH33+'3'!AH33+'4'!AH33+'5'!AH33+'6'!AH33</f>
        <v>0</v>
      </c>
      <c r="AI33" s="91">
        <f>'1'!AI33+'2'!AI33+'3'!AI33+'4'!AI33+'5'!AI33+'6'!AI33</f>
        <v>0</v>
      </c>
      <c r="AJ33" s="91">
        <f>'1'!AJ33+'2'!AJ33+'3'!AJ33+'4'!AJ33+'5'!AJ33+'6'!AJ33</f>
        <v>0</v>
      </c>
      <c r="AK33" s="91">
        <f>'1'!AK33+'2'!AK33+'3'!AK33+'4'!AK33+'5'!AK33+'6'!AK33</f>
        <v>0</v>
      </c>
      <c r="AL33" s="91">
        <f>'1'!AL33+'2'!AL33+'3'!AL33+'4'!AL33+'5'!AL33+'6'!AL33</f>
        <v>0</v>
      </c>
      <c r="AM33" s="91">
        <f>'1'!AM33+'2'!AM33+'3'!AM33+'4'!AM33+'5'!AM33+'6'!AM33</f>
        <v>0</v>
      </c>
      <c r="AN33" s="91">
        <f>'1'!AN33+'2'!AN33+'3'!AN33+'4'!AN33+'5'!AN33+'6'!AN33</f>
        <v>0</v>
      </c>
      <c r="AO33" s="91">
        <f>'1'!AO33+'2'!AO33+'3'!AO33+'4'!AO33+'5'!AO33+'6'!AO33</f>
        <v>0</v>
      </c>
      <c r="AP33" s="91">
        <f>'1'!AP33+'2'!AP33+'3'!AP33+'4'!AP33+'5'!AP33+'6'!AP33</f>
        <v>0</v>
      </c>
      <c r="AQ33" s="16">
        <f t="shared" si="3"/>
        <v>0</v>
      </c>
      <c r="AR33" s="17">
        <f t="shared" si="11"/>
        <v>0</v>
      </c>
      <c r="AS33" s="91">
        <f t="shared" si="15"/>
        <v>0</v>
      </c>
      <c r="AT33" s="15"/>
      <c r="AU33" s="92">
        <f t="shared" si="16"/>
        <v>0</v>
      </c>
      <c r="AV33" s="92">
        <f t="shared" si="4"/>
        <v>0</v>
      </c>
      <c r="AW33" s="92">
        <f t="shared" si="17"/>
        <v>0</v>
      </c>
      <c r="AX33" s="92">
        <f t="shared" si="18"/>
        <v>0</v>
      </c>
      <c r="AY33" s="82">
        <f t="shared" si="20"/>
        <v>0</v>
      </c>
      <c r="AZ33" s="82">
        <f t="shared" si="20"/>
        <v>0</v>
      </c>
      <c r="BA33" s="95">
        <f t="shared" si="19"/>
        <v>0</v>
      </c>
      <c r="BB33" s="139"/>
      <c r="BC33"/>
    </row>
    <row r="34" spans="1:55" ht="15" hidden="1" customHeight="1" x14ac:dyDescent="0.3">
      <c r="A34" s="72" t="s">
        <v>37</v>
      </c>
      <c r="B34" s="111"/>
      <c r="C34" s="111">
        <v>45</v>
      </c>
      <c r="D34" s="121">
        <f t="shared" si="21"/>
        <v>0</v>
      </c>
      <c r="E34" s="16">
        <f t="shared" si="22"/>
        <v>0</v>
      </c>
      <c r="F34" s="91">
        <f>'1'!F34+'2'!F34+'3'!F34+'4'!F34+'5'!F34+'6'!F34</f>
        <v>0</v>
      </c>
      <c r="G34" s="91">
        <f>'1'!G34+'2'!G34+'3'!G34+'4'!G34+'5'!G34+'6'!G34</f>
        <v>0</v>
      </c>
      <c r="H34" s="135">
        <f>'1'!H34+'2'!H34+'3'!H34+'4'!H34+'5'!H34+'6'!H34</f>
        <v>0</v>
      </c>
      <c r="I34" s="135">
        <f>'1'!I34+'2'!I34+'3'!I34+'4'!I34+'5'!I34+'6'!I34</f>
        <v>0</v>
      </c>
      <c r="J34" s="9" t="s">
        <v>68</v>
      </c>
      <c r="K34" s="133">
        <f>'1'!K34+'2'!K34+'3'!K34+'4'!K34+'5'!K34+'6'!K34</f>
        <v>0</v>
      </c>
      <c r="L34" s="133">
        <f>'1'!L34+'2'!L34+'3'!L34+'4'!L34+'5'!L34+'6'!L34</f>
        <v>0</v>
      </c>
      <c r="M34" s="91">
        <f>'1'!M34+'2'!M34+'3'!M34+'4'!M34+'5'!M34+'6'!M34</f>
        <v>0</v>
      </c>
      <c r="N34" s="91">
        <f>'1'!N34+'2'!N34+'3'!N34+'4'!N34+'5'!N34+'6'!N34</f>
        <v>0</v>
      </c>
      <c r="O34" s="91">
        <f>'1'!O34+'2'!O34+'3'!O34+'4'!O34+'5'!O34+'6'!O34</f>
        <v>0</v>
      </c>
      <c r="P34" s="91">
        <f>'1'!P34+'2'!P34+'3'!P34+'4'!P34+'5'!P34+'6'!P34</f>
        <v>0</v>
      </c>
      <c r="Q34" s="91">
        <f>'1'!Q34+'2'!Q34+'3'!Q34+'4'!Q34+'5'!Q34+'6'!Q34</f>
        <v>0</v>
      </c>
      <c r="R34" s="91">
        <f>'1'!R34+'2'!R34+'3'!R34+'4'!R34+'5'!R34+'6'!R34</f>
        <v>0</v>
      </c>
      <c r="S34" s="91">
        <f>'1'!S34+'2'!S34+'3'!S34+'4'!S34+'5'!S34+'6'!S34</f>
        <v>0</v>
      </c>
      <c r="T34" s="91">
        <f>'1'!T34+'2'!T34+'3'!T34+'4'!T34+'5'!T34+'6'!T34</f>
        <v>0</v>
      </c>
      <c r="U34" s="91">
        <f>'1'!U34+'2'!U34+'3'!U34+'4'!U34+'5'!U34+'6'!U34</f>
        <v>0</v>
      </c>
      <c r="V34" s="91">
        <f>'1'!V34+'2'!V34+'3'!V34+'4'!V34+'5'!V34+'6'!V34</f>
        <v>0</v>
      </c>
      <c r="W34" s="91">
        <f>'1'!W34+'2'!W34+'3'!W34+'4'!W34+'5'!W34+'6'!W34</f>
        <v>0</v>
      </c>
      <c r="X34" s="91">
        <f>'1'!X34+'2'!X34+'3'!X34+'4'!X34+'5'!X34+'6'!X34</f>
        <v>0</v>
      </c>
      <c r="Y34" s="91">
        <f>'1'!Y34+'2'!Y34+'3'!Y34+'4'!Y34+'5'!Y34+'6'!Y34</f>
        <v>0</v>
      </c>
      <c r="Z34" s="91">
        <f>'1'!Z34+'2'!Z34+'3'!Z34+'4'!Z34+'5'!Z34+'6'!Z34</f>
        <v>0</v>
      </c>
      <c r="AA34" s="91">
        <f>'1'!AA34+'2'!AA34+'3'!AA34+'4'!AA34+'5'!AA34+'6'!AA34</f>
        <v>0</v>
      </c>
      <c r="AB34" s="91">
        <f>'1'!AB34+'2'!AB34+'3'!AB34+'4'!AB34+'5'!AB34+'6'!AB34</f>
        <v>0</v>
      </c>
      <c r="AC34" s="91">
        <f>'1'!AC34+'2'!AC34+'3'!AC34+'4'!AC34+'5'!AC34+'6'!AC34</f>
        <v>0</v>
      </c>
      <c r="AD34" s="91">
        <f>'1'!AD34+'2'!AD34+'3'!AD34+'4'!AD34+'5'!AD34+'6'!AD34</f>
        <v>0</v>
      </c>
      <c r="AE34" s="91">
        <f>'1'!AE34+'2'!AE34+'3'!AE34+'4'!AE34+'5'!AE34+'6'!AE34</f>
        <v>0</v>
      </c>
      <c r="AF34" s="91">
        <f>'1'!AF34+'2'!AF34+'3'!AF34+'4'!AF34+'5'!AF34+'6'!AF34</f>
        <v>0</v>
      </c>
      <c r="AG34" s="91">
        <f>'1'!AG34+'2'!AG34+'3'!AG34+'4'!AG34+'5'!AG34+'6'!AG34</f>
        <v>0</v>
      </c>
      <c r="AH34" s="91">
        <f>'1'!AH34+'2'!AH34+'3'!AH34+'4'!AH34+'5'!AH34+'6'!AH34</f>
        <v>0</v>
      </c>
      <c r="AI34" s="91">
        <f>'1'!AI34+'2'!AI34+'3'!AI34+'4'!AI34+'5'!AI34+'6'!AI34</f>
        <v>0</v>
      </c>
      <c r="AJ34" s="91">
        <f>'1'!AJ34+'2'!AJ34+'3'!AJ34+'4'!AJ34+'5'!AJ34+'6'!AJ34</f>
        <v>0</v>
      </c>
      <c r="AK34" s="91">
        <f>'1'!AK34+'2'!AK34+'3'!AK34+'4'!AK34+'5'!AK34+'6'!AK34</f>
        <v>0</v>
      </c>
      <c r="AL34" s="91">
        <f>'1'!AL34+'2'!AL34+'3'!AL34+'4'!AL34+'5'!AL34+'6'!AL34</f>
        <v>0</v>
      </c>
      <c r="AM34" s="91">
        <f>'1'!AM34+'2'!AM34+'3'!AM34+'4'!AM34+'5'!AM34+'6'!AM34</f>
        <v>0</v>
      </c>
      <c r="AN34" s="91">
        <f>'1'!AN34+'2'!AN34+'3'!AN34+'4'!AN34+'5'!AN34+'6'!AN34</f>
        <v>0</v>
      </c>
      <c r="AO34" s="91">
        <f>'1'!AO34+'2'!AO34+'3'!AO34+'4'!AO34+'5'!AO34+'6'!AO34</f>
        <v>0</v>
      </c>
      <c r="AP34" s="91">
        <f>'1'!AP34+'2'!AP34+'3'!AP34+'4'!AP34+'5'!AP34+'6'!AP34</f>
        <v>0</v>
      </c>
      <c r="AQ34" s="16">
        <f t="shared" si="3"/>
        <v>0</v>
      </c>
      <c r="AR34" s="17">
        <f t="shared" si="11"/>
        <v>0</v>
      </c>
      <c r="AS34" s="91">
        <f t="shared" si="15"/>
        <v>0</v>
      </c>
      <c r="AT34" s="15"/>
      <c r="AU34" s="92">
        <f t="shared" si="16"/>
        <v>0</v>
      </c>
      <c r="AV34" s="92">
        <f t="shared" si="4"/>
        <v>0</v>
      </c>
      <c r="AW34" s="92">
        <f t="shared" si="17"/>
        <v>0</v>
      </c>
      <c r="AX34" s="92">
        <f t="shared" si="18"/>
        <v>0</v>
      </c>
      <c r="AY34" s="82">
        <f t="shared" si="20"/>
        <v>0</v>
      </c>
      <c r="AZ34" s="82">
        <f t="shared" si="20"/>
        <v>0</v>
      </c>
      <c r="BA34" s="95">
        <f t="shared" si="19"/>
        <v>0</v>
      </c>
      <c r="BB34" s="139"/>
      <c r="BC34"/>
    </row>
    <row r="35" spans="1:55" ht="15" hidden="1" customHeight="1" x14ac:dyDescent="0.3">
      <c r="A35" s="72" t="s">
        <v>38</v>
      </c>
      <c r="B35" s="111"/>
      <c r="C35" s="111">
        <v>46</v>
      </c>
      <c r="D35" s="121">
        <f t="shared" si="21"/>
        <v>0</v>
      </c>
      <c r="E35" s="16">
        <f t="shared" si="22"/>
        <v>0</v>
      </c>
      <c r="F35" s="91">
        <f>'1'!F35+'2'!F35+'3'!F35+'4'!F35+'5'!F35+'6'!F35</f>
        <v>0</v>
      </c>
      <c r="G35" s="91">
        <f>'1'!G35+'2'!G35+'3'!G35+'4'!G35+'5'!G35+'6'!G35</f>
        <v>0</v>
      </c>
      <c r="H35" s="135">
        <f>'1'!H35+'2'!H35+'3'!H35+'4'!H35+'5'!H35+'6'!H35</f>
        <v>0</v>
      </c>
      <c r="I35" s="135">
        <f>'1'!I35+'2'!I35+'3'!I35+'4'!I35+'5'!I35+'6'!I35</f>
        <v>0</v>
      </c>
      <c r="J35" s="9" t="s">
        <v>68</v>
      </c>
      <c r="K35" s="133">
        <f>'1'!K35+'2'!K35+'3'!K35+'4'!K35+'5'!K35+'6'!K35</f>
        <v>0</v>
      </c>
      <c r="L35" s="133">
        <f>'1'!L35+'2'!L35+'3'!L35+'4'!L35+'5'!L35+'6'!L35</f>
        <v>0</v>
      </c>
      <c r="M35" s="91">
        <f>'1'!M35+'2'!M35+'3'!M35+'4'!M35+'5'!M35+'6'!M35</f>
        <v>0</v>
      </c>
      <c r="N35" s="91">
        <f>'1'!N35+'2'!N35+'3'!N35+'4'!N35+'5'!N35+'6'!N35</f>
        <v>0</v>
      </c>
      <c r="O35" s="91">
        <f>'1'!O35+'2'!O35+'3'!O35+'4'!O35+'5'!O35+'6'!O35</f>
        <v>0</v>
      </c>
      <c r="P35" s="91">
        <f>'1'!P35+'2'!P35+'3'!P35+'4'!P35+'5'!P35+'6'!P35</f>
        <v>0</v>
      </c>
      <c r="Q35" s="91">
        <f>'1'!Q35+'2'!Q35+'3'!Q35+'4'!Q35+'5'!Q35+'6'!Q35</f>
        <v>0</v>
      </c>
      <c r="R35" s="91">
        <f>'1'!R35+'2'!R35+'3'!R35+'4'!R35+'5'!R35+'6'!R35</f>
        <v>0</v>
      </c>
      <c r="S35" s="91">
        <f>'1'!S35+'2'!S35+'3'!S35+'4'!S35+'5'!S35+'6'!S35</f>
        <v>0</v>
      </c>
      <c r="T35" s="91">
        <f>'1'!T35+'2'!T35+'3'!T35+'4'!T35+'5'!T35+'6'!T35</f>
        <v>0</v>
      </c>
      <c r="U35" s="91">
        <f>'1'!U35+'2'!U35+'3'!U35+'4'!U35+'5'!U35+'6'!U35</f>
        <v>0</v>
      </c>
      <c r="V35" s="91">
        <f>'1'!V35+'2'!V35+'3'!V35+'4'!V35+'5'!V35+'6'!V35</f>
        <v>0</v>
      </c>
      <c r="W35" s="91">
        <f>'1'!W35+'2'!W35+'3'!W35+'4'!W35+'5'!W35+'6'!W35</f>
        <v>0</v>
      </c>
      <c r="X35" s="91">
        <f>'1'!X35+'2'!X35+'3'!X35+'4'!X35+'5'!X35+'6'!X35</f>
        <v>0</v>
      </c>
      <c r="Y35" s="91">
        <f>'1'!Y35+'2'!Y35+'3'!Y35+'4'!Y35+'5'!Y35+'6'!Y35</f>
        <v>0</v>
      </c>
      <c r="Z35" s="91">
        <f>'1'!Z35+'2'!Z35+'3'!Z35+'4'!Z35+'5'!Z35+'6'!Z35</f>
        <v>0</v>
      </c>
      <c r="AA35" s="91">
        <f>'1'!AA35+'2'!AA35+'3'!AA35+'4'!AA35+'5'!AA35+'6'!AA35</f>
        <v>0</v>
      </c>
      <c r="AB35" s="91">
        <f>'1'!AB35+'2'!AB35+'3'!AB35+'4'!AB35+'5'!AB35+'6'!AB35</f>
        <v>0</v>
      </c>
      <c r="AC35" s="91">
        <f>'1'!AC35+'2'!AC35+'3'!AC35+'4'!AC35+'5'!AC35+'6'!AC35</f>
        <v>0</v>
      </c>
      <c r="AD35" s="91">
        <f>'1'!AD35+'2'!AD35+'3'!AD35+'4'!AD35+'5'!AD35+'6'!AD35</f>
        <v>0</v>
      </c>
      <c r="AE35" s="91">
        <f>'1'!AE35+'2'!AE35+'3'!AE35+'4'!AE35+'5'!AE35+'6'!AE35</f>
        <v>0</v>
      </c>
      <c r="AF35" s="91">
        <f>'1'!AF35+'2'!AF35+'3'!AF35+'4'!AF35+'5'!AF35+'6'!AF35</f>
        <v>0</v>
      </c>
      <c r="AG35" s="91">
        <f>'1'!AG35+'2'!AG35+'3'!AG35+'4'!AG35+'5'!AG35+'6'!AG35</f>
        <v>0</v>
      </c>
      <c r="AH35" s="91">
        <f>'1'!AH35+'2'!AH35+'3'!AH35+'4'!AH35+'5'!AH35+'6'!AH35</f>
        <v>0</v>
      </c>
      <c r="AI35" s="91">
        <f>'1'!AI35+'2'!AI35+'3'!AI35+'4'!AI35+'5'!AI35+'6'!AI35</f>
        <v>0</v>
      </c>
      <c r="AJ35" s="91">
        <f>'1'!AJ35+'2'!AJ35+'3'!AJ35+'4'!AJ35+'5'!AJ35+'6'!AJ35</f>
        <v>0</v>
      </c>
      <c r="AK35" s="91">
        <f>'1'!AK35+'2'!AK35+'3'!AK35+'4'!AK35+'5'!AK35+'6'!AK35</f>
        <v>0</v>
      </c>
      <c r="AL35" s="91">
        <f>'1'!AL35+'2'!AL35+'3'!AL35+'4'!AL35+'5'!AL35+'6'!AL35</f>
        <v>0</v>
      </c>
      <c r="AM35" s="91">
        <f>'1'!AM35+'2'!AM35+'3'!AM35+'4'!AM35+'5'!AM35+'6'!AM35</f>
        <v>0</v>
      </c>
      <c r="AN35" s="91">
        <f>'1'!AN35+'2'!AN35+'3'!AN35+'4'!AN35+'5'!AN35+'6'!AN35</f>
        <v>0</v>
      </c>
      <c r="AO35" s="91">
        <f>'1'!AO35+'2'!AO35+'3'!AO35+'4'!AO35+'5'!AO35+'6'!AO35</f>
        <v>0</v>
      </c>
      <c r="AP35" s="91">
        <f>'1'!AP35+'2'!AP35+'3'!AP35+'4'!AP35+'5'!AP35+'6'!AP35</f>
        <v>0</v>
      </c>
      <c r="AQ35" s="16">
        <f t="shared" si="3"/>
        <v>0</v>
      </c>
      <c r="AR35" s="17">
        <f t="shared" si="11"/>
        <v>0</v>
      </c>
      <c r="AS35" s="91">
        <f t="shared" si="15"/>
        <v>0</v>
      </c>
      <c r="AT35" s="15"/>
      <c r="AU35" s="92">
        <f t="shared" si="16"/>
        <v>0</v>
      </c>
      <c r="AV35" s="92">
        <f t="shared" si="4"/>
        <v>0</v>
      </c>
      <c r="AW35" s="92">
        <f t="shared" si="17"/>
        <v>0</v>
      </c>
      <c r="AX35" s="92">
        <f t="shared" si="18"/>
        <v>0</v>
      </c>
      <c r="AY35" s="82">
        <f t="shared" si="20"/>
        <v>0</v>
      </c>
      <c r="AZ35" s="82">
        <f t="shared" si="20"/>
        <v>0</v>
      </c>
      <c r="BA35" s="95">
        <f t="shared" si="19"/>
        <v>0</v>
      </c>
      <c r="BB35" s="139"/>
      <c r="BC35"/>
    </row>
    <row r="36" spans="1:55" ht="15" hidden="1" customHeight="1" x14ac:dyDescent="0.3">
      <c r="A36" s="72" t="s">
        <v>39</v>
      </c>
      <c r="B36" s="111"/>
      <c r="C36" s="111">
        <v>47</v>
      </c>
      <c r="D36" s="121">
        <f t="shared" si="21"/>
        <v>0</v>
      </c>
      <c r="E36" s="16">
        <f t="shared" si="22"/>
        <v>0</v>
      </c>
      <c r="F36" s="91">
        <f>'1'!F36+'2'!F36+'3'!F36+'4'!F36+'5'!F36+'6'!F36</f>
        <v>0</v>
      </c>
      <c r="G36" s="91">
        <f>'1'!G36+'2'!G36+'3'!G36+'4'!G36+'5'!G36+'6'!G36</f>
        <v>0</v>
      </c>
      <c r="H36" s="135">
        <f>'1'!H36+'2'!H36+'3'!H36+'4'!H36+'5'!H36+'6'!H36</f>
        <v>0</v>
      </c>
      <c r="I36" s="135">
        <f>'1'!I36+'2'!I36+'3'!I36+'4'!I36+'5'!I36+'6'!I36</f>
        <v>0</v>
      </c>
      <c r="J36" s="9" t="s">
        <v>68</v>
      </c>
      <c r="K36" s="133">
        <f>'1'!K36+'2'!K36+'3'!K36+'4'!K36+'5'!K36+'6'!K36</f>
        <v>0</v>
      </c>
      <c r="L36" s="133">
        <f>'1'!L36+'2'!L36+'3'!L36+'4'!L36+'5'!L36+'6'!L36</f>
        <v>0</v>
      </c>
      <c r="M36" s="91">
        <f>'1'!M36+'2'!M36+'3'!M36+'4'!M36+'5'!M36+'6'!M36</f>
        <v>0</v>
      </c>
      <c r="N36" s="91">
        <f>'1'!N36+'2'!N36+'3'!N36+'4'!N36+'5'!N36+'6'!N36</f>
        <v>0</v>
      </c>
      <c r="O36" s="91">
        <f>'1'!O36+'2'!O36+'3'!O36+'4'!O36+'5'!O36+'6'!O36</f>
        <v>0</v>
      </c>
      <c r="P36" s="91">
        <f>'1'!P36+'2'!P36+'3'!P36+'4'!P36+'5'!P36+'6'!P36</f>
        <v>0</v>
      </c>
      <c r="Q36" s="91">
        <f>'1'!Q36+'2'!Q36+'3'!Q36+'4'!Q36+'5'!Q36+'6'!Q36</f>
        <v>0</v>
      </c>
      <c r="R36" s="91">
        <f>'1'!R36+'2'!R36+'3'!R36+'4'!R36+'5'!R36+'6'!R36</f>
        <v>0</v>
      </c>
      <c r="S36" s="91">
        <f>'1'!S36+'2'!S36+'3'!S36+'4'!S36+'5'!S36+'6'!S36</f>
        <v>0</v>
      </c>
      <c r="T36" s="91">
        <f>'1'!T36+'2'!T36+'3'!T36+'4'!T36+'5'!T36+'6'!T36</f>
        <v>0</v>
      </c>
      <c r="U36" s="91">
        <f>'1'!U36+'2'!U36+'3'!U36+'4'!U36+'5'!U36+'6'!U36</f>
        <v>0</v>
      </c>
      <c r="V36" s="91">
        <f>'1'!V36+'2'!V36+'3'!V36+'4'!V36+'5'!V36+'6'!V36</f>
        <v>0</v>
      </c>
      <c r="W36" s="91">
        <f>'1'!W36+'2'!W36+'3'!W36+'4'!W36+'5'!W36+'6'!W36</f>
        <v>0</v>
      </c>
      <c r="X36" s="91">
        <f>'1'!X36+'2'!X36+'3'!X36+'4'!X36+'5'!X36+'6'!X36</f>
        <v>0</v>
      </c>
      <c r="Y36" s="91">
        <f>'1'!Y36+'2'!Y36+'3'!Y36+'4'!Y36+'5'!Y36+'6'!Y36</f>
        <v>0</v>
      </c>
      <c r="Z36" s="91">
        <f>'1'!Z36+'2'!Z36+'3'!Z36+'4'!Z36+'5'!Z36+'6'!Z36</f>
        <v>0</v>
      </c>
      <c r="AA36" s="91">
        <f>'1'!AA36+'2'!AA36+'3'!AA36+'4'!AA36+'5'!AA36+'6'!AA36</f>
        <v>0</v>
      </c>
      <c r="AB36" s="91">
        <f>'1'!AB36+'2'!AB36+'3'!AB36+'4'!AB36+'5'!AB36+'6'!AB36</f>
        <v>0</v>
      </c>
      <c r="AC36" s="91">
        <f>'1'!AC36+'2'!AC36+'3'!AC36+'4'!AC36+'5'!AC36+'6'!AC36</f>
        <v>0</v>
      </c>
      <c r="AD36" s="91">
        <f>'1'!AD36+'2'!AD36+'3'!AD36+'4'!AD36+'5'!AD36+'6'!AD36</f>
        <v>0</v>
      </c>
      <c r="AE36" s="91">
        <f>'1'!AE36+'2'!AE36+'3'!AE36+'4'!AE36+'5'!AE36+'6'!AE36</f>
        <v>0</v>
      </c>
      <c r="AF36" s="91">
        <f>'1'!AF36+'2'!AF36+'3'!AF36+'4'!AF36+'5'!AF36+'6'!AF36</f>
        <v>0</v>
      </c>
      <c r="AG36" s="91">
        <f>'1'!AG36+'2'!AG36+'3'!AG36+'4'!AG36+'5'!AG36+'6'!AG36</f>
        <v>0</v>
      </c>
      <c r="AH36" s="91">
        <f>'1'!AH36+'2'!AH36+'3'!AH36+'4'!AH36+'5'!AH36+'6'!AH36</f>
        <v>0</v>
      </c>
      <c r="AI36" s="91">
        <f>'1'!AI36+'2'!AI36+'3'!AI36+'4'!AI36+'5'!AI36+'6'!AI36</f>
        <v>0</v>
      </c>
      <c r="AJ36" s="91">
        <f>'1'!AJ36+'2'!AJ36+'3'!AJ36+'4'!AJ36+'5'!AJ36+'6'!AJ36</f>
        <v>0</v>
      </c>
      <c r="AK36" s="91">
        <f>'1'!AK36+'2'!AK36+'3'!AK36+'4'!AK36+'5'!AK36+'6'!AK36</f>
        <v>0</v>
      </c>
      <c r="AL36" s="91">
        <f>'1'!AL36+'2'!AL36+'3'!AL36+'4'!AL36+'5'!AL36+'6'!AL36</f>
        <v>0</v>
      </c>
      <c r="AM36" s="91">
        <f>'1'!AM36+'2'!AM36+'3'!AM36+'4'!AM36+'5'!AM36+'6'!AM36</f>
        <v>0</v>
      </c>
      <c r="AN36" s="91">
        <f>'1'!AN36+'2'!AN36+'3'!AN36+'4'!AN36+'5'!AN36+'6'!AN36</f>
        <v>0</v>
      </c>
      <c r="AO36" s="91">
        <f>'1'!AO36+'2'!AO36+'3'!AO36+'4'!AO36+'5'!AO36+'6'!AO36</f>
        <v>0</v>
      </c>
      <c r="AP36" s="91">
        <f>'1'!AP36+'2'!AP36+'3'!AP36+'4'!AP36+'5'!AP36+'6'!AP36</f>
        <v>0</v>
      </c>
      <c r="AQ36" s="16">
        <f t="shared" si="3"/>
        <v>0</v>
      </c>
      <c r="AR36" s="17">
        <f t="shared" si="11"/>
        <v>0</v>
      </c>
      <c r="AS36" s="91">
        <f t="shared" si="15"/>
        <v>0</v>
      </c>
      <c r="AT36" s="15"/>
      <c r="AU36" s="92">
        <f t="shared" si="16"/>
        <v>0</v>
      </c>
      <c r="AV36" s="92">
        <f t="shared" si="4"/>
        <v>0</v>
      </c>
      <c r="AW36" s="92">
        <f t="shared" si="17"/>
        <v>0</v>
      </c>
      <c r="AX36" s="92">
        <f t="shared" si="18"/>
        <v>0</v>
      </c>
      <c r="AY36" s="82">
        <f t="shared" si="20"/>
        <v>0</v>
      </c>
      <c r="AZ36" s="82">
        <f t="shared" si="20"/>
        <v>0</v>
      </c>
      <c r="BA36" s="95">
        <f t="shared" si="19"/>
        <v>0</v>
      </c>
      <c r="BB36" s="139"/>
      <c r="BC36"/>
    </row>
    <row r="37" spans="1:55" ht="15" hidden="1" customHeight="1" x14ac:dyDescent="0.3">
      <c r="A37" s="72" t="s">
        <v>40</v>
      </c>
      <c r="B37" s="111"/>
      <c r="C37" s="111">
        <v>48</v>
      </c>
      <c r="D37" s="121">
        <f t="shared" si="21"/>
        <v>0</v>
      </c>
      <c r="E37" s="16">
        <f t="shared" si="22"/>
        <v>0</v>
      </c>
      <c r="F37" s="91">
        <f>'1'!F37+'2'!F37+'3'!F37+'4'!F37+'5'!F37+'6'!F37</f>
        <v>0</v>
      </c>
      <c r="G37" s="91">
        <f>'1'!G37+'2'!G37+'3'!G37+'4'!G37+'5'!G37+'6'!G37</f>
        <v>0</v>
      </c>
      <c r="H37" s="135">
        <f>'1'!H37+'2'!H37+'3'!H37+'4'!H37+'5'!H37+'6'!H37</f>
        <v>0</v>
      </c>
      <c r="I37" s="135">
        <f>'1'!I37+'2'!I37+'3'!I37+'4'!I37+'5'!I37+'6'!I37</f>
        <v>0</v>
      </c>
      <c r="J37" s="9" t="s">
        <v>68</v>
      </c>
      <c r="K37" s="133">
        <f>'1'!K37+'2'!K37+'3'!K37+'4'!K37+'5'!K37+'6'!K37</f>
        <v>0</v>
      </c>
      <c r="L37" s="133">
        <f>'1'!L37+'2'!L37+'3'!L37+'4'!L37+'5'!L37+'6'!L37</f>
        <v>0</v>
      </c>
      <c r="M37" s="91">
        <f>'1'!M37+'2'!M37+'3'!M37+'4'!M37+'5'!M37+'6'!M37</f>
        <v>0</v>
      </c>
      <c r="N37" s="91">
        <f>'1'!N37+'2'!N37+'3'!N37+'4'!N37+'5'!N37+'6'!N37</f>
        <v>0</v>
      </c>
      <c r="O37" s="91">
        <f>'1'!O37+'2'!O37+'3'!O37+'4'!O37+'5'!O37+'6'!O37</f>
        <v>0</v>
      </c>
      <c r="P37" s="91">
        <f>'1'!P37+'2'!P37+'3'!P37+'4'!P37+'5'!P37+'6'!P37</f>
        <v>0</v>
      </c>
      <c r="Q37" s="91">
        <f>'1'!Q37+'2'!Q37+'3'!Q37+'4'!Q37+'5'!Q37+'6'!Q37</f>
        <v>0</v>
      </c>
      <c r="R37" s="91">
        <f>'1'!R37+'2'!R37+'3'!R37+'4'!R37+'5'!R37+'6'!R37</f>
        <v>0</v>
      </c>
      <c r="S37" s="91">
        <f>'1'!S37+'2'!S37+'3'!S37+'4'!S37+'5'!S37+'6'!S37</f>
        <v>0</v>
      </c>
      <c r="T37" s="91">
        <f>'1'!T37+'2'!T37+'3'!T37+'4'!T37+'5'!T37+'6'!T37</f>
        <v>0</v>
      </c>
      <c r="U37" s="91">
        <f>'1'!U37+'2'!U37+'3'!U37+'4'!U37+'5'!U37+'6'!U37</f>
        <v>0</v>
      </c>
      <c r="V37" s="91">
        <f>'1'!V37+'2'!V37+'3'!V37+'4'!V37+'5'!V37+'6'!V37</f>
        <v>0</v>
      </c>
      <c r="W37" s="91">
        <f>'1'!W37+'2'!W37+'3'!W37+'4'!W37+'5'!W37+'6'!W37</f>
        <v>0</v>
      </c>
      <c r="X37" s="91">
        <f>'1'!X37+'2'!X37+'3'!X37+'4'!X37+'5'!X37+'6'!X37</f>
        <v>0</v>
      </c>
      <c r="Y37" s="91">
        <f>'1'!Y37+'2'!Y37+'3'!Y37+'4'!Y37+'5'!Y37+'6'!Y37</f>
        <v>0</v>
      </c>
      <c r="Z37" s="91">
        <f>'1'!Z37+'2'!Z37+'3'!Z37+'4'!Z37+'5'!Z37+'6'!Z37</f>
        <v>0</v>
      </c>
      <c r="AA37" s="91">
        <f>'1'!AA37+'2'!AA37+'3'!AA37+'4'!AA37+'5'!AA37+'6'!AA37</f>
        <v>0</v>
      </c>
      <c r="AB37" s="91">
        <f>'1'!AB37+'2'!AB37+'3'!AB37+'4'!AB37+'5'!AB37+'6'!AB37</f>
        <v>0</v>
      </c>
      <c r="AC37" s="91">
        <f>'1'!AC37+'2'!AC37+'3'!AC37+'4'!AC37+'5'!AC37+'6'!AC37</f>
        <v>0</v>
      </c>
      <c r="AD37" s="91">
        <f>'1'!AD37+'2'!AD37+'3'!AD37+'4'!AD37+'5'!AD37+'6'!AD37</f>
        <v>0</v>
      </c>
      <c r="AE37" s="91">
        <f>'1'!AE37+'2'!AE37+'3'!AE37+'4'!AE37+'5'!AE37+'6'!AE37</f>
        <v>0</v>
      </c>
      <c r="AF37" s="91">
        <f>'1'!AF37+'2'!AF37+'3'!AF37+'4'!AF37+'5'!AF37+'6'!AF37</f>
        <v>0</v>
      </c>
      <c r="AG37" s="91">
        <f>'1'!AG37+'2'!AG37+'3'!AG37+'4'!AG37+'5'!AG37+'6'!AG37</f>
        <v>0</v>
      </c>
      <c r="AH37" s="91">
        <f>'1'!AH37+'2'!AH37+'3'!AH37+'4'!AH37+'5'!AH37+'6'!AH37</f>
        <v>0</v>
      </c>
      <c r="AI37" s="91">
        <f>'1'!AI37+'2'!AI37+'3'!AI37+'4'!AI37+'5'!AI37+'6'!AI37</f>
        <v>0</v>
      </c>
      <c r="AJ37" s="91">
        <f>'1'!AJ37+'2'!AJ37+'3'!AJ37+'4'!AJ37+'5'!AJ37+'6'!AJ37</f>
        <v>0</v>
      </c>
      <c r="AK37" s="91">
        <f>'1'!AK37+'2'!AK37+'3'!AK37+'4'!AK37+'5'!AK37+'6'!AK37</f>
        <v>0</v>
      </c>
      <c r="AL37" s="91">
        <f>'1'!AL37+'2'!AL37+'3'!AL37+'4'!AL37+'5'!AL37+'6'!AL37</f>
        <v>0</v>
      </c>
      <c r="AM37" s="91">
        <f>'1'!AM37+'2'!AM37+'3'!AM37+'4'!AM37+'5'!AM37+'6'!AM37</f>
        <v>0</v>
      </c>
      <c r="AN37" s="91">
        <f>'1'!AN37+'2'!AN37+'3'!AN37+'4'!AN37+'5'!AN37+'6'!AN37</f>
        <v>0</v>
      </c>
      <c r="AO37" s="91">
        <f>'1'!AO37+'2'!AO37+'3'!AO37+'4'!AO37+'5'!AO37+'6'!AO37</f>
        <v>0</v>
      </c>
      <c r="AP37" s="91">
        <f>'1'!AP37+'2'!AP37+'3'!AP37+'4'!AP37+'5'!AP37+'6'!AP37</f>
        <v>0</v>
      </c>
      <c r="AQ37" s="16">
        <f t="shared" si="3"/>
        <v>0</v>
      </c>
      <c r="AR37" s="17">
        <f t="shared" si="11"/>
        <v>0</v>
      </c>
      <c r="AS37" s="91">
        <f t="shared" si="15"/>
        <v>0</v>
      </c>
      <c r="AT37" s="15"/>
      <c r="AU37" s="92">
        <f t="shared" si="16"/>
        <v>0</v>
      </c>
      <c r="AV37" s="92">
        <f t="shared" si="4"/>
        <v>0</v>
      </c>
      <c r="AW37" s="92">
        <f t="shared" si="17"/>
        <v>0</v>
      </c>
      <c r="AX37" s="92">
        <f t="shared" si="18"/>
        <v>0</v>
      </c>
      <c r="AY37" s="82">
        <f t="shared" si="20"/>
        <v>0</v>
      </c>
      <c r="AZ37" s="82">
        <f t="shared" si="20"/>
        <v>0</v>
      </c>
      <c r="BA37" s="95">
        <f t="shared" si="19"/>
        <v>0</v>
      </c>
      <c r="BB37" s="139"/>
      <c r="BC37"/>
    </row>
    <row r="38" spans="1:55" ht="15" hidden="1" customHeight="1" x14ac:dyDescent="0.3">
      <c r="A38" s="72" t="s">
        <v>41</v>
      </c>
      <c r="B38" s="111"/>
      <c r="C38" s="111">
        <v>49</v>
      </c>
      <c r="D38" s="121">
        <f t="shared" si="21"/>
        <v>0</v>
      </c>
      <c r="E38" s="16">
        <f t="shared" si="22"/>
        <v>0</v>
      </c>
      <c r="F38" s="91">
        <f>'1'!F38+'2'!F38+'3'!F38+'4'!F38+'5'!F38+'6'!F38</f>
        <v>0</v>
      </c>
      <c r="G38" s="91">
        <f>'1'!G38+'2'!G38+'3'!G38+'4'!G38+'5'!G38+'6'!G38</f>
        <v>0</v>
      </c>
      <c r="H38" s="135">
        <f>'1'!H38+'2'!H38+'3'!H38+'4'!H38+'5'!H38+'6'!H38</f>
        <v>0</v>
      </c>
      <c r="I38" s="135">
        <f>'1'!I38+'2'!I38+'3'!I38+'4'!I38+'5'!I38+'6'!I38</f>
        <v>0</v>
      </c>
      <c r="J38" s="9" t="s">
        <v>68</v>
      </c>
      <c r="K38" s="133">
        <f>'1'!K38+'2'!K38+'3'!K38+'4'!K38+'5'!K38+'6'!K38</f>
        <v>0</v>
      </c>
      <c r="L38" s="133">
        <f>'1'!L38+'2'!L38+'3'!L38+'4'!L38+'5'!L38+'6'!L38</f>
        <v>0</v>
      </c>
      <c r="M38" s="91">
        <f>'1'!M38+'2'!M38+'3'!M38+'4'!M38+'5'!M38+'6'!M38</f>
        <v>0</v>
      </c>
      <c r="N38" s="91">
        <f>'1'!N38+'2'!N38+'3'!N38+'4'!N38+'5'!N38+'6'!N38</f>
        <v>0</v>
      </c>
      <c r="O38" s="91">
        <f>'1'!O38+'2'!O38+'3'!O38+'4'!O38+'5'!O38+'6'!O38</f>
        <v>0</v>
      </c>
      <c r="P38" s="91">
        <f>'1'!P38+'2'!P38+'3'!P38+'4'!P38+'5'!P38+'6'!P38</f>
        <v>0</v>
      </c>
      <c r="Q38" s="91">
        <f>'1'!Q38+'2'!Q38+'3'!Q38+'4'!Q38+'5'!Q38+'6'!Q38</f>
        <v>0</v>
      </c>
      <c r="R38" s="91">
        <f>'1'!R38+'2'!R38+'3'!R38+'4'!R38+'5'!R38+'6'!R38</f>
        <v>0</v>
      </c>
      <c r="S38" s="91">
        <f>'1'!S38+'2'!S38+'3'!S38+'4'!S38+'5'!S38+'6'!S38</f>
        <v>0</v>
      </c>
      <c r="T38" s="91">
        <f>'1'!T38+'2'!T38+'3'!T38+'4'!T38+'5'!T38+'6'!T38</f>
        <v>0</v>
      </c>
      <c r="U38" s="91">
        <f>'1'!U38+'2'!U38+'3'!U38+'4'!U38+'5'!U38+'6'!U38</f>
        <v>0</v>
      </c>
      <c r="V38" s="91">
        <f>'1'!V38+'2'!V38+'3'!V38+'4'!V38+'5'!V38+'6'!V38</f>
        <v>0</v>
      </c>
      <c r="W38" s="91">
        <f>'1'!W38+'2'!W38+'3'!W38+'4'!W38+'5'!W38+'6'!W38</f>
        <v>0</v>
      </c>
      <c r="X38" s="91">
        <f>'1'!X38+'2'!X38+'3'!X38+'4'!X38+'5'!X38+'6'!X38</f>
        <v>0</v>
      </c>
      <c r="Y38" s="91">
        <f>'1'!Y38+'2'!Y38+'3'!Y38+'4'!Y38+'5'!Y38+'6'!Y38</f>
        <v>0</v>
      </c>
      <c r="Z38" s="91">
        <f>'1'!Z38+'2'!Z38+'3'!Z38+'4'!Z38+'5'!Z38+'6'!Z38</f>
        <v>0</v>
      </c>
      <c r="AA38" s="91">
        <f>'1'!AA38+'2'!AA38+'3'!AA38+'4'!AA38+'5'!AA38+'6'!AA38</f>
        <v>0</v>
      </c>
      <c r="AB38" s="91">
        <f>'1'!AB38+'2'!AB38+'3'!AB38+'4'!AB38+'5'!AB38+'6'!AB38</f>
        <v>0</v>
      </c>
      <c r="AC38" s="91">
        <f>'1'!AC38+'2'!AC38+'3'!AC38+'4'!AC38+'5'!AC38+'6'!AC38</f>
        <v>0</v>
      </c>
      <c r="AD38" s="91">
        <f>'1'!AD38+'2'!AD38+'3'!AD38+'4'!AD38+'5'!AD38+'6'!AD38</f>
        <v>0</v>
      </c>
      <c r="AE38" s="91">
        <f>'1'!AE38+'2'!AE38+'3'!AE38+'4'!AE38+'5'!AE38+'6'!AE38</f>
        <v>0</v>
      </c>
      <c r="AF38" s="91">
        <f>'1'!AF38+'2'!AF38+'3'!AF38+'4'!AF38+'5'!AF38+'6'!AF38</f>
        <v>0</v>
      </c>
      <c r="AG38" s="91">
        <f>'1'!AG38+'2'!AG38+'3'!AG38+'4'!AG38+'5'!AG38+'6'!AG38</f>
        <v>0</v>
      </c>
      <c r="AH38" s="91">
        <f>'1'!AH38+'2'!AH38+'3'!AH38+'4'!AH38+'5'!AH38+'6'!AH38</f>
        <v>0</v>
      </c>
      <c r="AI38" s="91">
        <f>'1'!AI38+'2'!AI38+'3'!AI38+'4'!AI38+'5'!AI38+'6'!AI38</f>
        <v>0</v>
      </c>
      <c r="AJ38" s="91">
        <f>'1'!AJ38+'2'!AJ38+'3'!AJ38+'4'!AJ38+'5'!AJ38+'6'!AJ38</f>
        <v>0</v>
      </c>
      <c r="AK38" s="91">
        <f>'1'!AK38+'2'!AK38+'3'!AK38+'4'!AK38+'5'!AK38+'6'!AK38</f>
        <v>0</v>
      </c>
      <c r="AL38" s="91">
        <f>'1'!AL38+'2'!AL38+'3'!AL38+'4'!AL38+'5'!AL38+'6'!AL38</f>
        <v>0</v>
      </c>
      <c r="AM38" s="91">
        <f>'1'!AM38+'2'!AM38+'3'!AM38+'4'!AM38+'5'!AM38+'6'!AM38</f>
        <v>0</v>
      </c>
      <c r="AN38" s="91">
        <f>'1'!AN38+'2'!AN38+'3'!AN38+'4'!AN38+'5'!AN38+'6'!AN38</f>
        <v>0</v>
      </c>
      <c r="AO38" s="91">
        <f>'1'!AO38+'2'!AO38+'3'!AO38+'4'!AO38+'5'!AO38+'6'!AO38</f>
        <v>0</v>
      </c>
      <c r="AP38" s="91">
        <f>'1'!AP38+'2'!AP38+'3'!AP38+'4'!AP38+'5'!AP38+'6'!AP38</f>
        <v>0</v>
      </c>
      <c r="AQ38" s="16">
        <f t="shared" si="3"/>
        <v>0</v>
      </c>
      <c r="AR38" s="17">
        <f t="shared" si="11"/>
        <v>0</v>
      </c>
      <c r="AS38" s="91">
        <f t="shared" si="15"/>
        <v>0</v>
      </c>
      <c r="AT38" s="15"/>
      <c r="AU38" s="92">
        <f t="shared" si="16"/>
        <v>0</v>
      </c>
      <c r="AV38" s="92">
        <f t="shared" si="4"/>
        <v>0</v>
      </c>
      <c r="AW38" s="92">
        <f t="shared" si="17"/>
        <v>0</v>
      </c>
      <c r="AX38" s="92">
        <f t="shared" si="18"/>
        <v>0</v>
      </c>
      <c r="AY38" s="82">
        <f t="shared" si="20"/>
        <v>0</v>
      </c>
      <c r="AZ38" s="82">
        <f t="shared" si="20"/>
        <v>0</v>
      </c>
      <c r="BA38" s="95">
        <f t="shared" si="19"/>
        <v>0</v>
      </c>
      <c r="BB38" s="139"/>
      <c r="BC38"/>
    </row>
    <row r="39" spans="1:55" ht="15" hidden="1" customHeight="1" x14ac:dyDescent="0.3">
      <c r="A39" s="72" t="s">
        <v>42</v>
      </c>
      <c r="B39" s="111"/>
      <c r="C39" s="111">
        <v>50</v>
      </c>
      <c r="D39" s="121">
        <f t="shared" si="21"/>
        <v>0</v>
      </c>
      <c r="E39" s="16">
        <f t="shared" si="22"/>
        <v>0</v>
      </c>
      <c r="F39" s="91">
        <f>'1'!F39+'2'!F39+'3'!F39+'4'!F39+'5'!F39+'6'!F39</f>
        <v>0</v>
      </c>
      <c r="G39" s="91">
        <f>'1'!G39+'2'!G39+'3'!G39+'4'!G39+'5'!G39+'6'!G39</f>
        <v>0</v>
      </c>
      <c r="H39" s="135">
        <f>'1'!H39+'2'!H39+'3'!H39+'4'!H39+'5'!H39+'6'!H39</f>
        <v>0</v>
      </c>
      <c r="I39" s="135">
        <f>'1'!I39+'2'!I39+'3'!I39+'4'!I39+'5'!I39+'6'!I39</f>
        <v>0</v>
      </c>
      <c r="J39" s="9" t="s">
        <v>68</v>
      </c>
      <c r="K39" s="133">
        <f>'1'!K39+'2'!K39+'3'!K39+'4'!K39+'5'!K39+'6'!K39</f>
        <v>0</v>
      </c>
      <c r="L39" s="133">
        <f>'1'!L39+'2'!L39+'3'!L39+'4'!L39+'5'!L39+'6'!L39</f>
        <v>0</v>
      </c>
      <c r="M39" s="91">
        <f>'1'!M39+'2'!M39+'3'!M39+'4'!M39+'5'!M39+'6'!M39</f>
        <v>0</v>
      </c>
      <c r="N39" s="91">
        <f>'1'!N39+'2'!N39+'3'!N39+'4'!N39+'5'!N39+'6'!N39</f>
        <v>0</v>
      </c>
      <c r="O39" s="91">
        <f>'1'!O39+'2'!O39+'3'!O39+'4'!O39+'5'!O39+'6'!O39</f>
        <v>0</v>
      </c>
      <c r="P39" s="91">
        <f>'1'!P39+'2'!P39+'3'!P39+'4'!P39+'5'!P39+'6'!P39</f>
        <v>0</v>
      </c>
      <c r="Q39" s="91">
        <f>'1'!Q39+'2'!Q39+'3'!Q39+'4'!Q39+'5'!Q39+'6'!Q39</f>
        <v>0</v>
      </c>
      <c r="R39" s="91">
        <f>'1'!R39+'2'!R39+'3'!R39+'4'!R39+'5'!R39+'6'!R39</f>
        <v>0</v>
      </c>
      <c r="S39" s="91">
        <f>'1'!S39+'2'!S39+'3'!S39+'4'!S39+'5'!S39+'6'!S39</f>
        <v>0</v>
      </c>
      <c r="T39" s="91">
        <f>'1'!T39+'2'!T39+'3'!T39+'4'!T39+'5'!T39+'6'!T39</f>
        <v>0</v>
      </c>
      <c r="U39" s="91">
        <f>'1'!U39+'2'!U39+'3'!U39+'4'!U39+'5'!U39+'6'!U39</f>
        <v>0</v>
      </c>
      <c r="V39" s="91">
        <f>'1'!V39+'2'!V39+'3'!V39+'4'!V39+'5'!V39+'6'!V39</f>
        <v>0</v>
      </c>
      <c r="W39" s="91">
        <f>'1'!W39+'2'!W39+'3'!W39+'4'!W39+'5'!W39+'6'!W39</f>
        <v>0</v>
      </c>
      <c r="X39" s="91">
        <f>'1'!X39+'2'!X39+'3'!X39+'4'!X39+'5'!X39+'6'!X39</f>
        <v>0</v>
      </c>
      <c r="Y39" s="91">
        <f>'1'!Y39+'2'!Y39+'3'!Y39+'4'!Y39+'5'!Y39+'6'!Y39</f>
        <v>0</v>
      </c>
      <c r="Z39" s="91">
        <f>'1'!Z39+'2'!Z39+'3'!Z39+'4'!Z39+'5'!Z39+'6'!Z39</f>
        <v>0</v>
      </c>
      <c r="AA39" s="91">
        <f>'1'!AA39+'2'!AA39+'3'!AA39+'4'!AA39+'5'!AA39+'6'!AA39</f>
        <v>0</v>
      </c>
      <c r="AB39" s="91">
        <f>'1'!AB39+'2'!AB39+'3'!AB39+'4'!AB39+'5'!AB39+'6'!AB39</f>
        <v>0</v>
      </c>
      <c r="AC39" s="91">
        <f>'1'!AC39+'2'!AC39+'3'!AC39+'4'!AC39+'5'!AC39+'6'!AC39</f>
        <v>0</v>
      </c>
      <c r="AD39" s="91">
        <f>'1'!AD39+'2'!AD39+'3'!AD39+'4'!AD39+'5'!AD39+'6'!AD39</f>
        <v>0</v>
      </c>
      <c r="AE39" s="91">
        <f>'1'!AE39+'2'!AE39+'3'!AE39+'4'!AE39+'5'!AE39+'6'!AE39</f>
        <v>0</v>
      </c>
      <c r="AF39" s="91">
        <f>'1'!AF39+'2'!AF39+'3'!AF39+'4'!AF39+'5'!AF39+'6'!AF39</f>
        <v>0</v>
      </c>
      <c r="AG39" s="91">
        <f>'1'!AG39+'2'!AG39+'3'!AG39+'4'!AG39+'5'!AG39+'6'!AG39</f>
        <v>0</v>
      </c>
      <c r="AH39" s="91">
        <f>'1'!AH39+'2'!AH39+'3'!AH39+'4'!AH39+'5'!AH39+'6'!AH39</f>
        <v>0</v>
      </c>
      <c r="AI39" s="91">
        <f>'1'!AI39+'2'!AI39+'3'!AI39+'4'!AI39+'5'!AI39+'6'!AI39</f>
        <v>0</v>
      </c>
      <c r="AJ39" s="91">
        <f>'1'!AJ39+'2'!AJ39+'3'!AJ39+'4'!AJ39+'5'!AJ39+'6'!AJ39</f>
        <v>0</v>
      </c>
      <c r="AK39" s="91">
        <f>'1'!AK39+'2'!AK39+'3'!AK39+'4'!AK39+'5'!AK39+'6'!AK39</f>
        <v>0</v>
      </c>
      <c r="AL39" s="91">
        <f>'1'!AL39+'2'!AL39+'3'!AL39+'4'!AL39+'5'!AL39+'6'!AL39</f>
        <v>0</v>
      </c>
      <c r="AM39" s="91">
        <f>'1'!AM39+'2'!AM39+'3'!AM39+'4'!AM39+'5'!AM39+'6'!AM39</f>
        <v>0</v>
      </c>
      <c r="AN39" s="91">
        <f>'1'!AN39+'2'!AN39+'3'!AN39+'4'!AN39+'5'!AN39+'6'!AN39</f>
        <v>0</v>
      </c>
      <c r="AO39" s="91">
        <f>'1'!AO39+'2'!AO39+'3'!AO39+'4'!AO39+'5'!AO39+'6'!AO39</f>
        <v>0</v>
      </c>
      <c r="AP39" s="91">
        <f>'1'!AP39+'2'!AP39+'3'!AP39+'4'!AP39+'5'!AP39+'6'!AP39</f>
        <v>0</v>
      </c>
      <c r="AQ39" s="16">
        <f t="shared" si="3"/>
        <v>0</v>
      </c>
      <c r="AR39" s="17">
        <f t="shared" si="11"/>
        <v>0</v>
      </c>
      <c r="AS39" s="91">
        <f t="shared" si="15"/>
        <v>0</v>
      </c>
      <c r="AT39" s="15"/>
      <c r="AU39" s="92">
        <f t="shared" si="16"/>
        <v>0</v>
      </c>
      <c r="AV39" s="92">
        <f t="shared" si="4"/>
        <v>0</v>
      </c>
      <c r="AW39" s="92">
        <f t="shared" si="17"/>
        <v>0</v>
      </c>
      <c r="AX39" s="92">
        <f t="shared" si="18"/>
        <v>0</v>
      </c>
      <c r="AY39" s="82">
        <f t="shared" si="20"/>
        <v>0</v>
      </c>
      <c r="AZ39" s="82">
        <f t="shared" si="20"/>
        <v>0</v>
      </c>
      <c r="BA39" s="95">
        <f t="shared" si="19"/>
        <v>0</v>
      </c>
      <c r="BB39" s="139"/>
      <c r="BC39"/>
    </row>
    <row r="40" spans="1:55" ht="15" hidden="1" customHeight="1" x14ac:dyDescent="0.3">
      <c r="A40" s="72" t="s">
        <v>43</v>
      </c>
      <c r="B40" s="111"/>
      <c r="C40" s="111">
        <v>51</v>
      </c>
      <c r="D40" s="121">
        <f t="shared" si="21"/>
        <v>0</v>
      </c>
      <c r="E40" s="16">
        <f t="shared" si="22"/>
        <v>0</v>
      </c>
      <c r="F40" s="91">
        <f>'1'!F40+'2'!F40+'3'!F40+'4'!F40+'5'!F40+'6'!F40</f>
        <v>0</v>
      </c>
      <c r="G40" s="91">
        <f>'1'!G40+'2'!G40+'3'!G40+'4'!G40+'5'!G40+'6'!G40</f>
        <v>0</v>
      </c>
      <c r="H40" s="135">
        <f>'1'!H40+'2'!H40+'3'!H40+'4'!H40+'5'!H40+'6'!H40</f>
        <v>0</v>
      </c>
      <c r="I40" s="135">
        <f>'1'!I40+'2'!I40+'3'!I40+'4'!I40+'5'!I40+'6'!I40</f>
        <v>0</v>
      </c>
      <c r="J40" s="9" t="s">
        <v>68</v>
      </c>
      <c r="K40" s="133">
        <f>'1'!K40+'2'!K40+'3'!K40+'4'!K40+'5'!K40+'6'!K40</f>
        <v>0</v>
      </c>
      <c r="L40" s="133">
        <f>'1'!L40+'2'!L40+'3'!L40+'4'!L40+'5'!L40+'6'!L40</f>
        <v>0</v>
      </c>
      <c r="M40" s="91">
        <f>'1'!M40+'2'!M40+'3'!M40+'4'!M40+'5'!M40+'6'!M40</f>
        <v>0</v>
      </c>
      <c r="N40" s="91">
        <f>'1'!N40+'2'!N40+'3'!N40+'4'!N40+'5'!N40+'6'!N40</f>
        <v>0</v>
      </c>
      <c r="O40" s="91">
        <f>'1'!O40+'2'!O40+'3'!O40+'4'!O40+'5'!O40+'6'!O40</f>
        <v>0</v>
      </c>
      <c r="P40" s="91">
        <f>'1'!P40+'2'!P40+'3'!P40+'4'!P40+'5'!P40+'6'!P40</f>
        <v>0</v>
      </c>
      <c r="Q40" s="91">
        <f>'1'!Q40+'2'!Q40+'3'!Q40+'4'!Q40+'5'!Q40+'6'!Q40</f>
        <v>0</v>
      </c>
      <c r="R40" s="91">
        <f>'1'!R40+'2'!R40+'3'!R40+'4'!R40+'5'!R40+'6'!R40</f>
        <v>0</v>
      </c>
      <c r="S40" s="91">
        <f>'1'!S40+'2'!S40+'3'!S40+'4'!S40+'5'!S40+'6'!S40</f>
        <v>0</v>
      </c>
      <c r="T40" s="91">
        <f>'1'!T40+'2'!T40+'3'!T40+'4'!T40+'5'!T40+'6'!T40</f>
        <v>0</v>
      </c>
      <c r="U40" s="91">
        <f>'1'!U40+'2'!U40+'3'!U40+'4'!U40+'5'!U40+'6'!U40</f>
        <v>0</v>
      </c>
      <c r="V40" s="91">
        <f>'1'!V40+'2'!V40+'3'!V40+'4'!V40+'5'!V40+'6'!V40</f>
        <v>0</v>
      </c>
      <c r="W40" s="91">
        <f>'1'!W40+'2'!W40+'3'!W40+'4'!W40+'5'!W40+'6'!W40</f>
        <v>0</v>
      </c>
      <c r="X40" s="91">
        <f>'1'!X40+'2'!X40+'3'!X40+'4'!X40+'5'!X40+'6'!X40</f>
        <v>0</v>
      </c>
      <c r="Y40" s="91">
        <f>'1'!Y40+'2'!Y40+'3'!Y40+'4'!Y40+'5'!Y40+'6'!Y40</f>
        <v>0</v>
      </c>
      <c r="Z40" s="91">
        <f>'1'!Z40+'2'!Z40+'3'!Z40+'4'!Z40+'5'!Z40+'6'!Z40</f>
        <v>0</v>
      </c>
      <c r="AA40" s="91">
        <f>'1'!AA40+'2'!AA40+'3'!AA40+'4'!AA40+'5'!AA40+'6'!AA40</f>
        <v>0</v>
      </c>
      <c r="AB40" s="91">
        <f>'1'!AB40+'2'!AB40+'3'!AB40+'4'!AB40+'5'!AB40+'6'!AB40</f>
        <v>0</v>
      </c>
      <c r="AC40" s="91">
        <f>'1'!AC40+'2'!AC40+'3'!AC40+'4'!AC40+'5'!AC40+'6'!AC40</f>
        <v>0</v>
      </c>
      <c r="AD40" s="91">
        <f>'1'!AD40+'2'!AD40+'3'!AD40+'4'!AD40+'5'!AD40+'6'!AD40</f>
        <v>0</v>
      </c>
      <c r="AE40" s="91">
        <f>'1'!AE40+'2'!AE40+'3'!AE40+'4'!AE40+'5'!AE40+'6'!AE40</f>
        <v>0</v>
      </c>
      <c r="AF40" s="91">
        <f>'1'!AF40+'2'!AF40+'3'!AF40+'4'!AF40+'5'!AF40+'6'!AF40</f>
        <v>0</v>
      </c>
      <c r="AG40" s="91">
        <f>'1'!AG40+'2'!AG40+'3'!AG40+'4'!AG40+'5'!AG40+'6'!AG40</f>
        <v>0</v>
      </c>
      <c r="AH40" s="91">
        <f>'1'!AH40+'2'!AH40+'3'!AH40+'4'!AH40+'5'!AH40+'6'!AH40</f>
        <v>0</v>
      </c>
      <c r="AI40" s="91">
        <f>'1'!AI40+'2'!AI40+'3'!AI40+'4'!AI40+'5'!AI40+'6'!AI40</f>
        <v>0</v>
      </c>
      <c r="AJ40" s="91">
        <f>'1'!AJ40+'2'!AJ40+'3'!AJ40+'4'!AJ40+'5'!AJ40+'6'!AJ40</f>
        <v>0</v>
      </c>
      <c r="AK40" s="91">
        <f>'1'!AK40+'2'!AK40+'3'!AK40+'4'!AK40+'5'!AK40+'6'!AK40</f>
        <v>0</v>
      </c>
      <c r="AL40" s="91">
        <f>'1'!AL40+'2'!AL40+'3'!AL40+'4'!AL40+'5'!AL40+'6'!AL40</f>
        <v>0</v>
      </c>
      <c r="AM40" s="91">
        <f>'1'!AM40+'2'!AM40+'3'!AM40+'4'!AM40+'5'!AM40+'6'!AM40</f>
        <v>0</v>
      </c>
      <c r="AN40" s="91">
        <f>'1'!AN40+'2'!AN40+'3'!AN40+'4'!AN40+'5'!AN40+'6'!AN40</f>
        <v>0</v>
      </c>
      <c r="AO40" s="91">
        <f>'1'!AO40+'2'!AO40+'3'!AO40+'4'!AO40+'5'!AO40+'6'!AO40</f>
        <v>0</v>
      </c>
      <c r="AP40" s="91">
        <f>'1'!AP40+'2'!AP40+'3'!AP40+'4'!AP40+'5'!AP40+'6'!AP40</f>
        <v>0</v>
      </c>
      <c r="AQ40" s="16">
        <f t="shared" si="3"/>
        <v>0</v>
      </c>
      <c r="AR40" s="17">
        <f t="shared" si="11"/>
        <v>0</v>
      </c>
      <c r="AS40" s="91">
        <f t="shared" si="15"/>
        <v>0</v>
      </c>
      <c r="AT40" s="15"/>
      <c r="AU40" s="92">
        <f t="shared" si="16"/>
        <v>0</v>
      </c>
      <c r="AV40" s="92">
        <f t="shared" si="4"/>
        <v>0</v>
      </c>
      <c r="AW40" s="92">
        <f t="shared" si="17"/>
        <v>0</v>
      </c>
      <c r="AX40" s="92">
        <f t="shared" si="18"/>
        <v>0</v>
      </c>
      <c r="AY40" s="82">
        <f t="shared" si="20"/>
        <v>0</v>
      </c>
      <c r="AZ40" s="82">
        <f t="shared" si="20"/>
        <v>0</v>
      </c>
      <c r="BA40" s="95">
        <f t="shared" si="19"/>
        <v>0</v>
      </c>
      <c r="BB40" s="139"/>
      <c r="BC40"/>
    </row>
    <row r="41" spans="1:55" ht="15" hidden="1" customHeight="1" thickBot="1" x14ac:dyDescent="0.3">
      <c r="A41" s="100" t="s">
        <v>44</v>
      </c>
      <c r="B41" s="116"/>
      <c r="C41" s="116">
        <v>52</v>
      </c>
      <c r="D41" s="121">
        <f t="shared" si="21"/>
        <v>0</v>
      </c>
      <c r="E41" s="16">
        <f t="shared" si="22"/>
        <v>0</v>
      </c>
      <c r="F41" s="91">
        <f>'1'!F41+'2'!F41+'3'!F41+'4'!F41+'5'!F41+'6'!F41</f>
        <v>0</v>
      </c>
      <c r="G41" s="91">
        <f>'1'!G41+'2'!G41+'3'!G41+'4'!G41+'5'!G41+'6'!G41</f>
        <v>0</v>
      </c>
      <c r="H41" s="135">
        <f>'1'!H41+'2'!H41+'3'!H41+'4'!H41+'5'!H41+'6'!H41</f>
        <v>0</v>
      </c>
      <c r="I41" s="135">
        <f>'1'!I41+'2'!I41+'3'!I41+'4'!I41+'5'!I41+'6'!I41</f>
        <v>0</v>
      </c>
      <c r="J41" s="101" t="s">
        <v>68</v>
      </c>
      <c r="K41" s="133">
        <f>'1'!K41+'2'!K41+'3'!K41+'4'!K41+'5'!K41+'6'!K41</f>
        <v>0</v>
      </c>
      <c r="L41" s="133">
        <f>'1'!L41+'2'!L41+'3'!L41+'4'!L41+'5'!L41+'6'!L41</f>
        <v>0</v>
      </c>
      <c r="M41" s="91">
        <f>'1'!M41+'2'!M41+'3'!M41+'4'!M41+'5'!M41+'6'!M41</f>
        <v>0</v>
      </c>
      <c r="N41" s="91">
        <f>'1'!N41+'2'!N41+'3'!N41+'4'!N41+'5'!N41+'6'!N41</f>
        <v>0</v>
      </c>
      <c r="O41" s="91">
        <f>'1'!O41+'2'!O41+'3'!O41+'4'!O41+'5'!O41+'6'!O41</f>
        <v>0</v>
      </c>
      <c r="P41" s="91">
        <f>'1'!P41+'2'!P41+'3'!P41+'4'!P41+'5'!P41+'6'!P41</f>
        <v>0</v>
      </c>
      <c r="Q41" s="91">
        <f>'1'!Q41+'2'!Q41+'3'!Q41+'4'!Q41+'5'!Q41+'6'!Q41</f>
        <v>0</v>
      </c>
      <c r="R41" s="91">
        <f>'1'!R41+'2'!R41+'3'!R41+'4'!R41+'5'!R41+'6'!R41</f>
        <v>0</v>
      </c>
      <c r="S41" s="91">
        <f>'1'!S41+'2'!S41+'3'!S41+'4'!S41+'5'!S41+'6'!S41</f>
        <v>0</v>
      </c>
      <c r="T41" s="91">
        <f>'1'!T41+'2'!T41+'3'!T41+'4'!T41+'5'!T41+'6'!T41</f>
        <v>0</v>
      </c>
      <c r="U41" s="91">
        <f>'1'!U41+'2'!U41+'3'!U41+'4'!U41+'5'!U41+'6'!U41</f>
        <v>0</v>
      </c>
      <c r="V41" s="91">
        <f>'1'!V41+'2'!V41+'3'!V41+'4'!V41+'5'!V41+'6'!V41</f>
        <v>0</v>
      </c>
      <c r="W41" s="91">
        <f>'1'!W41+'2'!W41+'3'!W41+'4'!W41+'5'!W41+'6'!W41</f>
        <v>0</v>
      </c>
      <c r="X41" s="91">
        <f>'1'!X41+'2'!X41+'3'!X41+'4'!X41+'5'!X41+'6'!X41</f>
        <v>0</v>
      </c>
      <c r="Y41" s="91">
        <f>'1'!Y41+'2'!Y41+'3'!Y41+'4'!Y41+'5'!Y41+'6'!Y41</f>
        <v>0</v>
      </c>
      <c r="Z41" s="91">
        <f>'1'!Z41+'2'!Z41+'3'!Z41+'4'!Z41+'5'!Z41+'6'!Z41</f>
        <v>0</v>
      </c>
      <c r="AA41" s="91">
        <f>'1'!AA41+'2'!AA41+'3'!AA41+'4'!AA41+'5'!AA41+'6'!AA41</f>
        <v>0</v>
      </c>
      <c r="AB41" s="91">
        <f>'1'!AB41+'2'!AB41+'3'!AB41+'4'!AB41+'5'!AB41+'6'!AB41</f>
        <v>0</v>
      </c>
      <c r="AC41" s="91">
        <f>'1'!AC41+'2'!AC41+'3'!AC41+'4'!AC41+'5'!AC41+'6'!AC41</f>
        <v>0</v>
      </c>
      <c r="AD41" s="91">
        <f>'1'!AD41+'2'!AD41+'3'!AD41+'4'!AD41+'5'!AD41+'6'!AD41</f>
        <v>0</v>
      </c>
      <c r="AE41" s="91">
        <f>'1'!AE41+'2'!AE41+'3'!AE41+'4'!AE41+'5'!AE41+'6'!AE41</f>
        <v>0</v>
      </c>
      <c r="AF41" s="91">
        <f>'1'!AF41+'2'!AF41+'3'!AF41+'4'!AF41+'5'!AF41+'6'!AF41</f>
        <v>0</v>
      </c>
      <c r="AG41" s="91">
        <f>'1'!AG41+'2'!AG41+'3'!AG41+'4'!AG41+'5'!AG41+'6'!AG41</f>
        <v>0</v>
      </c>
      <c r="AH41" s="91">
        <f>'1'!AH41+'2'!AH41+'3'!AH41+'4'!AH41+'5'!AH41+'6'!AH41</f>
        <v>0</v>
      </c>
      <c r="AI41" s="91">
        <f>'1'!AI41+'2'!AI41+'3'!AI41+'4'!AI41+'5'!AI41+'6'!AI41</f>
        <v>0</v>
      </c>
      <c r="AJ41" s="91">
        <f>'1'!AJ41+'2'!AJ41+'3'!AJ41+'4'!AJ41+'5'!AJ41+'6'!AJ41</f>
        <v>0</v>
      </c>
      <c r="AK41" s="91">
        <f>'1'!AK41+'2'!AK41+'3'!AK41+'4'!AK41+'5'!AK41+'6'!AK41</f>
        <v>0</v>
      </c>
      <c r="AL41" s="91">
        <f>'1'!AL41+'2'!AL41+'3'!AL41+'4'!AL41+'5'!AL41+'6'!AL41</f>
        <v>0</v>
      </c>
      <c r="AM41" s="91">
        <f>'1'!AM41+'2'!AM41+'3'!AM41+'4'!AM41+'5'!AM41+'6'!AM41</f>
        <v>0</v>
      </c>
      <c r="AN41" s="91">
        <f>'1'!AN41+'2'!AN41+'3'!AN41+'4'!AN41+'5'!AN41+'6'!AN41</f>
        <v>0</v>
      </c>
      <c r="AO41" s="91">
        <f>'1'!AO41+'2'!AO41+'3'!AO41+'4'!AO41+'5'!AO41+'6'!AO41</f>
        <v>0</v>
      </c>
      <c r="AP41" s="91">
        <f>'1'!AP41+'2'!AP41+'3'!AP41+'4'!AP41+'5'!AP41+'6'!AP41</f>
        <v>0</v>
      </c>
      <c r="AQ41" s="16">
        <f t="shared" si="3"/>
        <v>0</v>
      </c>
      <c r="AR41" s="17">
        <f t="shared" si="11"/>
        <v>0</v>
      </c>
      <c r="AS41" s="91">
        <f t="shared" si="15"/>
        <v>0</v>
      </c>
      <c r="AT41" s="16"/>
      <c r="AU41" s="92">
        <f t="shared" si="16"/>
        <v>0</v>
      </c>
      <c r="AV41" s="92">
        <f t="shared" si="4"/>
        <v>0</v>
      </c>
      <c r="AW41" s="92">
        <f t="shared" si="17"/>
        <v>0</v>
      </c>
      <c r="AX41" s="92">
        <f t="shared" si="18"/>
        <v>0</v>
      </c>
      <c r="AY41" s="82">
        <f t="shared" si="20"/>
        <v>0</v>
      </c>
      <c r="AZ41" s="82">
        <f t="shared" si="20"/>
        <v>0</v>
      </c>
      <c r="BA41" s="95">
        <f t="shared" si="19"/>
        <v>0</v>
      </c>
      <c r="BB41" s="140"/>
      <c r="BC41"/>
    </row>
    <row r="42" spans="1:55" ht="15" customHeight="1" thickBot="1" x14ac:dyDescent="0.3">
      <c r="A42" s="102" t="s">
        <v>81</v>
      </c>
      <c r="B42" s="124"/>
      <c r="C42" s="87"/>
      <c r="D42" s="129">
        <f t="shared" ref="D42:AP42" si="23">SUM(D43:D45)</f>
        <v>0</v>
      </c>
      <c r="E42" s="129">
        <f t="shared" si="23"/>
        <v>0</v>
      </c>
      <c r="F42" s="129">
        <f t="shared" si="23"/>
        <v>0</v>
      </c>
      <c r="G42" s="129">
        <f t="shared" si="23"/>
        <v>0</v>
      </c>
      <c r="H42" s="131">
        <f t="shared" si="23"/>
        <v>0</v>
      </c>
      <c r="I42" s="131">
        <f t="shared" si="23"/>
        <v>0</v>
      </c>
      <c r="J42" s="129">
        <f t="shared" si="23"/>
        <v>0</v>
      </c>
      <c r="K42" s="130">
        <f t="shared" si="23"/>
        <v>0</v>
      </c>
      <c r="L42" s="130">
        <f t="shared" si="23"/>
        <v>0</v>
      </c>
      <c r="M42" s="129">
        <f t="shared" si="23"/>
        <v>0</v>
      </c>
      <c r="N42" s="129">
        <f t="shared" si="23"/>
        <v>0</v>
      </c>
      <c r="O42" s="129">
        <f t="shared" si="23"/>
        <v>0</v>
      </c>
      <c r="P42" s="129">
        <f t="shared" si="23"/>
        <v>0</v>
      </c>
      <c r="Q42" s="129">
        <f t="shared" si="23"/>
        <v>0</v>
      </c>
      <c r="R42" s="129">
        <f t="shared" si="23"/>
        <v>0</v>
      </c>
      <c r="S42" s="129">
        <f t="shared" si="23"/>
        <v>0</v>
      </c>
      <c r="T42" s="129">
        <f t="shared" si="23"/>
        <v>0</v>
      </c>
      <c r="U42" s="129">
        <f t="shared" si="23"/>
        <v>0</v>
      </c>
      <c r="V42" s="129">
        <f t="shared" si="23"/>
        <v>0</v>
      </c>
      <c r="W42" s="129">
        <f t="shared" si="23"/>
        <v>0</v>
      </c>
      <c r="X42" s="129">
        <f t="shared" si="23"/>
        <v>0</v>
      </c>
      <c r="Y42" s="129">
        <f t="shared" si="23"/>
        <v>0</v>
      </c>
      <c r="Z42" s="129">
        <f t="shared" si="23"/>
        <v>0</v>
      </c>
      <c r="AA42" s="129">
        <f t="shared" si="23"/>
        <v>0</v>
      </c>
      <c r="AB42" s="129">
        <f t="shared" si="23"/>
        <v>0</v>
      </c>
      <c r="AC42" s="129">
        <f t="shared" si="23"/>
        <v>0</v>
      </c>
      <c r="AD42" s="129">
        <f t="shared" si="23"/>
        <v>0</v>
      </c>
      <c r="AE42" s="129">
        <f t="shared" si="23"/>
        <v>0</v>
      </c>
      <c r="AF42" s="129">
        <f t="shared" si="23"/>
        <v>0</v>
      </c>
      <c r="AG42" s="129">
        <f t="shared" si="23"/>
        <v>0</v>
      </c>
      <c r="AH42" s="129">
        <f t="shared" si="23"/>
        <v>0</v>
      </c>
      <c r="AI42" s="129">
        <f t="shared" si="23"/>
        <v>0</v>
      </c>
      <c r="AJ42" s="129">
        <f t="shared" si="23"/>
        <v>0</v>
      </c>
      <c r="AK42" s="129">
        <f t="shared" si="23"/>
        <v>0</v>
      </c>
      <c r="AL42" s="129">
        <f t="shared" si="23"/>
        <v>0</v>
      </c>
      <c r="AM42" s="129">
        <f t="shared" si="23"/>
        <v>0</v>
      </c>
      <c r="AN42" s="129">
        <f t="shared" si="23"/>
        <v>0</v>
      </c>
      <c r="AO42" s="129">
        <f t="shared" si="23"/>
        <v>0</v>
      </c>
      <c r="AP42" s="129">
        <f t="shared" si="23"/>
        <v>0</v>
      </c>
      <c r="AQ42" s="129">
        <f t="shared" si="3"/>
        <v>0</v>
      </c>
      <c r="AR42" s="129">
        <f t="shared" si="11"/>
        <v>0</v>
      </c>
      <c r="AS42" s="129">
        <f t="shared" si="15"/>
        <v>0</v>
      </c>
      <c r="AT42" s="129">
        <f>SUM(AT43:AT45)</f>
        <v>0</v>
      </c>
      <c r="AU42" s="131">
        <f t="shared" si="16"/>
        <v>0</v>
      </c>
      <c r="AV42" s="131">
        <f t="shared" si="4"/>
        <v>0</v>
      </c>
      <c r="AW42" s="131">
        <f t="shared" si="17"/>
        <v>0</v>
      </c>
      <c r="AX42" s="131">
        <f t="shared" si="18"/>
        <v>0</v>
      </c>
      <c r="AY42" s="131">
        <f>SUM(AY43:AY45)</f>
        <v>0</v>
      </c>
      <c r="AZ42" s="131">
        <f>SUM(AZ43:AZ45)</f>
        <v>0</v>
      </c>
      <c r="BA42" s="129">
        <f t="shared" si="19"/>
        <v>0</v>
      </c>
      <c r="BB42" s="141"/>
      <c r="BC42"/>
    </row>
    <row r="43" spans="1:55" ht="15" customHeight="1" x14ac:dyDescent="0.25">
      <c r="A43" s="97" t="s">
        <v>66</v>
      </c>
      <c r="B43" s="123" t="s">
        <v>139</v>
      </c>
      <c r="C43" s="115">
        <v>25</v>
      </c>
      <c r="D43" s="121">
        <f>AT43*AU43*AW43</f>
        <v>0</v>
      </c>
      <c r="E43" s="16">
        <f>ROUND(AT43*AV43*AX43,4)</f>
        <v>0</v>
      </c>
      <c r="F43" s="91">
        <f>'1'!F43+'2'!F43+'3'!F43+'4'!F43+'5'!F43+'6'!F43</f>
        <v>0</v>
      </c>
      <c r="G43" s="91">
        <f>'1'!G43+'2'!G43+'3'!G43+'4'!G43+'5'!G43+'6'!G43</f>
        <v>0</v>
      </c>
      <c r="H43" s="135">
        <f>'1'!H43+'2'!H43+'3'!H43+'4'!H43+'5'!H43+'6'!H43</f>
        <v>0</v>
      </c>
      <c r="I43" s="135">
        <f>'1'!I43+'2'!I43+'3'!I43+'4'!I43+'5'!I43+'6'!I43</f>
        <v>0</v>
      </c>
      <c r="J43" s="14" t="s">
        <v>55</v>
      </c>
      <c r="K43" s="133">
        <f>'1'!K43+'2'!K43+'3'!K43+'4'!K43+'5'!K43+'6'!K43</f>
        <v>0</v>
      </c>
      <c r="L43" s="133">
        <f>'1'!L43+'2'!L43+'3'!L43+'4'!L43+'5'!L43+'6'!L43</f>
        <v>0</v>
      </c>
      <c r="M43" s="91">
        <f>'1'!M43+'2'!M43+'3'!M43+'4'!M43+'5'!M43+'6'!M43</f>
        <v>0</v>
      </c>
      <c r="N43" s="91">
        <f>'1'!N43+'2'!N43+'3'!N43+'4'!N43+'5'!N43+'6'!N43</f>
        <v>0</v>
      </c>
      <c r="O43" s="91">
        <f>'1'!O43+'2'!O43+'3'!O43+'4'!O43+'5'!O43+'6'!O43</f>
        <v>0</v>
      </c>
      <c r="P43" s="91">
        <f>'1'!P43+'2'!P43+'3'!P43+'4'!P43+'5'!P43+'6'!P43</f>
        <v>0</v>
      </c>
      <c r="Q43" s="91">
        <f>'1'!Q43+'2'!Q43+'3'!Q43+'4'!Q43+'5'!Q43+'6'!Q43</f>
        <v>0</v>
      </c>
      <c r="R43" s="91">
        <f>'1'!R43+'2'!R43+'3'!R43+'4'!R43+'5'!R43+'6'!R43</f>
        <v>0</v>
      </c>
      <c r="S43" s="91">
        <f>'1'!S43+'2'!S43+'3'!S43+'4'!S43+'5'!S43+'6'!S43</f>
        <v>0</v>
      </c>
      <c r="T43" s="91">
        <f>'1'!T43+'2'!T43+'3'!T43+'4'!T43+'5'!T43+'6'!T43</f>
        <v>0</v>
      </c>
      <c r="U43" s="91">
        <f>'1'!U43+'2'!U43+'3'!U43+'4'!U43+'5'!U43+'6'!U43</f>
        <v>0</v>
      </c>
      <c r="V43" s="91">
        <f>'1'!V43+'2'!V43+'3'!V43+'4'!V43+'5'!V43+'6'!V43</f>
        <v>0</v>
      </c>
      <c r="W43" s="91">
        <f>'1'!W43+'2'!W43+'3'!W43+'4'!W43+'5'!W43+'6'!W43</f>
        <v>0</v>
      </c>
      <c r="X43" s="91">
        <f>'1'!X43+'2'!X43+'3'!X43+'4'!X43+'5'!X43+'6'!X43</f>
        <v>0</v>
      </c>
      <c r="Y43" s="91">
        <f>'1'!Y43+'2'!Y43+'3'!Y43+'4'!Y43+'5'!Y43+'6'!Y43</f>
        <v>0</v>
      </c>
      <c r="Z43" s="91">
        <f>'1'!Z43+'2'!Z43+'3'!Z43+'4'!Z43+'5'!Z43+'6'!Z43</f>
        <v>0</v>
      </c>
      <c r="AA43" s="91">
        <f>'1'!AA43+'2'!AA43+'3'!AA43+'4'!AA43+'5'!AA43+'6'!AA43</f>
        <v>0</v>
      </c>
      <c r="AB43" s="91">
        <f>'1'!AB43+'2'!AB43+'3'!AB43+'4'!AB43+'5'!AB43+'6'!AB43</f>
        <v>0</v>
      </c>
      <c r="AC43" s="91">
        <f>'1'!AC43+'2'!AC43+'3'!AC43+'4'!AC43+'5'!AC43+'6'!AC43</f>
        <v>0</v>
      </c>
      <c r="AD43" s="91">
        <f>'1'!AD43+'2'!AD43+'3'!AD43+'4'!AD43+'5'!AD43+'6'!AD43</f>
        <v>0</v>
      </c>
      <c r="AE43" s="91">
        <f>'1'!AE43+'2'!AE43+'3'!AE43+'4'!AE43+'5'!AE43+'6'!AE43</f>
        <v>0</v>
      </c>
      <c r="AF43" s="91">
        <f>'1'!AF43+'2'!AF43+'3'!AF43+'4'!AF43+'5'!AF43+'6'!AF43</f>
        <v>0</v>
      </c>
      <c r="AG43" s="91">
        <f>'1'!AG43+'2'!AG43+'3'!AG43+'4'!AG43+'5'!AG43+'6'!AG43</f>
        <v>0</v>
      </c>
      <c r="AH43" s="91">
        <f>'1'!AH43+'2'!AH43+'3'!AH43+'4'!AH43+'5'!AH43+'6'!AH43</f>
        <v>0</v>
      </c>
      <c r="AI43" s="91">
        <f>'1'!AI43+'2'!AI43+'3'!AI43+'4'!AI43+'5'!AI43+'6'!AI43</f>
        <v>0</v>
      </c>
      <c r="AJ43" s="91">
        <f>'1'!AJ43+'2'!AJ43+'3'!AJ43+'4'!AJ43+'5'!AJ43+'6'!AJ43</f>
        <v>0</v>
      </c>
      <c r="AK43" s="91">
        <f>'1'!AK43+'2'!AK43+'3'!AK43+'4'!AK43+'5'!AK43+'6'!AK43</f>
        <v>0</v>
      </c>
      <c r="AL43" s="91">
        <f>'1'!AL43+'2'!AL43+'3'!AL43+'4'!AL43+'5'!AL43+'6'!AL43</f>
        <v>0</v>
      </c>
      <c r="AM43" s="91">
        <f>'1'!AM43+'2'!AM43+'3'!AM43+'4'!AM43+'5'!AM43+'6'!AM43</f>
        <v>0</v>
      </c>
      <c r="AN43" s="91">
        <f>'1'!AN43+'2'!AN43+'3'!AN43+'4'!AN43+'5'!AN43+'6'!AN43</f>
        <v>0</v>
      </c>
      <c r="AO43" s="91">
        <f>'1'!AO43+'2'!AO43+'3'!AO43+'4'!AO43+'5'!AO43+'6'!AO43</f>
        <v>0</v>
      </c>
      <c r="AP43" s="91">
        <f>'1'!AP43+'2'!AP43+'3'!AP43+'4'!AP43+'5'!AP43+'6'!AP43</f>
        <v>0</v>
      </c>
      <c r="AQ43" s="16">
        <f t="shared" si="3"/>
        <v>0</v>
      </c>
      <c r="AR43" s="17">
        <f t="shared" si="11"/>
        <v>0</v>
      </c>
      <c r="AS43" s="91">
        <f t="shared" si="15"/>
        <v>0</v>
      </c>
      <c r="AT43" s="91">
        <f>'1'!AT43+'2'!AT43+'3'!AT43+'4'!AT43+'5'!AT43+'6'!AT43</f>
        <v>0</v>
      </c>
      <c r="AU43" s="92">
        <f t="shared" si="16"/>
        <v>0</v>
      </c>
      <c r="AV43" s="92">
        <f t="shared" si="4"/>
        <v>0</v>
      </c>
      <c r="AW43" s="92">
        <f t="shared" si="17"/>
        <v>0</v>
      </c>
      <c r="AX43" s="92">
        <f t="shared" si="18"/>
        <v>0</v>
      </c>
      <c r="AY43" s="92">
        <f>IF(D43=0,0,K43/D43/24)</f>
        <v>0</v>
      </c>
      <c r="AZ43" s="92">
        <f>IF(E43=0,0,L43/E43/24)</f>
        <v>0</v>
      </c>
      <c r="BA43" s="95">
        <f t="shared" si="19"/>
        <v>0</v>
      </c>
      <c r="BB43" s="138"/>
      <c r="BC43"/>
    </row>
    <row r="44" spans="1:55" ht="15" hidden="1" customHeight="1" x14ac:dyDescent="0.25">
      <c r="A44" s="72" t="s">
        <v>67</v>
      </c>
      <c r="B44" s="123"/>
      <c r="C44" s="111">
        <v>31</v>
      </c>
      <c r="D44" s="121">
        <f t="shared" ref="D44:D45" si="24">AT44*AU44*AW44</f>
        <v>0</v>
      </c>
      <c r="E44" s="16">
        <f t="shared" ref="E44:E45" si="25">ROUND(AT44*AV44*AX44,4)</f>
        <v>0</v>
      </c>
      <c r="F44" s="91">
        <f>'1'!F44+'2'!F44+'3'!F44+'4'!F44+'5'!F44+'6'!F44</f>
        <v>0</v>
      </c>
      <c r="G44" s="91">
        <f>'1'!G44+'2'!G44+'3'!G44+'4'!G44+'5'!G44+'6'!G44</f>
        <v>0</v>
      </c>
      <c r="H44" s="135">
        <f>'1'!H44+'2'!H44+'3'!H44+'4'!H44+'5'!H44+'6'!H44</f>
        <v>0</v>
      </c>
      <c r="I44" s="135">
        <f>'1'!I44+'2'!I44+'3'!I44+'4'!I44+'5'!I44+'6'!I44</f>
        <v>0</v>
      </c>
      <c r="J44" s="14" t="s">
        <v>55</v>
      </c>
      <c r="K44" s="133">
        <f>'1'!K44+'2'!K44+'3'!K44+'4'!K44+'5'!K44+'6'!K44</f>
        <v>0</v>
      </c>
      <c r="L44" s="133">
        <f>'1'!L44+'2'!L44+'3'!L44+'4'!L44+'5'!L44+'6'!L44</f>
        <v>0</v>
      </c>
      <c r="M44" s="91">
        <f>'1'!M44+'2'!M44+'3'!M44+'4'!M44+'5'!M44+'6'!M44</f>
        <v>0</v>
      </c>
      <c r="N44" s="91">
        <f>'1'!N44+'2'!N44+'3'!N44+'4'!N44+'5'!N44+'6'!N44</f>
        <v>0</v>
      </c>
      <c r="O44" s="91">
        <f>'1'!O44+'2'!O44+'3'!O44+'4'!O44+'5'!O44+'6'!O44</f>
        <v>0</v>
      </c>
      <c r="P44" s="91">
        <f>'1'!P44+'2'!P44+'3'!P44+'4'!P44+'5'!P44+'6'!P44</f>
        <v>0</v>
      </c>
      <c r="Q44" s="91">
        <f>'1'!Q44+'2'!Q44+'3'!Q44+'4'!Q44+'5'!Q44+'6'!Q44</f>
        <v>0</v>
      </c>
      <c r="R44" s="91">
        <f>'1'!R44+'2'!R44+'3'!R44+'4'!R44+'5'!R44+'6'!R44</f>
        <v>0</v>
      </c>
      <c r="S44" s="91">
        <f>'1'!S44+'2'!S44+'3'!S44+'4'!S44+'5'!S44+'6'!S44</f>
        <v>0</v>
      </c>
      <c r="T44" s="91">
        <f>'1'!T44+'2'!T44+'3'!T44+'4'!T44+'5'!T44+'6'!T44</f>
        <v>0</v>
      </c>
      <c r="U44" s="91">
        <f>'1'!U44+'2'!U44+'3'!U44+'4'!U44+'5'!U44+'6'!U44</f>
        <v>0</v>
      </c>
      <c r="V44" s="91">
        <f>'1'!V44+'2'!V44+'3'!V44+'4'!V44+'5'!V44+'6'!V44</f>
        <v>0</v>
      </c>
      <c r="W44" s="91">
        <f>'1'!W44+'2'!W44+'3'!W44+'4'!W44+'5'!W44+'6'!W44</f>
        <v>0</v>
      </c>
      <c r="X44" s="91">
        <f>'1'!X44+'2'!X44+'3'!X44+'4'!X44+'5'!X44+'6'!X44</f>
        <v>0</v>
      </c>
      <c r="Y44" s="91">
        <f>'1'!Y44+'2'!Y44+'3'!Y44+'4'!Y44+'5'!Y44+'6'!Y44</f>
        <v>0</v>
      </c>
      <c r="Z44" s="91">
        <f>'1'!Z44+'2'!Z44+'3'!Z44+'4'!Z44+'5'!Z44+'6'!Z44</f>
        <v>0</v>
      </c>
      <c r="AA44" s="91">
        <f>'1'!AA44+'2'!AA44+'3'!AA44+'4'!AA44+'5'!AA44+'6'!AA44</f>
        <v>0</v>
      </c>
      <c r="AB44" s="91">
        <f>'1'!AB44+'2'!AB44+'3'!AB44+'4'!AB44+'5'!AB44+'6'!AB44</f>
        <v>0</v>
      </c>
      <c r="AC44" s="91">
        <f>'1'!AC44+'2'!AC44+'3'!AC44+'4'!AC44+'5'!AC44+'6'!AC44</f>
        <v>0</v>
      </c>
      <c r="AD44" s="91">
        <f>'1'!AD44+'2'!AD44+'3'!AD44+'4'!AD44+'5'!AD44+'6'!AD44</f>
        <v>0</v>
      </c>
      <c r="AE44" s="91">
        <f>'1'!AE44+'2'!AE44+'3'!AE44+'4'!AE44+'5'!AE44+'6'!AE44</f>
        <v>0</v>
      </c>
      <c r="AF44" s="91">
        <f>'1'!AF44+'2'!AF44+'3'!AF44+'4'!AF44+'5'!AF44+'6'!AF44</f>
        <v>0</v>
      </c>
      <c r="AG44" s="91">
        <f>'1'!AG44+'2'!AG44+'3'!AG44+'4'!AG44+'5'!AG44+'6'!AG44</f>
        <v>0</v>
      </c>
      <c r="AH44" s="91">
        <f>'1'!AH44+'2'!AH44+'3'!AH44+'4'!AH44+'5'!AH44+'6'!AH44</f>
        <v>0</v>
      </c>
      <c r="AI44" s="91">
        <f>'1'!AI44+'2'!AI44+'3'!AI44+'4'!AI44+'5'!AI44+'6'!AI44</f>
        <v>0</v>
      </c>
      <c r="AJ44" s="91">
        <f>'1'!AJ44+'2'!AJ44+'3'!AJ44+'4'!AJ44+'5'!AJ44+'6'!AJ44</f>
        <v>0</v>
      </c>
      <c r="AK44" s="91">
        <f>'1'!AK44+'2'!AK44+'3'!AK44+'4'!AK44+'5'!AK44+'6'!AK44</f>
        <v>0</v>
      </c>
      <c r="AL44" s="91">
        <f>'1'!AL44+'2'!AL44+'3'!AL44+'4'!AL44+'5'!AL44+'6'!AL44</f>
        <v>0</v>
      </c>
      <c r="AM44" s="91">
        <f>'1'!AM44+'2'!AM44+'3'!AM44+'4'!AM44+'5'!AM44+'6'!AM44</f>
        <v>0</v>
      </c>
      <c r="AN44" s="91">
        <f>'1'!AN44+'2'!AN44+'3'!AN44+'4'!AN44+'5'!AN44+'6'!AN44</f>
        <v>0</v>
      </c>
      <c r="AO44" s="91">
        <f>'1'!AO44+'2'!AO44+'3'!AO44+'4'!AO44+'5'!AO44+'6'!AO44</f>
        <v>0</v>
      </c>
      <c r="AP44" s="91">
        <f>'1'!AP44+'2'!AP44+'3'!AP44+'4'!AP44+'5'!AP44+'6'!AP44</f>
        <v>0</v>
      </c>
      <c r="AQ44" s="16">
        <f t="shared" si="3"/>
        <v>0</v>
      </c>
      <c r="AR44" s="17">
        <f t="shared" si="11"/>
        <v>0</v>
      </c>
      <c r="AS44" s="91">
        <f t="shared" si="15"/>
        <v>0</v>
      </c>
      <c r="AT44" s="15"/>
      <c r="AU44" s="92">
        <f t="shared" si="16"/>
        <v>0</v>
      </c>
      <c r="AV44" s="92">
        <f t="shared" si="4"/>
        <v>0</v>
      </c>
      <c r="AW44" s="92">
        <f t="shared" si="17"/>
        <v>0</v>
      </c>
      <c r="AX44" s="92">
        <f t="shared" si="18"/>
        <v>0</v>
      </c>
      <c r="AY44" s="92">
        <f t="shared" ref="AY44:AZ45" si="26">IF(D44=0,0,K44/D44/24)</f>
        <v>0</v>
      </c>
      <c r="AZ44" s="92">
        <f t="shared" si="26"/>
        <v>0</v>
      </c>
      <c r="BA44" s="95">
        <f t="shared" si="19"/>
        <v>0</v>
      </c>
      <c r="BB44" s="139"/>
      <c r="BC44"/>
    </row>
    <row r="45" spans="1:55" ht="15" customHeight="1" thickBot="1" x14ac:dyDescent="0.3">
      <c r="A45" s="103" t="s">
        <v>67</v>
      </c>
      <c r="B45" s="123" t="s">
        <v>140</v>
      </c>
      <c r="C45" s="114">
        <v>38</v>
      </c>
      <c r="D45" s="121">
        <f t="shared" si="24"/>
        <v>0</v>
      </c>
      <c r="E45" s="16">
        <f t="shared" si="25"/>
        <v>0</v>
      </c>
      <c r="F45" s="91">
        <f>'1'!F45+'2'!F45+'3'!F45+'4'!F45+'5'!F45+'6'!F45</f>
        <v>0</v>
      </c>
      <c r="G45" s="91">
        <f>'1'!G45+'2'!G45+'3'!G45+'4'!G45+'5'!G45+'6'!G45</f>
        <v>0</v>
      </c>
      <c r="H45" s="135">
        <f>'1'!H45+'2'!H45+'3'!H45+'4'!H45+'5'!H45+'6'!H45</f>
        <v>0</v>
      </c>
      <c r="I45" s="135">
        <f>'1'!I45+'2'!I45+'3'!I45+'4'!I45+'5'!I45+'6'!I45</f>
        <v>0</v>
      </c>
      <c r="J45" s="14" t="s">
        <v>55</v>
      </c>
      <c r="K45" s="133">
        <f>'1'!K45+'2'!K45+'3'!K45+'4'!K45+'5'!K45+'6'!K45</f>
        <v>0</v>
      </c>
      <c r="L45" s="133">
        <f>'1'!L45+'2'!L45+'3'!L45+'4'!L45+'5'!L45+'6'!L45</f>
        <v>0</v>
      </c>
      <c r="M45" s="91">
        <f>'1'!M45+'2'!M45+'3'!M45+'4'!M45+'5'!M45+'6'!M45</f>
        <v>0</v>
      </c>
      <c r="N45" s="91">
        <f>'1'!N45+'2'!N45+'3'!N45+'4'!N45+'5'!N45+'6'!N45</f>
        <v>0</v>
      </c>
      <c r="O45" s="91">
        <f>'1'!O45+'2'!O45+'3'!O45+'4'!O45+'5'!O45+'6'!O45</f>
        <v>0</v>
      </c>
      <c r="P45" s="91">
        <f>'1'!P45+'2'!P45+'3'!P45+'4'!P45+'5'!P45+'6'!P45</f>
        <v>0</v>
      </c>
      <c r="Q45" s="91">
        <f>'1'!Q45+'2'!Q45+'3'!Q45+'4'!Q45+'5'!Q45+'6'!Q45</f>
        <v>0</v>
      </c>
      <c r="R45" s="91">
        <f>'1'!R45+'2'!R45+'3'!R45+'4'!R45+'5'!R45+'6'!R45</f>
        <v>0</v>
      </c>
      <c r="S45" s="91">
        <f>'1'!S45+'2'!S45+'3'!S45+'4'!S45+'5'!S45+'6'!S45</f>
        <v>0</v>
      </c>
      <c r="T45" s="91">
        <f>'1'!T45+'2'!T45+'3'!T45+'4'!T45+'5'!T45+'6'!T45</f>
        <v>0</v>
      </c>
      <c r="U45" s="91">
        <f>'1'!U45+'2'!U45+'3'!U45+'4'!U45+'5'!U45+'6'!U45</f>
        <v>0</v>
      </c>
      <c r="V45" s="91">
        <f>'1'!V45+'2'!V45+'3'!V45+'4'!V45+'5'!V45+'6'!V45</f>
        <v>0</v>
      </c>
      <c r="W45" s="91">
        <f>'1'!W45+'2'!W45+'3'!W45+'4'!W45+'5'!W45+'6'!W45</f>
        <v>0</v>
      </c>
      <c r="X45" s="91">
        <f>'1'!X45+'2'!X45+'3'!X45+'4'!X45+'5'!X45+'6'!X45</f>
        <v>0</v>
      </c>
      <c r="Y45" s="91">
        <f>'1'!Y45+'2'!Y45+'3'!Y45+'4'!Y45+'5'!Y45+'6'!Y45</f>
        <v>0</v>
      </c>
      <c r="Z45" s="91">
        <f>'1'!Z45+'2'!Z45+'3'!Z45+'4'!Z45+'5'!Z45+'6'!Z45</f>
        <v>0</v>
      </c>
      <c r="AA45" s="91">
        <f>'1'!AA45+'2'!AA45+'3'!AA45+'4'!AA45+'5'!AA45+'6'!AA45</f>
        <v>0</v>
      </c>
      <c r="AB45" s="91">
        <f>'1'!AB45+'2'!AB45+'3'!AB45+'4'!AB45+'5'!AB45+'6'!AB45</f>
        <v>0</v>
      </c>
      <c r="AC45" s="91">
        <f>'1'!AC45+'2'!AC45+'3'!AC45+'4'!AC45+'5'!AC45+'6'!AC45</f>
        <v>0</v>
      </c>
      <c r="AD45" s="91">
        <f>'1'!AD45+'2'!AD45+'3'!AD45+'4'!AD45+'5'!AD45+'6'!AD45</f>
        <v>0</v>
      </c>
      <c r="AE45" s="91">
        <f>'1'!AE45+'2'!AE45+'3'!AE45+'4'!AE45+'5'!AE45+'6'!AE45</f>
        <v>0</v>
      </c>
      <c r="AF45" s="91">
        <f>'1'!AF45+'2'!AF45+'3'!AF45+'4'!AF45+'5'!AF45+'6'!AF45</f>
        <v>0</v>
      </c>
      <c r="AG45" s="91">
        <f>'1'!AG45+'2'!AG45+'3'!AG45+'4'!AG45+'5'!AG45+'6'!AG45</f>
        <v>0</v>
      </c>
      <c r="AH45" s="91">
        <f>'1'!AH45+'2'!AH45+'3'!AH45+'4'!AH45+'5'!AH45+'6'!AH45</f>
        <v>0</v>
      </c>
      <c r="AI45" s="91">
        <f>'1'!AI45+'2'!AI45+'3'!AI45+'4'!AI45+'5'!AI45+'6'!AI45</f>
        <v>0</v>
      </c>
      <c r="AJ45" s="91">
        <f>'1'!AJ45+'2'!AJ45+'3'!AJ45+'4'!AJ45+'5'!AJ45+'6'!AJ45</f>
        <v>0</v>
      </c>
      <c r="AK45" s="91">
        <f>'1'!AK45+'2'!AK45+'3'!AK45+'4'!AK45+'5'!AK45+'6'!AK45</f>
        <v>0</v>
      </c>
      <c r="AL45" s="91">
        <f>'1'!AL45+'2'!AL45+'3'!AL45+'4'!AL45+'5'!AL45+'6'!AL45</f>
        <v>0</v>
      </c>
      <c r="AM45" s="91">
        <f>'1'!AM45+'2'!AM45+'3'!AM45+'4'!AM45+'5'!AM45+'6'!AM45</f>
        <v>0</v>
      </c>
      <c r="AN45" s="91">
        <f>'1'!AN45+'2'!AN45+'3'!AN45+'4'!AN45+'5'!AN45+'6'!AN45</f>
        <v>0</v>
      </c>
      <c r="AO45" s="91">
        <f>'1'!AO45+'2'!AO45+'3'!AO45+'4'!AO45+'5'!AO45+'6'!AO45</f>
        <v>0</v>
      </c>
      <c r="AP45" s="91">
        <f>'1'!AP45+'2'!AP45+'3'!AP45+'4'!AP45+'5'!AP45+'6'!AP45</f>
        <v>0</v>
      </c>
      <c r="AQ45" s="16">
        <f t="shared" si="3"/>
        <v>0</v>
      </c>
      <c r="AR45" s="17">
        <f t="shared" si="11"/>
        <v>0</v>
      </c>
      <c r="AS45" s="91">
        <f t="shared" si="15"/>
        <v>0</v>
      </c>
      <c r="AT45" s="91">
        <f>'1'!AT45+'2'!AT45+'3'!AT45+'4'!AT45+'5'!AT45+'6'!AT45</f>
        <v>0</v>
      </c>
      <c r="AU45" s="92">
        <f t="shared" si="16"/>
        <v>0</v>
      </c>
      <c r="AV45" s="92">
        <f t="shared" si="4"/>
        <v>0</v>
      </c>
      <c r="AW45" s="92">
        <f t="shared" si="17"/>
        <v>0</v>
      </c>
      <c r="AX45" s="92">
        <f t="shared" si="18"/>
        <v>0</v>
      </c>
      <c r="AY45" s="92">
        <f t="shared" si="26"/>
        <v>0</v>
      </c>
      <c r="AZ45" s="92">
        <f t="shared" si="26"/>
        <v>0</v>
      </c>
      <c r="BA45" s="95">
        <f t="shared" si="19"/>
        <v>0</v>
      </c>
      <c r="BB45" s="140"/>
      <c r="BC45"/>
    </row>
    <row r="46" spans="1:55" ht="15" customHeight="1" thickBot="1" x14ac:dyDescent="0.3">
      <c r="A46" s="102" t="s">
        <v>82</v>
      </c>
      <c r="B46" s="124"/>
      <c r="C46" s="87"/>
      <c r="D46" s="129">
        <f t="shared" ref="D46:E46" si="27">SUM(D47:D51)</f>
        <v>0</v>
      </c>
      <c r="E46" s="129">
        <f t="shared" si="27"/>
        <v>0</v>
      </c>
      <c r="F46" s="129">
        <f>SUM(F47:F51)</f>
        <v>0</v>
      </c>
      <c r="G46" s="129">
        <f t="shared" ref="G46:AP46" si="28">SUM(G47:G51)</f>
        <v>0</v>
      </c>
      <c r="H46" s="131">
        <f t="shared" si="28"/>
        <v>0</v>
      </c>
      <c r="I46" s="131">
        <f t="shared" si="28"/>
        <v>0</v>
      </c>
      <c r="J46" s="129">
        <f t="shared" si="28"/>
        <v>0</v>
      </c>
      <c r="K46" s="130">
        <f t="shared" si="28"/>
        <v>0</v>
      </c>
      <c r="L46" s="130">
        <f t="shared" si="28"/>
        <v>0</v>
      </c>
      <c r="M46" s="129">
        <f t="shared" si="28"/>
        <v>0</v>
      </c>
      <c r="N46" s="129">
        <f t="shared" si="28"/>
        <v>0</v>
      </c>
      <c r="O46" s="129">
        <f t="shared" si="28"/>
        <v>0</v>
      </c>
      <c r="P46" s="129">
        <f t="shared" si="28"/>
        <v>0</v>
      </c>
      <c r="Q46" s="129">
        <f t="shared" si="28"/>
        <v>0</v>
      </c>
      <c r="R46" s="129">
        <f t="shared" si="28"/>
        <v>0</v>
      </c>
      <c r="S46" s="129">
        <f t="shared" si="28"/>
        <v>0</v>
      </c>
      <c r="T46" s="129">
        <f t="shared" si="28"/>
        <v>0</v>
      </c>
      <c r="U46" s="129">
        <f t="shared" si="28"/>
        <v>0</v>
      </c>
      <c r="V46" s="129">
        <f t="shared" si="28"/>
        <v>0</v>
      </c>
      <c r="W46" s="129">
        <f t="shared" si="28"/>
        <v>0</v>
      </c>
      <c r="X46" s="129">
        <f t="shared" si="28"/>
        <v>0</v>
      </c>
      <c r="Y46" s="129">
        <f t="shared" si="28"/>
        <v>0</v>
      </c>
      <c r="Z46" s="129">
        <f t="shared" si="28"/>
        <v>0</v>
      </c>
      <c r="AA46" s="129">
        <f t="shared" si="28"/>
        <v>0</v>
      </c>
      <c r="AB46" s="129">
        <f t="shared" si="28"/>
        <v>0</v>
      </c>
      <c r="AC46" s="129">
        <f t="shared" si="28"/>
        <v>0</v>
      </c>
      <c r="AD46" s="129">
        <f t="shared" si="28"/>
        <v>0</v>
      </c>
      <c r="AE46" s="129">
        <f t="shared" si="28"/>
        <v>0</v>
      </c>
      <c r="AF46" s="129">
        <f t="shared" si="28"/>
        <v>0</v>
      </c>
      <c r="AG46" s="129">
        <f t="shared" si="28"/>
        <v>0</v>
      </c>
      <c r="AH46" s="129">
        <f t="shared" si="28"/>
        <v>0</v>
      </c>
      <c r="AI46" s="129">
        <f t="shared" si="28"/>
        <v>0</v>
      </c>
      <c r="AJ46" s="129">
        <f t="shared" si="28"/>
        <v>0</v>
      </c>
      <c r="AK46" s="129">
        <f t="shared" si="28"/>
        <v>0</v>
      </c>
      <c r="AL46" s="129">
        <f t="shared" si="28"/>
        <v>0</v>
      </c>
      <c r="AM46" s="129">
        <f t="shared" si="28"/>
        <v>0</v>
      </c>
      <c r="AN46" s="129">
        <f t="shared" si="28"/>
        <v>0</v>
      </c>
      <c r="AO46" s="129">
        <f t="shared" si="28"/>
        <v>0</v>
      </c>
      <c r="AP46" s="129">
        <f t="shared" si="28"/>
        <v>0</v>
      </c>
      <c r="AQ46" s="129">
        <f t="shared" si="3"/>
        <v>0</v>
      </c>
      <c r="AR46" s="129">
        <f t="shared" si="11"/>
        <v>0</v>
      </c>
      <c r="AS46" s="129">
        <f t="shared" si="15"/>
        <v>0</v>
      </c>
      <c r="AT46" s="129">
        <f>SUM(AT47:AT51)</f>
        <v>0</v>
      </c>
      <c r="AU46" s="131">
        <f t="shared" si="16"/>
        <v>0</v>
      </c>
      <c r="AV46" s="131">
        <f t="shared" si="4"/>
        <v>0</v>
      </c>
      <c r="AW46" s="131">
        <f t="shared" si="17"/>
        <v>0</v>
      </c>
      <c r="AX46" s="131">
        <f t="shared" si="18"/>
        <v>0</v>
      </c>
      <c r="AY46" s="131">
        <f>SUM(AY47:AY51)</f>
        <v>0</v>
      </c>
      <c r="AZ46" s="131">
        <f>SUM(AZ47:AZ51)</f>
        <v>0</v>
      </c>
      <c r="BA46" s="129">
        <f t="shared" si="19"/>
        <v>0</v>
      </c>
      <c r="BB46" s="141"/>
      <c r="BC46"/>
    </row>
    <row r="47" spans="1:55" ht="15" customHeight="1" x14ac:dyDescent="0.25">
      <c r="A47" s="97" t="s">
        <v>46</v>
      </c>
      <c r="B47" s="123" t="s">
        <v>141</v>
      </c>
      <c r="C47" s="115">
        <v>28</v>
      </c>
      <c r="D47" s="121">
        <f>AT47*AU47*AW47</f>
        <v>0</v>
      </c>
      <c r="E47" s="16">
        <f>ROUND(AT47*AV47*AX47,4)</f>
        <v>0</v>
      </c>
      <c r="F47" s="91">
        <f>'1'!F47+'2'!F47+'3'!F47+'4'!F47+'5'!F47+'6'!F47</f>
        <v>0</v>
      </c>
      <c r="G47" s="91">
        <f>'1'!G47+'2'!G47+'3'!G47+'4'!G47+'5'!G47+'6'!G47</f>
        <v>0</v>
      </c>
      <c r="H47" s="135">
        <f>'1'!H47+'2'!H47+'3'!H47+'4'!H47+'5'!H47+'6'!H47</f>
        <v>0</v>
      </c>
      <c r="I47" s="135">
        <f>'1'!I47+'2'!I47+'3'!I47+'4'!I47+'5'!I47+'6'!I47</f>
        <v>0</v>
      </c>
      <c r="J47" s="14" t="s">
        <v>55</v>
      </c>
      <c r="K47" s="133">
        <f>'1'!K47+'2'!K47+'3'!K47+'4'!K47+'5'!K47+'6'!K47</f>
        <v>0</v>
      </c>
      <c r="L47" s="133">
        <f>'1'!L47+'2'!L47+'3'!L47+'4'!L47+'5'!L47+'6'!L47</f>
        <v>0</v>
      </c>
      <c r="M47" s="91">
        <f>'1'!M47+'2'!M47+'3'!M47+'4'!M47+'5'!M47+'6'!M47</f>
        <v>0</v>
      </c>
      <c r="N47" s="91">
        <f>'1'!N47+'2'!N47+'3'!N47+'4'!N47+'5'!N47+'6'!N47</f>
        <v>0</v>
      </c>
      <c r="O47" s="91">
        <f>'1'!O47+'2'!O47+'3'!O47+'4'!O47+'5'!O47+'6'!O47</f>
        <v>0</v>
      </c>
      <c r="P47" s="91">
        <f>'1'!P47+'2'!P47+'3'!P47+'4'!P47+'5'!P47+'6'!P47</f>
        <v>0</v>
      </c>
      <c r="Q47" s="91">
        <f>'1'!Q47+'2'!Q47+'3'!Q47+'4'!Q47+'5'!Q47+'6'!Q47</f>
        <v>0</v>
      </c>
      <c r="R47" s="91">
        <f>'1'!R47+'2'!R47+'3'!R47+'4'!R47+'5'!R47+'6'!R47</f>
        <v>0</v>
      </c>
      <c r="S47" s="91">
        <f>'1'!S47+'2'!S47+'3'!S47+'4'!S47+'5'!S47+'6'!S47</f>
        <v>0</v>
      </c>
      <c r="T47" s="91">
        <f>'1'!T47+'2'!T47+'3'!T47+'4'!T47+'5'!T47+'6'!T47</f>
        <v>0</v>
      </c>
      <c r="U47" s="91">
        <f>'1'!U47+'2'!U47+'3'!U47+'4'!U47+'5'!U47+'6'!U47</f>
        <v>0</v>
      </c>
      <c r="V47" s="91">
        <f>'1'!V47+'2'!V47+'3'!V47+'4'!V47+'5'!V47+'6'!V47</f>
        <v>0</v>
      </c>
      <c r="W47" s="91">
        <f>'1'!W47+'2'!W47+'3'!W47+'4'!W47+'5'!W47+'6'!W47</f>
        <v>0</v>
      </c>
      <c r="X47" s="91">
        <f>'1'!X47+'2'!X47+'3'!X47+'4'!X47+'5'!X47+'6'!X47</f>
        <v>0</v>
      </c>
      <c r="Y47" s="91">
        <f>'1'!Y47+'2'!Y47+'3'!Y47+'4'!Y47+'5'!Y47+'6'!Y47</f>
        <v>0</v>
      </c>
      <c r="Z47" s="91">
        <f>'1'!Z47+'2'!Z47+'3'!Z47+'4'!Z47+'5'!Z47+'6'!Z47</f>
        <v>0</v>
      </c>
      <c r="AA47" s="91">
        <f>'1'!AA47+'2'!AA47+'3'!AA47+'4'!AA47+'5'!AA47+'6'!AA47</f>
        <v>0</v>
      </c>
      <c r="AB47" s="91">
        <f>'1'!AB47+'2'!AB47+'3'!AB47+'4'!AB47+'5'!AB47+'6'!AB47</f>
        <v>0</v>
      </c>
      <c r="AC47" s="91">
        <f>'1'!AC47+'2'!AC47+'3'!AC47+'4'!AC47+'5'!AC47+'6'!AC47</f>
        <v>0</v>
      </c>
      <c r="AD47" s="91">
        <f>'1'!AD47+'2'!AD47+'3'!AD47+'4'!AD47+'5'!AD47+'6'!AD47</f>
        <v>0</v>
      </c>
      <c r="AE47" s="91">
        <f>'1'!AE47+'2'!AE47+'3'!AE47+'4'!AE47+'5'!AE47+'6'!AE47</f>
        <v>0</v>
      </c>
      <c r="AF47" s="91">
        <f>'1'!AF47+'2'!AF47+'3'!AF47+'4'!AF47+'5'!AF47+'6'!AF47</f>
        <v>0</v>
      </c>
      <c r="AG47" s="91">
        <f>'1'!AG47+'2'!AG47+'3'!AG47+'4'!AG47+'5'!AG47+'6'!AG47</f>
        <v>0</v>
      </c>
      <c r="AH47" s="91">
        <f>'1'!AH47+'2'!AH47+'3'!AH47+'4'!AH47+'5'!AH47+'6'!AH47</f>
        <v>0</v>
      </c>
      <c r="AI47" s="91">
        <f>'1'!AI47+'2'!AI47+'3'!AI47+'4'!AI47+'5'!AI47+'6'!AI47</f>
        <v>0</v>
      </c>
      <c r="AJ47" s="91">
        <f>'1'!AJ47+'2'!AJ47+'3'!AJ47+'4'!AJ47+'5'!AJ47+'6'!AJ47</f>
        <v>0</v>
      </c>
      <c r="AK47" s="91">
        <f>'1'!AK47+'2'!AK47+'3'!AK47+'4'!AK47+'5'!AK47+'6'!AK47</f>
        <v>0</v>
      </c>
      <c r="AL47" s="91">
        <f>'1'!AL47+'2'!AL47+'3'!AL47+'4'!AL47+'5'!AL47+'6'!AL47</f>
        <v>0</v>
      </c>
      <c r="AM47" s="91">
        <f>'1'!AM47+'2'!AM47+'3'!AM47+'4'!AM47+'5'!AM47+'6'!AM47</f>
        <v>0</v>
      </c>
      <c r="AN47" s="91">
        <f>'1'!AN47+'2'!AN47+'3'!AN47+'4'!AN47+'5'!AN47+'6'!AN47</f>
        <v>0</v>
      </c>
      <c r="AO47" s="91">
        <f>'1'!AO47+'2'!AO47+'3'!AO47+'4'!AO47+'5'!AO47+'6'!AO47</f>
        <v>0</v>
      </c>
      <c r="AP47" s="91">
        <f>'1'!AP47+'2'!AP47+'3'!AP47+'4'!AP47+'5'!AP47+'6'!AP47</f>
        <v>0</v>
      </c>
      <c r="AQ47" s="16">
        <f t="shared" si="3"/>
        <v>0</v>
      </c>
      <c r="AR47" s="17">
        <f t="shared" si="11"/>
        <v>0</v>
      </c>
      <c r="AS47" s="91">
        <f t="shared" si="15"/>
        <v>0</v>
      </c>
      <c r="AT47" s="91">
        <f>'1'!AT47+'2'!AT47+'3'!AT47+'4'!AT47+'5'!AT47+'6'!AT47</f>
        <v>0</v>
      </c>
      <c r="AU47" s="92">
        <f t="shared" si="16"/>
        <v>0</v>
      </c>
      <c r="AV47" s="92">
        <f t="shared" si="4"/>
        <v>0</v>
      </c>
      <c r="AW47" s="92">
        <f t="shared" si="17"/>
        <v>0</v>
      </c>
      <c r="AX47" s="92">
        <f t="shared" si="18"/>
        <v>0</v>
      </c>
      <c r="AY47" s="92">
        <f>IF(D47=0,0,K47/D47/24)</f>
        <v>0</v>
      </c>
      <c r="AZ47" s="92">
        <f>IF(E47=0,0,L47/E47/24)</f>
        <v>0</v>
      </c>
      <c r="BA47" s="95">
        <f t="shared" si="19"/>
        <v>0</v>
      </c>
      <c r="BB47" s="138"/>
      <c r="BC47"/>
    </row>
    <row r="48" spans="1:55" ht="15" customHeight="1" thickBot="1" x14ac:dyDescent="0.3">
      <c r="A48" s="71" t="s">
        <v>45</v>
      </c>
      <c r="B48" s="123" t="s">
        <v>142</v>
      </c>
      <c r="C48" s="112">
        <v>33</v>
      </c>
      <c r="D48" s="121">
        <f t="shared" ref="D48:D51" si="29">AT48*AU48*AW48</f>
        <v>0</v>
      </c>
      <c r="E48" s="16">
        <f t="shared" ref="E48:E51" si="30">ROUND(AT48*AV48*AX48,4)</f>
        <v>0</v>
      </c>
      <c r="F48" s="91">
        <f>'1'!F48+'2'!F48+'3'!F48+'4'!F48+'5'!F48+'6'!F48</f>
        <v>0</v>
      </c>
      <c r="G48" s="91">
        <f>'1'!G48+'2'!G48+'3'!G48+'4'!G48+'5'!G48+'6'!G48</f>
        <v>0</v>
      </c>
      <c r="H48" s="135">
        <f>'1'!H48+'2'!H48+'3'!H48+'4'!H48+'5'!H48+'6'!H48</f>
        <v>0</v>
      </c>
      <c r="I48" s="135">
        <f>'1'!I48+'2'!I48+'3'!I48+'4'!I48+'5'!I48+'6'!I48</f>
        <v>0</v>
      </c>
      <c r="J48" s="14" t="s">
        <v>55</v>
      </c>
      <c r="K48" s="133">
        <f>'1'!K48+'2'!K48+'3'!K48+'4'!K48+'5'!K48+'6'!K48</f>
        <v>0</v>
      </c>
      <c r="L48" s="133">
        <f>'1'!L48+'2'!L48+'3'!L48+'4'!L48+'5'!L48+'6'!L48</f>
        <v>0</v>
      </c>
      <c r="M48" s="91">
        <f>'1'!M48+'2'!M48+'3'!M48+'4'!M48+'5'!M48+'6'!M48</f>
        <v>0</v>
      </c>
      <c r="N48" s="91">
        <f>'1'!N48+'2'!N48+'3'!N48+'4'!N48+'5'!N48+'6'!N48</f>
        <v>0</v>
      </c>
      <c r="O48" s="91">
        <f>'1'!O48+'2'!O48+'3'!O48+'4'!O48+'5'!O48+'6'!O48</f>
        <v>0</v>
      </c>
      <c r="P48" s="91">
        <f>'1'!P48+'2'!P48+'3'!P48+'4'!P48+'5'!P48+'6'!P48</f>
        <v>0</v>
      </c>
      <c r="Q48" s="91">
        <f>'1'!Q48+'2'!Q48+'3'!Q48+'4'!Q48+'5'!Q48+'6'!Q48</f>
        <v>0</v>
      </c>
      <c r="R48" s="91">
        <f>'1'!R48+'2'!R48+'3'!R48+'4'!R48+'5'!R48+'6'!R48</f>
        <v>0</v>
      </c>
      <c r="S48" s="91">
        <f>'1'!S48+'2'!S48+'3'!S48+'4'!S48+'5'!S48+'6'!S48</f>
        <v>0</v>
      </c>
      <c r="T48" s="91">
        <f>'1'!T48+'2'!T48+'3'!T48+'4'!T48+'5'!T48+'6'!T48</f>
        <v>0</v>
      </c>
      <c r="U48" s="91">
        <f>'1'!U48+'2'!U48+'3'!U48+'4'!U48+'5'!U48+'6'!U48</f>
        <v>0</v>
      </c>
      <c r="V48" s="91">
        <f>'1'!V48+'2'!V48+'3'!V48+'4'!V48+'5'!V48+'6'!V48</f>
        <v>0</v>
      </c>
      <c r="W48" s="91">
        <f>'1'!W48+'2'!W48+'3'!W48+'4'!W48+'5'!W48+'6'!W48</f>
        <v>0</v>
      </c>
      <c r="X48" s="91">
        <f>'1'!X48+'2'!X48+'3'!X48+'4'!X48+'5'!X48+'6'!X48</f>
        <v>0</v>
      </c>
      <c r="Y48" s="91">
        <f>'1'!Y48+'2'!Y48+'3'!Y48+'4'!Y48+'5'!Y48+'6'!Y48</f>
        <v>0</v>
      </c>
      <c r="Z48" s="91">
        <f>'1'!Z48+'2'!Z48+'3'!Z48+'4'!Z48+'5'!Z48+'6'!Z48</f>
        <v>0</v>
      </c>
      <c r="AA48" s="91">
        <f>'1'!AA48+'2'!AA48+'3'!AA48+'4'!AA48+'5'!AA48+'6'!AA48</f>
        <v>0</v>
      </c>
      <c r="AB48" s="91">
        <f>'1'!AB48+'2'!AB48+'3'!AB48+'4'!AB48+'5'!AB48+'6'!AB48</f>
        <v>0</v>
      </c>
      <c r="AC48" s="91">
        <f>'1'!AC48+'2'!AC48+'3'!AC48+'4'!AC48+'5'!AC48+'6'!AC48</f>
        <v>0</v>
      </c>
      <c r="AD48" s="91">
        <f>'1'!AD48+'2'!AD48+'3'!AD48+'4'!AD48+'5'!AD48+'6'!AD48</f>
        <v>0</v>
      </c>
      <c r="AE48" s="91">
        <f>'1'!AE48+'2'!AE48+'3'!AE48+'4'!AE48+'5'!AE48+'6'!AE48</f>
        <v>0</v>
      </c>
      <c r="AF48" s="91">
        <f>'1'!AF48+'2'!AF48+'3'!AF48+'4'!AF48+'5'!AF48+'6'!AF48</f>
        <v>0</v>
      </c>
      <c r="AG48" s="91">
        <f>'1'!AG48+'2'!AG48+'3'!AG48+'4'!AG48+'5'!AG48+'6'!AG48</f>
        <v>0</v>
      </c>
      <c r="AH48" s="91">
        <f>'1'!AH48+'2'!AH48+'3'!AH48+'4'!AH48+'5'!AH48+'6'!AH48</f>
        <v>0</v>
      </c>
      <c r="AI48" s="91">
        <f>'1'!AI48+'2'!AI48+'3'!AI48+'4'!AI48+'5'!AI48+'6'!AI48</f>
        <v>0</v>
      </c>
      <c r="AJ48" s="91">
        <f>'1'!AJ48+'2'!AJ48+'3'!AJ48+'4'!AJ48+'5'!AJ48+'6'!AJ48</f>
        <v>0</v>
      </c>
      <c r="AK48" s="91">
        <f>'1'!AK48+'2'!AK48+'3'!AK48+'4'!AK48+'5'!AK48+'6'!AK48</f>
        <v>0</v>
      </c>
      <c r="AL48" s="91">
        <f>'1'!AL48+'2'!AL48+'3'!AL48+'4'!AL48+'5'!AL48+'6'!AL48</f>
        <v>0</v>
      </c>
      <c r="AM48" s="91">
        <f>'1'!AM48+'2'!AM48+'3'!AM48+'4'!AM48+'5'!AM48+'6'!AM48</f>
        <v>0</v>
      </c>
      <c r="AN48" s="91">
        <f>'1'!AN48+'2'!AN48+'3'!AN48+'4'!AN48+'5'!AN48+'6'!AN48</f>
        <v>0</v>
      </c>
      <c r="AO48" s="91">
        <f>'1'!AO48+'2'!AO48+'3'!AO48+'4'!AO48+'5'!AO48+'6'!AO48</f>
        <v>0</v>
      </c>
      <c r="AP48" s="91">
        <f>'1'!AP48+'2'!AP48+'3'!AP48+'4'!AP48+'5'!AP48+'6'!AP48</f>
        <v>0</v>
      </c>
      <c r="AQ48" s="16">
        <f t="shared" si="3"/>
        <v>0</v>
      </c>
      <c r="AR48" s="17">
        <f t="shared" si="11"/>
        <v>0</v>
      </c>
      <c r="AS48" s="91">
        <f t="shared" si="15"/>
        <v>0</v>
      </c>
      <c r="AT48" s="91">
        <f>'1'!AT48+'2'!AT48+'3'!AT48+'4'!AT48+'5'!AT48+'6'!AT48</f>
        <v>0</v>
      </c>
      <c r="AU48" s="92">
        <f t="shared" si="16"/>
        <v>0</v>
      </c>
      <c r="AV48" s="92">
        <f t="shared" si="4"/>
        <v>0</v>
      </c>
      <c r="AW48" s="92">
        <f t="shared" si="17"/>
        <v>0</v>
      </c>
      <c r="AX48" s="92">
        <f t="shared" si="18"/>
        <v>0</v>
      </c>
      <c r="AY48" s="92">
        <f>IF(D48=0,0,K48/D48/24)</f>
        <v>0</v>
      </c>
      <c r="AZ48" s="92">
        <f>IF(E48=0,0,L48/E48/24)</f>
        <v>0</v>
      </c>
      <c r="BA48" s="95">
        <f t="shared" si="19"/>
        <v>0</v>
      </c>
      <c r="BB48" s="139"/>
      <c r="BC48"/>
    </row>
    <row r="49" spans="1:55" ht="15" hidden="1" customHeight="1" x14ac:dyDescent="0.3">
      <c r="A49" s="72" t="s">
        <v>48</v>
      </c>
      <c r="B49" s="111"/>
      <c r="C49" s="111">
        <v>35</v>
      </c>
      <c r="D49" s="121">
        <f t="shared" si="29"/>
        <v>0</v>
      </c>
      <c r="E49" s="16">
        <f t="shared" si="30"/>
        <v>0</v>
      </c>
      <c r="F49" s="91">
        <f>'1'!F49+'2'!F49+'3'!F49+'4'!F49+'5'!F49+'6'!F49</f>
        <v>0</v>
      </c>
      <c r="G49" s="91">
        <f>'1'!G49+'2'!G49+'3'!G49+'4'!G49+'5'!G49+'6'!G49</f>
        <v>0</v>
      </c>
      <c r="H49" s="135">
        <f>'1'!H49+'2'!H49+'3'!H49+'4'!H49+'5'!H49+'6'!H49</f>
        <v>0</v>
      </c>
      <c r="I49" s="135">
        <f>'1'!I49+'2'!I49+'3'!I49+'4'!I49+'5'!I49+'6'!I49</f>
        <v>0</v>
      </c>
      <c r="J49" s="14" t="s">
        <v>55</v>
      </c>
      <c r="K49" s="133">
        <f>'1'!K49+'2'!K49+'3'!K49+'4'!K49+'5'!K49+'6'!K49</f>
        <v>0</v>
      </c>
      <c r="L49" s="133">
        <f>'1'!L49+'2'!L49+'3'!L49+'4'!L49+'5'!L49+'6'!L49</f>
        <v>0</v>
      </c>
      <c r="M49" s="91">
        <f>'1'!M49+'2'!M49+'3'!M49+'4'!M49+'5'!M49+'6'!M49</f>
        <v>0</v>
      </c>
      <c r="N49" s="91">
        <f>'1'!N49+'2'!N49+'3'!N49+'4'!N49+'5'!N49+'6'!N49</f>
        <v>0</v>
      </c>
      <c r="O49" s="91">
        <f>'1'!O49+'2'!O49+'3'!O49+'4'!O49+'5'!O49+'6'!O49</f>
        <v>0</v>
      </c>
      <c r="P49" s="91">
        <f>'1'!P49+'2'!P49+'3'!P49+'4'!P49+'5'!P49+'6'!P49</f>
        <v>0</v>
      </c>
      <c r="Q49" s="91">
        <f>'1'!Q49+'2'!Q49+'3'!Q49+'4'!Q49+'5'!Q49+'6'!Q49</f>
        <v>0</v>
      </c>
      <c r="R49" s="91">
        <f>'1'!R49+'2'!R49+'3'!R49+'4'!R49+'5'!R49+'6'!R49</f>
        <v>0</v>
      </c>
      <c r="S49" s="91">
        <f>'1'!S49+'2'!S49+'3'!S49+'4'!S49+'5'!S49+'6'!S49</f>
        <v>0</v>
      </c>
      <c r="T49" s="91">
        <f>'1'!T49+'2'!T49+'3'!T49+'4'!T49+'5'!T49+'6'!T49</f>
        <v>0</v>
      </c>
      <c r="U49" s="91">
        <f>'1'!U49+'2'!U49+'3'!U49+'4'!U49+'5'!U49+'6'!U49</f>
        <v>0</v>
      </c>
      <c r="V49" s="91">
        <f>'1'!V49+'2'!V49+'3'!V49+'4'!V49+'5'!V49+'6'!V49</f>
        <v>0</v>
      </c>
      <c r="W49" s="91">
        <f>'1'!W49+'2'!W49+'3'!W49+'4'!W49+'5'!W49+'6'!W49</f>
        <v>0</v>
      </c>
      <c r="X49" s="91">
        <f>'1'!X49+'2'!X49+'3'!X49+'4'!X49+'5'!X49+'6'!X49</f>
        <v>0</v>
      </c>
      <c r="Y49" s="91">
        <f>'1'!Y49+'2'!Y49+'3'!Y49+'4'!Y49+'5'!Y49+'6'!Y49</f>
        <v>0</v>
      </c>
      <c r="Z49" s="91">
        <f>'1'!Z49+'2'!Z49+'3'!Z49+'4'!Z49+'5'!Z49+'6'!Z49</f>
        <v>0</v>
      </c>
      <c r="AA49" s="91">
        <f>'1'!AA49+'2'!AA49+'3'!AA49+'4'!AA49+'5'!AA49+'6'!AA49</f>
        <v>0</v>
      </c>
      <c r="AB49" s="91">
        <f>'1'!AB49+'2'!AB49+'3'!AB49+'4'!AB49+'5'!AB49+'6'!AB49</f>
        <v>0</v>
      </c>
      <c r="AC49" s="91">
        <f>'1'!AC49+'2'!AC49+'3'!AC49+'4'!AC49+'5'!AC49+'6'!AC49</f>
        <v>0</v>
      </c>
      <c r="AD49" s="91">
        <f>'1'!AD49+'2'!AD49+'3'!AD49+'4'!AD49+'5'!AD49+'6'!AD49</f>
        <v>0</v>
      </c>
      <c r="AE49" s="91">
        <f>'1'!AE49+'2'!AE49+'3'!AE49+'4'!AE49+'5'!AE49+'6'!AE49</f>
        <v>0</v>
      </c>
      <c r="AF49" s="91">
        <f>'1'!AF49+'2'!AF49+'3'!AF49+'4'!AF49+'5'!AF49+'6'!AF49</f>
        <v>0</v>
      </c>
      <c r="AG49" s="91">
        <f>'1'!AG49+'2'!AG49+'3'!AG49+'4'!AG49+'5'!AG49+'6'!AG49</f>
        <v>0</v>
      </c>
      <c r="AH49" s="91">
        <f>'1'!AH49+'2'!AH49+'3'!AH49+'4'!AH49+'5'!AH49+'6'!AH49</f>
        <v>0</v>
      </c>
      <c r="AI49" s="91">
        <f>'1'!AI49+'2'!AI49+'3'!AI49+'4'!AI49+'5'!AI49+'6'!AI49</f>
        <v>0</v>
      </c>
      <c r="AJ49" s="91">
        <f>'1'!AJ49+'2'!AJ49+'3'!AJ49+'4'!AJ49+'5'!AJ49+'6'!AJ49</f>
        <v>0</v>
      </c>
      <c r="AK49" s="91">
        <f>'1'!AK49+'2'!AK49+'3'!AK49+'4'!AK49+'5'!AK49+'6'!AK49</f>
        <v>0</v>
      </c>
      <c r="AL49" s="91">
        <f>'1'!AL49+'2'!AL49+'3'!AL49+'4'!AL49+'5'!AL49+'6'!AL49</f>
        <v>0</v>
      </c>
      <c r="AM49" s="91">
        <f>'1'!AM49+'2'!AM49+'3'!AM49+'4'!AM49+'5'!AM49+'6'!AM49</f>
        <v>0</v>
      </c>
      <c r="AN49" s="91">
        <f>'1'!AN49+'2'!AN49+'3'!AN49+'4'!AN49+'5'!AN49+'6'!AN49</f>
        <v>0</v>
      </c>
      <c r="AO49" s="91">
        <f>'1'!AO49+'2'!AO49+'3'!AO49+'4'!AO49+'5'!AO49+'6'!AO49</f>
        <v>0</v>
      </c>
      <c r="AP49" s="91">
        <f>'1'!AP49+'2'!AP49+'3'!AP49+'4'!AP49+'5'!AP49+'6'!AP49</f>
        <v>0</v>
      </c>
      <c r="AQ49" s="16">
        <f t="shared" si="3"/>
        <v>0</v>
      </c>
      <c r="AR49" s="17">
        <f t="shared" si="11"/>
        <v>0</v>
      </c>
      <c r="AS49" s="91">
        <f t="shared" si="15"/>
        <v>0</v>
      </c>
      <c r="AT49" s="15"/>
      <c r="AU49" s="92">
        <f t="shared" si="16"/>
        <v>0</v>
      </c>
      <c r="AV49" s="92">
        <f t="shared" si="4"/>
        <v>0</v>
      </c>
      <c r="AW49" s="92">
        <f t="shared" si="17"/>
        <v>0</v>
      </c>
      <c r="AX49" s="92">
        <f t="shared" si="18"/>
        <v>0</v>
      </c>
      <c r="AY49" s="18">
        <f t="shared" ref="AY49:AZ51" si="31">IF(D49=0,0,K49/D49/24)</f>
        <v>0</v>
      </c>
      <c r="AZ49" s="18">
        <f t="shared" si="31"/>
        <v>0</v>
      </c>
      <c r="BA49" s="95">
        <f t="shared" si="19"/>
        <v>0</v>
      </c>
      <c r="BB49" s="139"/>
      <c r="BC49"/>
    </row>
    <row r="50" spans="1:55" ht="15" hidden="1" customHeight="1" x14ac:dyDescent="0.3">
      <c r="A50" s="72" t="s">
        <v>47</v>
      </c>
      <c r="B50" s="111"/>
      <c r="C50" s="111">
        <v>36</v>
      </c>
      <c r="D50" s="121">
        <f t="shared" si="29"/>
        <v>0</v>
      </c>
      <c r="E50" s="16">
        <f t="shared" si="30"/>
        <v>0</v>
      </c>
      <c r="F50" s="91">
        <f>'1'!F50+'2'!F50+'3'!F50+'4'!F50+'5'!F50+'6'!F50</f>
        <v>0</v>
      </c>
      <c r="G50" s="91">
        <f>'1'!G50+'2'!G50+'3'!G50+'4'!G50+'5'!G50+'6'!G50</f>
        <v>0</v>
      </c>
      <c r="H50" s="135">
        <f>'1'!H50+'2'!H50+'3'!H50+'4'!H50+'5'!H50+'6'!H50</f>
        <v>0</v>
      </c>
      <c r="I50" s="135">
        <f>'1'!I50+'2'!I50+'3'!I50+'4'!I50+'5'!I50+'6'!I50</f>
        <v>0</v>
      </c>
      <c r="J50" s="14" t="s">
        <v>55</v>
      </c>
      <c r="K50" s="133">
        <f>'1'!K50+'2'!K50+'3'!K50+'4'!K50+'5'!K50+'6'!K50</f>
        <v>0</v>
      </c>
      <c r="L50" s="133">
        <f>'1'!L50+'2'!L50+'3'!L50+'4'!L50+'5'!L50+'6'!L50</f>
        <v>0</v>
      </c>
      <c r="M50" s="91">
        <f>'1'!M50+'2'!M50+'3'!M50+'4'!M50+'5'!M50+'6'!M50</f>
        <v>0</v>
      </c>
      <c r="N50" s="91">
        <f>'1'!N50+'2'!N50+'3'!N50+'4'!N50+'5'!N50+'6'!N50</f>
        <v>0</v>
      </c>
      <c r="O50" s="91">
        <f>'1'!O50+'2'!O50+'3'!O50+'4'!O50+'5'!O50+'6'!O50</f>
        <v>0</v>
      </c>
      <c r="P50" s="91">
        <f>'1'!P50+'2'!P50+'3'!P50+'4'!P50+'5'!P50+'6'!P50</f>
        <v>0</v>
      </c>
      <c r="Q50" s="91">
        <f>'1'!Q50+'2'!Q50+'3'!Q50+'4'!Q50+'5'!Q50+'6'!Q50</f>
        <v>0</v>
      </c>
      <c r="R50" s="91">
        <f>'1'!R50+'2'!R50+'3'!R50+'4'!R50+'5'!R50+'6'!R50</f>
        <v>0</v>
      </c>
      <c r="S50" s="91">
        <f>'1'!S50+'2'!S50+'3'!S50+'4'!S50+'5'!S50+'6'!S50</f>
        <v>0</v>
      </c>
      <c r="T50" s="91">
        <f>'1'!T50+'2'!T50+'3'!T50+'4'!T50+'5'!T50+'6'!T50</f>
        <v>0</v>
      </c>
      <c r="U50" s="91">
        <f>'1'!U50+'2'!U50+'3'!U50+'4'!U50+'5'!U50+'6'!U50</f>
        <v>0</v>
      </c>
      <c r="V50" s="91">
        <f>'1'!V50+'2'!V50+'3'!V50+'4'!V50+'5'!V50+'6'!V50</f>
        <v>0</v>
      </c>
      <c r="W50" s="91">
        <f>'1'!W50+'2'!W50+'3'!W50+'4'!W50+'5'!W50+'6'!W50</f>
        <v>0</v>
      </c>
      <c r="X50" s="91">
        <f>'1'!X50+'2'!X50+'3'!X50+'4'!X50+'5'!X50+'6'!X50</f>
        <v>0</v>
      </c>
      <c r="Y50" s="91">
        <f>'1'!Y50+'2'!Y50+'3'!Y50+'4'!Y50+'5'!Y50+'6'!Y50</f>
        <v>0</v>
      </c>
      <c r="Z50" s="91">
        <f>'1'!Z50+'2'!Z50+'3'!Z50+'4'!Z50+'5'!Z50+'6'!Z50</f>
        <v>0</v>
      </c>
      <c r="AA50" s="91">
        <f>'1'!AA50+'2'!AA50+'3'!AA50+'4'!AA50+'5'!AA50+'6'!AA50</f>
        <v>0</v>
      </c>
      <c r="AB50" s="91">
        <f>'1'!AB50+'2'!AB50+'3'!AB50+'4'!AB50+'5'!AB50+'6'!AB50</f>
        <v>0</v>
      </c>
      <c r="AC50" s="91">
        <f>'1'!AC50+'2'!AC50+'3'!AC50+'4'!AC50+'5'!AC50+'6'!AC50</f>
        <v>0</v>
      </c>
      <c r="AD50" s="91">
        <f>'1'!AD50+'2'!AD50+'3'!AD50+'4'!AD50+'5'!AD50+'6'!AD50</f>
        <v>0</v>
      </c>
      <c r="AE50" s="91">
        <f>'1'!AE50+'2'!AE50+'3'!AE50+'4'!AE50+'5'!AE50+'6'!AE50</f>
        <v>0</v>
      </c>
      <c r="AF50" s="91">
        <f>'1'!AF50+'2'!AF50+'3'!AF50+'4'!AF50+'5'!AF50+'6'!AF50</f>
        <v>0</v>
      </c>
      <c r="AG50" s="91">
        <f>'1'!AG50+'2'!AG50+'3'!AG50+'4'!AG50+'5'!AG50+'6'!AG50</f>
        <v>0</v>
      </c>
      <c r="AH50" s="91">
        <f>'1'!AH50+'2'!AH50+'3'!AH50+'4'!AH50+'5'!AH50+'6'!AH50</f>
        <v>0</v>
      </c>
      <c r="AI50" s="91">
        <f>'1'!AI50+'2'!AI50+'3'!AI50+'4'!AI50+'5'!AI50+'6'!AI50</f>
        <v>0</v>
      </c>
      <c r="AJ50" s="91">
        <f>'1'!AJ50+'2'!AJ50+'3'!AJ50+'4'!AJ50+'5'!AJ50+'6'!AJ50</f>
        <v>0</v>
      </c>
      <c r="AK50" s="91">
        <f>'1'!AK50+'2'!AK50+'3'!AK50+'4'!AK50+'5'!AK50+'6'!AK50</f>
        <v>0</v>
      </c>
      <c r="AL50" s="91">
        <f>'1'!AL50+'2'!AL50+'3'!AL50+'4'!AL50+'5'!AL50+'6'!AL50</f>
        <v>0</v>
      </c>
      <c r="AM50" s="91">
        <f>'1'!AM50+'2'!AM50+'3'!AM50+'4'!AM50+'5'!AM50+'6'!AM50</f>
        <v>0</v>
      </c>
      <c r="AN50" s="91">
        <f>'1'!AN50+'2'!AN50+'3'!AN50+'4'!AN50+'5'!AN50+'6'!AN50</f>
        <v>0</v>
      </c>
      <c r="AO50" s="91">
        <f>'1'!AO50+'2'!AO50+'3'!AO50+'4'!AO50+'5'!AO50+'6'!AO50</f>
        <v>0</v>
      </c>
      <c r="AP50" s="91">
        <f>'1'!AP50+'2'!AP50+'3'!AP50+'4'!AP50+'5'!AP50+'6'!AP50</f>
        <v>0</v>
      </c>
      <c r="AQ50" s="16">
        <f t="shared" si="3"/>
        <v>0</v>
      </c>
      <c r="AR50" s="17">
        <f t="shared" si="11"/>
        <v>0</v>
      </c>
      <c r="AS50" s="91">
        <f t="shared" si="15"/>
        <v>0</v>
      </c>
      <c r="AT50" s="15"/>
      <c r="AU50" s="92">
        <f t="shared" si="16"/>
        <v>0</v>
      </c>
      <c r="AV50" s="92">
        <f t="shared" si="4"/>
        <v>0</v>
      </c>
      <c r="AW50" s="92">
        <f t="shared" si="17"/>
        <v>0</v>
      </c>
      <c r="AX50" s="92">
        <f t="shared" si="18"/>
        <v>0</v>
      </c>
      <c r="AY50" s="18">
        <f t="shared" si="31"/>
        <v>0</v>
      </c>
      <c r="AZ50" s="18">
        <f t="shared" si="31"/>
        <v>0</v>
      </c>
      <c r="BA50" s="95">
        <f t="shared" si="19"/>
        <v>0</v>
      </c>
      <c r="BB50" s="139"/>
      <c r="BC50"/>
    </row>
    <row r="51" spans="1:55" ht="15" hidden="1" customHeight="1" thickBot="1" x14ac:dyDescent="0.3">
      <c r="A51" s="100" t="s">
        <v>64</v>
      </c>
      <c r="B51" s="116"/>
      <c r="C51" s="116">
        <v>37</v>
      </c>
      <c r="D51" s="121">
        <f t="shared" si="29"/>
        <v>0</v>
      </c>
      <c r="E51" s="16">
        <f t="shared" si="30"/>
        <v>0</v>
      </c>
      <c r="F51" s="91">
        <f>'1'!F51+'2'!F51+'3'!F51+'4'!F51+'5'!F51+'6'!F51</f>
        <v>0</v>
      </c>
      <c r="G51" s="91">
        <f>'1'!G51+'2'!G51+'3'!G51+'4'!G51+'5'!G51+'6'!G51</f>
        <v>0</v>
      </c>
      <c r="H51" s="135">
        <f>'1'!H51+'2'!H51+'3'!H51+'4'!H51+'5'!H51+'6'!H51</f>
        <v>0</v>
      </c>
      <c r="I51" s="135">
        <f>'1'!I51+'2'!I51+'3'!I51+'4'!I51+'5'!I51+'6'!I51</f>
        <v>0</v>
      </c>
      <c r="J51" s="14" t="s">
        <v>55</v>
      </c>
      <c r="K51" s="133">
        <f>'1'!K51+'2'!K51+'3'!K51+'4'!K51+'5'!K51+'6'!K51</f>
        <v>0</v>
      </c>
      <c r="L51" s="133">
        <f>'1'!L51+'2'!L51+'3'!L51+'4'!L51+'5'!L51+'6'!L51</f>
        <v>0</v>
      </c>
      <c r="M51" s="91">
        <f>'1'!M51+'2'!M51+'3'!M51+'4'!M51+'5'!M51+'6'!M51</f>
        <v>0</v>
      </c>
      <c r="N51" s="91">
        <f>'1'!N51+'2'!N51+'3'!N51+'4'!N51+'5'!N51+'6'!N51</f>
        <v>0</v>
      </c>
      <c r="O51" s="91">
        <f>'1'!O51+'2'!O51+'3'!O51+'4'!O51+'5'!O51+'6'!O51</f>
        <v>0</v>
      </c>
      <c r="P51" s="91">
        <f>'1'!P51+'2'!P51+'3'!P51+'4'!P51+'5'!P51+'6'!P51</f>
        <v>0</v>
      </c>
      <c r="Q51" s="91">
        <f>'1'!Q51+'2'!Q51+'3'!Q51+'4'!Q51+'5'!Q51+'6'!Q51</f>
        <v>0</v>
      </c>
      <c r="R51" s="91">
        <f>'1'!R51+'2'!R51+'3'!R51+'4'!R51+'5'!R51+'6'!R51</f>
        <v>0</v>
      </c>
      <c r="S51" s="91">
        <f>'1'!S51+'2'!S51+'3'!S51+'4'!S51+'5'!S51+'6'!S51</f>
        <v>0</v>
      </c>
      <c r="T51" s="91">
        <f>'1'!T51+'2'!T51+'3'!T51+'4'!T51+'5'!T51+'6'!T51</f>
        <v>0</v>
      </c>
      <c r="U51" s="91">
        <f>'1'!U51+'2'!U51+'3'!U51+'4'!U51+'5'!U51+'6'!U51</f>
        <v>0</v>
      </c>
      <c r="V51" s="91">
        <f>'1'!V51+'2'!V51+'3'!V51+'4'!V51+'5'!V51+'6'!V51</f>
        <v>0</v>
      </c>
      <c r="W51" s="91">
        <f>'1'!W51+'2'!W51+'3'!W51+'4'!W51+'5'!W51+'6'!W51</f>
        <v>0</v>
      </c>
      <c r="X51" s="91">
        <f>'1'!X51+'2'!X51+'3'!X51+'4'!X51+'5'!X51+'6'!X51</f>
        <v>0</v>
      </c>
      <c r="Y51" s="91">
        <f>'1'!Y51+'2'!Y51+'3'!Y51+'4'!Y51+'5'!Y51+'6'!Y51</f>
        <v>0</v>
      </c>
      <c r="Z51" s="91">
        <f>'1'!Z51+'2'!Z51+'3'!Z51+'4'!Z51+'5'!Z51+'6'!Z51</f>
        <v>0</v>
      </c>
      <c r="AA51" s="91">
        <f>'1'!AA51+'2'!AA51+'3'!AA51+'4'!AA51+'5'!AA51+'6'!AA51</f>
        <v>0</v>
      </c>
      <c r="AB51" s="91">
        <f>'1'!AB51+'2'!AB51+'3'!AB51+'4'!AB51+'5'!AB51+'6'!AB51</f>
        <v>0</v>
      </c>
      <c r="AC51" s="91">
        <f>'1'!AC51+'2'!AC51+'3'!AC51+'4'!AC51+'5'!AC51+'6'!AC51</f>
        <v>0</v>
      </c>
      <c r="AD51" s="91">
        <f>'1'!AD51+'2'!AD51+'3'!AD51+'4'!AD51+'5'!AD51+'6'!AD51</f>
        <v>0</v>
      </c>
      <c r="AE51" s="91">
        <f>'1'!AE51+'2'!AE51+'3'!AE51+'4'!AE51+'5'!AE51+'6'!AE51</f>
        <v>0</v>
      </c>
      <c r="AF51" s="91">
        <f>'1'!AF51+'2'!AF51+'3'!AF51+'4'!AF51+'5'!AF51+'6'!AF51</f>
        <v>0</v>
      </c>
      <c r="AG51" s="91">
        <f>'1'!AG51+'2'!AG51+'3'!AG51+'4'!AG51+'5'!AG51+'6'!AG51</f>
        <v>0</v>
      </c>
      <c r="AH51" s="91">
        <f>'1'!AH51+'2'!AH51+'3'!AH51+'4'!AH51+'5'!AH51+'6'!AH51</f>
        <v>0</v>
      </c>
      <c r="AI51" s="91">
        <f>'1'!AI51+'2'!AI51+'3'!AI51+'4'!AI51+'5'!AI51+'6'!AI51</f>
        <v>0</v>
      </c>
      <c r="AJ51" s="91">
        <f>'1'!AJ51+'2'!AJ51+'3'!AJ51+'4'!AJ51+'5'!AJ51+'6'!AJ51</f>
        <v>0</v>
      </c>
      <c r="AK51" s="91">
        <f>'1'!AK51+'2'!AK51+'3'!AK51+'4'!AK51+'5'!AK51+'6'!AK51</f>
        <v>0</v>
      </c>
      <c r="AL51" s="91">
        <f>'1'!AL51+'2'!AL51+'3'!AL51+'4'!AL51+'5'!AL51+'6'!AL51</f>
        <v>0</v>
      </c>
      <c r="AM51" s="91">
        <f>'1'!AM51+'2'!AM51+'3'!AM51+'4'!AM51+'5'!AM51+'6'!AM51</f>
        <v>0</v>
      </c>
      <c r="AN51" s="91">
        <f>'1'!AN51+'2'!AN51+'3'!AN51+'4'!AN51+'5'!AN51+'6'!AN51</f>
        <v>0</v>
      </c>
      <c r="AO51" s="91">
        <f>'1'!AO51+'2'!AO51+'3'!AO51+'4'!AO51+'5'!AO51+'6'!AO51</f>
        <v>0</v>
      </c>
      <c r="AP51" s="91">
        <f>'1'!AP51+'2'!AP51+'3'!AP51+'4'!AP51+'5'!AP51+'6'!AP51</f>
        <v>0</v>
      </c>
      <c r="AQ51" s="16">
        <f t="shared" si="3"/>
        <v>0</v>
      </c>
      <c r="AR51" s="17">
        <f t="shared" si="11"/>
        <v>0</v>
      </c>
      <c r="AS51" s="91">
        <f t="shared" si="15"/>
        <v>0</v>
      </c>
      <c r="AT51" s="16"/>
      <c r="AU51" s="92">
        <f t="shared" si="16"/>
        <v>0</v>
      </c>
      <c r="AV51" s="92">
        <f t="shared" si="4"/>
        <v>0</v>
      </c>
      <c r="AW51" s="92">
        <f t="shared" si="17"/>
        <v>0</v>
      </c>
      <c r="AX51" s="92">
        <f t="shared" si="18"/>
        <v>0</v>
      </c>
      <c r="AY51" s="92">
        <f t="shared" si="31"/>
        <v>0</v>
      </c>
      <c r="AZ51" s="92">
        <f t="shared" si="31"/>
        <v>0</v>
      </c>
      <c r="BA51" s="95">
        <f t="shared" si="19"/>
        <v>0</v>
      </c>
      <c r="BB51" s="140"/>
      <c r="BC51"/>
    </row>
    <row r="52" spans="1:55" ht="15" customHeight="1" thickBot="1" x14ac:dyDescent="0.3">
      <c r="A52" s="102" t="s">
        <v>49</v>
      </c>
      <c r="B52" s="124"/>
      <c r="C52" s="87"/>
      <c r="D52" s="129">
        <f t="shared" ref="D52:E52" si="32">SUM(D53:D54)</f>
        <v>0</v>
      </c>
      <c r="E52" s="129">
        <f t="shared" si="32"/>
        <v>0</v>
      </c>
      <c r="F52" s="129">
        <f>SUM(F53:F54)</f>
        <v>0</v>
      </c>
      <c r="G52" s="129">
        <f t="shared" ref="G52:AP52" si="33">SUM(G53:G54)</f>
        <v>0</v>
      </c>
      <c r="H52" s="131">
        <f t="shared" si="33"/>
        <v>0</v>
      </c>
      <c r="I52" s="131">
        <f t="shared" si="33"/>
        <v>0</v>
      </c>
      <c r="J52" s="129">
        <f t="shared" si="33"/>
        <v>0</v>
      </c>
      <c r="K52" s="130">
        <f t="shared" si="33"/>
        <v>0</v>
      </c>
      <c r="L52" s="130">
        <f t="shared" si="33"/>
        <v>0</v>
      </c>
      <c r="M52" s="129">
        <f t="shared" si="33"/>
        <v>0</v>
      </c>
      <c r="N52" s="129">
        <f t="shared" si="33"/>
        <v>0</v>
      </c>
      <c r="O52" s="129">
        <f t="shared" si="33"/>
        <v>0</v>
      </c>
      <c r="P52" s="129">
        <f t="shared" si="33"/>
        <v>0</v>
      </c>
      <c r="Q52" s="129">
        <f t="shared" si="33"/>
        <v>0</v>
      </c>
      <c r="R52" s="129">
        <f t="shared" si="33"/>
        <v>0</v>
      </c>
      <c r="S52" s="129">
        <f t="shared" si="33"/>
        <v>0</v>
      </c>
      <c r="T52" s="129">
        <f t="shared" si="33"/>
        <v>0</v>
      </c>
      <c r="U52" s="129">
        <f t="shared" si="33"/>
        <v>0</v>
      </c>
      <c r="V52" s="129">
        <f t="shared" si="33"/>
        <v>0</v>
      </c>
      <c r="W52" s="129">
        <f t="shared" si="33"/>
        <v>0</v>
      </c>
      <c r="X52" s="129">
        <f t="shared" si="33"/>
        <v>0</v>
      </c>
      <c r="Y52" s="129">
        <f t="shared" si="33"/>
        <v>0</v>
      </c>
      <c r="Z52" s="129">
        <f t="shared" si="33"/>
        <v>0</v>
      </c>
      <c r="AA52" s="129">
        <f t="shared" si="33"/>
        <v>0</v>
      </c>
      <c r="AB52" s="129">
        <f t="shared" si="33"/>
        <v>0</v>
      </c>
      <c r="AC52" s="129">
        <f t="shared" si="33"/>
        <v>0</v>
      </c>
      <c r="AD52" s="129">
        <f t="shared" si="33"/>
        <v>0</v>
      </c>
      <c r="AE52" s="129">
        <f t="shared" si="33"/>
        <v>0</v>
      </c>
      <c r="AF52" s="129">
        <f t="shared" si="33"/>
        <v>0</v>
      </c>
      <c r="AG52" s="129">
        <f t="shared" si="33"/>
        <v>0</v>
      </c>
      <c r="AH52" s="129">
        <f t="shared" si="33"/>
        <v>0</v>
      </c>
      <c r="AI52" s="129">
        <f t="shared" si="33"/>
        <v>0</v>
      </c>
      <c r="AJ52" s="129">
        <f t="shared" si="33"/>
        <v>0</v>
      </c>
      <c r="AK52" s="129">
        <f t="shared" si="33"/>
        <v>0</v>
      </c>
      <c r="AL52" s="129">
        <f t="shared" si="33"/>
        <v>0</v>
      </c>
      <c r="AM52" s="129">
        <f t="shared" si="33"/>
        <v>0</v>
      </c>
      <c r="AN52" s="129">
        <f t="shared" si="33"/>
        <v>0</v>
      </c>
      <c r="AO52" s="129">
        <f t="shared" si="33"/>
        <v>0</v>
      </c>
      <c r="AP52" s="129">
        <f t="shared" si="33"/>
        <v>0</v>
      </c>
      <c r="AQ52" s="129">
        <f t="shared" si="3"/>
        <v>0</v>
      </c>
      <c r="AR52" s="129">
        <f t="shared" si="11"/>
        <v>0</v>
      </c>
      <c r="AS52" s="129">
        <f t="shared" si="15"/>
        <v>0</v>
      </c>
      <c r="AT52" s="129">
        <f>SUM(AT53:AT54)</f>
        <v>0</v>
      </c>
      <c r="AU52" s="131">
        <f t="shared" si="16"/>
        <v>0</v>
      </c>
      <c r="AV52" s="131">
        <f t="shared" si="4"/>
        <v>0</v>
      </c>
      <c r="AW52" s="131">
        <f t="shared" si="17"/>
        <v>0</v>
      </c>
      <c r="AX52" s="131">
        <f t="shared" si="18"/>
        <v>0</v>
      </c>
      <c r="AY52" s="131"/>
      <c r="AZ52" s="131"/>
      <c r="BA52" s="129">
        <f t="shared" si="19"/>
        <v>0</v>
      </c>
      <c r="BB52" s="141"/>
      <c r="BC52"/>
    </row>
    <row r="53" spans="1:55" ht="15" customHeight="1" x14ac:dyDescent="0.25">
      <c r="A53" s="97" t="s">
        <v>51</v>
      </c>
      <c r="B53" s="123" t="s">
        <v>143</v>
      </c>
      <c r="C53" s="115">
        <v>4</v>
      </c>
      <c r="D53" s="121">
        <f>AT53*AU53*AW53</f>
        <v>0</v>
      </c>
      <c r="E53" s="16">
        <f>ROUND(AT53*AV53*AX53,4)</f>
        <v>0</v>
      </c>
      <c r="F53" s="91">
        <f>'1'!F53+'2'!F53+'3'!F53+'4'!F53+'5'!F53+'6'!F53</f>
        <v>0</v>
      </c>
      <c r="G53" s="91">
        <f>'1'!G53+'2'!G53+'3'!G53+'4'!G53+'5'!G53+'6'!G53</f>
        <v>0</v>
      </c>
      <c r="H53" s="135">
        <f>'1'!H53+'2'!H53+'3'!H53+'4'!H53+'5'!H53+'6'!H53</f>
        <v>0</v>
      </c>
      <c r="I53" s="135">
        <f>'1'!I53+'2'!I53+'3'!I53+'4'!I53+'5'!I53+'6'!I53</f>
        <v>0</v>
      </c>
      <c r="J53" s="14" t="s">
        <v>83</v>
      </c>
      <c r="K53" s="133">
        <f>'1'!K53+'2'!K53+'3'!K53+'4'!K53+'5'!K53+'6'!K53</f>
        <v>0</v>
      </c>
      <c r="L53" s="133">
        <f>'1'!L53+'2'!L53+'3'!L53+'4'!L53+'5'!L53+'6'!L53</f>
        <v>0</v>
      </c>
      <c r="M53" s="91">
        <f>'1'!M53+'2'!M53+'3'!M53+'4'!M53+'5'!M53+'6'!M53</f>
        <v>0</v>
      </c>
      <c r="N53" s="91">
        <f>'1'!N53+'2'!N53+'3'!N53+'4'!N53+'5'!N53+'6'!N53</f>
        <v>0</v>
      </c>
      <c r="O53" s="91">
        <f>'1'!O53+'2'!O53+'3'!O53+'4'!O53+'5'!O53+'6'!O53</f>
        <v>0</v>
      </c>
      <c r="P53" s="91">
        <f>'1'!P53+'2'!P53+'3'!P53+'4'!P53+'5'!P53+'6'!P53</f>
        <v>0</v>
      </c>
      <c r="Q53" s="91">
        <f>'1'!Q53+'2'!Q53+'3'!Q53+'4'!Q53+'5'!Q53+'6'!Q53</f>
        <v>0</v>
      </c>
      <c r="R53" s="91">
        <f>'1'!R53+'2'!R53+'3'!R53+'4'!R53+'5'!R53+'6'!R53</f>
        <v>0</v>
      </c>
      <c r="S53" s="91">
        <f>'1'!S53+'2'!S53+'3'!S53+'4'!S53+'5'!S53+'6'!S53</f>
        <v>0</v>
      </c>
      <c r="T53" s="91">
        <f>'1'!T53+'2'!T53+'3'!T53+'4'!T53+'5'!T53+'6'!T53</f>
        <v>0</v>
      </c>
      <c r="U53" s="91">
        <f>'1'!U53+'2'!U53+'3'!U53+'4'!U53+'5'!U53+'6'!U53</f>
        <v>0</v>
      </c>
      <c r="V53" s="91">
        <f>'1'!V53+'2'!V53+'3'!V53+'4'!V53+'5'!V53+'6'!V53</f>
        <v>0</v>
      </c>
      <c r="W53" s="91">
        <f>'1'!W53+'2'!W53+'3'!W53+'4'!W53+'5'!W53+'6'!W53</f>
        <v>0</v>
      </c>
      <c r="X53" s="91">
        <f>'1'!X53+'2'!X53+'3'!X53+'4'!X53+'5'!X53+'6'!X53</f>
        <v>0</v>
      </c>
      <c r="Y53" s="91">
        <f>'1'!Y53+'2'!Y53+'3'!Y53+'4'!Y53+'5'!Y53+'6'!Y53</f>
        <v>0</v>
      </c>
      <c r="Z53" s="91">
        <f>'1'!Z53+'2'!Z53+'3'!Z53+'4'!Z53+'5'!Z53+'6'!Z53</f>
        <v>0</v>
      </c>
      <c r="AA53" s="91">
        <f>'1'!AA53+'2'!AA53+'3'!AA53+'4'!AA53+'5'!AA53+'6'!AA53</f>
        <v>0</v>
      </c>
      <c r="AB53" s="91">
        <f>'1'!AB53+'2'!AB53+'3'!AB53+'4'!AB53+'5'!AB53+'6'!AB53</f>
        <v>0</v>
      </c>
      <c r="AC53" s="91">
        <f>'1'!AC53+'2'!AC53+'3'!AC53+'4'!AC53+'5'!AC53+'6'!AC53</f>
        <v>0</v>
      </c>
      <c r="AD53" s="91">
        <f>'1'!AD53+'2'!AD53+'3'!AD53+'4'!AD53+'5'!AD53+'6'!AD53</f>
        <v>0</v>
      </c>
      <c r="AE53" s="91">
        <f>'1'!AE53+'2'!AE53+'3'!AE53+'4'!AE53+'5'!AE53+'6'!AE53</f>
        <v>0</v>
      </c>
      <c r="AF53" s="91">
        <f>'1'!AF53+'2'!AF53+'3'!AF53+'4'!AF53+'5'!AF53+'6'!AF53</f>
        <v>0</v>
      </c>
      <c r="AG53" s="91">
        <f>'1'!AG53+'2'!AG53+'3'!AG53+'4'!AG53+'5'!AG53+'6'!AG53</f>
        <v>0</v>
      </c>
      <c r="AH53" s="91">
        <f>'1'!AH53+'2'!AH53+'3'!AH53+'4'!AH53+'5'!AH53+'6'!AH53</f>
        <v>0</v>
      </c>
      <c r="AI53" s="91">
        <f>'1'!AI53+'2'!AI53+'3'!AI53+'4'!AI53+'5'!AI53+'6'!AI53</f>
        <v>0</v>
      </c>
      <c r="AJ53" s="91">
        <f>'1'!AJ53+'2'!AJ53+'3'!AJ53+'4'!AJ53+'5'!AJ53+'6'!AJ53</f>
        <v>0</v>
      </c>
      <c r="AK53" s="91">
        <f>'1'!AK53+'2'!AK53+'3'!AK53+'4'!AK53+'5'!AK53+'6'!AK53</f>
        <v>0</v>
      </c>
      <c r="AL53" s="91">
        <f>'1'!AL53+'2'!AL53+'3'!AL53+'4'!AL53+'5'!AL53+'6'!AL53</f>
        <v>0</v>
      </c>
      <c r="AM53" s="91">
        <f>'1'!AM53+'2'!AM53+'3'!AM53+'4'!AM53+'5'!AM53+'6'!AM53</f>
        <v>0</v>
      </c>
      <c r="AN53" s="91">
        <f>'1'!AN53+'2'!AN53+'3'!AN53+'4'!AN53+'5'!AN53+'6'!AN53</f>
        <v>0</v>
      </c>
      <c r="AO53" s="91">
        <f>'1'!AO53+'2'!AO53+'3'!AO53+'4'!AO53+'5'!AO53+'6'!AO53</f>
        <v>0</v>
      </c>
      <c r="AP53" s="91">
        <f>'1'!AP53+'2'!AP53+'3'!AP53+'4'!AP53+'5'!AP53+'6'!AP53</f>
        <v>0</v>
      </c>
      <c r="AQ53" s="16">
        <f t="shared" si="3"/>
        <v>0</v>
      </c>
      <c r="AR53" s="17">
        <f t="shared" si="11"/>
        <v>0</v>
      </c>
      <c r="AS53" s="91">
        <f t="shared" si="15"/>
        <v>0</v>
      </c>
      <c r="AT53" s="91">
        <f>'1'!AT53+'2'!AT53+'3'!AT53+'4'!AT53+'5'!AT53+'6'!AT53</f>
        <v>0</v>
      </c>
      <c r="AU53" s="92">
        <f t="shared" si="16"/>
        <v>0</v>
      </c>
      <c r="AV53" s="92">
        <f t="shared" si="4"/>
        <v>0</v>
      </c>
      <c r="AW53" s="92">
        <f t="shared" si="17"/>
        <v>0</v>
      </c>
      <c r="AX53" s="92">
        <f t="shared" si="18"/>
        <v>0</v>
      </c>
      <c r="AY53" s="92">
        <f>IF(D53=0,0,K53/D53/24)</f>
        <v>0</v>
      </c>
      <c r="AZ53" s="92">
        <f>IF(E53=0,0,L53/E53/24)</f>
        <v>0</v>
      </c>
      <c r="BA53" s="95">
        <f t="shared" si="19"/>
        <v>0</v>
      </c>
      <c r="BB53" s="138"/>
      <c r="BC53"/>
    </row>
    <row r="54" spans="1:55" ht="15" customHeight="1" thickBot="1" x14ac:dyDescent="0.3">
      <c r="A54" s="104" t="s">
        <v>50</v>
      </c>
      <c r="B54" s="123" t="s">
        <v>153</v>
      </c>
      <c r="C54" s="117">
        <v>5</v>
      </c>
      <c r="D54" s="121">
        <f>AT54*AU54*AW54</f>
        <v>0</v>
      </c>
      <c r="E54" s="16">
        <f>ROUND(AT54*AV54*AX54,4)</f>
        <v>0</v>
      </c>
      <c r="F54" s="91">
        <f>'1'!F54+'2'!F54+'3'!F54+'4'!F54+'5'!F54+'6'!F54</f>
        <v>0</v>
      </c>
      <c r="G54" s="91">
        <f>'1'!G54+'2'!G54+'3'!G54+'4'!G54+'5'!G54+'6'!G54</f>
        <v>0</v>
      </c>
      <c r="H54" s="135">
        <f>'1'!H54+'2'!H54+'3'!H54+'4'!H54+'5'!H54+'6'!H54</f>
        <v>0</v>
      </c>
      <c r="I54" s="135">
        <f>'1'!I54+'2'!I54+'3'!I54+'4'!I54+'5'!I54+'6'!I54</f>
        <v>0</v>
      </c>
      <c r="J54" s="13" t="s">
        <v>83</v>
      </c>
      <c r="K54" s="133">
        <f>'1'!K54+'2'!K54+'3'!K54+'4'!K54+'5'!K54+'6'!K54</f>
        <v>0</v>
      </c>
      <c r="L54" s="133">
        <f>'1'!L54+'2'!L54+'3'!L54+'4'!L54+'5'!L54+'6'!L54</f>
        <v>0</v>
      </c>
      <c r="M54" s="91">
        <f>'1'!M54+'2'!M54+'3'!M54+'4'!M54+'5'!M54+'6'!M54</f>
        <v>0</v>
      </c>
      <c r="N54" s="91">
        <f>'1'!N54+'2'!N54+'3'!N54+'4'!N54+'5'!N54+'6'!N54</f>
        <v>0</v>
      </c>
      <c r="O54" s="91">
        <f>'1'!O54+'2'!O54+'3'!O54+'4'!O54+'5'!O54+'6'!O54</f>
        <v>0</v>
      </c>
      <c r="P54" s="91">
        <f>'1'!P54+'2'!P54+'3'!P54+'4'!P54+'5'!P54+'6'!P54</f>
        <v>0</v>
      </c>
      <c r="Q54" s="91">
        <f>'1'!Q54+'2'!Q54+'3'!Q54+'4'!Q54+'5'!Q54+'6'!Q54</f>
        <v>0</v>
      </c>
      <c r="R54" s="91">
        <f>'1'!R54+'2'!R54+'3'!R54+'4'!R54+'5'!R54+'6'!R54</f>
        <v>0</v>
      </c>
      <c r="S54" s="91">
        <f>'1'!S54+'2'!S54+'3'!S54+'4'!S54+'5'!S54+'6'!S54</f>
        <v>0</v>
      </c>
      <c r="T54" s="91">
        <f>'1'!T54+'2'!T54+'3'!T54+'4'!T54+'5'!T54+'6'!T54</f>
        <v>0</v>
      </c>
      <c r="U54" s="91">
        <f>'1'!U54+'2'!U54+'3'!U54+'4'!U54+'5'!U54+'6'!U54</f>
        <v>0</v>
      </c>
      <c r="V54" s="91">
        <f>'1'!V54+'2'!V54+'3'!V54+'4'!V54+'5'!V54+'6'!V54</f>
        <v>0</v>
      </c>
      <c r="W54" s="91">
        <f>'1'!W54+'2'!W54+'3'!W54+'4'!W54+'5'!W54+'6'!W54</f>
        <v>0</v>
      </c>
      <c r="X54" s="91">
        <f>'1'!X54+'2'!X54+'3'!X54+'4'!X54+'5'!X54+'6'!X54</f>
        <v>0</v>
      </c>
      <c r="Y54" s="91">
        <f>'1'!Y54+'2'!Y54+'3'!Y54+'4'!Y54+'5'!Y54+'6'!Y54</f>
        <v>0</v>
      </c>
      <c r="Z54" s="91">
        <f>'1'!Z54+'2'!Z54+'3'!Z54+'4'!Z54+'5'!Z54+'6'!Z54</f>
        <v>0</v>
      </c>
      <c r="AA54" s="91">
        <f>'1'!AA54+'2'!AA54+'3'!AA54+'4'!AA54+'5'!AA54+'6'!AA54</f>
        <v>0</v>
      </c>
      <c r="AB54" s="91">
        <f>'1'!AB54+'2'!AB54+'3'!AB54+'4'!AB54+'5'!AB54+'6'!AB54</f>
        <v>0</v>
      </c>
      <c r="AC54" s="91">
        <f>'1'!AC54+'2'!AC54+'3'!AC54+'4'!AC54+'5'!AC54+'6'!AC54</f>
        <v>0</v>
      </c>
      <c r="AD54" s="91">
        <f>'1'!AD54+'2'!AD54+'3'!AD54+'4'!AD54+'5'!AD54+'6'!AD54</f>
        <v>0</v>
      </c>
      <c r="AE54" s="91">
        <f>'1'!AE54+'2'!AE54+'3'!AE54+'4'!AE54+'5'!AE54+'6'!AE54</f>
        <v>0</v>
      </c>
      <c r="AF54" s="91">
        <f>'1'!AF54+'2'!AF54+'3'!AF54+'4'!AF54+'5'!AF54+'6'!AF54</f>
        <v>0</v>
      </c>
      <c r="AG54" s="91">
        <f>'1'!AG54+'2'!AG54+'3'!AG54+'4'!AG54+'5'!AG54+'6'!AG54</f>
        <v>0</v>
      </c>
      <c r="AH54" s="91">
        <f>'1'!AH54+'2'!AH54+'3'!AH54+'4'!AH54+'5'!AH54+'6'!AH54</f>
        <v>0</v>
      </c>
      <c r="AI54" s="91">
        <f>'1'!AI54+'2'!AI54+'3'!AI54+'4'!AI54+'5'!AI54+'6'!AI54</f>
        <v>0</v>
      </c>
      <c r="AJ54" s="91">
        <f>'1'!AJ54+'2'!AJ54+'3'!AJ54+'4'!AJ54+'5'!AJ54+'6'!AJ54</f>
        <v>0</v>
      </c>
      <c r="AK54" s="91">
        <f>'1'!AK54+'2'!AK54+'3'!AK54+'4'!AK54+'5'!AK54+'6'!AK54</f>
        <v>0</v>
      </c>
      <c r="AL54" s="91">
        <f>'1'!AL54+'2'!AL54+'3'!AL54+'4'!AL54+'5'!AL54+'6'!AL54</f>
        <v>0</v>
      </c>
      <c r="AM54" s="91">
        <f>'1'!AM54+'2'!AM54+'3'!AM54+'4'!AM54+'5'!AM54+'6'!AM54</f>
        <v>0</v>
      </c>
      <c r="AN54" s="91">
        <f>'1'!AN54+'2'!AN54+'3'!AN54+'4'!AN54+'5'!AN54+'6'!AN54</f>
        <v>0</v>
      </c>
      <c r="AO54" s="91">
        <f>'1'!AO54+'2'!AO54+'3'!AO54+'4'!AO54+'5'!AO54+'6'!AO54</f>
        <v>0</v>
      </c>
      <c r="AP54" s="91">
        <f>'1'!AP54+'2'!AP54+'3'!AP54+'4'!AP54+'5'!AP54+'6'!AP54</f>
        <v>0</v>
      </c>
      <c r="AQ54" s="16">
        <f t="shared" si="3"/>
        <v>0</v>
      </c>
      <c r="AR54" s="17">
        <f t="shared" si="11"/>
        <v>0</v>
      </c>
      <c r="AS54" s="91">
        <f t="shared" si="15"/>
        <v>0</v>
      </c>
      <c r="AT54" s="91">
        <f>'1'!AT54+'2'!AT54+'3'!AT54+'4'!AT54+'5'!AT54+'6'!AT54</f>
        <v>0</v>
      </c>
      <c r="AU54" s="92">
        <f t="shared" si="16"/>
        <v>0</v>
      </c>
      <c r="AV54" s="92">
        <f t="shared" si="4"/>
        <v>0</v>
      </c>
      <c r="AW54" s="92">
        <f t="shared" si="17"/>
        <v>0</v>
      </c>
      <c r="AX54" s="92">
        <f t="shared" si="18"/>
        <v>0</v>
      </c>
      <c r="AY54" s="92">
        <f>IF(D54=0,0,K54/D54/24)</f>
        <v>0</v>
      </c>
      <c r="AZ54" s="92">
        <f>IF(E54=0,0,L54/E54/24)</f>
        <v>0</v>
      </c>
      <c r="BA54" s="95">
        <f t="shared" si="19"/>
        <v>0</v>
      </c>
      <c r="BB54" s="140"/>
      <c r="BC54"/>
    </row>
    <row r="55" spans="1:55" ht="15" customHeight="1" thickBot="1" x14ac:dyDescent="0.3">
      <c r="A55" s="87" t="s">
        <v>52</v>
      </c>
      <c r="B55" s="124"/>
      <c r="C55" s="87"/>
      <c r="D55" s="129">
        <f t="shared" ref="D55:E55" si="34">SUM(D56:D61)</f>
        <v>0</v>
      </c>
      <c r="E55" s="129">
        <f t="shared" si="34"/>
        <v>0</v>
      </c>
      <c r="F55" s="129">
        <f>SUM(F56:F61)</f>
        <v>0</v>
      </c>
      <c r="G55" s="129">
        <f t="shared" ref="G55:AP55" si="35">SUM(G56:G61)</f>
        <v>0</v>
      </c>
      <c r="H55" s="131">
        <f t="shared" si="35"/>
        <v>0</v>
      </c>
      <c r="I55" s="131">
        <f t="shared" si="35"/>
        <v>0</v>
      </c>
      <c r="J55" s="129">
        <f t="shared" si="35"/>
        <v>0</v>
      </c>
      <c r="K55" s="130">
        <f t="shared" si="35"/>
        <v>0</v>
      </c>
      <c r="L55" s="130">
        <f t="shared" si="35"/>
        <v>0</v>
      </c>
      <c r="M55" s="129">
        <f t="shared" si="35"/>
        <v>0</v>
      </c>
      <c r="N55" s="129">
        <f t="shared" si="35"/>
        <v>0</v>
      </c>
      <c r="O55" s="129">
        <f t="shared" si="35"/>
        <v>0</v>
      </c>
      <c r="P55" s="129">
        <f t="shared" si="35"/>
        <v>0</v>
      </c>
      <c r="Q55" s="129">
        <f t="shared" si="35"/>
        <v>0</v>
      </c>
      <c r="R55" s="129">
        <f t="shared" si="35"/>
        <v>0</v>
      </c>
      <c r="S55" s="129">
        <f t="shared" si="35"/>
        <v>0</v>
      </c>
      <c r="T55" s="129">
        <f t="shared" si="35"/>
        <v>0</v>
      </c>
      <c r="U55" s="129">
        <f t="shared" si="35"/>
        <v>0</v>
      </c>
      <c r="V55" s="129">
        <f t="shared" si="35"/>
        <v>0</v>
      </c>
      <c r="W55" s="129">
        <f t="shared" si="35"/>
        <v>0</v>
      </c>
      <c r="X55" s="129">
        <f t="shared" si="35"/>
        <v>0</v>
      </c>
      <c r="Y55" s="129">
        <f t="shared" si="35"/>
        <v>0</v>
      </c>
      <c r="Z55" s="129">
        <f t="shared" si="35"/>
        <v>0</v>
      </c>
      <c r="AA55" s="129">
        <f t="shared" si="35"/>
        <v>0</v>
      </c>
      <c r="AB55" s="129">
        <f t="shared" si="35"/>
        <v>0</v>
      </c>
      <c r="AC55" s="129">
        <f t="shared" si="35"/>
        <v>0</v>
      </c>
      <c r="AD55" s="129">
        <f t="shared" si="35"/>
        <v>0</v>
      </c>
      <c r="AE55" s="129">
        <f t="shared" si="35"/>
        <v>0</v>
      </c>
      <c r="AF55" s="129">
        <f t="shared" si="35"/>
        <v>0</v>
      </c>
      <c r="AG55" s="129">
        <f t="shared" si="35"/>
        <v>0</v>
      </c>
      <c r="AH55" s="129">
        <f t="shared" si="35"/>
        <v>0</v>
      </c>
      <c r="AI55" s="129">
        <f t="shared" si="35"/>
        <v>0</v>
      </c>
      <c r="AJ55" s="129">
        <f t="shared" si="35"/>
        <v>0</v>
      </c>
      <c r="AK55" s="129">
        <f t="shared" si="35"/>
        <v>0</v>
      </c>
      <c r="AL55" s="129">
        <f t="shared" si="35"/>
        <v>0</v>
      </c>
      <c r="AM55" s="129">
        <f t="shared" si="35"/>
        <v>0</v>
      </c>
      <c r="AN55" s="129">
        <f t="shared" si="35"/>
        <v>0</v>
      </c>
      <c r="AO55" s="129">
        <f t="shared" si="35"/>
        <v>0</v>
      </c>
      <c r="AP55" s="129">
        <f t="shared" si="35"/>
        <v>0</v>
      </c>
      <c r="AQ55" s="129">
        <f t="shared" si="3"/>
        <v>0</v>
      </c>
      <c r="AR55" s="129">
        <f t="shared" si="11"/>
        <v>0</v>
      </c>
      <c r="AS55" s="129">
        <f t="shared" si="15"/>
        <v>0</v>
      </c>
      <c r="AT55" s="129">
        <f>SUM(AT56:AT61)</f>
        <v>0</v>
      </c>
      <c r="AU55" s="131">
        <f t="shared" si="16"/>
        <v>0</v>
      </c>
      <c r="AV55" s="131">
        <f>IF(AT55=0,0,(AT55-N55-P55-R55-AC55-AD55-AE55-AF55-AG55-AH55-AI55-AJ55-AL55)/AT55)</f>
        <v>0</v>
      </c>
      <c r="AW55" s="131">
        <f t="shared" si="17"/>
        <v>0</v>
      </c>
      <c r="AX55" s="131">
        <f t="shared" si="18"/>
        <v>0</v>
      </c>
      <c r="AY55" s="131"/>
      <c r="AZ55" s="131"/>
      <c r="BA55" s="129">
        <f t="shared" si="19"/>
        <v>0</v>
      </c>
      <c r="BB55" s="141"/>
      <c r="BC55"/>
    </row>
    <row r="56" spans="1:55" ht="15" customHeight="1" x14ac:dyDescent="0.25">
      <c r="A56" s="97" t="s">
        <v>53</v>
      </c>
      <c r="B56" s="123" t="s">
        <v>144</v>
      </c>
      <c r="C56" s="115">
        <v>15</v>
      </c>
      <c r="D56" s="121">
        <f>AT56*AU56*AW56</f>
        <v>0</v>
      </c>
      <c r="E56" s="16">
        <f>ROUND(AT56*AV56*AX56,4)</f>
        <v>0</v>
      </c>
      <c r="F56" s="91">
        <f>'1'!F56+'2'!F56+'3'!F56+'4'!F56+'5'!F56+'6'!F56</f>
        <v>0</v>
      </c>
      <c r="G56" s="91">
        <f>'1'!G56+'2'!G56+'3'!G56+'4'!G56+'5'!G56+'6'!G56</f>
        <v>0</v>
      </c>
      <c r="H56" s="135">
        <f>'1'!H56+'2'!H56+'3'!H56+'4'!H56+'5'!H56+'6'!H56</f>
        <v>0</v>
      </c>
      <c r="I56" s="135">
        <f>'1'!I56+'2'!I56+'3'!I56+'4'!I56+'5'!I56+'6'!I56</f>
        <v>0</v>
      </c>
      <c r="J56" s="14" t="s">
        <v>55</v>
      </c>
      <c r="K56" s="133">
        <f>'1'!K56+'2'!K56+'3'!K56+'4'!K56+'5'!K56+'6'!K56</f>
        <v>0</v>
      </c>
      <c r="L56" s="133">
        <f>'1'!L56+'2'!L56+'3'!L56+'4'!L56+'5'!L56+'6'!L56</f>
        <v>0</v>
      </c>
      <c r="M56" s="91">
        <f>'1'!M56+'2'!M56+'3'!M56+'4'!M56+'5'!M56+'6'!M56</f>
        <v>0</v>
      </c>
      <c r="N56" s="91">
        <f>'1'!N56+'2'!N56+'3'!N56+'4'!N56+'5'!N56+'6'!N56</f>
        <v>0</v>
      </c>
      <c r="O56" s="91">
        <f>'1'!O56+'2'!O56+'3'!O56+'4'!O56+'5'!O56+'6'!O56</f>
        <v>0</v>
      </c>
      <c r="P56" s="91">
        <f>'1'!P56+'2'!P56+'3'!P56+'4'!P56+'5'!P56+'6'!P56</f>
        <v>0</v>
      </c>
      <c r="Q56" s="91">
        <f>'1'!Q56+'2'!Q56+'3'!Q56+'4'!Q56+'5'!Q56+'6'!Q56</f>
        <v>0</v>
      </c>
      <c r="R56" s="91">
        <f>'1'!R56+'2'!R56+'3'!R56+'4'!R56+'5'!R56+'6'!R56</f>
        <v>0</v>
      </c>
      <c r="S56" s="91">
        <f>'1'!S56+'2'!S56+'3'!S56+'4'!S56+'5'!S56+'6'!S56</f>
        <v>0</v>
      </c>
      <c r="T56" s="91">
        <f>'1'!T56+'2'!T56+'3'!T56+'4'!T56+'5'!T56+'6'!T56</f>
        <v>0</v>
      </c>
      <c r="U56" s="91">
        <f>'1'!U56+'2'!U56+'3'!U56+'4'!U56+'5'!U56+'6'!U56</f>
        <v>0</v>
      </c>
      <c r="V56" s="91">
        <f>'1'!V56+'2'!V56+'3'!V56+'4'!V56+'5'!V56+'6'!V56</f>
        <v>0</v>
      </c>
      <c r="W56" s="91">
        <f>'1'!W56+'2'!W56+'3'!W56+'4'!W56+'5'!W56+'6'!W56</f>
        <v>0</v>
      </c>
      <c r="X56" s="91">
        <f>'1'!X56+'2'!X56+'3'!X56+'4'!X56+'5'!X56+'6'!X56</f>
        <v>0</v>
      </c>
      <c r="Y56" s="91">
        <f>'1'!Y56+'2'!Y56+'3'!Y56+'4'!Y56+'5'!Y56+'6'!Y56</f>
        <v>0</v>
      </c>
      <c r="Z56" s="91">
        <f>'1'!Z56+'2'!Z56+'3'!Z56+'4'!Z56+'5'!Z56+'6'!Z56</f>
        <v>0</v>
      </c>
      <c r="AA56" s="91">
        <f>'1'!AA56+'2'!AA56+'3'!AA56+'4'!AA56+'5'!AA56+'6'!AA56</f>
        <v>0</v>
      </c>
      <c r="AB56" s="91">
        <f>'1'!AB56+'2'!AB56+'3'!AB56+'4'!AB56+'5'!AB56+'6'!AB56</f>
        <v>0</v>
      </c>
      <c r="AC56" s="91">
        <f>'1'!AC56+'2'!AC56+'3'!AC56+'4'!AC56+'5'!AC56+'6'!AC56</f>
        <v>0</v>
      </c>
      <c r="AD56" s="91">
        <f>'1'!AD56+'2'!AD56+'3'!AD56+'4'!AD56+'5'!AD56+'6'!AD56</f>
        <v>0</v>
      </c>
      <c r="AE56" s="91">
        <f>'1'!AE56+'2'!AE56+'3'!AE56+'4'!AE56+'5'!AE56+'6'!AE56</f>
        <v>0</v>
      </c>
      <c r="AF56" s="91">
        <f>'1'!AF56+'2'!AF56+'3'!AF56+'4'!AF56+'5'!AF56+'6'!AF56</f>
        <v>0</v>
      </c>
      <c r="AG56" s="91">
        <f>'1'!AG56+'2'!AG56+'3'!AG56+'4'!AG56+'5'!AG56+'6'!AG56</f>
        <v>0</v>
      </c>
      <c r="AH56" s="91">
        <f>'1'!AH56+'2'!AH56+'3'!AH56+'4'!AH56+'5'!AH56+'6'!AH56</f>
        <v>0</v>
      </c>
      <c r="AI56" s="91">
        <f>'1'!AI56+'2'!AI56+'3'!AI56+'4'!AI56+'5'!AI56+'6'!AI56</f>
        <v>0</v>
      </c>
      <c r="AJ56" s="91">
        <f>'1'!AJ56+'2'!AJ56+'3'!AJ56+'4'!AJ56+'5'!AJ56+'6'!AJ56</f>
        <v>0</v>
      </c>
      <c r="AK56" s="91">
        <f>'1'!AK56+'2'!AK56+'3'!AK56+'4'!AK56+'5'!AK56+'6'!AK56</f>
        <v>0</v>
      </c>
      <c r="AL56" s="91">
        <f>'1'!AL56+'2'!AL56+'3'!AL56+'4'!AL56+'5'!AL56+'6'!AL56</f>
        <v>0</v>
      </c>
      <c r="AM56" s="91">
        <f>'1'!AM56+'2'!AM56+'3'!AM56+'4'!AM56+'5'!AM56+'6'!AM56</f>
        <v>0</v>
      </c>
      <c r="AN56" s="91">
        <f>'1'!AN56+'2'!AN56+'3'!AN56+'4'!AN56+'5'!AN56+'6'!AN56</f>
        <v>0</v>
      </c>
      <c r="AO56" s="91">
        <f>'1'!AO56+'2'!AO56+'3'!AO56+'4'!AO56+'5'!AO56+'6'!AO56</f>
        <v>0</v>
      </c>
      <c r="AP56" s="91">
        <f>'1'!AP56+'2'!AP56+'3'!AP56+'4'!AP56+'5'!AP56+'6'!AP56</f>
        <v>0</v>
      </c>
      <c r="AQ56" s="16">
        <f t="shared" si="3"/>
        <v>0</v>
      </c>
      <c r="AR56" s="17">
        <f t="shared" si="11"/>
        <v>0</v>
      </c>
      <c r="AS56" s="91">
        <f t="shared" si="15"/>
        <v>0</v>
      </c>
      <c r="AT56" s="91">
        <f>'1'!AT56+'2'!AT56+'3'!AT56+'4'!AT56+'5'!AT56+'6'!AT56</f>
        <v>0</v>
      </c>
      <c r="AU56" s="92">
        <f t="shared" si="16"/>
        <v>0</v>
      </c>
      <c r="AV56" s="92">
        <f t="shared" si="4"/>
        <v>0</v>
      </c>
      <c r="AW56" s="92">
        <f t="shared" si="17"/>
        <v>0</v>
      </c>
      <c r="AX56" s="92">
        <f t="shared" si="18"/>
        <v>0</v>
      </c>
      <c r="AY56" s="92">
        <f t="shared" ref="AY56:AZ59" si="36">IF(D56=0,0,K56/D56/24)</f>
        <v>0</v>
      </c>
      <c r="AZ56" s="92">
        <f t="shared" si="36"/>
        <v>0</v>
      </c>
      <c r="BA56" s="95">
        <f t="shared" si="19"/>
        <v>0</v>
      </c>
      <c r="BB56" s="138"/>
      <c r="BC56"/>
    </row>
    <row r="57" spans="1:55" ht="15" customHeight="1" x14ac:dyDescent="0.25">
      <c r="A57" s="71" t="s">
        <v>54</v>
      </c>
      <c r="B57" s="123" t="s">
        <v>145</v>
      </c>
      <c r="C57" s="112">
        <v>16</v>
      </c>
      <c r="D57" s="121">
        <f>AT57*AU57*AW57</f>
        <v>0</v>
      </c>
      <c r="E57" s="16">
        <f>ROUND(AT57*AV57*AX57,4)</f>
        <v>0</v>
      </c>
      <c r="F57" s="91">
        <f>'1'!F57+'2'!F57+'3'!F57+'4'!F57+'5'!F57+'6'!F57</f>
        <v>0</v>
      </c>
      <c r="G57" s="91">
        <f>'1'!G57+'2'!G57+'3'!G57+'4'!G57+'5'!G57+'6'!G57</f>
        <v>0</v>
      </c>
      <c r="H57" s="135">
        <f>'1'!H57+'2'!H57+'3'!H57+'4'!H57+'5'!H57+'6'!H57</f>
        <v>0</v>
      </c>
      <c r="I57" s="135">
        <f>'1'!I57+'2'!I57+'3'!I57+'4'!I57+'5'!I57+'6'!I57</f>
        <v>0</v>
      </c>
      <c r="J57" s="7" t="s">
        <v>55</v>
      </c>
      <c r="K57" s="133">
        <f>'1'!K57+'2'!K57+'3'!K57+'4'!K57+'5'!K57+'6'!K57</f>
        <v>0</v>
      </c>
      <c r="L57" s="133">
        <f>'1'!L57+'2'!L57+'3'!L57+'4'!L57+'5'!L57+'6'!L57</f>
        <v>0</v>
      </c>
      <c r="M57" s="91">
        <f>'1'!M57+'2'!M57+'3'!M57+'4'!M57+'5'!M57+'6'!M57</f>
        <v>0</v>
      </c>
      <c r="N57" s="91">
        <f>'1'!N57+'2'!N57+'3'!N57+'4'!N57+'5'!N57+'6'!N57</f>
        <v>0</v>
      </c>
      <c r="O57" s="91">
        <f>'1'!O57+'2'!O57+'3'!O57+'4'!O57+'5'!O57+'6'!O57</f>
        <v>0</v>
      </c>
      <c r="P57" s="91">
        <f>'1'!P57+'2'!P57+'3'!P57+'4'!P57+'5'!P57+'6'!P57</f>
        <v>0</v>
      </c>
      <c r="Q57" s="91">
        <f>'1'!Q57+'2'!Q57+'3'!Q57+'4'!Q57+'5'!Q57+'6'!Q57</f>
        <v>0</v>
      </c>
      <c r="R57" s="91">
        <f>'1'!R57+'2'!R57+'3'!R57+'4'!R57+'5'!R57+'6'!R57</f>
        <v>0</v>
      </c>
      <c r="S57" s="91">
        <f>'1'!S57+'2'!S57+'3'!S57+'4'!S57+'5'!S57+'6'!S57</f>
        <v>0</v>
      </c>
      <c r="T57" s="91">
        <f>'1'!T57+'2'!T57+'3'!T57+'4'!T57+'5'!T57+'6'!T57</f>
        <v>0</v>
      </c>
      <c r="U57" s="91">
        <f>'1'!U57+'2'!U57+'3'!U57+'4'!U57+'5'!U57+'6'!U57</f>
        <v>0</v>
      </c>
      <c r="V57" s="91">
        <f>'1'!V57+'2'!V57+'3'!V57+'4'!V57+'5'!V57+'6'!V57</f>
        <v>0</v>
      </c>
      <c r="W57" s="91">
        <f>'1'!W57+'2'!W57+'3'!W57+'4'!W57+'5'!W57+'6'!W57</f>
        <v>0</v>
      </c>
      <c r="X57" s="91">
        <f>'1'!X57+'2'!X57+'3'!X57+'4'!X57+'5'!X57+'6'!X57</f>
        <v>0</v>
      </c>
      <c r="Y57" s="91">
        <f>'1'!Y57+'2'!Y57+'3'!Y57+'4'!Y57+'5'!Y57+'6'!Y57</f>
        <v>0</v>
      </c>
      <c r="Z57" s="91">
        <f>'1'!Z57+'2'!Z57+'3'!Z57+'4'!Z57+'5'!Z57+'6'!Z57</f>
        <v>0</v>
      </c>
      <c r="AA57" s="91">
        <f>'1'!AA57+'2'!AA57+'3'!AA57+'4'!AA57+'5'!AA57+'6'!AA57</f>
        <v>0</v>
      </c>
      <c r="AB57" s="91">
        <f>'1'!AB57+'2'!AB57+'3'!AB57+'4'!AB57+'5'!AB57+'6'!AB57</f>
        <v>0</v>
      </c>
      <c r="AC57" s="91">
        <f>'1'!AC57+'2'!AC57+'3'!AC57+'4'!AC57+'5'!AC57+'6'!AC57</f>
        <v>0</v>
      </c>
      <c r="AD57" s="91">
        <f>'1'!AD57+'2'!AD57+'3'!AD57+'4'!AD57+'5'!AD57+'6'!AD57</f>
        <v>0</v>
      </c>
      <c r="AE57" s="91">
        <f>'1'!AE57+'2'!AE57+'3'!AE57+'4'!AE57+'5'!AE57+'6'!AE57</f>
        <v>0</v>
      </c>
      <c r="AF57" s="91">
        <f>'1'!AF57+'2'!AF57+'3'!AF57+'4'!AF57+'5'!AF57+'6'!AF57</f>
        <v>0</v>
      </c>
      <c r="AG57" s="91">
        <f>'1'!AG57+'2'!AG57+'3'!AG57+'4'!AG57+'5'!AG57+'6'!AG57</f>
        <v>0</v>
      </c>
      <c r="AH57" s="91">
        <f>'1'!AH57+'2'!AH57+'3'!AH57+'4'!AH57+'5'!AH57+'6'!AH57</f>
        <v>0</v>
      </c>
      <c r="AI57" s="91">
        <f>'1'!AI57+'2'!AI57+'3'!AI57+'4'!AI57+'5'!AI57+'6'!AI57</f>
        <v>0</v>
      </c>
      <c r="AJ57" s="91">
        <f>'1'!AJ57+'2'!AJ57+'3'!AJ57+'4'!AJ57+'5'!AJ57+'6'!AJ57</f>
        <v>0</v>
      </c>
      <c r="AK57" s="91">
        <f>'1'!AK57+'2'!AK57+'3'!AK57+'4'!AK57+'5'!AK57+'6'!AK57</f>
        <v>0</v>
      </c>
      <c r="AL57" s="91">
        <f>'1'!AL57+'2'!AL57+'3'!AL57+'4'!AL57+'5'!AL57+'6'!AL57</f>
        <v>0</v>
      </c>
      <c r="AM57" s="91">
        <f>'1'!AM57+'2'!AM57+'3'!AM57+'4'!AM57+'5'!AM57+'6'!AM57</f>
        <v>0</v>
      </c>
      <c r="AN57" s="91">
        <f>'1'!AN57+'2'!AN57+'3'!AN57+'4'!AN57+'5'!AN57+'6'!AN57</f>
        <v>0</v>
      </c>
      <c r="AO57" s="91">
        <f>'1'!AO57+'2'!AO57+'3'!AO57+'4'!AO57+'5'!AO57+'6'!AO57</f>
        <v>0</v>
      </c>
      <c r="AP57" s="91">
        <f>'1'!AP57+'2'!AP57+'3'!AP57+'4'!AP57+'5'!AP57+'6'!AP57</f>
        <v>0</v>
      </c>
      <c r="AQ57" s="16">
        <f t="shared" si="3"/>
        <v>0</v>
      </c>
      <c r="AR57" s="17">
        <f t="shared" si="11"/>
        <v>0</v>
      </c>
      <c r="AS57" s="91">
        <f t="shared" si="15"/>
        <v>0</v>
      </c>
      <c r="AT57" s="91">
        <f>'1'!AT57+'2'!AT57+'3'!AT57+'4'!AT57+'5'!AT57+'6'!AT57</f>
        <v>0</v>
      </c>
      <c r="AU57" s="92">
        <f t="shared" si="16"/>
        <v>0</v>
      </c>
      <c r="AV57" s="92">
        <f t="shared" si="4"/>
        <v>0</v>
      </c>
      <c r="AW57" s="92">
        <f t="shared" si="17"/>
        <v>0</v>
      </c>
      <c r="AX57" s="92">
        <f t="shared" si="18"/>
        <v>0</v>
      </c>
      <c r="AY57" s="92">
        <f t="shared" si="36"/>
        <v>0</v>
      </c>
      <c r="AZ57" s="92">
        <f t="shared" si="36"/>
        <v>0</v>
      </c>
      <c r="BA57" s="95">
        <f t="shared" si="19"/>
        <v>0</v>
      </c>
      <c r="BB57" s="139"/>
      <c r="BC57"/>
    </row>
    <row r="58" spans="1:55" ht="15" customHeight="1" x14ac:dyDescent="0.25">
      <c r="A58" s="73" t="s">
        <v>124</v>
      </c>
      <c r="B58" s="123" t="s">
        <v>146</v>
      </c>
      <c r="C58" s="113">
        <v>26</v>
      </c>
      <c r="D58" s="121">
        <f>AT58*AU58*AW58</f>
        <v>0</v>
      </c>
      <c r="E58" s="16">
        <f>ROUND(AT58*AV58*AX58,4)</f>
        <v>0</v>
      </c>
      <c r="F58" s="91">
        <f>'1'!F58+'2'!F58+'3'!F58+'4'!F58+'5'!F58+'6'!F58</f>
        <v>0</v>
      </c>
      <c r="G58" s="91">
        <f>'1'!G58+'2'!G58+'3'!G58+'4'!G58+'5'!G58+'6'!G58</f>
        <v>0</v>
      </c>
      <c r="H58" s="135">
        <f>'1'!H58+'2'!H58+'3'!H58+'4'!H58+'5'!H58+'6'!H58</f>
        <v>0</v>
      </c>
      <c r="I58" s="135">
        <f>'1'!I58+'2'!I58+'3'!I58+'4'!I58+'5'!I58+'6'!I58</f>
        <v>0</v>
      </c>
      <c r="J58" s="7" t="s">
        <v>55</v>
      </c>
      <c r="K58" s="133">
        <f>'1'!K58+'2'!K58+'3'!K58+'4'!K58+'5'!K58+'6'!K58</f>
        <v>0</v>
      </c>
      <c r="L58" s="133">
        <f>'1'!L58+'2'!L58+'3'!L58+'4'!L58+'5'!L58+'6'!L58</f>
        <v>0</v>
      </c>
      <c r="M58" s="91">
        <f>'1'!M58+'2'!M58+'3'!M58+'4'!M58+'5'!M58+'6'!M58</f>
        <v>0</v>
      </c>
      <c r="N58" s="91">
        <f>'1'!N58+'2'!N58+'3'!N58+'4'!N58+'5'!N58+'6'!N58</f>
        <v>0</v>
      </c>
      <c r="O58" s="91">
        <f>'1'!O58+'2'!O58+'3'!O58+'4'!O58+'5'!O58+'6'!O58</f>
        <v>0</v>
      </c>
      <c r="P58" s="91">
        <f>'1'!P58+'2'!P58+'3'!P58+'4'!P58+'5'!P58+'6'!P58</f>
        <v>0</v>
      </c>
      <c r="Q58" s="91">
        <f>'1'!Q58+'2'!Q58+'3'!Q58+'4'!Q58+'5'!Q58+'6'!Q58</f>
        <v>0</v>
      </c>
      <c r="R58" s="91">
        <f>'1'!R58+'2'!R58+'3'!R58+'4'!R58+'5'!R58+'6'!R58</f>
        <v>0</v>
      </c>
      <c r="S58" s="91">
        <f>'1'!S58+'2'!S58+'3'!S58+'4'!S58+'5'!S58+'6'!S58</f>
        <v>0</v>
      </c>
      <c r="T58" s="91">
        <f>'1'!T58+'2'!T58+'3'!T58+'4'!T58+'5'!T58+'6'!T58</f>
        <v>0</v>
      </c>
      <c r="U58" s="91">
        <f>'1'!U58+'2'!U58+'3'!U58+'4'!U58+'5'!U58+'6'!U58</f>
        <v>0</v>
      </c>
      <c r="V58" s="91">
        <f>'1'!V58+'2'!V58+'3'!V58+'4'!V58+'5'!V58+'6'!V58</f>
        <v>0</v>
      </c>
      <c r="W58" s="91">
        <f>'1'!W58+'2'!W58+'3'!W58+'4'!W58+'5'!W58+'6'!W58</f>
        <v>0</v>
      </c>
      <c r="X58" s="91">
        <f>'1'!X58+'2'!X58+'3'!X58+'4'!X58+'5'!X58+'6'!X58</f>
        <v>0</v>
      </c>
      <c r="Y58" s="91">
        <f>'1'!Y58+'2'!Y58+'3'!Y58+'4'!Y58+'5'!Y58+'6'!Y58</f>
        <v>0</v>
      </c>
      <c r="Z58" s="91">
        <f>'1'!Z58+'2'!Z58+'3'!Z58+'4'!Z58+'5'!Z58+'6'!Z58</f>
        <v>0</v>
      </c>
      <c r="AA58" s="91">
        <f>'1'!AA58+'2'!AA58+'3'!AA58+'4'!AA58+'5'!AA58+'6'!AA58</f>
        <v>0</v>
      </c>
      <c r="AB58" s="91">
        <f>'1'!AB58+'2'!AB58+'3'!AB58+'4'!AB58+'5'!AB58+'6'!AB58</f>
        <v>0</v>
      </c>
      <c r="AC58" s="91">
        <f>'1'!AC58+'2'!AC58+'3'!AC58+'4'!AC58+'5'!AC58+'6'!AC58</f>
        <v>0</v>
      </c>
      <c r="AD58" s="91">
        <f>'1'!AD58+'2'!AD58+'3'!AD58+'4'!AD58+'5'!AD58+'6'!AD58</f>
        <v>0</v>
      </c>
      <c r="AE58" s="91">
        <f>'1'!AE58+'2'!AE58+'3'!AE58+'4'!AE58+'5'!AE58+'6'!AE58</f>
        <v>0</v>
      </c>
      <c r="AF58" s="91">
        <f>'1'!AF58+'2'!AF58+'3'!AF58+'4'!AF58+'5'!AF58+'6'!AF58</f>
        <v>0</v>
      </c>
      <c r="AG58" s="91">
        <f>'1'!AG58+'2'!AG58+'3'!AG58+'4'!AG58+'5'!AG58+'6'!AG58</f>
        <v>0</v>
      </c>
      <c r="AH58" s="91">
        <f>'1'!AH58+'2'!AH58+'3'!AH58+'4'!AH58+'5'!AH58+'6'!AH58</f>
        <v>0</v>
      </c>
      <c r="AI58" s="91">
        <f>'1'!AI58+'2'!AI58+'3'!AI58+'4'!AI58+'5'!AI58+'6'!AI58</f>
        <v>0</v>
      </c>
      <c r="AJ58" s="91">
        <f>'1'!AJ58+'2'!AJ58+'3'!AJ58+'4'!AJ58+'5'!AJ58+'6'!AJ58</f>
        <v>0</v>
      </c>
      <c r="AK58" s="91">
        <f>'1'!AK58+'2'!AK58+'3'!AK58+'4'!AK58+'5'!AK58+'6'!AK58</f>
        <v>0</v>
      </c>
      <c r="AL58" s="91">
        <f>'1'!AL58+'2'!AL58+'3'!AL58+'4'!AL58+'5'!AL58+'6'!AL58</f>
        <v>0</v>
      </c>
      <c r="AM58" s="91">
        <f>'1'!AM58+'2'!AM58+'3'!AM58+'4'!AM58+'5'!AM58+'6'!AM58</f>
        <v>0</v>
      </c>
      <c r="AN58" s="91">
        <f>'1'!AN58+'2'!AN58+'3'!AN58+'4'!AN58+'5'!AN58+'6'!AN58</f>
        <v>0</v>
      </c>
      <c r="AO58" s="91">
        <f>'1'!AO58+'2'!AO58+'3'!AO58+'4'!AO58+'5'!AO58+'6'!AO58</f>
        <v>0</v>
      </c>
      <c r="AP58" s="91">
        <f>'1'!AP58+'2'!AP58+'3'!AP58+'4'!AP58+'5'!AP58+'6'!AP58</f>
        <v>0</v>
      </c>
      <c r="AQ58" s="16">
        <f t="shared" si="3"/>
        <v>0</v>
      </c>
      <c r="AR58" s="17">
        <f t="shared" si="11"/>
        <v>0</v>
      </c>
      <c r="AS58" s="91">
        <f t="shared" si="15"/>
        <v>0</v>
      </c>
      <c r="AT58" s="91">
        <f>'1'!AT58+'2'!AT58+'3'!AT58+'4'!AT58+'5'!AT58+'6'!AT58</f>
        <v>0</v>
      </c>
      <c r="AU58" s="92">
        <f t="shared" si="16"/>
        <v>0</v>
      </c>
      <c r="AV58" s="92">
        <f t="shared" si="4"/>
        <v>0</v>
      </c>
      <c r="AW58" s="92">
        <f t="shared" si="17"/>
        <v>0</v>
      </c>
      <c r="AX58" s="92">
        <f t="shared" si="18"/>
        <v>0</v>
      </c>
      <c r="AY58" s="92">
        <f t="shared" si="36"/>
        <v>0</v>
      </c>
      <c r="AZ58" s="92">
        <f t="shared" si="36"/>
        <v>0</v>
      </c>
      <c r="BA58" s="95">
        <f t="shared" si="19"/>
        <v>0</v>
      </c>
      <c r="BB58" s="139"/>
      <c r="BC58"/>
    </row>
    <row r="59" spans="1:55" ht="15" customHeight="1" x14ac:dyDescent="0.25">
      <c r="A59" s="73" t="s">
        <v>125</v>
      </c>
      <c r="B59" s="123" t="s">
        <v>147</v>
      </c>
      <c r="C59" s="112">
        <v>30</v>
      </c>
      <c r="D59" s="121">
        <f>AT59*AU59*AW59</f>
        <v>0</v>
      </c>
      <c r="E59" s="16">
        <f>ROUND(AT59*AV59*AX59,4)</f>
        <v>0</v>
      </c>
      <c r="F59" s="91">
        <f>'1'!F59+'2'!F59+'3'!F59+'4'!F59+'5'!F59+'6'!F59</f>
        <v>0</v>
      </c>
      <c r="G59" s="91">
        <f>'1'!G59+'2'!G59+'3'!G59+'4'!G59+'5'!G59+'6'!G59</f>
        <v>0</v>
      </c>
      <c r="H59" s="135">
        <f>'1'!H59+'2'!H59+'3'!H59+'4'!H59+'5'!H59+'6'!H59</f>
        <v>0</v>
      </c>
      <c r="I59" s="135">
        <f>'1'!I59+'2'!I59+'3'!I59+'4'!I59+'5'!I59+'6'!I59</f>
        <v>0</v>
      </c>
      <c r="J59" s="7" t="s">
        <v>55</v>
      </c>
      <c r="K59" s="133">
        <f>'1'!K59+'2'!K59+'3'!K59+'4'!K59+'5'!K59+'6'!K59</f>
        <v>0</v>
      </c>
      <c r="L59" s="133">
        <f>'1'!L59+'2'!L59+'3'!L59+'4'!L59+'5'!L59+'6'!L59</f>
        <v>0</v>
      </c>
      <c r="M59" s="91">
        <f>'1'!M59+'2'!M59+'3'!M59+'4'!M59+'5'!M59+'6'!M59</f>
        <v>0</v>
      </c>
      <c r="N59" s="91">
        <f>'1'!N59+'2'!N59+'3'!N59+'4'!N59+'5'!N59+'6'!N59</f>
        <v>0</v>
      </c>
      <c r="O59" s="91">
        <f>'1'!O59+'2'!O59+'3'!O59+'4'!O59+'5'!O59+'6'!O59</f>
        <v>0</v>
      </c>
      <c r="P59" s="91">
        <f>'1'!P59+'2'!P59+'3'!P59+'4'!P59+'5'!P59+'6'!P59</f>
        <v>0</v>
      </c>
      <c r="Q59" s="91">
        <f>'1'!Q59+'2'!Q59+'3'!Q59+'4'!Q59+'5'!Q59+'6'!Q59</f>
        <v>0</v>
      </c>
      <c r="R59" s="91">
        <f>'1'!R59+'2'!R59+'3'!R59+'4'!R59+'5'!R59+'6'!R59</f>
        <v>0</v>
      </c>
      <c r="S59" s="91">
        <f>'1'!S59+'2'!S59+'3'!S59+'4'!S59+'5'!S59+'6'!S59</f>
        <v>0</v>
      </c>
      <c r="T59" s="91">
        <f>'1'!T59+'2'!T59+'3'!T59+'4'!T59+'5'!T59+'6'!T59</f>
        <v>0</v>
      </c>
      <c r="U59" s="91">
        <f>'1'!U59+'2'!U59+'3'!U59+'4'!U59+'5'!U59+'6'!U59</f>
        <v>0</v>
      </c>
      <c r="V59" s="91">
        <f>'1'!V59+'2'!V59+'3'!V59+'4'!V59+'5'!V59+'6'!V59</f>
        <v>0</v>
      </c>
      <c r="W59" s="91">
        <f>'1'!W59+'2'!W59+'3'!W59+'4'!W59+'5'!W59+'6'!W59</f>
        <v>0</v>
      </c>
      <c r="X59" s="91">
        <f>'1'!X59+'2'!X59+'3'!X59+'4'!X59+'5'!X59+'6'!X59</f>
        <v>0</v>
      </c>
      <c r="Y59" s="91">
        <f>'1'!Y59+'2'!Y59+'3'!Y59+'4'!Y59+'5'!Y59+'6'!Y59</f>
        <v>0</v>
      </c>
      <c r="Z59" s="91">
        <f>'1'!Z59+'2'!Z59+'3'!Z59+'4'!Z59+'5'!Z59+'6'!Z59</f>
        <v>0</v>
      </c>
      <c r="AA59" s="91">
        <f>'1'!AA59+'2'!AA59+'3'!AA59+'4'!AA59+'5'!AA59+'6'!AA59</f>
        <v>0</v>
      </c>
      <c r="AB59" s="91">
        <f>'1'!AB59+'2'!AB59+'3'!AB59+'4'!AB59+'5'!AB59+'6'!AB59</f>
        <v>0</v>
      </c>
      <c r="AC59" s="91">
        <f>'1'!AC59+'2'!AC59+'3'!AC59+'4'!AC59+'5'!AC59+'6'!AC59</f>
        <v>0</v>
      </c>
      <c r="AD59" s="91">
        <f>'1'!AD59+'2'!AD59+'3'!AD59+'4'!AD59+'5'!AD59+'6'!AD59</f>
        <v>0</v>
      </c>
      <c r="AE59" s="91">
        <f>'1'!AE59+'2'!AE59+'3'!AE59+'4'!AE59+'5'!AE59+'6'!AE59</f>
        <v>0</v>
      </c>
      <c r="AF59" s="91">
        <f>'1'!AF59+'2'!AF59+'3'!AF59+'4'!AF59+'5'!AF59+'6'!AF59</f>
        <v>0</v>
      </c>
      <c r="AG59" s="91">
        <f>'1'!AG59+'2'!AG59+'3'!AG59+'4'!AG59+'5'!AG59+'6'!AG59</f>
        <v>0</v>
      </c>
      <c r="AH59" s="91">
        <f>'1'!AH59+'2'!AH59+'3'!AH59+'4'!AH59+'5'!AH59+'6'!AH59</f>
        <v>0</v>
      </c>
      <c r="AI59" s="91">
        <f>'1'!AI59+'2'!AI59+'3'!AI59+'4'!AI59+'5'!AI59+'6'!AI59</f>
        <v>0</v>
      </c>
      <c r="AJ59" s="91">
        <f>'1'!AJ59+'2'!AJ59+'3'!AJ59+'4'!AJ59+'5'!AJ59+'6'!AJ59</f>
        <v>0</v>
      </c>
      <c r="AK59" s="91">
        <f>'1'!AK59+'2'!AK59+'3'!AK59+'4'!AK59+'5'!AK59+'6'!AK59</f>
        <v>0</v>
      </c>
      <c r="AL59" s="91">
        <f>'1'!AL59+'2'!AL59+'3'!AL59+'4'!AL59+'5'!AL59+'6'!AL59</f>
        <v>0</v>
      </c>
      <c r="AM59" s="91">
        <f>'1'!AM59+'2'!AM59+'3'!AM59+'4'!AM59+'5'!AM59+'6'!AM59</f>
        <v>0</v>
      </c>
      <c r="AN59" s="91">
        <f>'1'!AN59+'2'!AN59+'3'!AN59+'4'!AN59+'5'!AN59+'6'!AN59</f>
        <v>0</v>
      </c>
      <c r="AO59" s="91">
        <f>'1'!AO59+'2'!AO59+'3'!AO59+'4'!AO59+'5'!AO59+'6'!AO59</f>
        <v>0</v>
      </c>
      <c r="AP59" s="91">
        <f>'1'!AP59+'2'!AP59+'3'!AP59+'4'!AP59+'5'!AP59+'6'!AP59</f>
        <v>0</v>
      </c>
      <c r="AQ59" s="16">
        <f t="shared" si="3"/>
        <v>0</v>
      </c>
      <c r="AR59" s="17">
        <f t="shared" si="11"/>
        <v>0</v>
      </c>
      <c r="AS59" s="91">
        <f t="shared" si="15"/>
        <v>0</v>
      </c>
      <c r="AT59" s="91">
        <f>'1'!AT59+'2'!AT59+'3'!AT59+'4'!AT59+'5'!AT59+'6'!AT59</f>
        <v>0</v>
      </c>
      <c r="AU59" s="92">
        <f t="shared" si="16"/>
        <v>0</v>
      </c>
      <c r="AV59" s="92">
        <f t="shared" si="4"/>
        <v>0</v>
      </c>
      <c r="AW59" s="92">
        <f t="shared" si="17"/>
        <v>0</v>
      </c>
      <c r="AX59" s="92">
        <f t="shared" si="18"/>
        <v>0</v>
      </c>
      <c r="AY59" s="92">
        <f t="shared" si="36"/>
        <v>0</v>
      </c>
      <c r="AZ59" s="92">
        <f t="shared" si="36"/>
        <v>0</v>
      </c>
      <c r="BA59" s="95">
        <f t="shared" si="19"/>
        <v>0</v>
      </c>
      <c r="BB59" s="139"/>
      <c r="BC59"/>
    </row>
    <row r="60" spans="1:55" ht="15" customHeight="1" x14ac:dyDescent="0.25">
      <c r="A60" s="73" t="s">
        <v>151</v>
      </c>
      <c r="B60" s="148" t="s">
        <v>150</v>
      </c>
      <c r="C60" s="112">
        <v>32</v>
      </c>
      <c r="D60" s="121">
        <f t="shared" ref="D60:D61" si="37">AT60*AU60*AW60</f>
        <v>0</v>
      </c>
      <c r="E60" s="16">
        <f t="shared" ref="E60:E61" si="38">ROUND(AT60*AV60*AX60,4)</f>
        <v>0</v>
      </c>
      <c r="F60" s="91">
        <f>'1'!F60+'2'!F60+'3'!F60+'4'!F60+'5'!F60+'6'!F60</f>
        <v>0</v>
      </c>
      <c r="G60" s="91">
        <f>'1'!G60+'2'!G60+'3'!G60+'4'!G60+'5'!G60+'6'!G60</f>
        <v>0</v>
      </c>
      <c r="H60" s="135">
        <f>'1'!H60+'2'!H60+'3'!H60+'4'!H60+'5'!H60+'6'!H60</f>
        <v>0</v>
      </c>
      <c r="I60" s="135">
        <f>'1'!I60+'2'!I60+'3'!I60+'4'!I60+'5'!I60+'6'!I60</f>
        <v>0</v>
      </c>
      <c r="J60" s="7" t="s">
        <v>55</v>
      </c>
      <c r="K60" s="133">
        <f>'1'!K60+'2'!K60+'3'!K60+'4'!K60+'5'!K60+'6'!K60</f>
        <v>0</v>
      </c>
      <c r="L60" s="133">
        <f>'1'!L60+'2'!L60+'3'!L60+'4'!L60+'5'!L60+'6'!L60</f>
        <v>0</v>
      </c>
      <c r="M60" s="91">
        <f>'1'!M60+'2'!M60+'3'!M60+'4'!M60+'5'!M60+'6'!M60</f>
        <v>0</v>
      </c>
      <c r="N60" s="91">
        <f>'1'!N60+'2'!N60+'3'!N60+'4'!N60+'5'!N60+'6'!N60</f>
        <v>0</v>
      </c>
      <c r="O60" s="91">
        <f>'1'!O60+'2'!O60+'3'!O60+'4'!O60+'5'!O60+'6'!O60</f>
        <v>0</v>
      </c>
      <c r="P60" s="91">
        <f>'1'!P60+'2'!P60+'3'!P60+'4'!P60+'5'!P60+'6'!P60</f>
        <v>0</v>
      </c>
      <c r="Q60" s="91">
        <f>'1'!Q60+'2'!Q60+'3'!Q60+'4'!Q60+'5'!Q60+'6'!Q60</f>
        <v>0</v>
      </c>
      <c r="R60" s="91">
        <f>'1'!R60+'2'!R60+'3'!R60+'4'!R60+'5'!R60+'6'!R60</f>
        <v>0</v>
      </c>
      <c r="S60" s="91">
        <f>'1'!S60+'2'!S60+'3'!S60+'4'!S60+'5'!S60+'6'!S60</f>
        <v>0</v>
      </c>
      <c r="T60" s="91">
        <f>'1'!T60+'2'!T60+'3'!T60+'4'!T60+'5'!T60+'6'!T60</f>
        <v>0</v>
      </c>
      <c r="U60" s="91">
        <f>'1'!U60+'2'!U60+'3'!U60+'4'!U60+'5'!U60+'6'!U60</f>
        <v>0</v>
      </c>
      <c r="V60" s="91">
        <f>'1'!V60+'2'!V60+'3'!V60+'4'!V60+'5'!V60+'6'!V60</f>
        <v>0</v>
      </c>
      <c r="W60" s="91">
        <f>'1'!W60+'2'!W60+'3'!W60+'4'!W60+'5'!W60+'6'!W60</f>
        <v>0</v>
      </c>
      <c r="X60" s="91">
        <f>'1'!X60+'2'!X60+'3'!X60+'4'!X60+'5'!X60+'6'!X60</f>
        <v>0</v>
      </c>
      <c r="Y60" s="91">
        <f>'1'!Y60+'2'!Y60+'3'!Y60+'4'!Y60+'5'!Y60+'6'!Y60</f>
        <v>0</v>
      </c>
      <c r="Z60" s="91">
        <f>'1'!Z60+'2'!Z60+'3'!Z60+'4'!Z60+'5'!Z60+'6'!Z60</f>
        <v>0</v>
      </c>
      <c r="AA60" s="91">
        <f>'1'!AA60+'2'!AA60+'3'!AA60+'4'!AA60+'5'!AA60+'6'!AA60</f>
        <v>0</v>
      </c>
      <c r="AB60" s="91">
        <f>'1'!AB60+'2'!AB60+'3'!AB60+'4'!AB60+'5'!AB60+'6'!AB60</f>
        <v>0</v>
      </c>
      <c r="AC60" s="91">
        <f>'1'!AC60+'2'!AC60+'3'!AC60+'4'!AC60+'5'!AC60+'6'!AC60</f>
        <v>0</v>
      </c>
      <c r="AD60" s="91">
        <f>'1'!AD60+'2'!AD60+'3'!AD60+'4'!AD60+'5'!AD60+'6'!AD60</f>
        <v>0</v>
      </c>
      <c r="AE60" s="91">
        <f>'1'!AE60+'2'!AE60+'3'!AE60+'4'!AE60+'5'!AE60+'6'!AE60</f>
        <v>0</v>
      </c>
      <c r="AF60" s="91">
        <f>'1'!AF60+'2'!AF60+'3'!AF60+'4'!AF60+'5'!AF60+'6'!AF60</f>
        <v>0</v>
      </c>
      <c r="AG60" s="91">
        <f>'1'!AG60+'2'!AG60+'3'!AG60+'4'!AG60+'5'!AG60+'6'!AG60</f>
        <v>0</v>
      </c>
      <c r="AH60" s="91">
        <f>'1'!AH60+'2'!AH60+'3'!AH60+'4'!AH60+'5'!AH60+'6'!AH60</f>
        <v>0</v>
      </c>
      <c r="AI60" s="91">
        <f>'1'!AI60+'2'!AI60+'3'!AI60+'4'!AI60+'5'!AI60+'6'!AI60</f>
        <v>0</v>
      </c>
      <c r="AJ60" s="91">
        <f>'1'!AJ60+'2'!AJ60+'3'!AJ60+'4'!AJ60+'5'!AJ60+'6'!AJ60</f>
        <v>0</v>
      </c>
      <c r="AK60" s="91">
        <f>'1'!AK60+'2'!AK60+'3'!AK60+'4'!AK60+'5'!AK60+'6'!AK60</f>
        <v>0</v>
      </c>
      <c r="AL60" s="91">
        <f>'1'!AL60+'2'!AL60+'3'!AL60+'4'!AL60+'5'!AL60+'6'!AL60</f>
        <v>0</v>
      </c>
      <c r="AM60" s="91">
        <f>'1'!AM60+'2'!AM60+'3'!AM60+'4'!AM60+'5'!AM60+'6'!AM60</f>
        <v>0</v>
      </c>
      <c r="AN60" s="91">
        <f>'1'!AN60+'2'!AN60+'3'!AN60+'4'!AN60+'5'!AN60+'6'!AN60</f>
        <v>0</v>
      </c>
      <c r="AO60" s="91">
        <f>'1'!AO60+'2'!AO60+'3'!AO60+'4'!AO60+'5'!AO60+'6'!AO60</f>
        <v>0</v>
      </c>
      <c r="AP60" s="91">
        <f>'1'!AP60+'2'!AP60+'3'!AP60+'4'!AP60+'5'!AP60+'6'!AP60</f>
        <v>0</v>
      </c>
      <c r="AQ60" s="16">
        <f t="shared" ref="AQ60:AQ61" si="39">M60+O60+S60+U60+W60+AA60+Q60+Y60</f>
        <v>0</v>
      </c>
      <c r="AR60" s="17">
        <f t="shared" ref="AR60:AR61" si="40">N60+P60+R60+AC60+AD60+AE60+AF60+AG60+AH60+AI60+AJ60+AK60+AL60+AM60+AN60+AO60+AP60+T60+V60+AB60</f>
        <v>0</v>
      </c>
      <c r="AS60" s="91">
        <f t="shared" ref="AS60:AS61" si="41">AT60</f>
        <v>0</v>
      </c>
      <c r="AT60" s="91">
        <f>'1'!AT60+'2'!AT60+'3'!AT60+'4'!AT60+'5'!AT60+'6'!AT60</f>
        <v>0</v>
      </c>
      <c r="AU60" s="92">
        <f t="shared" ref="AU60:AU61" si="42">IF(AT60-AQ60=0,0,(AT60-M60-O60-Q60)/AT60)</f>
        <v>0</v>
      </c>
      <c r="AV60" s="92">
        <f t="shared" ref="AV60:AV61" si="43">IF(AT60=0,0,(AT60-N60-P60-R60-AC60-AD60-AE60-AF60-AG60-AH60-AI60-AJ60-AL60)/AT60)</f>
        <v>0</v>
      </c>
      <c r="AW60" s="92">
        <f t="shared" ref="AW60:AW61" si="44">IF(OR(AT60=0,AU60=0),0,((AT60*AU60)-S60-U60-W60-AA60-Y60)/(AT60*AU60))</f>
        <v>0</v>
      </c>
      <c r="AX60" s="92">
        <f t="shared" ref="AX60:AX61" si="45">IF(OR(AT60=0,AV60=0),0,((AT60*AV60)-AK60-AM60-AN60-AO60-AP60-T60-V60-X60-Z60-AB60)/(AT60*AV60))</f>
        <v>0</v>
      </c>
      <c r="AY60" s="92">
        <f t="shared" ref="AY60:AY61" si="46">IF(D60=0,0,K60/D60/24)</f>
        <v>0</v>
      </c>
      <c r="AZ60" s="92">
        <f t="shared" ref="AZ60:AZ61" si="47">IF(E60=0,0,L60/E60/24)</f>
        <v>0</v>
      </c>
      <c r="BA60" s="95">
        <f t="shared" ref="BA60:BA61" si="48">ROUND(AT60-E60-AR60,4)</f>
        <v>0</v>
      </c>
      <c r="BB60" s="139"/>
      <c r="BC60"/>
    </row>
    <row r="61" spans="1:55" ht="15" customHeight="1" thickBot="1" x14ac:dyDescent="0.3">
      <c r="A61" s="143" t="s">
        <v>152</v>
      </c>
      <c r="B61" s="125" t="s">
        <v>154</v>
      </c>
      <c r="C61" s="144">
        <v>24</v>
      </c>
      <c r="D61" s="122">
        <f t="shared" si="37"/>
        <v>0</v>
      </c>
      <c r="E61" s="63">
        <f t="shared" si="38"/>
        <v>0</v>
      </c>
      <c r="F61" s="64">
        <f>'1'!F61+'2'!F61+'3'!F61+'4'!F61+'5'!F61+'6'!F61</f>
        <v>0</v>
      </c>
      <c r="G61" s="64">
        <f>'1'!G61+'2'!G61+'3'!G61+'4'!G61+'5'!G61+'6'!G61</f>
        <v>0</v>
      </c>
      <c r="H61" s="136">
        <f>'1'!H61+'2'!H61+'3'!H61+'4'!H61+'5'!H61+'6'!H61</f>
        <v>0</v>
      </c>
      <c r="I61" s="136">
        <f>'1'!I61+'2'!I61+'3'!I61+'4'!I61+'5'!I61+'6'!I61</f>
        <v>0</v>
      </c>
      <c r="J61" s="66" t="s">
        <v>55</v>
      </c>
      <c r="K61" s="134">
        <f>'1'!K61+'2'!K61+'3'!K61+'4'!K61+'5'!K61+'6'!K61</f>
        <v>0</v>
      </c>
      <c r="L61" s="134">
        <f>'1'!L61+'2'!L61+'3'!L61+'4'!L61+'5'!L61+'6'!L61</f>
        <v>0</v>
      </c>
      <c r="M61" s="64">
        <f>'1'!M61+'2'!M61+'3'!M61+'4'!M61+'5'!M61+'6'!M61</f>
        <v>0</v>
      </c>
      <c r="N61" s="64">
        <f>'1'!N61+'2'!N61+'3'!N61+'4'!N61+'5'!N61+'6'!N61</f>
        <v>0</v>
      </c>
      <c r="O61" s="64">
        <f>'1'!O61+'2'!O61+'3'!O61+'4'!O61+'5'!O61+'6'!O61</f>
        <v>0</v>
      </c>
      <c r="P61" s="64">
        <f>'1'!P61+'2'!P61+'3'!P61+'4'!P61+'5'!P61+'6'!P61</f>
        <v>0</v>
      </c>
      <c r="Q61" s="64">
        <f>'1'!Q61+'2'!Q61+'3'!Q61+'4'!Q61+'5'!Q61+'6'!Q61</f>
        <v>0</v>
      </c>
      <c r="R61" s="64">
        <f>'1'!R61+'2'!R61+'3'!R61+'4'!R61+'5'!R61+'6'!R61</f>
        <v>0</v>
      </c>
      <c r="S61" s="64">
        <f>'1'!S61+'2'!S61+'3'!S61+'4'!S61+'5'!S61+'6'!S61</f>
        <v>0</v>
      </c>
      <c r="T61" s="64">
        <f>'1'!T61+'2'!T61+'3'!T61+'4'!T61+'5'!T61+'6'!T61</f>
        <v>0</v>
      </c>
      <c r="U61" s="64">
        <f>'1'!U61+'2'!U61+'3'!U61+'4'!U61+'5'!U61+'6'!U61</f>
        <v>0</v>
      </c>
      <c r="V61" s="64">
        <f>'1'!V61+'2'!V61+'3'!V61+'4'!V61+'5'!V61+'6'!V61</f>
        <v>0</v>
      </c>
      <c r="W61" s="64">
        <f>'1'!W61+'2'!W61+'3'!W61+'4'!W61+'5'!W61+'6'!W61</f>
        <v>0</v>
      </c>
      <c r="X61" s="64">
        <f>'1'!X61+'2'!X61+'3'!X61+'4'!X61+'5'!X61+'6'!X61</f>
        <v>0</v>
      </c>
      <c r="Y61" s="64">
        <f>'1'!Y61+'2'!Y61+'3'!Y61+'4'!Y61+'5'!Y61+'6'!Y61</f>
        <v>0</v>
      </c>
      <c r="Z61" s="64">
        <f>'1'!Z61+'2'!Z61+'3'!Z61+'4'!Z61+'5'!Z61+'6'!Z61</f>
        <v>0</v>
      </c>
      <c r="AA61" s="64">
        <f>'1'!AA61+'2'!AA61+'3'!AA61+'4'!AA61+'5'!AA61+'6'!AA61</f>
        <v>0</v>
      </c>
      <c r="AB61" s="64">
        <f>'1'!AB61+'2'!AB61+'3'!AB61+'4'!AB61+'5'!AB61+'6'!AB61</f>
        <v>0</v>
      </c>
      <c r="AC61" s="64">
        <f>'1'!AC61+'2'!AC61+'3'!AC61+'4'!AC61+'5'!AC61+'6'!AC61</f>
        <v>0</v>
      </c>
      <c r="AD61" s="64">
        <f>'1'!AD61+'2'!AD61+'3'!AD61+'4'!AD61+'5'!AD61+'6'!AD61</f>
        <v>0</v>
      </c>
      <c r="AE61" s="64">
        <f>'1'!AE61+'2'!AE61+'3'!AE61+'4'!AE61+'5'!AE61+'6'!AE61</f>
        <v>0</v>
      </c>
      <c r="AF61" s="64">
        <f>'1'!AF61+'2'!AF61+'3'!AF61+'4'!AF61+'5'!AF61+'6'!AF61</f>
        <v>0</v>
      </c>
      <c r="AG61" s="64">
        <f>'1'!AG61+'2'!AG61+'3'!AG61+'4'!AG61+'5'!AG61+'6'!AG61</f>
        <v>0</v>
      </c>
      <c r="AH61" s="64">
        <f>'1'!AH61+'2'!AH61+'3'!AH61+'4'!AH61+'5'!AH61+'6'!AH61</f>
        <v>0</v>
      </c>
      <c r="AI61" s="64">
        <f>'1'!AI61+'2'!AI61+'3'!AI61+'4'!AI61+'5'!AI61+'6'!AI61</f>
        <v>0</v>
      </c>
      <c r="AJ61" s="64">
        <f>'1'!AJ61+'2'!AJ61+'3'!AJ61+'4'!AJ61+'5'!AJ61+'6'!AJ61</f>
        <v>0</v>
      </c>
      <c r="AK61" s="64">
        <f>'1'!AK61+'2'!AK61+'3'!AK61+'4'!AK61+'5'!AK61+'6'!AK61</f>
        <v>0</v>
      </c>
      <c r="AL61" s="64">
        <f>'1'!AL61+'2'!AL61+'3'!AL61+'4'!AL61+'5'!AL61+'6'!AL61</f>
        <v>0</v>
      </c>
      <c r="AM61" s="64">
        <f>'1'!AM61+'2'!AM61+'3'!AM61+'4'!AM61+'5'!AM61+'6'!AM61</f>
        <v>0</v>
      </c>
      <c r="AN61" s="64">
        <f>'1'!AN61+'2'!AN61+'3'!AN61+'4'!AN61+'5'!AN61+'6'!AN61</f>
        <v>0</v>
      </c>
      <c r="AO61" s="64">
        <f>'1'!AO61+'2'!AO61+'3'!AO61+'4'!AO61+'5'!AO61+'6'!AO61</f>
        <v>0</v>
      </c>
      <c r="AP61" s="64">
        <f>'1'!AP61+'2'!AP61+'3'!AP61+'4'!AP61+'5'!AP61+'6'!AP61</f>
        <v>0</v>
      </c>
      <c r="AQ61" s="63">
        <f t="shared" si="39"/>
        <v>0</v>
      </c>
      <c r="AR61" s="149">
        <f t="shared" si="40"/>
        <v>0</v>
      </c>
      <c r="AS61" s="64">
        <f t="shared" si="41"/>
        <v>0</v>
      </c>
      <c r="AT61" s="64">
        <f>'1'!AT61+'2'!AT61+'3'!AT61+'4'!AT61+'5'!AT61+'6'!AT61</f>
        <v>0</v>
      </c>
      <c r="AU61" s="65">
        <f t="shared" si="42"/>
        <v>0</v>
      </c>
      <c r="AV61" s="65">
        <f t="shared" si="43"/>
        <v>0</v>
      </c>
      <c r="AW61" s="65">
        <f t="shared" si="44"/>
        <v>0</v>
      </c>
      <c r="AX61" s="65">
        <f t="shared" si="45"/>
        <v>0</v>
      </c>
      <c r="AY61" s="65">
        <f t="shared" si="46"/>
        <v>0</v>
      </c>
      <c r="AZ61" s="65">
        <f t="shared" si="47"/>
        <v>0</v>
      </c>
      <c r="BA61" s="151">
        <f t="shared" si="48"/>
        <v>0</v>
      </c>
      <c r="BB61" s="142"/>
      <c r="BC61"/>
    </row>
    <row r="62" spans="1:55" x14ac:dyDescent="0.25">
      <c r="C62" s="2"/>
      <c r="D62" s="3"/>
      <c r="F62" s="2"/>
      <c r="G62" s="2"/>
      <c r="H62" s="1"/>
      <c r="I62" s="1"/>
      <c r="M62" s="5"/>
      <c r="O62" s="4"/>
      <c r="P62" s="5"/>
      <c r="Q62" s="5"/>
      <c r="U62" s="2"/>
      <c r="V62" s="2"/>
      <c r="W62" s="2"/>
      <c r="X62" s="2"/>
      <c r="Y62" s="1"/>
      <c r="Z62" s="1"/>
      <c r="AA62" s="1"/>
      <c r="AB62" s="1"/>
    </row>
    <row r="63" spans="1:55" x14ac:dyDescent="0.25">
      <c r="A63" s="10"/>
      <c r="B63" s="10"/>
      <c r="C63" s="10"/>
      <c r="D63" s="3"/>
      <c r="F63" s="2"/>
      <c r="G63" s="2"/>
      <c r="H63" s="1"/>
      <c r="I63" s="1"/>
      <c r="M63" s="5"/>
      <c r="O63" s="4"/>
      <c r="P63" s="5"/>
      <c r="Q63" s="5"/>
      <c r="U63" s="2"/>
      <c r="V63" s="2"/>
      <c r="W63" s="2"/>
      <c r="X63" s="2"/>
      <c r="Y63" s="1"/>
      <c r="Z63" s="1"/>
      <c r="AA63" s="1"/>
      <c r="AB63" s="1"/>
    </row>
    <row r="64" spans="1:55" x14ac:dyDescent="0.2">
      <c r="A64" s="6" t="s">
        <v>126</v>
      </c>
      <c r="B64" s="6"/>
      <c r="C64" s="6"/>
      <c r="D64" s="6"/>
      <c r="F64" s="2"/>
      <c r="G64" s="2"/>
      <c r="H64" s="1"/>
      <c r="I64" s="1"/>
      <c r="M64" s="5"/>
      <c r="O64" s="4"/>
      <c r="P64" s="5"/>
      <c r="Q64" s="5"/>
      <c r="U64" s="2"/>
      <c r="V64" s="2"/>
      <c r="W64" s="2"/>
      <c r="X64" s="2"/>
      <c r="Y64" s="1"/>
      <c r="Z64" s="1"/>
      <c r="AA64" s="1"/>
      <c r="AB64" s="1"/>
    </row>
    <row r="65" spans="1:28" x14ac:dyDescent="0.2">
      <c r="A65" s="6"/>
      <c r="B65" s="6"/>
      <c r="C65" s="6"/>
      <c r="D65" s="6"/>
      <c r="F65" s="2"/>
      <c r="G65" s="2"/>
      <c r="H65" s="1"/>
      <c r="I65" s="1"/>
      <c r="M65" s="5"/>
      <c r="O65" s="4"/>
      <c r="P65" s="5"/>
      <c r="Q65" s="5"/>
      <c r="U65" s="2"/>
      <c r="V65" s="2"/>
      <c r="W65" s="2"/>
      <c r="X65" s="2"/>
      <c r="Y65" s="1"/>
      <c r="Z65" s="1"/>
      <c r="AA65" s="1"/>
      <c r="AB65" s="1"/>
    </row>
    <row r="66" spans="1:28" x14ac:dyDescent="0.2">
      <c r="A66" s="6" t="s">
        <v>128</v>
      </c>
      <c r="B66" s="6"/>
      <c r="C66" s="6"/>
      <c r="D66" s="6"/>
      <c r="F66" s="2"/>
      <c r="G66" s="2"/>
      <c r="H66" s="1"/>
      <c r="I66" s="1"/>
      <c r="M66" s="5"/>
      <c r="O66" s="4"/>
      <c r="P66" s="5"/>
      <c r="Q66" s="5"/>
      <c r="U66" s="2"/>
      <c r="V66" s="2"/>
      <c r="W66" s="2"/>
      <c r="X66" s="2"/>
      <c r="Y66" s="1"/>
      <c r="Z66" s="1"/>
      <c r="AA66" s="1"/>
      <c r="AB66" s="1"/>
    </row>
    <row r="67" spans="1:28" x14ac:dyDescent="0.2">
      <c r="A67" s="6"/>
      <c r="B67" s="6"/>
      <c r="C67" s="6"/>
      <c r="D67" s="6"/>
      <c r="F67" s="2"/>
      <c r="G67" s="2"/>
      <c r="H67" s="1"/>
      <c r="I67" s="1"/>
      <c r="M67" s="5"/>
      <c r="O67" s="4"/>
      <c r="P67" s="5"/>
      <c r="Q67" s="5"/>
      <c r="U67" s="2"/>
      <c r="V67" s="2"/>
      <c r="W67" s="2"/>
      <c r="X67" s="2"/>
      <c r="Y67" s="1"/>
      <c r="Z67" s="1"/>
      <c r="AA67" s="1"/>
      <c r="AB67" s="1"/>
    </row>
    <row r="68" spans="1:28" x14ac:dyDescent="0.2">
      <c r="A68" s="6" t="s">
        <v>127</v>
      </c>
      <c r="B68" s="6"/>
      <c r="C68" s="6"/>
      <c r="D68" s="6"/>
      <c r="F68" s="2"/>
      <c r="G68" s="2"/>
      <c r="H68" s="1"/>
      <c r="I68" s="1"/>
      <c r="M68" s="5"/>
      <c r="O68" s="4"/>
      <c r="P68" s="5"/>
      <c r="Q68" s="5"/>
      <c r="U68" s="2"/>
      <c r="V68" s="2"/>
      <c r="W68" s="2"/>
      <c r="X68" s="2"/>
      <c r="Y68" s="1"/>
      <c r="Z68" s="1"/>
      <c r="AA68" s="1"/>
      <c r="AB68" s="1"/>
    </row>
    <row r="69" spans="1:28" x14ac:dyDescent="0.25">
      <c r="A69" s="10"/>
      <c r="B69" s="10"/>
    </row>
    <row r="72" spans="1:28" x14ac:dyDescent="0.25">
      <c r="A72" s="10"/>
      <c r="B72" s="10"/>
    </row>
    <row r="73" spans="1:28" x14ac:dyDescent="0.25">
      <c r="A73" s="10"/>
      <c r="B73" s="10"/>
    </row>
    <row r="74" spans="1:28" x14ac:dyDescent="0.25">
      <c r="A74" s="10"/>
      <c r="B74" s="10"/>
    </row>
    <row r="75" spans="1:28" x14ac:dyDescent="0.25">
      <c r="A75" s="10"/>
      <c r="B75" s="10"/>
    </row>
    <row r="76" spans="1:28" x14ac:dyDescent="0.25">
      <c r="A76" s="10"/>
      <c r="B76" s="10"/>
    </row>
    <row r="77" spans="1:28" x14ac:dyDescent="0.25">
      <c r="A77" s="10"/>
      <c r="B77" s="10"/>
    </row>
    <row r="78" spans="1:28" x14ac:dyDescent="0.25">
      <c r="A78" s="10"/>
      <c r="B78" s="10"/>
    </row>
    <row r="79" spans="1:28" x14ac:dyDescent="0.25">
      <c r="A79" s="10"/>
      <c r="B79" s="10"/>
    </row>
  </sheetData>
  <mergeCells count="32">
    <mergeCell ref="A7:BB7"/>
    <mergeCell ref="A9:BB9"/>
    <mergeCell ref="C12:C15"/>
    <mergeCell ref="D12:E14"/>
    <mergeCell ref="H12:I14"/>
    <mergeCell ref="J12:J15"/>
    <mergeCell ref="K12:L14"/>
    <mergeCell ref="M12:AP12"/>
    <mergeCell ref="AQ12:AR14"/>
    <mergeCell ref="AS12:AT14"/>
    <mergeCell ref="AU12:AV14"/>
    <mergeCell ref="AW12:AX14"/>
    <mergeCell ref="AY12:AZ14"/>
    <mergeCell ref="BA12:BA15"/>
    <mergeCell ref="BB12:BB15"/>
    <mergeCell ref="M13:AB13"/>
    <mergeCell ref="AC13:AP13"/>
    <mergeCell ref="AP14:AP15"/>
    <mergeCell ref="A12:A15"/>
    <mergeCell ref="B12:B15"/>
    <mergeCell ref="F12:G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J14"/>
    <mergeCell ref="AK14:AN14"/>
    <mergeCell ref="AO14:AO15"/>
  </mergeCells>
  <conditionalFormatting sqref="AQ18:AQ23 AQ25:AQ41 AQ43:AQ45 AQ47:AQ51 AQ53:AQ54 AQ56:AQ61">
    <cfRule type="expression" dxfId="15" priority="8" stopIfTrue="1">
      <formula>100*(1-AQ18/AP18)&gt;5</formula>
    </cfRule>
  </conditionalFormatting>
  <conditionalFormatting sqref="AS18 AS20:AS22">
    <cfRule type="expression" dxfId="14" priority="7" stopIfTrue="1">
      <formula>100*(1-AS18/AR18)&gt;5</formula>
    </cfRule>
  </conditionalFormatting>
  <conditionalFormatting sqref="AS19">
    <cfRule type="expression" dxfId="13" priority="6" stopIfTrue="1">
      <formula>100*(1-AS19/AR19)&gt;5</formula>
    </cfRule>
  </conditionalFormatting>
  <conditionalFormatting sqref="AQ24:AR24">
    <cfRule type="expression" dxfId="12" priority="5" stopIfTrue="1">
      <formula>100*(1-AQ24/AP24)&gt;5</formula>
    </cfRule>
  </conditionalFormatting>
  <conditionalFormatting sqref="AQ42:AR42">
    <cfRule type="expression" dxfId="11" priority="4" stopIfTrue="1">
      <formula>100*(1-AQ42/AP42)&gt;5</formula>
    </cfRule>
  </conditionalFormatting>
  <conditionalFormatting sqref="AQ46:AR46">
    <cfRule type="expression" dxfId="10" priority="3" stopIfTrue="1">
      <formula>100*(1-AQ46/AP46)&gt;5</formula>
    </cfRule>
  </conditionalFormatting>
  <conditionalFormatting sqref="AQ52:AR52">
    <cfRule type="expression" dxfId="9" priority="2" stopIfTrue="1">
      <formula>100*(1-AQ52/AP52)&gt;5</formula>
    </cfRule>
  </conditionalFormatting>
  <conditionalFormatting sqref="AQ55:AR55">
    <cfRule type="expression" dxfId="8" priority="1" stopIfTrue="1">
      <formula>100*(1-AQ55/AP55)&gt;5</formula>
    </cfRule>
  </conditionalFormatting>
  <pageMargins left="0.7" right="0.7" top="0.75" bottom="0.75" header="0.3" footer="0.3"/>
  <pageSetup paperSize="9" orientation="portrait" r:id="rId1"/>
  <ignoredErrors>
    <ignoredError sqref="D24:E53 D55:E55 AY24:AZ46" formula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C79"/>
  <sheetViews>
    <sheetView showZeros="0" zoomScale="85" zoomScaleNormal="85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 activeCell="A9" sqref="A9:BB9"/>
    </sheetView>
  </sheetViews>
  <sheetFormatPr defaultRowHeight="14.25" x14ac:dyDescent="0.25"/>
  <cols>
    <col min="1" max="1" width="30.7109375" style="2" customWidth="1"/>
    <col min="2" max="2" width="10.7109375" style="2" customWidth="1"/>
    <col min="3" max="3" width="9.7109375" style="3" customWidth="1"/>
    <col min="4" max="5" width="9.7109375" style="2" customWidth="1"/>
    <col min="6" max="7" width="9.7109375" style="1" customWidth="1"/>
    <col min="8" max="9" width="9.7109375" style="5" customWidth="1"/>
    <col min="10" max="10" width="8.7109375" style="5" customWidth="1"/>
    <col min="11" max="12" width="14.7109375" style="5" customWidth="1"/>
    <col min="13" max="13" width="9.7109375" style="4" customWidth="1"/>
    <col min="14" max="15" width="9.7109375" style="5" customWidth="1"/>
    <col min="16" max="20" width="9.7109375" style="2" customWidth="1"/>
    <col min="21" max="24" width="9.7109375" style="1" customWidth="1"/>
    <col min="25" max="54" width="9.7109375" style="2" customWidth="1"/>
    <col min="55" max="16384" width="9.140625" style="2"/>
  </cols>
  <sheetData>
    <row r="1" spans="1:55" ht="12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/>
      <c r="AJ1"/>
      <c r="AK1"/>
      <c r="AL1"/>
      <c r="AM1"/>
    </row>
    <row r="2" spans="1:55" ht="12.75" customHeight="1" x14ac:dyDescent="0.25">
      <c r="A2" s="11" t="s">
        <v>134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X2" s="11" t="s">
        <v>56</v>
      </c>
      <c r="AY2"/>
      <c r="AZ2"/>
      <c r="BA2"/>
      <c r="BB2"/>
      <c r="BC2"/>
    </row>
    <row r="3" spans="1:55" s="6" customFormat="1" ht="12.75" customHeight="1" x14ac:dyDescent="0.25">
      <c r="A3" s="11" t="s">
        <v>57</v>
      </c>
      <c r="AX3" s="11" t="s">
        <v>65</v>
      </c>
      <c r="AY3"/>
      <c r="AZ3"/>
      <c r="BA3"/>
      <c r="BB3"/>
      <c r="BC3"/>
    </row>
    <row r="4" spans="1:55" s="6" customFormat="1" ht="12.75" customHeight="1" x14ac:dyDescent="0.25">
      <c r="AX4" s="24" t="s">
        <v>123</v>
      </c>
      <c r="AY4"/>
      <c r="AZ4"/>
      <c r="BA4"/>
      <c r="BB4"/>
      <c r="BC4"/>
    </row>
    <row r="5" spans="1:55" s="6" customFormat="1" ht="12.75" customHeight="1" x14ac:dyDescent="0.25">
      <c r="AY5"/>
      <c r="AZ5"/>
      <c r="BA5"/>
      <c r="BB5"/>
      <c r="BC5"/>
    </row>
    <row r="6" spans="1:55" s="6" customFormat="1" ht="15" x14ac:dyDescent="0.25">
      <c r="AX6" s="25" t="s">
        <v>85</v>
      </c>
      <c r="AY6"/>
      <c r="AZ6"/>
      <c r="BA6"/>
      <c r="BB6"/>
      <c r="BC6"/>
    </row>
    <row r="7" spans="1:55" s="6" customFormat="1" ht="15.75" customHeight="1" x14ac:dyDescent="0.2">
      <c r="A7" s="184" t="s">
        <v>58</v>
      </c>
      <c r="B7" s="184"/>
      <c r="C7" s="184"/>
      <c r="D7" s="184"/>
      <c r="E7" s="184"/>
      <c r="F7" s="184"/>
      <c r="G7" s="184"/>
      <c r="H7" s="184"/>
      <c r="I7" s="184"/>
      <c r="J7" s="184"/>
      <c r="K7" s="184"/>
      <c r="L7" s="184"/>
      <c r="M7" s="184"/>
      <c r="N7" s="184"/>
      <c r="O7" s="184"/>
      <c r="P7" s="184"/>
      <c r="Q7" s="184"/>
      <c r="R7" s="184"/>
      <c r="S7" s="184"/>
      <c r="T7" s="184"/>
      <c r="U7" s="184"/>
      <c r="V7" s="184"/>
      <c r="W7" s="184"/>
      <c r="X7" s="184"/>
      <c r="Y7" s="184"/>
      <c r="Z7" s="184"/>
      <c r="AA7" s="184"/>
      <c r="AB7" s="184"/>
      <c r="AC7" s="184"/>
      <c r="AD7" s="184"/>
      <c r="AE7" s="184"/>
      <c r="AF7" s="184"/>
      <c r="AG7" s="184"/>
      <c r="AH7" s="184"/>
      <c r="AI7" s="184"/>
      <c r="AJ7" s="184"/>
      <c r="AK7" s="184"/>
      <c r="AL7" s="184"/>
      <c r="AM7" s="184"/>
      <c r="AN7" s="184"/>
      <c r="AO7" s="184"/>
      <c r="AP7" s="184"/>
      <c r="AQ7" s="184"/>
      <c r="AR7" s="184"/>
      <c r="AS7" s="184"/>
      <c r="AT7" s="184"/>
      <c r="AU7" s="184"/>
      <c r="AV7" s="184"/>
      <c r="AW7" s="184"/>
      <c r="AX7" s="184"/>
      <c r="AY7" s="184"/>
      <c r="AZ7" s="184"/>
      <c r="BA7" s="184"/>
      <c r="BB7" s="184"/>
      <c r="BC7" s="109"/>
    </row>
    <row r="8" spans="1:55" s="6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55" ht="15.75" x14ac:dyDescent="0.25">
      <c r="A9" s="185"/>
      <c r="B9" s="185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  <c r="Z9" s="185"/>
      <c r="AA9" s="185"/>
      <c r="AB9" s="185"/>
      <c r="AC9" s="185"/>
      <c r="AD9" s="185"/>
      <c r="AE9" s="185"/>
      <c r="AF9" s="185"/>
      <c r="AG9" s="185"/>
      <c r="AH9" s="185"/>
      <c r="AI9" s="185"/>
      <c r="AJ9" s="185"/>
      <c r="AK9" s="185"/>
      <c r="AL9" s="185"/>
      <c r="AM9" s="185"/>
      <c r="AN9" s="185"/>
      <c r="AO9" s="185"/>
      <c r="AP9" s="185"/>
      <c r="AQ9" s="185"/>
      <c r="AR9" s="185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08"/>
    </row>
    <row r="10" spans="1:55" s="6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55" ht="12.75" customHeight="1" thickBo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2"/>
      <c r="K11" s="23"/>
      <c r="L11" s="2"/>
      <c r="M11" s="2"/>
      <c r="N11" s="2"/>
      <c r="O11" s="2"/>
      <c r="U11" s="2"/>
      <c r="V11" s="2"/>
      <c r="W11" s="2"/>
      <c r="X11" s="2"/>
    </row>
    <row r="12" spans="1:55" ht="14.25" customHeight="1" x14ac:dyDescent="0.25">
      <c r="A12" s="190" t="s">
        <v>2</v>
      </c>
      <c r="B12" s="163" t="s">
        <v>129</v>
      </c>
      <c r="C12" s="163" t="s">
        <v>3</v>
      </c>
      <c r="D12" s="177" t="s">
        <v>60</v>
      </c>
      <c r="E12" s="194"/>
      <c r="F12" s="154" t="s">
        <v>131</v>
      </c>
      <c r="G12" s="155"/>
      <c r="H12" s="194" t="s">
        <v>1</v>
      </c>
      <c r="I12" s="194"/>
      <c r="J12" s="186" t="s">
        <v>135</v>
      </c>
      <c r="K12" s="154" t="s">
        <v>4</v>
      </c>
      <c r="L12" s="155"/>
      <c r="M12" s="154" t="s">
        <v>62</v>
      </c>
      <c r="N12" s="195"/>
      <c r="O12" s="195"/>
      <c r="P12" s="195"/>
      <c r="Q12" s="195"/>
      <c r="R12" s="195"/>
      <c r="S12" s="195"/>
      <c r="T12" s="195"/>
      <c r="U12" s="195"/>
      <c r="V12" s="195"/>
      <c r="W12" s="195"/>
      <c r="X12" s="195"/>
      <c r="Y12" s="195"/>
      <c r="Z12" s="195"/>
      <c r="AA12" s="195"/>
      <c r="AB12" s="195"/>
      <c r="AC12" s="195"/>
      <c r="AD12" s="195"/>
      <c r="AE12" s="195"/>
      <c r="AF12" s="195"/>
      <c r="AG12" s="195"/>
      <c r="AH12" s="195"/>
      <c r="AI12" s="195"/>
      <c r="AJ12" s="195"/>
      <c r="AK12" s="195"/>
      <c r="AL12" s="195"/>
      <c r="AM12" s="195"/>
      <c r="AN12" s="195"/>
      <c r="AO12" s="195"/>
      <c r="AP12" s="155"/>
      <c r="AQ12" s="195" t="s">
        <v>69</v>
      </c>
      <c r="AR12" s="155"/>
      <c r="AS12" s="154" t="s">
        <v>59</v>
      </c>
      <c r="AT12" s="155"/>
      <c r="AU12" s="154" t="s">
        <v>70</v>
      </c>
      <c r="AV12" s="155"/>
      <c r="AW12" s="154" t="s">
        <v>71</v>
      </c>
      <c r="AX12" s="155"/>
      <c r="AY12" s="154" t="s">
        <v>72</v>
      </c>
      <c r="AZ12" s="155"/>
      <c r="BA12" s="154" t="s">
        <v>73</v>
      </c>
      <c r="BB12" s="198" t="s">
        <v>133</v>
      </c>
      <c r="BC12"/>
    </row>
    <row r="13" spans="1:55" ht="14.25" customHeight="1" x14ac:dyDescent="0.25">
      <c r="A13" s="191"/>
      <c r="B13" s="164"/>
      <c r="C13" s="164"/>
      <c r="D13" s="153"/>
      <c r="E13" s="189"/>
      <c r="F13" s="156"/>
      <c r="G13" s="157"/>
      <c r="H13" s="189"/>
      <c r="I13" s="189"/>
      <c r="J13" s="187"/>
      <c r="K13" s="156"/>
      <c r="L13" s="157"/>
      <c r="M13" s="152" t="s">
        <v>5</v>
      </c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  <c r="AA13" s="178"/>
      <c r="AB13" s="153"/>
      <c r="AC13" s="189" t="s">
        <v>6</v>
      </c>
      <c r="AD13" s="189"/>
      <c r="AE13" s="189"/>
      <c r="AF13" s="189"/>
      <c r="AG13" s="189"/>
      <c r="AH13" s="189"/>
      <c r="AI13" s="189"/>
      <c r="AJ13" s="189"/>
      <c r="AK13" s="189"/>
      <c r="AL13" s="189"/>
      <c r="AM13" s="189"/>
      <c r="AN13" s="189"/>
      <c r="AO13" s="189"/>
      <c r="AP13" s="189"/>
      <c r="AQ13" s="196"/>
      <c r="AR13" s="157"/>
      <c r="AS13" s="156"/>
      <c r="AT13" s="157"/>
      <c r="AU13" s="156"/>
      <c r="AV13" s="157"/>
      <c r="AW13" s="156"/>
      <c r="AX13" s="157"/>
      <c r="AY13" s="156"/>
      <c r="AZ13" s="157"/>
      <c r="BA13" s="156"/>
      <c r="BB13" s="199"/>
      <c r="BC13"/>
    </row>
    <row r="14" spans="1:55" ht="63.75" customHeight="1" x14ac:dyDescent="0.25">
      <c r="A14" s="191"/>
      <c r="B14" s="164"/>
      <c r="C14" s="164"/>
      <c r="D14" s="153"/>
      <c r="E14" s="189"/>
      <c r="F14" s="158"/>
      <c r="G14" s="159"/>
      <c r="H14" s="189"/>
      <c r="I14" s="189"/>
      <c r="J14" s="187"/>
      <c r="K14" s="158"/>
      <c r="L14" s="159"/>
      <c r="M14" s="152" t="s">
        <v>10</v>
      </c>
      <c r="N14" s="153"/>
      <c r="O14" s="152" t="s">
        <v>74</v>
      </c>
      <c r="P14" s="153"/>
      <c r="Q14" s="152" t="s">
        <v>75</v>
      </c>
      <c r="R14" s="153"/>
      <c r="S14" s="152" t="s">
        <v>86</v>
      </c>
      <c r="T14" s="153"/>
      <c r="U14" s="152" t="s">
        <v>136</v>
      </c>
      <c r="V14" s="153"/>
      <c r="W14" s="193" t="s">
        <v>132</v>
      </c>
      <c r="X14" s="193"/>
      <c r="Y14" s="152" t="s">
        <v>84</v>
      </c>
      <c r="Z14" s="153"/>
      <c r="AA14" s="152" t="s">
        <v>76</v>
      </c>
      <c r="AB14" s="153"/>
      <c r="AC14" s="152" t="s">
        <v>7</v>
      </c>
      <c r="AD14" s="178"/>
      <c r="AE14" s="178"/>
      <c r="AF14" s="178"/>
      <c r="AG14" s="178"/>
      <c r="AH14" s="178"/>
      <c r="AI14" s="178"/>
      <c r="AJ14" s="153"/>
      <c r="AK14" s="152" t="s">
        <v>8</v>
      </c>
      <c r="AL14" s="178"/>
      <c r="AM14" s="178"/>
      <c r="AN14" s="153"/>
      <c r="AO14" s="171" t="s">
        <v>77</v>
      </c>
      <c r="AP14" s="173" t="s">
        <v>18</v>
      </c>
      <c r="AQ14" s="196"/>
      <c r="AR14" s="157"/>
      <c r="AS14" s="156"/>
      <c r="AT14" s="157"/>
      <c r="AU14" s="156"/>
      <c r="AV14" s="157"/>
      <c r="AW14" s="156"/>
      <c r="AX14" s="157"/>
      <c r="AY14" s="156"/>
      <c r="AZ14" s="157"/>
      <c r="BA14" s="156"/>
      <c r="BB14" s="199"/>
      <c r="BC14"/>
    </row>
    <row r="15" spans="1:55" ht="38.25" customHeight="1" thickBot="1" x14ac:dyDescent="0.3">
      <c r="A15" s="192"/>
      <c r="B15" s="165"/>
      <c r="C15" s="165"/>
      <c r="D15" s="118" t="s">
        <v>61</v>
      </c>
      <c r="E15" s="77" t="s">
        <v>9</v>
      </c>
      <c r="F15" s="77" t="s">
        <v>11</v>
      </c>
      <c r="G15" s="77" t="s">
        <v>130</v>
      </c>
      <c r="H15" s="77" t="s">
        <v>0</v>
      </c>
      <c r="I15" s="77" t="s">
        <v>78</v>
      </c>
      <c r="J15" s="188"/>
      <c r="K15" s="77" t="s">
        <v>61</v>
      </c>
      <c r="L15" s="77" t="s">
        <v>9</v>
      </c>
      <c r="M15" s="77" t="s">
        <v>61</v>
      </c>
      <c r="N15" s="77" t="s">
        <v>9</v>
      </c>
      <c r="O15" s="77" t="s">
        <v>61</v>
      </c>
      <c r="P15" s="77" t="s">
        <v>9</v>
      </c>
      <c r="Q15" s="77" t="s">
        <v>61</v>
      </c>
      <c r="R15" s="77" t="s">
        <v>9</v>
      </c>
      <c r="S15" s="77" t="s">
        <v>61</v>
      </c>
      <c r="T15" s="77" t="s">
        <v>9</v>
      </c>
      <c r="U15" s="77" t="s">
        <v>61</v>
      </c>
      <c r="V15" s="77" t="s">
        <v>9</v>
      </c>
      <c r="W15" s="77" t="s">
        <v>61</v>
      </c>
      <c r="X15" s="77" t="s">
        <v>9</v>
      </c>
      <c r="Y15" s="77" t="s">
        <v>61</v>
      </c>
      <c r="Z15" s="77" t="s">
        <v>9</v>
      </c>
      <c r="AA15" s="77" t="s">
        <v>61</v>
      </c>
      <c r="AB15" s="77" t="s">
        <v>9</v>
      </c>
      <c r="AC15" s="77" t="s">
        <v>11</v>
      </c>
      <c r="AD15" s="77" t="s">
        <v>12</v>
      </c>
      <c r="AE15" s="77" t="s">
        <v>13</v>
      </c>
      <c r="AF15" s="77" t="s">
        <v>14</v>
      </c>
      <c r="AG15" s="77" t="s">
        <v>15</v>
      </c>
      <c r="AH15" s="77" t="s">
        <v>16</v>
      </c>
      <c r="AI15" s="107" t="s">
        <v>18</v>
      </c>
      <c r="AJ15" s="107" t="s">
        <v>17</v>
      </c>
      <c r="AK15" s="77" t="s">
        <v>19</v>
      </c>
      <c r="AL15" s="77" t="s">
        <v>20</v>
      </c>
      <c r="AM15" s="77" t="s">
        <v>21</v>
      </c>
      <c r="AN15" s="77" t="s">
        <v>22</v>
      </c>
      <c r="AO15" s="172"/>
      <c r="AP15" s="174"/>
      <c r="AQ15" s="77" t="s">
        <v>61</v>
      </c>
      <c r="AR15" s="77" t="s">
        <v>9</v>
      </c>
      <c r="AS15" s="77" t="s">
        <v>61</v>
      </c>
      <c r="AT15" s="77" t="s">
        <v>9</v>
      </c>
      <c r="AU15" s="77" t="s">
        <v>61</v>
      </c>
      <c r="AV15" s="77" t="s">
        <v>9</v>
      </c>
      <c r="AW15" s="77" t="s">
        <v>61</v>
      </c>
      <c r="AX15" s="77" t="s">
        <v>9</v>
      </c>
      <c r="AY15" s="77" t="s">
        <v>61</v>
      </c>
      <c r="AZ15" s="77" t="s">
        <v>9</v>
      </c>
      <c r="BA15" s="197"/>
      <c r="BB15" s="200"/>
      <c r="BC15"/>
    </row>
    <row r="16" spans="1:55" ht="15" customHeight="1" thickBot="1" x14ac:dyDescent="0.3">
      <c r="A16" s="106">
        <v>1</v>
      </c>
      <c r="B16" s="106">
        <v>2</v>
      </c>
      <c r="C16" s="106">
        <v>3</v>
      </c>
      <c r="D16" s="105">
        <v>4</v>
      </c>
      <c r="E16" s="78">
        <v>5</v>
      </c>
      <c r="F16" s="78">
        <v>6</v>
      </c>
      <c r="G16" s="78">
        <v>7</v>
      </c>
      <c r="H16" s="78">
        <v>8</v>
      </c>
      <c r="I16" s="78">
        <v>9</v>
      </c>
      <c r="J16" s="78">
        <v>10</v>
      </c>
      <c r="K16" s="78">
        <v>11</v>
      </c>
      <c r="L16" s="78">
        <v>12</v>
      </c>
      <c r="M16" s="78">
        <v>13</v>
      </c>
      <c r="N16" s="78">
        <v>14</v>
      </c>
      <c r="O16" s="78">
        <v>15</v>
      </c>
      <c r="P16" s="78">
        <v>16</v>
      </c>
      <c r="Q16" s="78">
        <v>17</v>
      </c>
      <c r="R16" s="78">
        <v>18</v>
      </c>
      <c r="S16" s="78">
        <v>19</v>
      </c>
      <c r="T16" s="78">
        <v>20</v>
      </c>
      <c r="U16" s="78">
        <v>21</v>
      </c>
      <c r="V16" s="78">
        <v>22</v>
      </c>
      <c r="W16" s="78">
        <v>23</v>
      </c>
      <c r="X16" s="78">
        <v>24</v>
      </c>
      <c r="Y16" s="78">
        <v>25</v>
      </c>
      <c r="Z16" s="78">
        <v>26</v>
      </c>
      <c r="AA16" s="78">
        <v>27</v>
      </c>
      <c r="AB16" s="78">
        <v>28</v>
      </c>
      <c r="AC16" s="78">
        <v>29</v>
      </c>
      <c r="AD16" s="78">
        <v>30</v>
      </c>
      <c r="AE16" s="78">
        <v>31</v>
      </c>
      <c r="AF16" s="78">
        <v>32</v>
      </c>
      <c r="AG16" s="78">
        <v>33</v>
      </c>
      <c r="AH16" s="78">
        <v>34</v>
      </c>
      <c r="AI16" s="78">
        <v>35</v>
      </c>
      <c r="AJ16" s="78">
        <v>36</v>
      </c>
      <c r="AK16" s="78">
        <v>37</v>
      </c>
      <c r="AL16" s="78">
        <v>38</v>
      </c>
      <c r="AM16" s="78">
        <v>39</v>
      </c>
      <c r="AN16" s="78">
        <v>40</v>
      </c>
      <c r="AO16" s="78">
        <v>41</v>
      </c>
      <c r="AP16" s="78">
        <v>42</v>
      </c>
      <c r="AQ16" s="78">
        <v>43</v>
      </c>
      <c r="AR16" s="78">
        <v>44</v>
      </c>
      <c r="AS16" s="78">
        <v>45</v>
      </c>
      <c r="AT16" s="78">
        <v>46</v>
      </c>
      <c r="AU16" s="78">
        <v>47</v>
      </c>
      <c r="AV16" s="78">
        <v>48</v>
      </c>
      <c r="AW16" s="78">
        <v>49</v>
      </c>
      <c r="AX16" s="78">
        <v>50</v>
      </c>
      <c r="AY16" s="78">
        <v>51</v>
      </c>
      <c r="AZ16" s="78">
        <v>52</v>
      </c>
      <c r="BA16" s="78">
        <v>53</v>
      </c>
      <c r="BB16" s="79">
        <v>54</v>
      </c>
      <c r="BC16"/>
    </row>
    <row r="17" spans="1:55" ht="15" customHeight="1" thickBot="1" x14ac:dyDescent="0.3">
      <c r="A17" s="87" t="s">
        <v>79</v>
      </c>
      <c r="B17" s="87"/>
      <c r="C17" s="87"/>
      <c r="D17" s="129">
        <f t="shared" ref="D17:E17" si="0">SUM(D18:D23)</f>
        <v>0</v>
      </c>
      <c r="E17" s="129">
        <f t="shared" si="0"/>
        <v>0</v>
      </c>
      <c r="F17" s="129">
        <f>SUM(F18:F23)</f>
        <v>0</v>
      </c>
      <c r="G17" s="129">
        <f t="shared" ref="G17:I17" si="1">SUM(G18:G23)</f>
        <v>0</v>
      </c>
      <c r="H17" s="131">
        <f t="shared" si="1"/>
        <v>0</v>
      </c>
      <c r="I17" s="131">
        <f t="shared" si="1"/>
        <v>0</v>
      </c>
      <c r="J17" s="129"/>
      <c r="K17" s="130">
        <f t="shared" ref="K17:AP17" si="2">SUM(K18:K23)</f>
        <v>0</v>
      </c>
      <c r="L17" s="130">
        <f t="shared" si="2"/>
        <v>0</v>
      </c>
      <c r="M17" s="129">
        <f t="shared" si="2"/>
        <v>0</v>
      </c>
      <c r="N17" s="129">
        <f t="shared" si="2"/>
        <v>0</v>
      </c>
      <c r="O17" s="129">
        <f t="shared" si="2"/>
        <v>0</v>
      </c>
      <c r="P17" s="129">
        <f t="shared" si="2"/>
        <v>0</v>
      </c>
      <c r="Q17" s="129">
        <f t="shared" si="2"/>
        <v>0</v>
      </c>
      <c r="R17" s="129">
        <f t="shared" si="2"/>
        <v>0</v>
      </c>
      <c r="S17" s="129">
        <f t="shared" si="2"/>
        <v>0</v>
      </c>
      <c r="T17" s="129">
        <f t="shared" si="2"/>
        <v>0</v>
      </c>
      <c r="U17" s="129">
        <f t="shared" si="2"/>
        <v>0</v>
      </c>
      <c r="V17" s="129">
        <f t="shared" si="2"/>
        <v>0</v>
      </c>
      <c r="W17" s="129">
        <f t="shared" si="2"/>
        <v>0</v>
      </c>
      <c r="X17" s="129">
        <f t="shared" si="2"/>
        <v>0</v>
      </c>
      <c r="Y17" s="129">
        <f t="shared" si="2"/>
        <v>0</v>
      </c>
      <c r="Z17" s="129">
        <f t="shared" si="2"/>
        <v>0</v>
      </c>
      <c r="AA17" s="129">
        <f t="shared" si="2"/>
        <v>0</v>
      </c>
      <c r="AB17" s="129">
        <f t="shared" si="2"/>
        <v>0</v>
      </c>
      <c r="AC17" s="129">
        <f t="shared" si="2"/>
        <v>0</v>
      </c>
      <c r="AD17" s="129">
        <f t="shared" si="2"/>
        <v>0</v>
      </c>
      <c r="AE17" s="129">
        <f t="shared" si="2"/>
        <v>0</v>
      </c>
      <c r="AF17" s="129">
        <f t="shared" si="2"/>
        <v>0</v>
      </c>
      <c r="AG17" s="129">
        <f t="shared" si="2"/>
        <v>0</v>
      </c>
      <c r="AH17" s="129">
        <f t="shared" si="2"/>
        <v>0</v>
      </c>
      <c r="AI17" s="129">
        <f t="shared" si="2"/>
        <v>0</v>
      </c>
      <c r="AJ17" s="129">
        <f t="shared" si="2"/>
        <v>0</v>
      </c>
      <c r="AK17" s="129">
        <f t="shared" si="2"/>
        <v>0</v>
      </c>
      <c r="AL17" s="129">
        <f t="shared" si="2"/>
        <v>0</v>
      </c>
      <c r="AM17" s="129">
        <f t="shared" si="2"/>
        <v>0</v>
      </c>
      <c r="AN17" s="129">
        <f t="shared" si="2"/>
        <v>0</v>
      </c>
      <c r="AO17" s="129">
        <f t="shared" si="2"/>
        <v>0</v>
      </c>
      <c r="AP17" s="129">
        <f t="shared" si="2"/>
        <v>0</v>
      </c>
      <c r="AQ17" s="129">
        <f t="shared" ref="AQ17:AQ59" si="3">M17+O17+S17+U17+W17+AA17+Q17+Y17</f>
        <v>0</v>
      </c>
      <c r="AR17" s="129">
        <f>N17+P17+R17+AC17+AD17+AE17+AF17+AG17+AH17+AI17+AJ17+AK17+AL17+AM17+AN17+AO17+AP17+T17+V17+AB17</f>
        <v>0</v>
      </c>
      <c r="AS17" s="129">
        <f>AT17</f>
        <v>0</v>
      </c>
      <c r="AT17" s="129">
        <f>SUM(AT18:AT23)</f>
        <v>0</v>
      </c>
      <c r="AU17" s="131">
        <f t="shared" ref="AU17:AU22" si="4">IF(AT17-AQ17=0,0,(AT17-M17-O17-Q17)/AT17)</f>
        <v>0</v>
      </c>
      <c r="AV17" s="131">
        <f t="shared" ref="AV17:AV59" si="5">IF(AT17=0,0,(AT17-N17-P17-R17-AC17-AD17-AE17-AF17-AG17-AH17-AI17-AJ17-AL17)/AT17)</f>
        <v>0</v>
      </c>
      <c r="AW17" s="131">
        <f t="shared" ref="AW17:AW22" si="6">IF(OR(AT17=0,AU17=0),0,((AT17*AU17)-S17-U17-W17-AA17-Y17)/(AT17*AU17))</f>
        <v>0</v>
      </c>
      <c r="AX17" s="131">
        <f t="shared" ref="AX17:AX22" si="7">IF(OR(AT17=0,AV17=0),0,((AT17*AV17)-AK17-AM17-AN17-AO17-AP17-T17-V17-X17-Z17-AB17)/(AT17*AV17))</f>
        <v>0</v>
      </c>
      <c r="AY17" s="131">
        <f>SUM(AY18:AY23)</f>
        <v>0</v>
      </c>
      <c r="AZ17" s="131">
        <f>SUM(AZ18:AZ23)</f>
        <v>0</v>
      </c>
      <c r="BA17" s="129">
        <f>ROUND(AS17-E17-AR17,4)</f>
        <v>0</v>
      </c>
      <c r="BB17" s="137"/>
      <c r="BC17"/>
    </row>
    <row r="18" spans="1:55" ht="15" hidden="1" customHeight="1" x14ac:dyDescent="0.25">
      <c r="A18" s="80" t="s">
        <v>23</v>
      </c>
      <c r="B18" s="110">
        <v>22</v>
      </c>
      <c r="C18" s="110">
        <v>22</v>
      </c>
      <c r="D18" s="121">
        <f t="shared" ref="D18:D22" si="8">AT18*AU18*AW18</f>
        <v>0</v>
      </c>
      <c r="E18" s="16">
        <f t="shared" ref="E18:E22" si="9">ROUND(AT18*AV18*AX18,4)</f>
        <v>0</v>
      </c>
      <c r="F18" s="91">
        <f>'1'!F18+'2'!F18+'3'!F18+'4'!F18+'5'!F18+'6'!F18+'7'!F18+'8'!F18+'9'!F18+'10'!F18+'11'!F18+'12'!F18</f>
        <v>0</v>
      </c>
      <c r="G18" s="91">
        <f>'1'!G18+'2'!G18+'3'!G18+'4'!G18+'5'!G18+'6'!G18+'7'!G18+'8'!G18+'9'!G18+'10'!G18+'11'!G18+'12'!G18</f>
        <v>0</v>
      </c>
      <c r="H18" s="135">
        <f>'1'!H18+'2'!H18+'3'!H18+'4'!H18+'5'!H18+'6'!H18+'7'!H18+'8'!H18+'9'!H18+'10'!H18+'11'!H18+'12'!H18</f>
        <v>0</v>
      </c>
      <c r="I18" s="135">
        <f>'1'!I18+'2'!I18+'3'!I18+'4'!I18+'5'!I18+'6'!I18+'7'!I18+'8'!I18+'9'!I18+'10'!I18+'11'!I18+'12'!I18</f>
        <v>0</v>
      </c>
      <c r="J18" s="83" t="s">
        <v>55</v>
      </c>
      <c r="K18" s="133">
        <f>'10'!K18+'11'!K18+'12'!K18</f>
        <v>0</v>
      </c>
      <c r="L18" s="133">
        <f>'10'!L18+'11'!L18+'12'!L18</f>
        <v>0</v>
      </c>
      <c r="M18" s="91">
        <f>'1'!M18+'2'!M18+'3'!M18+'4'!M18+'5'!M18+'6'!M18+'7'!M18+'8'!M18+'9'!M18+'10'!M18+'11'!M18+'12'!M18</f>
        <v>0</v>
      </c>
      <c r="N18" s="91">
        <f>'1'!N18+'2'!N18+'3'!N18+'4'!N18+'5'!N18+'6'!N18+'7'!N18+'8'!N18+'9'!N18+'10'!N18+'11'!N18+'12'!N18</f>
        <v>0</v>
      </c>
      <c r="O18" s="91">
        <f>'1'!O18+'2'!O18+'3'!O18+'4'!O18+'5'!O18+'6'!O18+'7'!O18+'8'!O18+'9'!O18+'10'!O18+'11'!O18+'12'!O18</f>
        <v>0</v>
      </c>
      <c r="P18" s="91">
        <f>'1'!P18+'2'!P18+'3'!P18+'4'!P18+'5'!P18+'6'!P18+'7'!P18+'8'!P18+'9'!P18+'10'!P18+'11'!P18+'12'!P18</f>
        <v>0</v>
      </c>
      <c r="Q18" s="91">
        <f>'1'!Q18+'2'!Q18+'3'!Q18+'4'!Q18+'5'!Q18+'6'!Q18+'7'!Q18+'8'!Q18+'9'!Q18+'10'!Q18+'11'!Q18+'12'!Q18</f>
        <v>0</v>
      </c>
      <c r="R18" s="91">
        <f>'1'!R18+'2'!R18+'3'!R18+'4'!R18+'5'!R18+'6'!R18+'7'!R18+'8'!R18+'9'!R18+'10'!R18+'11'!R18+'12'!R18</f>
        <v>0</v>
      </c>
      <c r="S18" s="91">
        <f>'1'!S18+'2'!S18+'3'!S18+'4'!S18+'5'!S18+'6'!S18+'7'!S18+'8'!S18+'9'!S18+'10'!S18+'11'!S18+'12'!S18</f>
        <v>0</v>
      </c>
      <c r="T18" s="91">
        <f>'1'!T18+'2'!T18+'3'!T18+'4'!T18+'5'!T18+'6'!T18+'7'!T18+'8'!T18+'9'!T18+'10'!T18+'11'!T18+'12'!T18</f>
        <v>0</v>
      </c>
      <c r="U18" s="91">
        <f>'1'!U18+'2'!U18+'3'!U18+'4'!U18+'5'!U18+'6'!U18+'7'!U18+'8'!U18+'9'!U18+'10'!U18+'11'!U18+'12'!U18</f>
        <v>0</v>
      </c>
      <c r="V18" s="91">
        <f>'1'!V18+'2'!V18+'3'!V18+'4'!V18+'5'!V18+'6'!V18+'7'!V18+'8'!V18+'9'!V18+'10'!V18+'11'!V18+'12'!V18</f>
        <v>0</v>
      </c>
      <c r="W18" s="91">
        <f>'1'!W18+'2'!W18+'3'!W18+'4'!W18+'5'!W18+'6'!W18+'7'!W18+'8'!W18+'9'!W18+'10'!W18+'11'!W18+'12'!W18</f>
        <v>0</v>
      </c>
      <c r="X18" s="91">
        <f>'1'!X18+'2'!X18+'3'!X18+'4'!X18+'5'!X18+'6'!X18+'7'!X18+'8'!X18+'9'!X18+'10'!X18+'11'!X18+'12'!X18</f>
        <v>0</v>
      </c>
      <c r="Y18" s="91">
        <f>'1'!Y18+'2'!Y18+'3'!Y18+'4'!Y18+'5'!Y18+'6'!Y18+'7'!Y18+'8'!Y18+'9'!Y18+'10'!Y18+'11'!Y18+'12'!Y18</f>
        <v>0</v>
      </c>
      <c r="Z18" s="91">
        <f>'1'!Z18+'2'!Z18+'3'!Z18+'4'!Z18+'5'!Z18+'6'!Z18+'7'!Z18+'8'!Z18+'9'!Z18+'10'!Z18+'11'!Z18+'12'!Z18</f>
        <v>0</v>
      </c>
      <c r="AA18" s="91">
        <f>'1'!AA18+'2'!AA18+'3'!AA18+'4'!AA18+'5'!AA18+'6'!AA18+'7'!AA18+'8'!AA18+'9'!AA18+'10'!AA18+'11'!AA18+'12'!AA18</f>
        <v>0</v>
      </c>
      <c r="AB18" s="91">
        <f>'1'!AB18+'2'!AB18+'3'!AB18+'4'!AB18+'5'!AB18+'6'!AB18+'7'!AB18+'8'!AB18+'9'!AB18+'10'!AB18+'11'!AB18+'12'!AB18</f>
        <v>0</v>
      </c>
      <c r="AC18" s="91">
        <f>'1'!AC18+'2'!AC18+'3'!AC18+'4'!AC18+'5'!AC18+'6'!AC18+'7'!AC18+'8'!AC18+'9'!AC18+'10'!AC18+'11'!AC18+'12'!AC18</f>
        <v>0</v>
      </c>
      <c r="AD18" s="91">
        <f>'1'!AD18+'2'!AD18+'3'!AD18+'4'!AD18+'5'!AD18+'6'!AD18+'7'!AD18+'8'!AD18+'9'!AD18+'10'!AD18+'11'!AD18+'12'!AD18</f>
        <v>0</v>
      </c>
      <c r="AE18" s="91">
        <f>'1'!AE18+'2'!AE18+'3'!AE18+'4'!AE18+'5'!AE18+'6'!AE18+'7'!AE18+'8'!AE18+'9'!AE18+'10'!AE18+'11'!AE18+'12'!AE18</f>
        <v>0</v>
      </c>
      <c r="AF18" s="91">
        <f>'1'!AF18+'2'!AF18+'3'!AF18+'4'!AF18+'5'!AF18+'6'!AF18+'7'!AF18+'8'!AF18+'9'!AF18+'10'!AF18+'11'!AF18+'12'!AF18</f>
        <v>0</v>
      </c>
      <c r="AG18" s="91">
        <f>'1'!AG18+'2'!AG18+'3'!AG18+'4'!AG18+'5'!AG18+'6'!AG18+'7'!AG18+'8'!AG18+'9'!AG18+'10'!AG18+'11'!AG18+'12'!AG18</f>
        <v>0</v>
      </c>
      <c r="AH18" s="91">
        <f>'1'!AH18+'2'!AH18+'3'!AH18+'4'!AH18+'5'!AH18+'6'!AH18+'7'!AH18+'8'!AH18+'9'!AH18+'10'!AH18+'11'!AH18+'12'!AH18</f>
        <v>0</v>
      </c>
      <c r="AI18" s="91">
        <f>'1'!AI18+'2'!AI18+'3'!AI18+'4'!AI18+'5'!AI18+'6'!AI18+'7'!AI18+'8'!AI18+'9'!AI18+'10'!AI18+'11'!AI18+'12'!AI18</f>
        <v>0</v>
      </c>
      <c r="AJ18" s="91">
        <f>'1'!AJ18+'2'!AJ18+'3'!AJ18+'4'!AJ18+'5'!AJ18+'6'!AJ18+'7'!AJ18+'8'!AJ18+'9'!AJ18+'10'!AJ18+'11'!AJ18+'12'!AJ18</f>
        <v>0</v>
      </c>
      <c r="AK18" s="91">
        <f>'1'!AK18+'2'!AK18+'3'!AK18+'4'!AK18+'5'!AK18+'6'!AK18+'7'!AK18+'8'!AK18+'9'!AK18+'10'!AK18+'11'!AK18+'12'!AK18</f>
        <v>0</v>
      </c>
      <c r="AL18" s="91">
        <f>'1'!AL18+'2'!AL18+'3'!AL18+'4'!AL18+'5'!AL18+'6'!AL18+'7'!AL18+'8'!AL18+'9'!AL18+'10'!AL18+'11'!AL18+'12'!AL18</f>
        <v>0</v>
      </c>
      <c r="AM18" s="91">
        <f>'1'!AM18+'2'!AM18+'3'!AM18+'4'!AM18+'5'!AM18+'6'!AM18+'7'!AM18+'8'!AM18+'9'!AM18+'10'!AM18+'11'!AM18+'12'!AM18</f>
        <v>0</v>
      </c>
      <c r="AN18" s="91">
        <f>'1'!AN18+'2'!AN18+'3'!AN18+'4'!AN18+'5'!AN18+'6'!AN18+'7'!AN18+'8'!AN18+'9'!AN18+'10'!AN18+'11'!AN18+'12'!AN18</f>
        <v>0</v>
      </c>
      <c r="AO18" s="91">
        <f>'1'!AO18+'2'!AO18+'3'!AO18+'4'!AO18+'5'!AO18+'6'!AO18+'7'!AO18+'8'!AO18+'9'!AO18+'10'!AO18+'11'!AO18+'12'!AO18</f>
        <v>0</v>
      </c>
      <c r="AP18" s="91">
        <f>'1'!AP18+'2'!AP18+'3'!AP18+'4'!AP18+'5'!AP18+'6'!AP18+'7'!AP18+'8'!AP18+'9'!AP18+'10'!AP18+'11'!AP18+'12'!AP18</f>
        <v>0</v>
      </c>
      <c r="AQ18" s="16">
        <f t="shared" si="3"/>
        <v>0</v>
      </c>
      <c r="AR18" s="17">
        <f>N18+P18+R18+AC18+AD18+AE18+AF18+AG18+AH18+AI18+AJ18+AK18+AL18+AM18+AN18+AO18+AP18+T18+V18+AB18</f>
        <v>0</v>
      </c>
      <c r="AS18" s="17"/>
      <c r="AT18" s="17"/>
      <c r="AU18" s="92">
        <f t="shared" si="4"/>
        <v>0</v>
      </c>
      <c r="AV18" s="92">
        <f t="shared" si="5"/>
        <v>0</v>
      </c>
      <c r="AW18" s="92">
        <f t="shared" si="6"/>
        <v>0</v>
      </c>
      <c r="AX18" s="92">
        <f t="shared" si="7"/>
        <v>0</v>
      </c>
      <c r="AY18" s="82">
        <f t="shared" ref="AY18:AZ22" si="10">IF(K18=0,0,K18/(D18-Y18)/24)</f>
        <v>0</v>
      </c>
      <c r="AZ18" s="82">
        <f t="shared" si="10"/>
        <v>0</v>
      </c>
      <c r="BA18" s="85">
        <f>ROUND(AS18-E18-AR18,4)</f>
        <v>0</v>
      </c>
      <c r="BB18" s="138"/>
      <c r="BC18"/>
    </row>
    <row r="19" spans="1:55" ht="15" hidden="1" customHeight="1" x14ac:dyDescent="0.25">
      <c r="A19" s="68" t="s">
        <v>24</v>
      </c>
      <c r="B19" s="111">
        <v>23</v>
      </c>
      <c r="C19" s="111">
        <v>23</v>
      </c>
      <c r="D19" s="121">
        <f t="shared" si="8"/>
        <v>0</v>
      </c>
      <c r="E19" s="16">
        <f t="shared" si="9"/>
        <v>0</v>
      </c>
      <c r="F19" s="91">
        <f>'1'!F19+'2'!F19+'3'!F19+'4'!F19+'5'!F19+'6'!F19+'7'!F19+'8'!F19+'9'!F19+'10'!F19+'11'!F19+'12'!F19</f>
        <v>0</v>
      </c>
      <c r="G19" s="91">
        <f>'1'!G19+'2'!G19+'3'!G19+'4'!G19+'5'!G19+'6'!G19+'7'!G19+'8'!G19+'9'!G19+'10'!G19+'11'!G19+'12'!G19</f>
        <v>0</v>
      </c>
      <c r="H19" s="135">
        <f>'1'!H19+'2'!H19+'3'!H19+'4'!H19+'5'!H19+'6'!H19+'7'!H19+'8'!H19+'9'!H19+'10'!H19+'11'!H19+'12'!H19</f>
        <v>0</v>
      </c>
      <c r="I19" s="135">
        <f>'1'!I19+'2'!I19+'3'!I19+'4'!I19+'5'!I19+'6'!I19+'7'!I19+'8'!I19+'9'!I19+'10'!I19+'11'!I19+'12'!I19</f>
        <v>0</v>
      </c>
      <c r="J19" s="8" t="s">
        <v>55</v>
      </c>
      <c r="K19" s="133">
        <f>'10'!K19+'11'!K19+'12'!K19</f>
        <v>0</v>
      </c>
      <c r="L19" s="133">
        <f>'10'!L19+'11'!L19+'12'!L19</f>
        <v>0</v>
      </c>
      <c r="M19" s="91">
        <f>'1'!M19+'2'!M19+'3'!M19+'4'!M19+'5'!M19+'6'!M19+'7'!M19+'8'!M19+'9'!M19+'10'!M19+'11'!M19+'12'!M19</f>
        <v>0</v>
      </c>
      <c r="N19" s="91">
        <f>'1'!N19+'2'!N19+'3'!N19+'4'!N19+'5'!N19+'6'!N19+'7'!N19+'8'!N19+'9'!N19+'10'!N19+'11'!N19+'12'!N19</f>
        <v>0</v>
      </c>
      <c r="O19" s="91">
        <f>'1'!O19+'2'!O19+'3'!O19+'4'!O19+'5'!O19+'6'!O19+'7'!O19+'8'!O19+'9'!O19+'10'!O19+'11'!O19+'12'!O19</f>
        <v>0</v>
      </c>
      <c r="P19" s="91">
        <f>'1'!P19+'2'!P19+'3'!P19+'4'!P19+'5'!P19+'6'!P19+'7'!P19+'8'!P19+'9'!P19+'10'!P19+'11'!P19+'12'!P19</f>
        <v>0</v>
      </c>
      <c r="Q19" s="91">
        <f>'1'!Q19+'2'!Q19+'3'!Q19+'4'!Q19+'5'!Q19+'6'!Q19+'7'!Q19+'8'!Q19+'9'!Q19+'10'!Q19+'11'!Q19+'12'!Q19</f>
        <v>0</v>
      </c>
      <c r="R19" s="91">
        <f>'1'!R19+'2'!R19+'3'!R19+'4'!R19+'5'!R19+'6'!R19+'7'!R19+'8'!R19+'9'!R19+'10'!R19+'11'!R19+'12'!R19</f>
        <v>0</v>
      </c>
      <c r="S19" s="91">
        <f>'1'!S19+'2'!S19+'3'!S19+'4'!S19+'5'!S19+'6'!S19+'7'!S19+'8'!S19+'9'!S19+'10'!S19+'11'!S19+'12'!S19</f>
        <v>0</v>
      </c>
      <c r="T19" s="91">
        <f>'1'!T19+'2'!T19+'3'!T19+'4'!T19+'5'!T19+'6'!T19+'7'!T19+'8'!T19+'9'!T19+'10'!T19+'11'!T19+'12'!T19</f>
        <v>0</v>
      </c>
      <c r="U19" s="91">
        <f>'1'!U19+'2'!U19+'3'!U19+'4'!U19+'5'!U19+'6'!U19+'7'!U19+'8'!U19+'9'!U19+'10'!U19+'11'!U19+'12'!U19</f>
        <v>0</v>
      </c>
      <c r="V19" s="91">
        <f>'1'!V19+'2'!V19+'3'!V19+'4'!V19+'5'!V19+'6'!V19+'7'!V19+'8'!V19+'9'!V19+'10'!V19+'11'!V19+'12'!V19</f>
        <v>0</v>
      </c>
      <c r="W19" s="91">
        <f>'1'!W19+'2'!W19+'3'!W19+'4'!W19+'5'!W19+'6'!W19+'7'!W19+'8'!W19+'9'!W19+'10'!W19+'11'!W19+'12'!W19</f>
        <v>0</v>
      </c>
      <c r="X19" s="91">
        <f>'1'!X19+'2'!X19+'3'!X19+'4'!X19+'5'!X19+'6'!X19+'7'!X19+'8'!X19+'9'!X19+'10'!X19+'11'!X19+'12'!X19</f>
        <v>0</v>
      </c>
      <c r="Y19" s="91">
        <f>'1'!Y19+'2'!Y19+'3'!Y19+'4'!Y19+'5'!Y19+'6'!Y19+'7'!Y19+'8'!Y19+'9'!Y19+'10'!Y19+'11'!Y19+'12'!Y19</f>
        <v>0</v>
      </c>
      <c r="Z19" s="91">
        <f>'1'!Z19+'2'!Z19+'3'!Z19+'4'!Z19+'5'!Z19+'6'!Z19+'7'!Z19+'8'!Z19+'9'!Z19+'10'!Z19+'11'!Z19+'12'!Z19</f>
        <v>0</v>
      </c>
      <c r="AA19" s="91">
        <f>'1'!AA19+'2'!AA19+'3'!AA19+'4'!AA19+'5'!AA19+'6'!AA19+'7'!AA19+'8'!AA19+'9'!AA19+'10'!AA19+'11'!AA19+'12'!AA19</f>
        <v>0</v>
      </c>
      <c r="AB19" s="91">
        <f>'1'!AB19+'2'!AB19+'3'!AB19+'4'!AB19+'5'!AB19+'6'!AB19+'7'!AB19+'8'!AB19+'9'!AB19+'10'!AB19+'11'!AB19+'12'!AB19</f>
        <v>0</v>
      </c>
      <c r="AC19" s="91">
        <f>'1'!AC19+'2'!AC19+'3'!AC19+'4'!AC19+'5'!AC19+'6'!AC19+'7'!AC19+'8'!AC19+'9'!AC19+'10'!AC19+'11'!AC19+'12'!AC19</f>
        <v>0</v>
      </c>
      <c r="AD19" s="91">
        <f>'1'!AD19+'2'!AD19+'3'!AD19+'4'!AD19+'5'!AD19+'6'!AD19+'7'!AD19+'8'!AD19+'9'!AD19+'10'!AD19+'11'!AD19+'12'!AD19</f>
        <v>0</v>
      </c>
      <c r="AE19" s="91">
        <f>'1'!AE19+'2'!AE19+'3'!AE19+'4'!AE19+'5'!AE19+'6'!AE19+'7'!AE19+'8'!AE19+'9'!AE19+'10'!AE19+'11'!AE19+'12'!AE19</f>
        <v>0</v>
      </c>
      <c r="AF19" s="91">
        <f>'1'!AF19+'2'!AF19+'3'!AF19+'4'!AF19+'5'!AF19+'6'!AF19+'7'!AF19+'8'!AF19+'9'!AF19+'10'!AF19+'11'!AF19+'12'!AF19</f>
        <v>0</v>
      </c>
      <c r="AG19" s="91">
        <f>'1'!AG19+'2'!AG19+'3'!AG19+'4'!AG19+'5'!AG19+'6'!AG19+'7'!AG19+'8'!AG19+'9'!AG19+'10'!AG19+'11'!AG19+'12'!AG19</f>
        <v>0</v>
      </c>
      <c r="AH19" s="91">
        <f>'1'!AH19+'2'!AH19+'3'!AH19+'4'!AH19+'5'!AH19+'6'!AH19+'7'!AH19+'8'!AH19+'9'!AH19+'10'!AH19+'11'!AH19+'12'!AH19</f>
        <v>0</v>
      </c>
      <c r="AI19" s="91">
        <f>'1'!AI19+'2'!AI19+'3'!AI19+'4'!AI19+'5'!AI19+'6'!AI19+'7'!AI19+'8'!AI19+'9'!AI19+'10'!AI19+'11'!AI19+'12'!AI19</f>
        <v>0</v>
      </c>
      <c r="AJ19" s="91">
        <f>'1'!AJ19+'2'!AJ19+'3'!AJ19+'4'!AJ19+'5'!AJ19+'6'!AJ19+'7'!AJ19+'8'!AJ19+'9'!AJ19+'10'!AJ19+'11'!AJ19+'12'!AJ19</f>
        <v>0</v>
      </c>
      <c r="AK19" s="91">
        <f>'1'!AK19+'2'!AK19+'3'!AK19+'4'!AK19+'5'!AK19+'6'!AK19+'7'!AK19+'8'!AK19+'9'!AK19+'10'!AK19+'11'!AK19+'12'!AK19</f>
        <v>0</v>
      </c>
      <c r="AL19" s="91">
        <f>'1'!AL19+'2'!AL19+'3'!AL19+'4'!AL19+'5'!AL19+'6'!AL19+'7'!AL19+'8'!AL19+'9'!AL19+'10'!AL19+'11'!AL19+'12'!AL19</f>
        <v>0</v>
      </c>
      <c r="AM19" s="91">
        <f>'1'!AM19+'2'!AM19+'3'!AM19+'4'!AM19+'5'!AM19+'6'!AM19+'7'!AM19+'8'!AM19+'9'!AM19+'10'!AM19+'11'!AM19+'12'!AM19</f>
        <v>0</v>
      </c>
      <c r="AN19" s="91">
        <f>'1'!AN19+'2'!AN19+'3'!AN19+'4'!AN19+'5'!AN19+'6'!AN19+'7'!AN19+'8'!AN19+'9'!AN19+'10'!AN19+'11'!AN19+'12'!AN19</f>
        <v>0</v>
      </c>
      <c r="AO19" s="91">
        <f>'1'!AO19+'2'!AO19+'3'!AO19+'4'!AO19+'5'!AO19+'6'!AO19+'7'!AO19+'8'!AO19+'9'!AO19+'10'!AO19+'11'!AO19+'12'!AO19</f>
        <v>0</v>
      </c>
      <c r="AP19" s="91">
        <f>'1'!AP19+'2'!AP19+'3'!AP19+'4'!AP19+'5'!AP19+'6'!AP19+'7'!AP19+'8'!AP19+'9'!AP19+'10'!AP19+'11'!AP19+'12'!AP19</f>
        <v>0</v>
      </c>
      <c r="AQ19" s="16">
        <f t="shared" si="3"/>
        <v>0</v>
      </c>
      <c r="AR19" s="17">
        <f t="shared" ref="AR19:AR59" si="11">N19+P19+R19+AC19+AD19+AE19+AF19+AG19+AH19+AI19+AJ19+AK19+AL19+AM19+AN19+AO19+AP19+T19+V19+AB19</f>
        <v>0</v>
      </c>
      <c r="AS19" s="15"/>
      <c r="AT19" s="15"/>
      <c r="AU19" s="92">
        <f t="shared" si="4"/>
        <v>0</v>
      </c>
      <c r="AV19" s="92">
        <f t="shared" si="5"/>
        <v>0</v>
      </c>
      <c r="AW19" s="92">
        <f t="shared" si="6"/>
        <v>0</v>
      </c>
      <c r="AX19" s="92">
        <f t="shared" si="7"/>
        <v>0</v>
      </c>
      <c r="AY19" s="18">
        <f t="shared" si="10"/>
        <v>0</v>
      </c>
      <c r="AZ19" s="18">
        <f t="shared" si="10"/>
        <v>0</v>
      </c>
      <c r="BA19" s="74">
        <f>ROUND(AS19-E19-AR19,4)</f>
        <v>0</v>
      </c>
      <c r="BB19" s="139"/>
      <c r="BC19"/>
    </row>
    <row r="20" spans="1:55" ht="15" hidden="1" customHeight="1" x14ac:dyDescent="0.25">
      <c r="A20" s="69" t="s">
        <v>25</v>
      </c>
      <c r="B20" s="112"/>
      <c r="C20" s="112">
        <v>24</v>
      </c>
      <c r="D20" s="121">
        <f t="shared" si="8"/>
        <v>0</v>
      </c>
      <c r="E20" s="16">
        <f t="shared" si="9"/>
        <v>0</v>
      </c>
      <c r="F20" s="91">
        <f>'1'!F20+'2'!F20+'3'!F20+'4'!F20+'5'!F20+'6'!F20+'7'!F20+'8'!F20+'9'!F20+'10'!F20+'11'!F20+'12'!F20</f>
        <v>0</v>
      </c>
      <c r="G20" s="91">
        <f>'1'!G20+'2'!G20+'3'!G20+'4'!G20+'5'!G20+'6'!G20+'7'!G20+'8'!G20+'9'!G20+'10'!G20+'11'!G20+'12'!G20</f>
        <v>0</v>
      </c>
      <c r="H20" s="135">
        <f>'1'!H20+'2'!H20+'3'!H20+'4'!H20+'5'!H20+'6'!H20+'7'!H20+'8'!H20+'9'!H20+'10'!H20+'11'!H20+'12'!H20</f>
        <v>0</v>
      </c>
      <c r="I20" s="135">
        <f>'1'!I20+'2'!I20+'3'!I20+'4'!I20+'5'!I20+'6'!I20+'7'!I20+'8'!I20+'9'!I20+'10'!I20+'11'!I20+'12'!I20</f>
        <v>0</v>
      </c>
      <c r="J20" s="8" t="s">
        <v>55</v>
      </c>
      <c r="K20" s="133">
        <f>'10'!K20+'11'!K20+'12'!K20</f>
        <v>0</v>
      </c>
      <c r="L20" s="133">
        <f>'10'!L20+'11'!L20+'12'!L20</f>
        <v>0</v>
      </c>
      <c r="M20" s="91">
        <f>'1'!M20+'2'!M20+'3'!M20+'4'!M20+'5'!M20+'6'!M20+'7'!M20+'8'!M20+'9'!M20+'10'!M20+'11'!M20+'12'!M20</f>
        <v>0</v>
      </c>
      <c r="N20" s="91">
        <f>'1'!N20+'2'!N20+'3'!N20+'4'!N20+'5'!N20+'6'!N20+'7'!N20+'8'!N20+'9'!N20+'10'!N20+'11'!N20+'12'!N20</f>
        <v>0</v>
      </c>
      <c r="O20" s="91">
        <f>'1'!O20+'2'!O20+'3'!O20+'4'!O20+'5'!O20+'6'!O20+'7'!O20+'8'!O20+'9'!O20+'10'!O20+'11'!O20+'12'!O20</f>
        <v>0</v>
      </c>
      <c r="P20" s="91">
        <f>'1'!P20+'2'!P20+'3'!P20+'4'!P20+'5'!P20+'6'!P20+'7'!P20+'8'!P20+'9'!P20+'10'!P20+'11'!P20+'12'!P20</f>
        <v>0</v>
      </c>
      <c r="Q20" s="91">
        <f>'1'!Q20+'2'!Q20+'3'!Q20+'4'!Q20+'5'!Q20+'6'!Q20+'7'!Q20+'8'!Q20+'9'!Q20+'10'!Q20+'11'!Q20+'12'!Q20</f>
        <v>0</v>
      </c>
      <c r="R20" s="91">
        <f>'1'!R20+'2'!R20+'3'!R20+'4'!R20+'5'!R20+'6'!R20+'7'!R20+'8'!R20+'9'!R20+'10'!R20+'11'!R20+'12'!R20</f>
        <v>0</v>
      </c>
      <c r="S20" s="91">
        <f>'1'!S20+'2'!S20+'3'!S20+'4'!S20+'5'!S20+'6'!S20+'7'!S20+'8'!S20+'9'!S20+'10'!S20+'11'!S20+'12'!S20</f>
        <v>0</v>
      </c>
      <c r="T20" s="91">
        <f>'1'!T20+'2'!T20+'3'!T20+'4'!T20+'5'!T20+'6'!T20+'7'!T20+'8'!T20+'9'!T20+'10'!T20+'11'!T20+'12'!T20</f>
        <v>0</v>
      </c>
      <c r="U20" s="91">
        <f>'1'!U20+'2'!U20+'3'!U20+'4'!U20+'5'!U20+'6'!U20+'7'!U20+'8'!U20+'9'!U20+'10'!U20+'11'!U20+'12'!U20</f>
        <v>0</v>
      </c>
      <c r="V20" s="91">
        <f>'1'!V20+'2'!V20+'3'!V20+'4'!V20+'5'!V20+'6'!V20+'7'!V20+'8'!V20+'9'!V20+'10'!V20+'11'!V20+'12'!V20</f>
        <v>0</v>
      </c>
      <c r="W20" s="91">
        <f>'1'!W20+'2'!W20+'3'!W20+'4'!W20+'5'!W20+'6'!W20+'7'!W20+'8'!W20+'9'!W20+'10'!W20+'11'!W20+'12'!W20</f>
        <v>0</v>
      </c>
      <c r="X20" s="91">
        <f>'1'!X20+'2'!X20+'3'!X20+'4'!X20+'5'!X20+'6'!X20+'7'!X20+'8'!X20+'9'!X20+'10'!X20+'11'!X20+'12'!X20</f>
        <v>0</v>
      </c>
      <c r="Y20" s="91">
        <f>'1'!Y20+'2'!Y20+'3'!Y20+'4'!Y20+'5'!Y20+'6'!Y20+'7'!Y20+'8'!Y20+'9'!Y20+'10'!Y20+'11'!Y20+'12'!Y20</f>
        <v>0</v>
      </c>
      <c r="Z20" s="91">
        <f>'1'!Z20+'2'!Z20+'3'!Z20+'4'!Z20+'5'!Z20+'6'!Z20+'7'!Z20+'8'!Z20+'9'!Z20+'10'!Z20+'11'!Z20+'12'!Z20</f>
        <v>0</v>
      </c>
      <c r="AA20" s="91">
        <f>'1'!AA20+'2'!AA20+'3'!AA20+'4'!AA20+'5'!AA20+'6'!AA20+'7'!AA20+'8'!AA20+'9'!AA20+'10'!AA20+'11'!AA20+'12'!AA20</f>
        <v>0</v>
      </c>
      <c r="AB20" s="91">
        <f>'1'!AB20+'2'!AB20+'3'!AB20+'4'!AB20+'5'!AB20+'6'!AB20+'7'!AB20+'8'!AB20+'9'!AB20+'10'!AB20+'11'!AB20+'12'!AB20</f>
        <v>0</v>
      </c>
      <c r="AC20" s="91">
        <f>'1'!AC20+'2'!AC20+'3'!AC20+'4'!AC20+'5'!AC20+'6'!AC20+'7'!AC20+'8'!AC20+'9'!AC20+'10'!AC20+'11'!AC20+'12'!AC20</f>
        <v>0</v>
      </c>
      <c r="AD20" s="91">
        <f>'1'!AD20+'2'!AD20+'3'!AD20+'4'!AD20+'5'!AD20+'6'!AD20+'7'!AD20+'8'!AD20+'9'!AD20+'10'!AD20+'11'!AD20+'12'!AD20</f>
        <v>0</v>
      </c>
      <c r="AE20" s="91">
        <f>'1'!AE20+'2'!AE20+'3'!AE20+'4'!AE20+'5'!AE20+'6'!AE20+'7'!AE20+'8'!AE20+'9'!AE20+'10'!AE20+'11'!AE20+'12'!AE20</f>
        <v>0</v>
      </c>
      <c r="AF20" s="91">
        <f>'1'!AF20+'2'!AF20+'3'!AF20+'4'!AF20+'5'!AF20+'6'!AF20+'7'!AF20+'8'!AF20+'9'!AF20+'10'!AF20+'11'!AF20+'12'!AF20</f>
        <v>0</v>
      </c>
      <c r="AG20" s="91">
        <f>'1'!AG20+'2'!AG20+'3'!AG20+'4'!AG20+'5'!AG20+'6'!AG20+'7'!AG20+'8'!AG20+'9'!AG20+'10'!AG20+'11'!AG20+'12'!AG20</f>
        <v>0</v>
      </c>
      <c r="AH20" s="91">
        <f>'1'!AH20+'2'!AH20+'3'!AH20+'4'!AH20+'5'!AH20+'6'!AH20+'7'!AH20+'8'!AH20+'9'!AH20+'10'!AH20+'11'!AH20+'12'!AH20</f>
        <v>0</v>
      </c>
      <c r="AI20" s="91">
        <f>'1'!AI20+'2'!AI20+'3'!AI20+'4'!AI20+'5'!AI20+'6'!AI20+'7'!AI20+'8'!AI20+'9'!AI20+'10'!AI20+'11'!AI20+'12'!AI20</f>
        <v>0</v>
      </c>
      <c r="AJ20" s="91">
        <f>'1'!AJ20+'2'!AJ20+'3'!AJ20+'4'!AJ20+'5'!AJ20+'6'!AJ20+'7'!AJ20+'8'!AJ20+'9'!AJ20+'10'!AJ20+'11'!AJ20+'12'!AJ20</f>
        <v>0</v>
      </c>
      <c r="AK20" s="91">
        <f>'1'!AK20+'2'!AK20+'3'!AK20+'4'!AK20+'5'!AK20+'6'!AK20+'7'!AK20+'8'!AK20+'9'!AK20+'10'!AK20+'11'!AK20+'12'!AK20</f>
        <v>0</v>
      </c>
      <c r="AL20" s="91">
        <f>'1'!AL20+'2'!AL20+'3'!AL20+'4'!AL20+'5'!AL20+'6'!AL20+'7'!AL20+'8'!AL20+'9'!AL20+'10'!AL20+'11'!AL20+'12'!AL20</f>
        <v>0</v>
      </c>
      <c r="AM20" s="91">
        <f>'1'!AM20+'2'!AM20+'3'!AM20+'4'!AM20+'5'!AM20+'6'!AM20+'7'!AM20+'8'!AM20+'9'!AM20+'10'!AM20+'11'!AM20+'12'!AM20</f>
        <v>0</v>
      </c>
      <c r="AN20" s="91">
        <f>'1'!AN20+'2'!AN20+'3'!AN20+'4'!AN20+'5'!AN20+'6'!AN20+'7'!AN20+'8'!AN20+'9'!AN20+'10'!AN20+'11'!AN20+'12'!AN20</f>
        <v>0</v>
      </c>
      <c r="AO20" s="91">
        <f>'1'!AO20+'2'!AO20+'3'!AO20+'4'!AO20+'5'!AO20+'6'!AO20+'7'!AO20+'8'!AO20+'9'!AO20+'10'!AO20+'11'!AO20+'12'!AO20</f>
        <v>0</v>
      </c>
      <c r="AP20" s="91">
        <f>'1'!AP20+'2'!AP20+'3'!AP20+'4'!AP20+'5'!AP20+'6'!AP20+'7'!AP20+'8'!AP20+'9'!AP20+'10'!AP20+'11'!AP20+'12'!AP20</f>
        <v>0</v>
      </c>
      <c r="AQ20" s="16">
        <f t="shared" si="3"/>
        <v>0</v>
      </c>
      <c r="AR20" s="17">
        <f t="shared" si="11"/>
        <v>0</v>
      </c>
      <c r="AS20" s="15"/>
      <c r="AT20" s="15"/>
      <c r="AU20" s="92">
        <f t="shared" si="4"/>
        <v>0</v>
      </c>
      <c r="AV20" s="92">
        <f t="shared" si="5"/>
        <v>0</v>
      </c>
      <c r="AW20" s="92">
        <f t="shared" si="6"/>
        <v>0</v>
      </c>
      <c r="AX20" s="92">
        <f t="shared" si="7"/>
        <v>0</v>
      </c>
      <c r="AY20" s="18">
        <f t="shared" si="10"/>
        <v>0</v>
      </c>
      <c r="AZ20" s="18">
        <f t="shared" si="10"/>
        <v>0</v>
      </c>
      <c r="BA20" s="74">
        <f t="shared" ref="BA20:BA22" si="12">ROUND(AS20-E20-AR20,4)</f>
        <v>0</v>
      </c>
      <c r="BB20" s="139"/>
      <c r="BC20"/>
    </row>
    <row r="21" spans="1:55" ht="15" hidden="1" customHeight="1" x14ac:dyDescent="0.25">
      <c r="A21" s="68" t="s">
        <v>26</v>
      </c>
      <c r="B21" s="111"/>
      <c r="C21" s="111">
        <v>24</v>
      </c>
      <c r="D21" s="121">
        <f t="shared" si="8"/>
        <v>0</v>
      </c>
      <c r="E21" s="16">
        <f t="shared" si="9"/>
        <v>0</v>
      </c>
      <c r="F21" s="91">
        <f>'1'!F21+'2'!F21+'3'!F21+'4'!F21+'5'!F21+'6'!F21+'7'!F21+'8'!F21+'9'!F21+'10'!F21+'11'!F21+'12'!F21</f>
        <v>0</v>
      </c>
      <c r="G21" s="91">
        <f>'1'!G21+'2'!G21+'3'!G21+'4'!G21+'5'!G21+'6'!G21+'7'!G21+'8'!G21+'9'!G21+'10'!G21+'11'!G21+'12'!G21</f>
        <v>0</v>
      </c>
      <c r="H21" s="135">
        <f>'1'!H21+'2'!H21+'3'!H21+'4'!H21+'5'!H21+'6'!H21+'7'!H21+'8'!H21+'9'!H21+'10'!H21+'11'!H21+'12'!H21</f>
        <v>0</v>
      </c>
      <c r="I21" s="135">
        <f>'1'!I21+'2'!I21+'3'!I21+'4'!I21+'5'!I21+'6'!I21+'7'!I21+'8'!I21+'9'!I21+'10'!I21+'11'!I21+'12'!I21</f>
        <v>0</v>
      </c>
      <c r="J21" s="8" t="s">
        <v>55</v>
      </c>
      <c r="K21" s="133">
        <f>'10'!K21+'11'!K21+'12'!K21</f>
        <v>0</v>
      </c>
      <c r="L21" s="133">
        <f>'10'!L21+'11'!L21+'12'!L21</f>
        <v>0</v>
      </c>
      <c r="M21" s="91">
        <f>'1'!M21+'2'!M21+'3'!M21+'4'!M21+'5'!M21+'6'!M21+'7'!M21+'8'!M21+'9'!M21+'10'!M21+'11'!M21+'12'!M21</f>
        <v>0</v>
      </c>
      <c r="N21" s="91">
        <f>'1'!N21+'2'!N21+'3'!N21+'4'!N21+'5'!N21+'6'!N21+'7'!N21+'8'!N21+'9'!N21+'10'!N21+'11'!N21+'12'!N21</f>
        <v>0</v>
      </c>
      <c r="O21" s="91">
        <f>'1'!O21+'2'!O21+'3'!O21+'4'!O21+'5'!O21+'6'!O21+'7'!O21+'8'!O21+'9'!O21+'10'!O21+'11'!O21+'12'!O21</f>
        <v>0</v>
      </c>
      <c r="P21" s="91">
        <f>'1'!P21+'2'!P21+'3'!P21+'4'!P21+'5'!P21+'6'!P21+'7'!P21+'8'!P21+'9'!P21+'10'!P21+'11'!P21+'12'!P21</f>
        <v>0</v>
      </c>
      <c r="Q21" s="91">
        <f>'1'!Q21+'2'!Q21+'3'!Q21+'4'!Q21+'5'!Q21+'6'!Q21+'7'!Q21+'8'!Q21+'9'!Q21+'10'!Q21+'11'!Q21+'12'!Q21</f>
        <v>0</v>
      </c>
      <c r="R21" s="91">
        <f>'1'!R21+'2'!R21+'3'!R21+'4'!R21+'5'!R21+'6'!R21+'7'!R21+'8'!R21+'9'!R21+'10'!R21+'11'!R21+'12'!R21</f>
        <v>0</v>
      </c>
      <c r="S21" s="91">
        <f>'1'!S21+'2'!S21+'3'!S21+'4'!S21+'5'!S21+'6'!S21+'7'!S21+'8'!S21+'9'!S21+'10'!S21+'11'!S21+'12'!S21</f>
        <v>0</v>
      </c>
      <c r="T21" s="91">
        <f>'1'!T21+'2'!T21+'3'!T21+'4'!T21+'5'!T21+'6'!T21+'7'!T21+'8'!T21+'9'!T21+'10'!T21+'11'!T21+'12'!T21</f>
        <v>0</v>
      </c>
      <c r="U21" s="91">
        <f>'1'!U21+'2'!U21+'3'!U21+'4'!U21+'5'!U21+'6'!U21+'7'!U21+'8'!U21+'9'!U21+'10'!U21+'11'!U21+'12'!U21</f>
        <v>0</v>
      </c>
      <c r="V21" s="91">
        <f>'1'!V21+'2'!V21+'3'!V21+'4'!V21+'5'!V21+'6'!V21+'7'!V21+'8'!V21+'9'!V21+'10'!V21+'11'!V21+'12'!V21</f>
        <v>0</v>
      </c>
      <c r="W21" s="91">
        <f>'1'!W21+'2'!W21+'3'!W21+'4'!W21+'5'!W21+'6'!W21+'7'!W21+'8'!W21+'9'!W21+'10'!W21+'11'!W21+'12'!W21</f>
        <v>0</v>
      </c>
      <c r="X21" s="91">
        <f>'1'!X21+'2'!X21+'3'!X21+'4'!X21+'5'!X21+'6'!X21+'7'!X21+'8'!X21+'9'!X21+'10'!X21+'11'!X21+'12'!X21</f>
        <v>0</v>
      </c>
      <c r="Y21" s="91">
        <f>'1'!Y21+'2'!Y21+'3'!Y21+'4'!Y21+'5'!Y21+'6'!Y21+'7'!Y21+'8'!Y21+'9'!Y21+'10'!Y21+'11'!Y21+'12'!Y21</f>
        <v>0</v>
      </c>
      <c r="Z21" s="91">
        <f>'1'!Z21+'2'!Z21+'3'!Z21+'4'!Z21+'5'!Z21+'6'!Z21+'7'!Z21+'8'!Z21+'9'!Z21+'10'!Z21+'11'!Z21+'12'!Z21</f>
        <v>0</v>
      </c>
      <c r="AA21" s="91">
        <f>'1'!AA21+'2'!AA21+'3'!AA21+'4'!AA21+'5'!AA21+'6'!AA21+'7'!AA21+'8'!AA21+'9'!AA21+'10'!AA21+'11'!AA21+'12'!AA21</f>
        <v>0</v>
      </c>
      <c r="AB21" s="91">
        <f>'1'!AB21+'2'!AB21+'3'!AB21+'4'!AB21+'5'!AB21+'6'!AB21+'7'!AB21+'8'!AB21+'9'!AB21+'10'!AB21+'11'!AB21+'12'!AB21</f>
        <v>0</v>
      </c>
      <c r="AC21" s="91">
        <f>'1'!AC21+'2'!AC21+'3'!AC21+'4'!AC21+'5'!AC21+'6'!AC21+'7'!AC21+'8'!AC21+'9'!AC21+'10'!AC21+'11'!AC21+'12'!AC21</f>
        <v>0</v>
      </c>
      <c r="AD21" s="91">
        <f>'1'!AD21+'2'!AD21+'3'!AD21+'4'!AD21+'5'!AD21+'6'!AD21+'7'!AD21+'8'!AD21+'9'!AD21+'10'!AD21+'11'!AD21+'12'!AD21</f>
        <v>0</v>
      </c>
      <c r="AE21" s="91">
        <f>'1'!AE21+'2'!AE21+'3'!AE21+'4'!AE21+'5'!AE21+'6'!AE21+'7'!AE21+'8'!AE21+'9'!AE21+'10'!AE21+'11'!AE21+'12'!AE21</f>
        <v>0</v>
      </c>
      <c r="AF21" s="91">
        <f>'1'!AF21+'2'!AF21+'3'!AF21+'4'!AF21+'5'!AF21+'6'!AF21+'7'!AF21+'8'!AF21+'9'!AF21+'10'!AF21+'11'!AF21+'12'!AF21</f>
        <v>0</v>
      </c>
      <c r="AG21" s="91">
        <f>'1'!AG21+'2'!AG21+'3'!AG21+'4'!AG21+'5'!AG21+'6'!AG21+'7'!AG21+'8'!AG21+'9'!AG21+'10'!AG21+'11'!AG21+'12'!AG21</f>
        <v>0</v>
      </c>
      <c r="AH21" s="91">
        <f>'1'!AH21+'2'!AH21+'3'!AH21+'4'!AH21+'5'!AH21+'6'!AH21+'7'!AH21+'8'!AH21+'9'!AH21+'10'!AH21+'11'!AH21+'12'!AH21</f>
        <v>0</v>
      </c>
      <c r="AI21" s="91">
        <f>'1'!AI21+'2'!AI21+'3'!AI21+'4'!AI21+'5'!AI21+'6'!AI21+'7'!AI21+'8'!AI21+'9'!AI21+'10'!AI21+'11'!AI21+'12'!AI21</f>
        <v>0</v>
      </c>
      <c r="AJ21" s="91">
        <f>'1'!AJ21+'2'!AJ21+'3'!AJ21+'4'!AJ21+'5'!AJ21+'6'!AJ21+'7'!AJ21+'8'!AJ21+'9'!AJ21+'10'!AJ21+'11'!AJ21+'12'!AJ21</f>
        <v>0</v>
      </c>
      <c r="AK21" s="91">
        <f>'1'!AK21+'2'!AK21+'3'!AK21+'4'!AK21+'5'!AK21+'6'!AK21+'7'!AK21+'8'!AK21+'9'!AK21+'10'!AK21+'11'!AK21+'12'!AK21</f>
        <v>0</v>
      </c>
      <c r="AL21" s="91">
        <f>'1'!AL21+'2'!AL21+'3'!AL21+'4'!AL21+'5'!AL21+'6'!AL21+'7'!AL21+'8'!AL21+'9'!AL21+'10'!AL21+'11'!AL21+'12'!AL21</f>
        <v>0</v>
      </c>
      <c r="AM21" s="91">
        <f>'1'!AM21+'2'!AM21+'3'!AM21+'4'!AM21+'5'!AM21+'6'!AM21+'7'!AM21+'8'!AM21+'9'!AM21+'10'!AM21+'11'!AM21+'12'!AM21</f>
        <v>0</v>
      </c>
      <c r="AN21" s="91">
        <f>'1'!AN21+'2'!AN21+'3'!AN21+'4'!AN21+'5'!AN21+'6'!AN21+'7'!AN21+'8'!AN21+'9'!AN21+'10'!AN21+'11'!AN21+'12'!AN21</f>
        <v>0</v>
      </c>
      <c r="AO21" s="91">
        <f>'1'!AO21+'2'!AO21+'3'!AO21+'4'!AO21+'5'!AO21+'6'!AO21+'7'!AO21+'8'!AO21+'9'!AO21+'10'!AO21+'11'!AO21+'12'!AO21</f>
        <v>0</v>
      </c>
      <c r="AP21" s="91">
        <f>'1'!AP21+'2'!AP21+'3'!AP21+'4'!AP21+'5'!AP21+'6'!AP21+'7'!AP21+'8'!AP21+'9'!AP21+'10'!AP21+'11'!AP21+'12'!AP21</f>
        <v>0</v>
      </c>
      <c r="AQ21" s="16">
        <f t="shared" si="3"/>
        <v>0</v>
      </c>
      <c r="AR21" s="17">
        <f t="shared" si="11"/>
        <v>0</v>
      </c>
      <c r="AS21" s="15"/>
      <c r="AT21" s="15"/>
      <c r="AU21" s="92">
        <f t="shared" si="4"/>
        <v>0</v>
      </c>
      <c r="AV21" s="92">
        <f t="shared" si="5"/>
        <v>0</v>
      </c>
      <c r="AW21" s="92">
        <f t="shared" si="6"/>
        <v>0</v>
      </c>
      <c r="AX21" s="92">
        <f t="shared" si="7"/>
        <v>0</v>
      </c>
      <c r="AY21" s="18">
        <f t="shared" si="10"/>
        <v>0</v>
      </c>
      <c r="AZ21" s="18">
        <f t="shared" si="10"/>
        <v>0</v>
      </c>
      <c r="BA21" s="74">
        <f t="shared" si="12"/>
        <v>0</v>
      </c>
      <c r="BB21" s="139"/>
      <c r="BC21"/>
    </row>
    <row r="22" spans="1:55" ht="15" hidden="1" customHeight="1" x14ac:dyDescent="0.25">
      <c r="A22" s="70" t="s">
        <v>63</v>
      </c>
      <c r="B22" s="113"/>
      <c r="C22" s="113">
        <v>25</v>
      </c>
      <c r="D22" s="121">
        <f t="shared" si="8"/>
        <v>0</v>
      </c>
      <c r="E22" s="16">
        <f t="shared" si="9"/>
        <v>0</v>
      </c>
      <c r="F22" s="91">
        <f>'1'!F22+'2'!F22+'3'!F22+'4'!F22+'5'!F22+'6'!F22+'7'!F22+'8'!F22+'9'!F22+'10'!F22+'11'!F22+'12'!F22</f>
        <v>0</v>
      </c>
      <c r="G22" s="91">
        <f>'1'!G22+'2'!G22+'3'!G22+'4'!G22+'5'!G22+'6'!G22+'7'!G22+'8'!G22+'9'!G22+'10'!G22+'11'!G22+'12'!G22</f>
        <v>0</v>
      </c>
      <c r="H22" s="135">
        <f>'1'!H22+'2'!H22+'3'!H22+'4'!H22+'5'!H22+'6'!H22+'7'!H22+'8'!H22+'9'!H22+'10'!H22+'11'!H22+'12'!H22</f>
        <v>0</v>
      </c>
      <c r="I22" s="135">
        <f>'1'!I22+'2'!I22+'3'!I22+'4'!I22+'5'!I22+'6'!I22+'7'!I22+'8'!I22+'9'!I22+'10'!I22+'11'!I22+'12'!I22</f>
        <v>0</v>
      </c>
      <c r="J22" s="8" t="s">
        <v>55</v>
      </c>
      <c r="K22" s="133">
        <f>'10'!K22+'11'!K22+'12'!K22</f>
        <v>0</v>
      </c>
      <c r="L22" s="133">
        <f>'10'!L22+'11'!L22+'12'!L22</f>
        <v>0</v>
      </c>
      <c r="M22" s="91">
        <f>'1'!M22+'2'!M22+'3'!M22+'4'!M22+'5'!M22+'6'!M22+'7'!M22+'8'!M22+'9'!M22+'10'!M22+'11'!M22+'12'!M22</f>
        <v>0</v>
      </c>
      <c r="N22" s="91">
        <f>'1'!N22+'2'!N22+'3'!N22+'4'!N22+'5'!N22+'6'!N22+'7'!N22+'8'!N22+'9'!N22+'10'!N22+'11'!N22+'12'!N22</f>
        <v>0</v>
      </c>
      <c r="O22" s="91">
        <f>'1'!O22+'2'!O22+'3'!O22+'4'!O22+'5'!O22+'6'!O22+'7'!O22+'8'!O22+'9'!O22+'10'!O22+'11'!O22+'12'!O22</f>
        <v>0</v>
      </c>
      <c r="P22" s="91">
        <f>'1'!P22+'2'!P22+'3'!P22+'4'!P22+'5'!P22+'6'!P22+'7'!P22+'8'!P22+'9'!P22+'10'!P22+'11'!P22+'12'!P22</f>
        <v>0</v>
      </c>
      <c r="Q22" s="91">
        <f>'1'!Q22+'2'!Q22+'3'!Q22+'4'!Q22+'5'!Q22+'6'!Q22+'7'!Q22+'8'!Q22+'9'!Q22+'10'!Q22+'11'!Q22+'12'!Q22</f>
        <v>0</v>
      </c>
      <c r="R22" s="91">
        <f>'1'!R22+'2'!R22+'3'!R22+'4'!R22+'5'!R22+'6'!R22+'7'!R22+'8'!R22+'9'!R22+'10'!R22+'11'!R22+'12'!R22</f>
        <v>0</v>
      </c>
      <c r="S22" s="91">
        <f>'1'!S22+'2'!S22+'3'!S22+'4'!S22+'5'!S22+'6'!S22+'7'!S22+'8'!S22+'9'!S22+'10'!S22+'11'!S22+'12'!S22</f>
        <v>0</v>
      </c>
      <c r="T22" s="91">
        <f>'1'!T22+'2'!T22+'3'!T22+'4'!T22+'5'!T22+'6'!T22+'7'!T22+'8'!T22+'9'!T22+'10'!T22+'11'!T22+'12'!T22</f>
        <v>0</v>
      </c>
      <c r="U22" s="91">
        <f>'1'!U22+'2'!U22+'3'!U22+'4'!U22+'5'!U22+'6'!U22+'7'!U22+'8'!U22+'9'!U22+'10'!U22+'11'!U22+'12'!U22</f>
        <v>0</v>
      </c>
      <c r="V22" s="91">
        <f>'1'!V22+'2'!V22+'3'!V22+'4'!V22+'5'!V22+'6'!V22+'7'!V22+'8'!V22+'9'!V22+'10'!V22+'11'!V22+'12'!V22</f>
        <v>0</v>
      </c>
      <c r="W22" s="91">
        <f>'1'!W22+'2'!W22+'3'!W22+'4'!W22+'5'!W22+'6'!W22+'7'!W22+'8'!W22+'9'!W22+'10'!W22+'11'!W22+'12'!W22</f>
        <v>0</v>
      </c>
      <c r="X22" s="91">
        <f>'1'!X22+'2'!X22+'3'!X22+'4'!X22+'5'!X22+'6'!X22+'7'!X22+'8'!X22+'9'!X22+'10'!X22+'11'!X22+'12'!X22</f>
        <v>0</v>
      </c>
      <c r="Y22" s="91">
        <f>'1'!Y22+'2'!Y22+'3'!Y22+'4'!Y22+'5'!Y22+'6'!Y22+'7'!Y22+'8'!Y22+'9'!Y22+'10'!Y22+'11'!Y22+'12'!Y22</f>
        <v>0</v>
      </c>
      <c r="Z22" s="91">
        <f>'1'!Z22+'2'!Z22+'3'!Z22+'4'!Z22+'5'!Z22+'6'!Z22+'7'!Z22+'8'!Z22+'9'!Z22+'10'!Z22+'11'!Z22+'12'!Z22</f>
        <v>0</v>
      </c>
      <c r="AA22" s="91">
        <f>'1'!AA22+'2'!AA22+'3'!AA22+'4'!AA22+'5'!AA22+'6'!AA22+'7'!AA22+'8'!AA22+'9'!AA22+'10'!AA22+'11'!AA22+'12'!AA22</f>
        <v>0</v>
      </c>
      <c r="AB22" s="91">
        <f>'1'!AB22+'2'!AB22+'3'!AB22+'4'!AB22+'5'!AB22+'6'!AB22+'7'!AB22+'8'!AB22+'9'!AB22+'10'!AB22+'11'!AB22+'12'!AB22</f>
        <v>0</v>
      </c>
      <c r="AC22" s="91">
        <f>'1'!AC22+'2'!AC22+'3'!AC22+'4'!AC22+'5'!AC22+'6'!AC22+'7'!AC22+'8'!AC22+'9'!AC22+'10'!AC22+'11'!AC22+'12'!AC22</f>
        <v>0</v>
      </c>
      <c r="AD22" s="91">
        <f>'1'!AD22+'2'!AD22+'3'!AD22+'4'!AD22+'5'!AD22+'6'!AD22+'7'!AD22+'8'!AD22+'9'!AD22+'10'!AD22+'11'!AD22+'12'!AD22</f>
        <v>0</v>
      </c>
      <c r="AE22" s="91">
        <f>'1'!AE22+'2'!AE22+'3'!AE22+'4'!AE22+'5'!AE22+'6'!AE22+'7'!AE22+'8'!AE22+'9'!AE22+'10'!AE22+'11'!AE22+'12'!AE22</f>
        <v>0</v>
      </c>
      <c r="AF22" s="91">
        <f>'1'!AF22+'2'!AF22+'3'!AF22+'4'!AF22+'5'!AF22+'6'!AF22+'7'!AF22+'8'!AF22+'9'!AF22+'10'!AF22+'11'!AF22+'12'!AF22</f>
        <v>0</v>
      </c>
      <c r="AG22" s="91">
        <f>'1'!AG22+'2'!AG22+'3'!AG22+'4'!AG22+'5'!AG22+'6'!AG22+'7'!AG22+'8'!AG22+'9'!AG22+'10'!AG22+'11'!AG22+'12'!AG22</f>
        <v>0</v>
      </c>
      <c r="AH22" s="91">
        <f>'1'!AH22+'2'!AH22+'3'!AH22+'4'!AH22+'5'!AH22+'6'!AH22+'7'!AH22+'8'!AH22+'9'!AH22+'10'!AH22+'11'!AH22+'12'!AH22</f>
        <v>0</v>
      </c>
      <c r="AI22" s="91">
        <f>'1'!AI22+'2'!AI22+'3'!AI22+'4'!AI22+'5'!AI22+'6'!AI22+'7'!AI22+'8'!AI22+'9'!AI22+'10'!AI22+'11'!AI22+'12'!AI22</f>
        <v>0</v>
      </c>
      <c r="AJ22" s="91">
        <f>'1'!AJ22+'2'!AJ22+'3'!AJ22+'4'!AJ22+'5'!AJ22+'6'!AJ22+'7'!AJ22+'8'!AJ22+'9'!AJ22+'10'!AJ22+'11'!AJ22+'12'!AJ22</f>
        <v>0</v>
      </c>
      <c r="AK22" s="91">
        <f>'1'!AK22+'2'!AK22+'3'!AK22+'4'!AK22+'5'!AK22+'6'!AK22+'7'!AK22+'8'!AK22+'9'!AK22+'10'!AK22+'11'!AK22+'12'!AK22</f>
        <v>0</v>
      </c>
      <c r="AL22" s="91">
        <f>'1'!AL22+'2'!AL22+'3'!AL22+'4'!AL22+'5'!AL22+'6'!AL22+'7'!AL22+'8'!AL22+'9'!AL22+'10'!AL22+'11'!AL22+'12'!AL22</f>
        <v>0</v>
      </c>
      <c r="AM22" s="91">
        <f>'1'!AM22+'2'!AM22+'3'!AM22+'4'!AM22+'5'!AM22+'6'!AM22+'7'!AM22+'8'!AM22+'9'!AM22+'10'!AM22+'11'!AM22+'12'!AM22</f>
        <v>0</v>
      </c>
      <c r="AN22" s="91">
        <f>'1'!AN22+'2'!AN22+'3'!AN22+'4'!AN22+'5'!AN22+'6'!AN22+'7'!AN22+'8'!AN22+'9'!AN22+'10'!AN22+'11'!AN22+'12'!AN22</f>
        <v>0</v>
      </c>
      <c r="AO22" s="91">
        <f>'1'!AO22+'2'!AO22+'3'!AO22+'4'!AO22+'5'!AO22+'6'!AO22+'7'!AO22+'8'!AO22+'9'!AO22+'10'!AO22+'11'!AO22+'12'!AO22</f>
        <v>0</v>
      </c>
      <c r="AP22" s="91">
        <f>'1'!AP22+'2'!AP22+'3'!AP22+'4'!AP22+'5'!AP22+'6'!AP22+'7'!AP22+'8'!AP22+'9'!AP22+'10'!AP22+'11'!AP22+'12'!AP22</f>
        <v>0</v>
      </c>
      <c r="AQ22" s="16">
        <f t="shared" si="3"/>
        <v>0</v>
      </c>
      <c r="AR22" s="17">
        <f t="shared" si="11"/>
        <v>0</v>
      </c>
      <c r="AS22" s="15"/>
      <c r="AT22" s="15"/>
      <c r="AU22" s="92">
        <f t="shared" si="4"/>
        <v>0</v>
      </c>
      <c r="AV22" s="92">
        <f t="shared" si="5"/>
        <v>0</v>
      </c>
      <c r="AW22" s="92">
        <f t="shared" si="6"/>
        <v>0</v>
      </c>
      <c r="AX22" s="92">
        <f t="shared" si="7"/>
        <v>0</v>
      </c>
      <c r="AY22" s="18">
        <f t="shared" si="10"/>
        <v>0</v>
      </c>
      <c r="AZ22" s="18">
        <f t="shared" si="10"/>
        <v>0</v>
      </c>
      <c r="BA22" s="74">
        <f t="shared" si="12"/>
        <v>0</v>
      </c>
      <c r="BB22" s="139"/>
      <c r="BC22"/>
    </row>
    <row r="23" spans="1:55" ht="15" customHeight="1" thickBot="1" x14ac:dyDescent="0.3">
      <c r="A23" s="90" t="s">
        <v>27</v>
      </c>
      <c r="B23" s="123" t="s">
        <v>148</v>
      </c>
      <c r="C23" s="114">
        <v>17</v>
      </c>
      <c r="D23" s="121">
        <f>AT23*AU23*AW23</f>
        <v>0</v>
      </c>
      <c r="E23" s="16">
        <f>ROUND(AT23*AV23*AX23,4)</f>
        <v>0</v>
      </c>
      <c r="F23" s="91">
        <f>'1'!F23+'2'!F23+'3'!F23+'4'!F23+'5'!F23+'6'!F23+'7'!F23+'8'!F23+'9'!F23+'10'!F23+'11'!F23+'12'!F23</f>
        <v>0</v>
      </c>
      <c r="G23" s="91">
        <f>'1'!G23+'2'!G23+'3'!G23+'4'!G23+'5'!G23+'6'!G23+'7'!G23+'8'!G23+'9'!G23+'10'!G23+'11'!G23+'12'!G23</f>
        <v>0</v>
      </c>
      <c r="H23" s="135">
        <f>'1'!H23+'2'!H23+'3'!H23+'4'!H23+'5'!H23+'6'!H23+'7'!H23+'8'!H23+'9'!H23+'10'!H23+'11'!H23+'12'!H23</f>
        <v>0</v>
      </c>
      <c r="I23" s="135">
        <f>'1'!I23+'2'!I23+'3'!I23+'4'!I23+'5'!I23+'6'!I23+'7'!I23+'8'!I23+'9'!I23+'10'!I23+'11'!I23+'12'!I23</f>
        <v>0</v>
      </c>
      <c r="J23" s="93" t="s">
        <v>55</v>
      </c>
      <c r="K23" s="135">
        <f>'1'!K23+'2'!K23+'3'!K23+'4'!K23+'5'!K23+'6'!K23+'7'!K23+'8'!K23+'9'!K23+'10'!K23+'11'!K23+'12'!K23</f>
        <v>0</v>
      </c>
      <c r="L23" s="135">
        <f>'1'!L23+'2'!L23+'3'!L23+'4'!L23+'5'!L23+'6'!L23+'7'!L23+'8'!L23+'9'!L23+'10'!L23+'11'!L23+'12'!L23</f>
        <v>0</v>
      </c>
      <c r="M23" s="91">
        <f>'1'!M23+'2'!M23+'3'!M23+'4'!M23+'5'!M23+'6'!M23+'7'!M23+'8'!M23+'9'!M23+'10'!M23+'11'!M23+'12'!M23</f>
        <v>0</v>
      </c>
      <c r="N23" s="91">
        <f>'1'!N23+'2'!N23+'3'!N23+'4'!N23+'5'!N23+'6'!N23+'7'!N23+'8'!N23+'9'!N23+'10'!N23+'11'!N23+'12'!N23</f>
        <v>0</v>
      </c>
      <c r="O23" s="91">
        <f>'1'!O23+'2'!O23+'3'!O23+'4'!O23+'5'!O23+'6'!O23+'7'!O23+'8'!O23+'9'!O23+'10'!O23+'11'!O23+'12'!O23</f>
        <v>0</v>
      </c>
      <c r="P23" s="91">
        <f>'1'!P23+'2'!P23+'3'!P23+'4'!P23+'5'!P23+'6'!P23+'7'!P23+'8'!P23+'9'!P23+'10'!P23+'11'!P23+'12'!P23</f>
        <v>0</v>
      </c>
      <c r="Q23" s="91">
        <f>'1'!Q23+'2'!Q23+'3'!Q23+'4'!Q23+'5'!Q23+'6'!Q23+'7'!Q23+'8'!Q23+'9'!Q23+'10'!Q23+'11'!Q23+'12'!Q23</f>
        <v>0</v>
      </c>
      <c r="R23" s="91">
        <f>'1'!R23+'2'!R23+'3'!R23+'4'!R23+'5'!R23+'6'!R23+'7'!R23+'8'!R23+'9'!R23+'10'!R23+'11'!R23+'12'!R23</f>
        <v>0</v>
      </c>
      <c r="S23" s="91">
        <f>'1'!S23+'2'!S23+'3'!S23+'4'!S23+'5'!S23+'6'!S23+'7'!S23+'8'!S23+'9'!S23+'10'!S23+'11'!S23+'12'!S23</f>
        <v>0</v>
      </c>
      <c r="T23" s="91">
        <f>'1'!T23+'2'!T23+'3'!T23+'4'!T23+'5'!T23+'6'!T23+'7'!T23+'8'!T23+'9'!T23+'10'!T23+'11'!T23+'12'!T23</f>
        <v>0</v>
      </c>
      <c r="U23" s="91">
        <f>'1'!U23+'2'!U23+'3'!U23+'4'!U23+'5'!U23+'6'!U23+'7'!U23+'8'!U23+'9'!U23+'10'!U23+'11'!U23+'12'!U23</f>
        <v>0</v>
      </c>
      <c r="V23" s="91">
        <f>'1'!V23+'2'!V23+'3'!V23+'4'!V23+'5'!V23+'6'!V23+'7'!V23+'8'!V23+'9'!V23+'10'!V23+'11'!V23+'12'!V23</f>
        <v>0</v>
      </c>
      <c r="W23" s="91">
        <f>'1'!W23+'2'!W23+'3'!W23+'4'!W23+'5'!W23+'6'!W23+'7'!W23+'8'!W23+'9'!W23+'10'!W23+'11'!W23+'12'!W23</f>
        <v>0</v>
      </c>
      <c r="X23" s="91">
        <f>'1'!X23+'2'!X23+'3'!X23+'4'!X23+'5'!X23+'6'!X23+'7'!X23+'8'!X23+'9'!X23+'10'!X23+'11'!X23+'12'!X23</f>
        <v>0</v>
      </c>
      <c r="Y23" s="91">
        <f>'1'!Y23+'2'!Y23+'3'!Y23+'4'!Y23+'5'!Y23+'6'!Y23+'7'!Y23+'8'!Y23+'9'!Y23+'10'!Y23+'11'!Y23+'12'!Y23</f>
        <v>0</v>
      </c>
      <c r="Z23" s="91">
        <f>'1'!Z23+'2'!Z23+'3'!Z23+'4'!Z23+'5'!Z23+'6'!Z23+'7'!Z23+'8'!Z23+'9'!Z23+'10'!Z23+'11'!Z23+'12'!Z23</f>
        <v>0</v>
      </c>
      <c r="AA23" s="91">
        <f>'1'!AA23+'2'!AA23+'3'!AA23+'4'!AA23+'5'!AA23+'6'!AA23+'7'!AA23+'8'!AA23+'9'!AA23+'10'!AA23+'11'!AA23+'12'!AA23</f>
        <v>0</v>
      </c>
      <c r="AB23" s="91">
        <f>'1'!AB23+'2'!AB23+'3'!AB23+'4'!AB23+'5'!AB23+'6'!AB23+'7'!AB23+'8'!AB23+'9'!AB23+'10'!AB23+'11'!AB23+'12'!AB23</f>
        <v>0</v>
      </c>
      <c r="AC23" s="91">
        <f>'1'!AC23+'2'!AC23+'3'!AC23+'4'!AC23+'5'!AC23+'6'!AC23+'7'!AC23+'8'!AC23+'9'!AC23+'10'!AC23+'11'!AC23+'12'!AC23</f>
        <v>0</v>
      </c>
      <c r="AD23" s="91">
        <f>'1'!AD23+'2'!AD23+'3'!AD23+'4'!AD23+'5'!AD23+'6'!AD23+'7'!AD23+'8'!AD23+'9'!AD23+'10'!AD23+'11'!AD23+'12'!AD23</f>
        <v>0</v>
      </c>
      <c r="AE23" s="91">
        <f>'1'!AE23+'2'!AE23+'3'!AE23+'4'!AE23+'5'!AE23+'6'!AE23+'7'!AE23+'8'!AE23+'9'!AE23+'10'!AE23+'11'!AE23+'12'!AE23</f>
        <v>0</v>
      </c>
      <c r="AF23" s="91">
        <f>'1'!AF23+'2'!AF23+'3'!AF23+'4'!AF23+'5'!AF23+'6'!AF23+'7'!AF23+'8'!AF23+'9'!AF23+'10'!AF23+'11'!AF23+'12'!AF23</f>
        <v>0</v>
      </c>
      <c r="AG23" s="91">
        <f>'1'!AG23+'2'!AG23+'3'!AG23+'4'!AG23+'5'!AG23+'6'!AG23+'7'!AG23+'8'!AG23+'9'!AG23+'10'!AG23+'11'!AG23+'12'!AG23</f>
        <v>0</v>
      </c>
      <c r="AH23" s="91">
        <f>'1'!AH23+'2'!AH23+'3'!AH23+'4'!AH23+'5'!AH23+'6'!AH23+'7'!AH23+'8'!AH23+'9'!AH23+'10'!AH23+'11'!AH23+'12'!AH23</f>
        <v>0</v>
      </c>
      <c r="AI23" s="91">
        <f>'1'!AI23+'2'!AI23+'3'!AI23+'4'!AI23+'5'!AI23+'6'!AI23+'7'!AI23+'8'!AI23+'9'!AI23+'10'!AI23+'11'!AI23+'12'!AI23</f>
        <v>0</v>
      </c>
      <c r="AJ23" s="91">
        <f>'1'!AJ23+'2'!AJ23+'3'!AJ23+'4'!AJ23+'5'!AJ23+'6'!AJ23+'7'!AJ23+'8'!AJ23+'9'!AJ23+'10'!AJ23+'11'!AJ23+'12'!AJ23</f>
        <v>0</v>
      </c>
      <c r="AK23" s="91">
        <f>'1'!AK23+'2'!AK23+'3'!AK23+'4'!AK23+'5'!AK23+'6'!AK23+'7'!AK23+'8'!AK23+'9'!AK23+'10'!AK23+'11'!AK23+'12'!AK23</f>
        <v>0</v>
      </c>
      <c r="AL23" s="91">
        <f>'1'!AL23+'2'!AL23+'3'!AL23+'4'!AL23+'5'!AL23+'6'!AL23+'7'!AL23+'8'!AL23+'9'!AL23+'10'!AL23+'11'!AL23+'12'!AL23</f>
        <v>0</v>
      </c>
      <c r="AM23" s="91">
        <f>'1'!AM23+'2'!AM23+'3'!AM23+'4'!AM23+'5'!AM23+'6'!AM23+'7'!AM23+'8'!AM23+'9'!AM23+'10'!AM23+'11'!AM23+'12'!AM23</f>
        <v>0</v>
      </c>
      <c r="AN23" s="91">
        <f>'1'!AN23+'2'!AN23+'3'!AN23+'4'!AN23+'5'!AN23+'6'!AN23+'7'!AN23+'8'!AN23+'9'!AN23+'10'!AN23+'11'!AN23+'12'!AN23</f>
        <v>0</v>
      </c>
      <c r="AO23" s="91">
        <f>'1'!AO23+'2'!AO23+'3'!AO23+'4'!AO23+'5'!AO23+'6'!AO23+'7'!AO23+'8'!AO23+'9'!AO23+'10'!AO23+'11'!AO23+'12'!AO23</f>
        <v>0</v>
      </c>
      <c r="AP23" s="91">
        <f>'1'!AP23+'2'!AP23+'3'!AP23+'4'!AP23+'5'!AP23+'6'!AP23+'7'!AP23+'8'!AP23+'9'!AP23+'10'!AP23+'11'!AP23+'12'!AP23</f>
        <v>0</v>
      </c>
      <c r="AQ23" s="16">
        <f t="shared" si="3"/>
        <v>0</v>
      </c>
      <c r="AR23" s="17">
        <f t="shared" si="11"/>
        <v>0</v>
      </c>
      <c r="AS23" s="91">
        <f>AT23</f>
        <v>0</v>
      </c>
      <c r="AT23" s="91">
        <f>'1'!AT23+'2'!AT23+'3'!AT23+'4'!AT23+'5'!AT23+'6'!AT23+'7'!AT23+'8'!AT23+'9'!AT23+'10'!AT23+'11'!AT23+'12'!AT23</f>
        <v>0</v>
      </c>
      <c r="AU23" s="92">
        <f>IF(AT23-AQ23=0,0,(AT23-M23-O23-Q23)/AT23)</f>
        <v>0</v>
      </c>
      <c r="AV23" s="92">
        <f>IF(AT23=0,0,(AT23-N23-P23-R23-AC23-AD23-AE23-AF23-AG23-AH23-AI23-AJ23-AL23)/AT23)</f>
        <v>0</v>
      </c>
      <c r="AW23" s="92">
        <f>IF(OR(AT23=0,AU23=0),0,((AT23*AU23)-S23-U23-W23-AA23-Y23)/(AT23*AU23))</f>
        <v>0</v>
      </c>
      <c r="AX23" s="92">
        <f>IF(OR(AT23=0,AV23=0),0,((AT23*AV23)-AK23-AM23-AN23-AO23-AP23-T23-V23-X23-Z23-AB23)/(AT23*AV23))</f>
        <v>0</v>
      </c>
      <c r="AY23" s="92">
        <f>IF(D23=0,0,K23/D23/24)</f>
        <v>0</v>
      </c>
      <c r="AZ23" s="92">
        <f>IF(E23=0,0,L23/E23/24)</f>
        <v>0</v>
      </c>
      <c r="BA23" s="95">
        <f>ROUND(AT23-E23-AR23,4)</f>
        <v>0</v>
      </c>
      <c r="BB23" s="140"/>
      <c r="BC23"/>
    </row>
    <row r="24" spans="1:55" ht="15" customHeight="1" thickBot="1" x14ac:dyDescent="0.3">
      <c r="A24" s="87" t="s">
        <v>80</v>
      </c>
      <c r="B24" s="124"/>
      <c r="C24" s="87"/>
      <c r="D24" s="129">
        <f t="shared" ref="D24" si="13">SUM(D25:D41)</f>
        <v>0</v>
      </c>
      <c r="E24" s="129">
        <f>SUM(E25:E41)</f>
        <v>0</v>
      </c>
      <c r="F24" s="129">
        <f>SUM(F25:F41)</f>
        <v>0</v>
      </c>
      <c r="G24" s="129">
        <f t="shared" ref="G24:AP24" si="14">SUM(G25:G41)</f>
        <v>0</v>
      </c>
      <c r="H24" s="131">
        <f t="shared" si="14"/>
        <v>0</v>
      </c>
      <c r="I24" s="131">
        <f t="shared" si="14"/>
        <v>0</v>
      </c>
      <c r="J24" s="129">
        <f t="shared" si="14"/>
        <v>0</v>
      </c>
      <c r="K24" s="130">
        <f t="shared" si="14"/>
        <v>0</v>
      </c>
      <c r="L24" s="130">
        <f t="shared" si="14"/>
        <v>0</v>
      </c>
      <c r="M24" s="129">
        <f t="shared" si="14"/>
        <v>0</v>
      </c>
      <c r="N24" s="129">
        <f t="shared" si="14"/>
        <v>0</v>
      </c>
      <c r="O24" s="129">
        <f t="shared" si="14"/>
        <v>0</v>
      </c>
      <c r="P24" s="129">
        <f t="shared" si="14"/>
        <v>0</v>
      </c>
      <c r="Q24" s="129">
        <f t="shared" si="14"/>
        <v>0</v>
      </c>
      <c r="R24" s="129">
        <f t="shared" si="14"/>
        <v>0</v>
      </c>
      <c r="S24" s="129">
        <f t="shared" si="14"/>
        <v>0</v>
      </c>
      <c r="T24" s="129">
        <f t="shared" si="14"/>
        <v>0</v>
      </c>
      <c r="U24" s="129">
        <f t="shared" si="14"/>
        <v>0</v>
      </c>
      <c r="V24" s="129">
        <f t="shared" si="14"/>
        <v>0</v>
      </c>
      <c r="W24" s="129">
        <f t="shared" si="14"/>
        <v>0</v>
      </c>
      <c r="X24" s="129">
        <f t="shared" si="14"/>
        <v>0</v>
      </c>
      <c r="Y24" s="129">
        <f t="shared" si="14"/>
        <v>0</v>
      </c>
      <c r="Z24" s="129">
        <f t="shared" si="14"/>
        <v>0</v>
      </c>
      <c r="AA24" s="129">
        <f t="shared" si="14"/>
        <v>0</v>
      </c>
      <c r="AB24" s="129">
        <f t="shared" si="14"/>
        <v>0</v>
      </c>
      <c r="AC24" s="129">
        <f t="shared" si="14"/>
        <v>0</v>
      </c>
      <c r="AD24" s="129">
        <f t="shared" si="14"/>
        <v>0</v>
      </c>
      <c r="AE24" s="129">
        <f t="shared" si="14"/>
        <v>0</v>
      </c>
      <c r="AF24" s="129">
        <f t="shared" si="14"/>
        <v>0</v>
      </c>
      <c r="AG24" s="129">
        <f t="shared" si="14"/>
        <v>0</v>
      </c>
      <c r="AH24" s="129">
        <f t="shared" si="14"/>
        <v>0</v>
      </c>
      <c r="AI24" s="129">
        <f t="shared" si="14"/>
        <v>0</v>
      </c>
      <c r="AJ24" s="129">
        <f t="shared" si="14"/>
        <v>0</v>
      </c>
      <c r="AK24" s="129">
        <f t="shared" si="14"/>
        <v>0</v>
      </c>
      <c r="AL24" s="129">
        <f>SUM(AL25:AL41)</f>
        <v>0</v>
      </c>
      <c r="AM24" s="129">
        <f t="shared" si="14"/>
        <v>0</v>
      </c>
      <c r="AN24" s="129">
        <f t="shared" si="14"/>
        <v>0</v>
      </c>
      <c r="AO24" s="129">
        <f t="shared" si="14"/>
        <v>0</v>
      </c>
      <c r="AP24" s="129">
        <f t="shared" si="14"/>
        <v>0</v>
      </c>
      <c r="AQ24" s="129">
        <f t="shared" si="3"/>
        <v>0</v>
      </c>
      <c r="AR24" s="129">
        <f t="shared" si="11"/>
        <v>0</v>
      </c>
      <c r="AS24" s="129">
        <f t="shared" ref="AS24:AS59" si="15">AT24</f>
        <v>0</v>
      </c>
      <c r="AT24" s="129">
        <f>SUM(AT25:AT41)</f>
        <v>0</v>
      </c>
      <c r="AU24" s="131">
        <f t="shared" ref="AU24:AU59" si="16">IF(AT24-AQ24=0,0,(AT24-M24-O24-Q24)/AT24)</f>
        <v>0</v>
      </c>
      <c r="AV24" s="131">
        <f t="shared" si="5"/>
        <v>0</v>
      </c>
      <c r="AW24" s="131">
        <f t="shared" ref="AW24:AW59" si="17">IF(OR(AT24=0,AU24=0),0,((AT24*AU24)-S24-U24-W24-AA24-Y24)/(AT24*AU24))</f>
        <v>0</v>
      </c>
      <c r="AX24" s="131">
        <f t="shared" ref="AX24:AX59" si="18">IF(OR(AT24=0,AV24=0),0,((AT24*AV24)-AK24-AM24-AN24-AO24-AP24-T24-V24-X24-Z24-AB24)/(AT24*AV24))</f>
        <v>0</v>
      </c>
      <c r="AY24" s="131">
        <f>SUM(AY25:AY41)</f>
        <v>0</v>
      </c>
      <c r="AZ24" s="131">
        <f>SUM(AZ25:AZ41)</f>
        <v>0</v>
      </c>
      <c r="BA24" s="129">
        <f t="shared" ref="BA24:BA59" si="19">ROUND(AT24-E24-AR24,4)</f>
        <v>0</v>
      </c>
      <c r="BB24" s="141"/>
      <c r="BC24"/>
    </row>
    <row r="25" spans="1:55" ht="15" hidden="1" customHeight="1" x14ac:dyDescent="0.25">
      <c r="A25" s="97" t="s">
        <v>28</v>
      </c>
      <c r="B25" s="115"/>
      <c r="C25" s="115">
        <v>30</v>
      </c>
      <c r="D25" s="121">
        <f>AT25*AU25*AW25</f>
        <v>0</v>
      </c>
      <c r="E25" s="16">
        <f>ROUND(AT25*AV25*AX25,4)</f>
        <v>0</v>
      </c>
      <c r="F25" s="91">
        <f>'1'!F25+'2'!F25+'3'!F25+'4'!F25+'5'!F25+'6'!F25+'7'!F25+'8'!F25+'9'!F25+'10'!F25+'11'!F25+'12'!F25</f>
        <v>0</v>
      </c>
      <c r="G25" s="91">
        <f>'1'!G25+'2'!G25+'3'!G25+'4'!G25+'5'!G25+'6'!G25+'7'!G25+'8'!G25+'9'!G25+'10'!G25+'11'!G25+'12'!G25</f>
        <v>0</v>
      </c>
      <c r="H25" s="135">
        <f>'1'!H25+'2'!H25+'3'!H25+'4'!H25+'5'!H25+'6'!H25+'7'!H25+'8'!H25+'9'!H25+'10'!H25+'11'!H25+'12'!H25</f>
        <v>0</v>
      </c>
      <c r="I25" s="135">
        <f>'1'!I25+'2'!I25+'3'!I25+'4'!I25+'5'!I25+'6'!I25+'7'!I25+'8'!I25+'9'!I25+'10'!I25+'11'!I25+'12'!I25</f>
        <v>0</v>
      </c>
      <c r="J25" s="98" t="s">
        <v>68</v>
      </c>
      <c r="K25" s="133">
        <f>'10'!K25+'11'!K25+'12'!K25</f>
        <v>0</v>
      </c>
      <c r="L25" s="133">
        <f>'10'!L25+'11'!L25+'12'!L25</f>
        <v>0</v>
      </c>
      <c r="M25" s="91">
        <f>'1'!M25+'2'!M25+'3'!M25+'4'!M25+'5'!M25+'6'!M25+'7'!M25+'8'!M25+'9'!M25+'10'!M25+'11'!M25+'12'!M25</f>
        <v>0</v>
      </c>
      <c r="N25" s="91">
        <f>'1'!N25+'2'!N25+'3'!N25+'4'!N25+'5'!N25+'6'!N25+'7'!N25+'8'!N25+'9'!N25+'10'!N25+'11'!N25+'12'!N25</f>
        <v>0</v>
      </c>
      <c r="O25" s="91">
        <f>'1'!O25+'2'!O25+'3'!O25+'4'!O25+'5'!O25+'6'!O25+'7'!O25+'8'!O25+'9'!O25+'10'!O25+'11'!O25+'12'!O25</f>
        <v>0</v>
      </c>
      <c r="P25" s="91">
        <f>'1'!P25+'2'!P25+'3'!P25+'4'!P25+'5'!P25+'6'!P25+'7'!P25+'8'!P25+'9'!P25+'10'!P25+'11'!P25+'12'!P25</f>
        <v>0</v>
      </c>
      <c r="Q25" s="91">
        <f>'1'!Q25+'2'!Q25+'3'!Q25+'4'!Q25+'5'!Q25+'6'!Q25+'7'!Q25+'8'!Q25+'9'!Q25+'10'!Q25+'11'!Q25+'12'!Q25</f>
        <v>0</v>
      </c>
      <c r="R25" s="91">
        <f>'1'!R25+'2'!R25+'3'!R25+'4'!R25+'5'!R25+'6'!R25+'7'!R25+'8'!R25+'9'!R25+'10'!R25+'11'!R25+'12'!R25</f>
        <v>0</v>
      </c>
      <c r="S25" s="91">
        <f>'1'!S25+'2'!S25+'3'!S25+'4'!S25+'5'!S25+'6'!S25+'7'!S25+'8'!S25+'9'!S25+'10'!S25+'11'!S25+'12'!S25</f>
        <v>0</v>
      </c>
      <c r="T25" s="91">
        <f>'1'!T25+'2'!T25+'3'!T25+'4'!T25+'5'!T25+'6'!T25+'7'!T25+'8'!T25+'9'!T25+'10'!T25+'11'!T25+'12'!T25</f>
        <v>0</v>
      </c>
      <c r="U25" s="91">
        <f>'1'!U25+'2'!U25+'3'!U25+'4'!U25+'5'!U25+'6'!U25+'7'!U25+'8'!U25+'9'!U25+'10'!U25+'11'!U25+'12'!U25</f>
        <v>0</v>
      </c>
      <c r="V25" s="91">
        <f>'1'!V25+'2'!V25+'3'!V25+'4'!V25+'5'!V25+'6'!V25+'7'!V25+'8'!V25+'9'!V25+'10'!V25+'11'!V25+'12'!V25</f>
        <v>0</v>
      </c>
      <c r="W25" s="91">
        <f>'1'!W25+'2'!W25+'3'!W25+'4'!W25+'5'!W25+'6'!W25+'7'!W25+'8'!W25+'9'!W25+'10'!W25+'11'!W25+'12'!W25</f>
        <v>0</v>
      </c>
      <c r="X25" s="91">
        <f>'1'!X25+'2'!X25+'3'!X25+'4'!X25+'5'!X25+'6'!X25+'7'!X25+'8'!X25+'9'!X25+'10'!X25+'11'!X25+'12'!X25</f>
        <v>0</v>
      </c>
      <c r="Y25" s="91">
        <f>'1'!Y25+'2'!Y25+'3'!Y25+'4'!Y25+'5'!Y25+'6'!Y25+'7'!Y25+'8'!Y25+'9'!Y25+'10'!Y25+'11'!Y25+'12'!Y25</f>
        <v>0</v>
      </c>
      <c r="Z25" s="91">
        <f>'1'!Z25+'2'!Z25+'3'!Z25+'4'!Z25+'5'!Z25+'6'!Z25+'7'!Z25+'8'!Z25+'9'!Z25+'10'!Z25+'11'!Z25+'12'!Z25</f>
        <v>0</v>
      </c>
      <c r="AA25" s="91">
        <f>'1'!AA25+'2'!AA25+'3'!AA25+'4'!AA25+'5'!AA25+'6'!AA25+'7'!AA25+'8'!AA25+'9'!AA25+'10'!AA25+'11'!AA25+'12'!AA25</f>
        <v>0</v>
      </c>
      <c r="AB25" s="91">
        <f>'1'!AB25+'2'!AB25+'3'!AB25+'4'!AB25+'5'!AB25+'6'!AB25+'7'!AB25+'8'!AB25+'9'!AB25+'10'!AB25+'11'!AB25+'12'!AB25</f>
        <v>0</v>
      </c>
      <c r="AC25" s="91">
        <f>'1'!AC25+'2'!AC25+'3'!AC25+'4'!AC25+'5'!AC25+'6'!AC25+'7'!AC25+'8'!AC25+'9'!AC25+'10'!AC25+'11'!AC25+'12'!AC25</f>
        <v>0</v>
      </c>
      <c r="AD25" s="91">
        <f>'1'!AD25+'2'!AD25+'3'!AD25+'4'!AD25+'5'!AD25+'6'!AD25+'7'!AD25+'8'!AD25+'9'!AD25+'10'!AD25+'11'!AD25+'12'!AD25</f>
        <v>0</v>
      </c>
      <c r="AE25" s="91">
        <f>'1'!AE25+'2'!AE25+'3'!AE25+'4'!AE25+'5'!AE25+'6'!AE25+'7'!AE25+'8'!AE25+'9'!AE25+'10'!AE25+'11'!AE25+'12'!AE25</f>
        <v>0</v>
      </c>
      <c r="AF25" s="91">
        <f>'1'!AF25+'2'!AF25+'3'!AF25+'4'!AF25+'5'!AF25+'6'!AF25+'7'!AF25+'8'!AF25+'9'!AF25+'10'!AF25+'11'!AF25+'12'!AF25</f>
        <v>0</v>
      </c>
      <c r="AG25" s="91">
        <f>'1'!AG25+'2'!AG25+'3'!AG25+'4'!AG25+'5'!AG25+'6'!AG25+'7'!AG25+'8'!AG25+'9'!AG25+'10'!AG25+'11'!AG25+'12'!AG25</f>
        <v>0</v>
      </c>
      <c r="AH25" s="91">
        <f>'1'!AH25+'2'!AH25+'3'!AH25+'4'!AH25+'5'!AH25+'6'!AH25+'7'!AH25+'8'!AH25+'9'!AH25+'10'!AH25+'11'!AH25+'12'!AH25</f>
        <v>0</v>
      </c>
      <c r="AI25" s="91">
        <f>'1'!AI25+'2'!AI25+'3'!AI25+'4'!AI25+'5'!AI25+'6'!AI25+'7'!AI25+'8'!AI25+'9'!AI25+'10'!AI25+'11'!AI25+'12'!AI25</f>
        <v>0</v>
      </c>
      <c r="AJ25" s="91">
        <f>'1'!AJ25+'2'!AJ25+'3'!AJ25+'4'!AJ25+'5'!AJ25+'6'!AJ25+'7'!AJ25+'8'!AJ25+'9'!AJ25+'10'!AJ25+'11'!AJ25+'12'!AJ25</f>
        <v>0</v>
      </c>
      <c r="AK25" s="91">
        <f>'1'!AK25+'2'!AK25+'3'!AK25+'4'!AK25+'5'!AK25+'6'!AK25+'7'!AK25+'8'!AK25+'9'!AK25+'10'!AK25+'11'!AK25+'12'!AK25</f>
        <v>0</v>
      </c>
      <c r="AL25" s="91">
        <f>'1'!AL25+'2'!AL25+'3'!AL25+'4'!AL25+'5'!AL25+'6'!AL25+'7'!AL25+'8'!AL25+'9'!AL25+'10'!AL25+'11'!AL25+'12'!AL25</f>
        <v>0</v>
      </c>
      <c r="AM25" s="91">
        <f>'1'!AM25+'2'!AM25+'3'!AM25+'4'!AM25+'5'!AM25+'6'!AM25+'7'!AM25+'8'!AM25+'9'!AM25+'10'!AM25+'11'!AM25+'12'!AM25</f>
        <v>0</v>
      </c>
      <c r="AN25" s="91">
        <f>'1'!AN25+'2'!AN25+'3'!AN25+'4'!AN25+'5'!AN25+'6'!AN25+'7'!AN25+'8'!AN25+'9'!AN25+'10'!AN25+'11'!AN25+'12'!AN25</f>
        <v>0</v>
      </c>
      <c r="AO25" s="91">
        <f>'1'!AO25+'2'!AO25+'3'!AO25+'4'!AO25+'5'!AO25+'6'!AO25+'7'!AO25+'8'!AO25+'9'!AO25+'10'!AO25+'11'!AO25+'12'!AO25</f>
        <v>0</v>
      </c>
      <c r="AP25" s="91">
        <f>'1'!AP25+'2'!AP25+'3'!AP25+'4'!AP25+'5'!AP25+'6'!AP25+'7'!AP25+'8'!AP25+'9'!AP25+'10'!AP25+'11'!AP25+'12'!AP25</f>
        <v>0</v>
      </c>
      <c r="AQ25" s="16">
        <f t="shared" si="3"/>
        <v>0</v>
      </c>
      <c r="AR25" s="17">
        <f t="shared" si="11"/>
        <v>0</v>
      </c>
      <c r="AS25" s="91">
        <f t="shared" si="15"/>
        <v>0</v>
      </c>
      <c r="AT25" s="17"/>
      <c r="AU25" s="92">
        <f t="shared" si="16"/>
        <v>0</v>
      </c>
      <c r="AV25" s="92">
        <f t="shared" si="5"/>
        <v>0</v>
      </c>
      <c r="AW25" s="92">
        <f t="shared" si="17"/>
        <v>0</v>
      </c>
      <c r="AX25" s="92">
        <f t="shared" si="18"/>
        <v>0</v>
      </c>
      <c r="AY25" s="82">
        <f t="shared" ref="AY25:AZ41" si="20">IF(D25=0,0,K25/D25/24)</f>
        <v>0</v>
      </c>
      <c r="AZ25" s="82">
        <f t="shared" si="20"/>
        <v>0</v>
      </c>
      <c r="BA25" s="95">
        <f t="shared" si="19"/>
        <v>0</v>
      </c>
      <c r="BB25" s="138"/>
      <c r="BC25"/>
    </row>
    <row r="26" spans="1:55" ht="15" customHeight="1" x14ac:dyDescent="0.25">
      <c r="A26" s="71" t="s">
        <v>29</v>
      </c>
      <c r="B26" s="123" t="s">
        <v>137</v>
      </c>
      <c r="C26" s="112">
        <v>32</v>
      </c>
      <c r="D26" s="121">
        <f>AT26*AU26*AW26</f>
        <v>0</v>
      </c>
      <c r="E26" s="16">
        <f>ROUND(AT26*AV26*AX26,4)</f>
        <v>0</v>
      </c>
      <c r="F26" s="91">
        <f>'1'!F26+'2'!F26+'3'!F26+'4'!F26+'5'!F26+'6'!F26+'7'!F26+'8'!F26+'9'!F26+'10'!F26+'11'!F26+'12'!F26</f>
        <v>0</v>
      </c>
      <c r="G26" s="91">
        <f>'1'!G26+'2'!G26+'3'!G26+'4'!G26+'5'!G26+'6'!G26+'7'!G26+'8'!G26+'9'!G26+'10'!G26+'11'!G26+'12'!G26</f>
        <v>0</v>
      </c>
      <c r="H26" s="135">
        <f>'1'!H26+'2'!H26+'3'!H26+'4'!H26+'5'!H26+'6'!H26+'7'!H26+'8'!H26+'9'!H26+'10'!H26+'11'!H26+'12'!H26</f>
        <v>0</v>
      </c>
      <c r="I26" s="135">
        <f>'1'!I26+'2'!I26+'3'!I26+'4'!I26+'5'!I26+'6'!I26+'7'!I26+'8'!I26+'9'!I26+'10'!I26+'11'!I26+'12'!I26</f>
        <v>0</v>
      </c>
      <c r="J26" s="9" t="s">
        <v>68</v>
      </c>
      <c r="K26" s="135">
        <f>'1'!K26+'2'!K26+'3'!K26+'4'!K26+'5'!K26+'6'!K26+'7'!K26+'8'!K26+'9'!K26+'10'!K26+'11'!K26+'12'!K26</f>
        <v>0</v>
      </c>
      <c r="L26" s="135">
        <f>'1'!L26+'2'!L26+'3'!L26+'4'!L26+'5'!L26+'6'!L26+'7'!L26+'8'!L26+'9'!L26+'10'!L26+'11'!L26+'12'!L26</f>
        <v>0</v>
      </c>
      <c r="M26" s="91">
        <f>'1'!M26+'2'!M26+'3'!M26+'4'!M26+'5'!M26+'6'!M26+'7'!M26+'8'!M26+'9'!M26+'10'!M26+'11'!M26+'12'!M26</f>
        <v>0</v>
      </c>
      <c r="N26" s="91">
        <f>'1'!N26+'2'!N26+'3'!N26+'4'!N26+'5'!N26+'6'!N26+'7'!N26+'8'!N26+'9'!N26+'10'!N26+'11'!N26+'12'!N26</f>
        <v>0</v>
      </c>
      <c r="O26" s="91">
        <f>'1'!O26+'2'!O26+'3'!O26+'4'!O26+'5'!O26+'6'!O26+'7'!O26+'8'!O26+'9'!O26+'10'!O26+'11'!O26+'12'!O26</f>
        <v>0</v>
      </c>
      <c r="P26" s="91">
        <f>'1'!P26+'2'!P26+'3'!P26+'4'!P26+'5'!P26+'6'!P26+'7'!P26+'8'!P26+'9'!P26+'10'!P26+'11'!P26+'12'!P26</f>
        <v>0</v>
      </c>
      <c r="Q26" s="91">
        <f>'1'!Q26+'2'!Q26+'3'!Q26+'4'!Q26+'5'!Q26+'6'!Q26+'7'!Q26+'8'!Q26+'9'!Q26+'10'!Q26+'11'!Q26+'12'!Q26</f>
        <v>0</v>
      </c>
      <c r="R26" s="91">
        <f>'1'!R26+'2'!R26+'3'!R26+'4'!R26+'5'!R26+'6'!R26+'7'!R26+'8'!R26+'9'!R26+'10'!R26+'11'!R26+'12'!R26</f>
        <v>0</v>
      </c>
      <c r="S26" s="91">
        <f>'1'!S26+'2'!S26+'3'!S26+'4'!S26+'5'!S26+'6'!S26+'7'!S26+'8'!S26+'9'!S26+'10'!S26+'11'!S26+'12'!S26</f>
        <v>0</v>
      </c>
      <c r="T26" s="91">
        <f>'1'!T26+'2'!T26+'3'!T26+'4'!T26+'5'!T26+'6'!T26+'7'!T26+'8'!T26+'9'!T26+'10'!T26+'11'!T26+'12'!T26</f>
        <v>0</v>
      </c>
      <c r="U26" s="91">
        <f>'1'!U26+'2'!U26+'3'!U26+'4'!U26+'5'!U26+'6'!U26+'7'!U26+'8'!U26+'9'!U26+'10'!U26+'11'!U26+'12'!U26</f>
        <v>0</v>
      </c>
      <c r="V26" s="91">
        <f>'1'!V26+'2'!V26+'3'!V26+'4'!V26+'5'!V26+'6'!V26+'7'!V26+'8'!V26+'9'!V26+'10'!V26+'11'!V26+'12'!V26</f>
        <v>0</v>
      </c>
      <c r="W26" s="91">
        <f>'1'!W26+'2'!W26+'3'!W26+'4'!W26+'5'!W26+'6'!W26+'7'!W26+'8'!W26+'9'!W26+'10'!W26+'11'!W26+'12'!W26</f>
        <v>0</v>
      </c>
      <c r="X26" s="91">
        <f>'1'!X26+'2'!X26+'3'!X26+'4'!X26+'5'!X26+'6'!X26+'7'!X26+'8'!X26+'9'!X26+'10'!X26+'11'!X26+'12'!X26</f>
        <v>0</v>
      </c>
      <c r="Y26" s="91">
        <f>'1'!Y26+'2'!Y26+'3'!Y26+'4'!Y26+'5'!Y26+'6'!Y26+'7'!Y26+'8'!Y26+'9'!Y26+'10'!Y26+'11'!Y26+'12'!Y26</f>
        <v>0</v>
      </c>
      <c r="Z26" s="91">
        <f>'1'!Z26+'2'!Z26+'3'!Z26+'4'!Z26+'5'!Z26+'6'!Z26+'7'!Z26+'8'!Z26+'9'!Z26+'10'!Z26+'11'!Z26+'12'!Z26</f>
        <v>0</v>
      </c>
      <c r="AA26" s="91">
        <f>'1'!AA26+'2'!AA26+'3'!AA26+'4'!AA26+'5'!AA26+'6'!AA26+'7'!AA26+'8'!AA26+'9'!AA26+'10'!AA26+'11'!AA26+'12'!AA26</f>
        <v>0</v>
      </c>
      <c r="AB26" s="91">
        <f>'1'!AB26+'2'!AB26+'3'!AB26+'4'!AB26+'5'!AB26+'6'!AB26+'7'!AB26+'8'!AB26+'9'!AB26+'10'!AB26+'11'!AB26+'12'!AB26</f>
        <v>0</v>
      </c>
      <c r="AC26" s="91">
        <f>'1'!AC26+'2'!AC26+'3'!AC26+'4'!AC26+'5'!AC26+'6'!AC26+'7'!AC26+'8'!AC26+'9'!AC26+'10'!AC26+'11'!AC26+'12'!AC26</f>
        <v>0</v>
      </c>
      <c r="AD26" s="91">
        <f>'1'!AD26+'2'!AD26+'3'!AD26+'4'!AD26+'5'!AD26+'6'!AD26+'7'!AD26+'8'!AD26+'9'!AD26+'10'!AD26+'11'!AD26+'12'!AD26</f>
        <v>0</v>
      </c>
      <c r="AE26" s="91">
        <f>'1'!AE26+'2'!AE26+'3'!AE26+'4'!AE26+'5'!AE26+'6'!AE26+'7'!AE26+'8'!AE26+'9'!AE26+'10'!AE26+'11'!AE26+'12'!AE26</f>
        <v>0</v>
      </c>
      <c r="AF26" s="91">
        <f>'1'!AF26+'2'!AF26+'3'!AF26+'4'!AF26+'5'!AF26+'6'!AF26+'7'!AF26+'8'!AF26+'9'!AF26+'10'!AF26+'11'!AF26+'12'!AF26</f>
        <v>0</v>
      </c>
      <c r="AG26" s="91">
        <f>'1'!AG26+'2'!AG26+'3'!AG26+'4'!AG26+'5'!AG26+'6'!AG26+'7'!AG26+'8'!AG26+'9'!AG26+'10'!AG26+'11'!AG26+'12'!AG26</f>
        <v>0</v>
      </c>
      <c r="AH26" s="91">
        <f>'1'!AH26+'2'!AH26+'3'!AH26+'4'!AH26+'5'!AH26+'6'!AH26+'7'!AH26+'8'!AH26+'9'!AH26+'10'!AH26+'11'!AH26+'12'!AH26</f>
        <v>0</v>
      </c>
      <c r="AI26" s="91">
        <f>'1'!AI26+'2'!AI26+'3'!AI26+'4'!AI26+'5'!AI26+'6'!AI26+'7'!AI26+'8'!AI26+'9'!AI26+'10'!AI26+'11'!AI26+'12'!AI26</f>
        <v>0</v>
      </c>
      <c r="AJ26" s="91">
        <f>'1'!AJ26+'2'!AJ26+'3'!AJ26+'4'!AJ26+'5'!AJ26+'6'!AJ26+'7'!AJ26+'8'!AJ26+'9'!AJ26+'10'!AJ26+'11'!AJ26+'12'!AJ26</f>
        <v>0</v>
      </c>
      <c r="AK26" s="91">
        <f>'1'!AK26+'2'!AK26+'3'!AK26+'4'!AK26+'5'!AK26+'6'!AK26+'7'!AK26+'8'!AK26+'9'!AK26+'10'!AK26+'11'!AK26+'12'!AK26</f>
        <v>0</v>
      </c>
      <c r="AL26" s="91">
        <f>'1'!AL26+'2'!AL26+'3'!AL26+'4'!AL26+'5'!AL26+'6'!AL26+'7'!AL26+'8'!AL26+'9'!AL26+'10'!AL26+'11'!AL26+'12'!AL26</f>
        <v>0</v>
      </c>
      <c r="AM26" s="91">
        <f>'1'!AM26+'2'!AM26+'3'!AM26+'4'!AM26+'5'!AM26+'6'!AM26+'7'!AM26+'8'!AM26+'9'!AM26+'10'!AM26+'11'!AM26+'12'!AM26</f>
        <v>0</v>
      </c>
      <c r="AN26" s="91">
        <f>'1'!AN26+'2'!AN26+'3'!AN26+'4'!AN26+'5'!AN26+'6'!AN26+'7'!AN26+'8'!AN26+'9'!AN26+'10'!AN26+'11'!AN26+'12'!AN26</f>
        <v>0</v>
      </c>
      <c r="AO26" s="91">
        <f>'1'!AO26+'2'!AO26+'3'!AO26+'4'!AO26+'5'!AO26+'6'!AO26+'7'!AO26+'8'!AO26+'9'!AO26+'10'!AO26+'11'!AO26+'12'!AO26</f>
        <v>0</v>
      </c>
      <c r="AP26" s="91">
        <f>'1'!AP26+'2'!AP26+'3'!AP26+'4'!AP26+'5'!AP26+'6'!AP26+'7'!AP26+'8'!AP26+'9'!AP26+'10'!AP26+'11'!AP26+'12'!AP26</f>
        <v>0</v>
      </c>
      <c r="AQ26" s="16">
        <f t="shared" si="3"/>
        <v>0</v>
      </c>
      <c r="AR26" s="17">
        <f t="shared" si="11"/>
        <v>0</v>
      </c>
      <c r="AS26" s="91">
        <f t="shared" si="15"/>
        <v>0</v>
      </c>
      <c r="AT26" s="91">
        <f>'1'!AT26+'2'!AT26+'3'!AT26+'4'!AT26+'5'!AT26+'6'!AT26+'7'!AT26+'8'!AT26+'9'!AT26+'10'!AT26+'11'!AT26+'12'!AT26</f>
        <v>0</v>
      </c>
      <c r="AU26" s="92">
        <f t="shared" si="16"/>
        <v>0</v>
      </c>
      <c r="AV26" s="92">
        <f t="shared" si="5"/>
        <v>0</v>
      </c>
      <c r="AW26" s="92">
        <f t="shared" si="17"/>
        <v>0</v>
      </c>
      <c r="AX26" s="92">
        <f t="shared" si="18"/>
        <v>0</v>
      </c>
      <c r="AY26" s="82">
        <f t="shared" si="20"/>
        <v>0</v>
      </c>
      <c r="AZ26" s="82">
        <f t="shared" si="20"/>
        <v>0</v>
      </c>
      <c r="BA26" s="95">
        <f t="shared" si="19"/>
        <v>0</v>
      </c>
      <c r="BB26" s="139"/>
      <c r="BC26"/>
    </row>
    <row r="27" spans="1:55" ht="15" customHeight="1" thickBot="1" x14ac:dyDescent="0.3">
      <c r="A27" s="71" t="s">
        <v>30</v>
      </c>
      <c r="B27" s="123" t="s">
        <v>138</v>
      </c>
      <c r="C27" s="112">
        <v>35</v>
      </c>
      <c r="D27" s="121">
        <f>AT27*AU27*AW27</f>
        <v>0</v>
      </c>
      <c r="E27" s="16">
        <f>ROUND(AT27*AV27*AX27,4)</f>
        <v>0</v>
      </c>
      <c r="F27" s="91">
        <f>'1'!F27+'2'!F27+'3'!F27+'4'!F27+'5'!F27+'6'!F27+'7'!F27+'8'!F27+'9'!F27+'10'!F27+'11'!F27+'12'!F27</f>
        <v>0</v>
      </c>
      <c r="G27" s="91">
        <f>'1'!G27+'2'!G27+'3'!G27+'4'!G27+'5'!G27+'6'!G27+'7'!G27+'8'!G27+'9'!G27+'10'!G27+'11'!G27+'12'!G27</f>
        <v>0</v>
      </c>
      <c r="H27" s="135">
        <f>'1'!H27+'2'!H27+'3'!H27+'4'!H27+'5'!H27+'6'!H27+'7'!H27+'8'!H27+'9'!H27+'10'!H27+'11'!H27+'12'!H27</f>
        <v>0</v>
      </c>
      <c r="I27" s="135">
        <f>'1'!I27+'2'!I27+'3'!I27+'4'!I27+'5'!I27+'6'!I27+'7'!I27+'8'!I27+'9'!I27+'10'!I27+'11'!I27+'12'!I27</f>
        <v>0</v>
      </c>
      <c r="J27" s="9" t="s">
        <v>68</v>
      </c>
      <c r="K27" s="135">
        <f>'1'!K27+'2'!K27+'3'!K27+'4'!K27+'5'!K27+'6'!K27+'7'!K27+'8'!K27+'9'!K27+'10'!K27+'11'!K27+'12'!K27</f>
        <v>0</v>
      </c>
      <c r="L27" s="135">
        <f>'1'!L27+'2'!L27+'3'!L27+'4'!L27+'5'!L27+'6'!L27+'7'!L27+'8'!L27+'9'!L27+'10'!L27+'11'!L27+'12'!L27</f>
        <v>0</v>
      </c>
      <c r="M27" s="91">
        <f>'1'!M27+'2'!M27+'3'!M27+'4'!M27+'5'!M27+'6'!M27+'7'!M27+'8'!M27+'9'!M27+'10'!M27+'11'!M27+'12'!M27</f>
        <v>0</v>
      </c>
      <c r="N27" s="91">
        <f>'1'!N27+'2'!N27+'3'!N27+'4'!N27+'5'!N27+'6'!N27+'7'!N27+'8'!N27+'9'!N27+'10'!N27+'11'!N27+'12'!N27</f>
        <v>0</v>
      </c>
      <c r="O27" s="91">
        <f>'1'!O27+'2'!O27+'3'!O27+'4'!O27+'5'!O27+'6'!O27+'7'!O27+'8'!O27+'9'!O27+'10'!O27+'11'!O27+'12'!O27</f>
        <v>0</v>
      </c>
      <c r="P27" s="91">
        <f>'1'!P27+'2'!P27+'3'!P27+'4'!P27+'5'!P27+'6'!P27+'7'!P27+'8'!P27+'9'!P27+'10'!P27+'11'!P27+'12'!P27</f>
        <v>0</v>
      </c>
      <c r="Q27" s="91">
        <f>'1'!Q27+'2'!Q27+'3'!Q27+'4'!Q27+'5'!Q27+'6'!Q27+'7'!Q27+'8'!Q27+'9'!Q27+'10'!Q27+'11'!Q27+'12'!Q27</f>
        <v>0</v>
      </c>
      <c r="R27" s="91">
        <f>'1'!R27+'2'!R27+'3'!R27+'4'!R27+'5'!R27+'6'!R27+'7'!R27+'8'!R27+'9'!R27+'10'!R27+'11'!R27+'12'!R27</f>
        <v>0</v>
      </c>
      <c r="S27" s="91">
        <f>'1'!S27+'2'!S27+'3'!S27+'4'!S27+'5'!S27+'6'!S27+'7'!S27+'8'!S27+'9'!S27+'10'!S27+'11'!S27+'12'!S27</f>
        <v>0</v>
      </c>
      <c r="T27" s="91">
        <f>'1'!T27+'2'!T27+'3'!T27+'4'!T27+'5'!T27+'6'!T27+'7'!T27+'8'!T27+'9'!T27+'10'!T27+'11'!T27+'12'!T27</f>
        <v>0</v>
      </c>
      <c r="U27" s="91">
        <f>'1'!U27+'2'!U27+'3'!U27+'4'!U27+'5'!U27+'6'!U27+'7'!U27+'8'!U27+'9'!U27+'10'!U27+'11'!U27+'12'!U27</f>
        <v>0</v>
      </c>
      <c r="V27" s="91">
        <f>'1'!V27+'2'!V27+'3'!V27+'4'!V27+'5'!V27+'6'!V27+'7'!V27+'8'!V27+'9'!V27+'10'!V27+'11'!V27+'12'!V27</f>
        <v>0</v>
      </c>
      <c r="W27" s="91">
        <f>'1'!W27+'2'!W27+'3'!W27+'4'!W27+'5'!W27+'6'!W27+'7'!W27+'8'!W27+'9'!W27+'10'!W27+'11'!W27+'12'!W27</f>
        <v>0</v>
      </c>
      <c r="X27" s="91">
        <f>'1'!X27+'2'!X27+'3'!X27+'4'!X27+'5'!X27+'6'!X27+'7'!X27+'8'!X27+'9'!X27+'10'!X27+'11'!X27+'12'!X27</f>
        <v>0</v>
      </c>
      <c r="Y27" s="91">
        <f>'1'!Y27+'2'!Y27+'3'!Y27+'4'!Y27+'5'!Y27+'6'!Y27+'7'!Y27+'8'!Y27+'9'!Y27+'10'!Y27+'11'!Y27+'12'!Y27</f>
        <v>0</v>
      </c>
      <c r="Z27" s="91">
        <f>'1'!Z27+'2'!Z27+'3'!Z27+'4'!Z27+'5'!Z27+'6'!Z27+'7'!Z27+'8'!Z27+'9'!Z27+'10'!Z27+'11'!Z27+'12'!Z27</f>
        <v>0</v>
      </c>
      <c r="AA27" s="91">
        <f>'1'!AA27+'2'!AA27+'3'!AA27+'4'!AA27+'5'!AA27+'6'!AA27+'7'!AA27+'8'!AA27+'9'!AA27+'10'!AA27+'11'!AA27+'12'!AA27</f>
        <v>0</v>
      </c>
      <c r="AB27" s="91">
        <f>'1'!AB27+'2'!AB27+'3'!AB27+'4'!AB27+'5'!AB27+'6'!AB27+'7'!AB27+'8'!AB27+'9'!AB27+'10'!AB27+'11'!AB27+'12'!AB27</f>
        <v>0</v>
      </c>
      <c r="AC27" s="91">
        <f>'1'!AC27+'2'!AC27+'3'!AC27+'4'!AC27+'5'!AC27+'6'!AC27+'7'!AC27+'8'!AC27+'9'!AC27+'10'!AC27+'11'!AC27+'12'!AC27</f>
        <v>0</v>
      </c>
      <c r="AD27" s="91">
        <f>'1'!AD27+'2'!AD27+'3'!AD27+'4'!AD27+'5'!AD27+'6'!AD27+'7'!AD27+'8'!AD27+'9'!AD27+'10'!AD27+'11'!AD27+'12'!AD27</f>
        <v>0</v>
      </c>
      <c r="AE27" s="91">
        <f>'1'!AE27+'2'!AE27+'3'!AE27+'4'!AE27+'5'!AE27+'6'!AE27+'7'!AE27+'8'!AE27+'9'!AE27+'10'!AE27+'11'!AE27+'12'!AE27</f>
        <v>0</v>
      </c>
      <c r="AF27" s="91">
        <f>'1'!AF27+'2'!AF27+'3'!AF27+'4'!AF27+'5'!AF27+'6'!AF27+'7'!AF27+'8'!AF27+'9'!AF27+'10'!AF27+'11'!AF27+'12'!AF27</f>
        <v>0</v>
      </c>
      <c r="AG27" s="91">
        <f>'1'!AG27+'2'!AG27+'3'!AG27+'4'!AG27+'5'!AG27+'6'!AG27+'7'!AG27+'8'!AG27+'9'!AG27+'10'!AG27+'11'!AG27+'12'!AG27</f>
        <v>0</v>
      </c>
      <c r="AH27" s="91">
        <f>'1'!AH27+'2'!AH27+'3'!AH27+'4'!AH27+'5'!AH27+'6'!AH27+'7'!AH27+'8'!AH27+'9'!AH27+'10'!AH27+'11'!AH27+'12'!AH27</f>
        <v>0</v>
      </c>
      <c r="AI27" s="91">
        <f>'1'!AI27+'2'!AI27+'3'!AI27+'4'!AI27+'5'!AI27+'6'!AI27+'7'!AI27+'8'!AI27+'9'!AI27+'10'!AI27+'11'!AI27+'12'!AI27</f>
        <v>0</v>
      </c>
      <c r="AJ27" s="91">
        <f>'1'!AJ27+'2'!AJ27+'3'!AJ27+'4'!AJ27+'5'!AJ27+'6'!AJ27+'7'!AJ27+'8'!AJ27+'9'!AJ27+'10'!AJ27+'11'!AJ27+'12'!AJ27</f>
        <v>0</v>
      </c>
      <c r="AK27" s="91">
        <f>'1'!AK27+'2'!AK27+'3'!AK27+'4'!AK27+'5'!AK27+'6'!AK27+'7'!AK27+'8'!AK27+'9'!AK27+'10'!AK27+'11'!AK27+'12'!AK27</f>
        <v>0</v>
      </c>
      <c r="AL27" s="91">
        <f>'1'!AL27+'2'!AL27+'3'!AL27+'4'!AL27+'5'!AL27+'6'!AL27+'7'!AL27+'8'!AL27+'9'!AL27+'10'!AL27+'11'!AL27+'12'!AL27</f>
        <v>0</v>
      </c>
      <c r="AM27" s="91">
        <f>'1'!AM27+'2'!AM27+'3'!AM27+'4'!AM27+'5'!AM27+'6'!AM27+'7'!AM27+'8'!AM27+'9'!AM27+'10'!AM27+'11'!AM27+'12'!AM27</f>
        <v>0</v>
      </c>
      <c r="AN27" s="91">
        <f>'1'!AN27+'2'!AN27+'3'!AN27+'4'!AN27+'5'!AN27+'6'!AN27+'7'!AN27+'8'!AN27+'9'!AN27+'10'!AN27+'11'!AN27+'12'!AN27</f>
        <v>0</v>
      </c>
      <c r="AO27" s="91">
        <f>'1'!AO27+'2'!AO27+'3'!AO27+'4'!AO27+'5'!AO27+'6'!AO27+'7'!AO27+'8'!AO27+'9'!AO27+'10'!AO27+'11'!AO27+'12'!AO27</f>
        <v>0</v>
      </c>
      <c r="AP27" s="91">
        <f>'1'!AP27+'2'!AP27+'3'!AP27+'4'!AP27+'5'!AP27+'6'!AP27+'7'!AP27+'8'!AP27+'9'!AP27+'10'!AP27+'11'!AP27+'12'!AP27</f>
        <v>0</v>
      </c>
      <c r="AQ27" s="16">
        <f t="shared" si="3"/>
        <v>0</v>
      </c>
      <c r="AR27" s="17">
        <f t="shared" si="11"/>
        <v>0</v>
      </c>
      <c r="AS27" s="91">
        <f t="shared" si="15"/>
        <v>0</v>
      </c>
      <c r="AT27" s="91">
        <f>'1'!AT27+'2'!AT27+'3'!AT27+'4'!AT27+'5'!AT27+'6'!AT27+'7'!AT27+'8'!AT27+'9'!AT27+'10'!AT27+'11'!AT27+'12'!AT27</f>
        <v>0</v>
      </c>
      <c r="AU27" s="92">
        <f t="shared" si="16"/>
        <v>0</v>
      </c>
      <c r="AV27" s="92">
        <f t="shared" si="5"/>
        <v>0</v>
      </c>
      <c r="AW27" s="92">
        <f t="shared" si="17"/>
        <v>0</v>
      </c>
      <c r="AX27" s="92">
        <f t="shared" si="18"/>
        <v>0</v>
      </c>
      <c r="AY27" s="82">
        <f t="shared" si="20"/>
        <v>0</v>
      </c>
      <c r="AZ27" s="82">
        <f t="shared" si="20"/>
        <v>0</v>
      </c>
      <c r="BA27" s="95">
        <f t="shared" si="19"/>
        <v>0</v>
      </c>
      <c r="BB27" s="139"/>
      <c r="BC27"/>
    </row>
    <row r="28" spans="1:55" ht="15" hidden="1" customHeight="1" x14ac:dyDescent="0.3">
      <c r="A28" s="72" t="s">
        <v>31</v>
      </c>
      <c r="B28" s="111"/>
      <c r="C28" s="111">
        <v>39</v>
      </c>
      <c r="D28" s="121">
        <f t="shared" ref="D28:D41" si="21">AT28*AU28*AW28</f>
        <v>0</v>
      </c>
      <c r="E28" s="16">
        <f t="shared" ref="E28:E41" si="22">ROUND(AT28*AV28*AX28,4)</f>
        <v>0</v>
      </c>
      <c r="F28" s="91">
        <f>'1'!F28+'2'!F28+'3'!F28+'4'!F28+'5'!F28+'6'!F28+'7'!F28+'8'!F28+'9'!F28+'10'!F28+'11'!F28+'12'!F28</f>
        <v>0</v>
      </c>
      <c r="G28" s="91">
        <f>'1'!G28+'2'!G28+'3'!G28+'4'!G28+'5'!G28+'6'!G28+'7'!G28+'8'!G28+'9'!G28+'10'!G28+'11'!G28+'12'!G28</f>
        <v>0</v>
      </c>
      <c r="H28" s="135">
        <f>'1'!H28+'2'!H28+'3'!H28+'4'!H28+'5'!H28+'6'!H28+'7'!H28+'8'!H28+'9'!H28+'10'!H28+'11'!H28+'12'!H28</f>
        <v>0</v>
      </c>
      <c r="I28" s="135">
        <f>'1'!I28+'2'!I28+'3'!I28+'4'!I28+'5'!I28+'6'!I28+'7'!I28+'8'!I28+'9'!I28+'10'!I28+'11'!I28+'12'!I28</f>
        <v>0</v>
      </c>
      <c r="J28" s="9" t="s">
        <v>68</v>
      </c>
      <c r="K28" s="135">
        <f>'1'!K28+'2'!K28+'3'!K28+'4'!K28+'5'!K28+'6'!K28+'7'!K28+'8'!K28+'9'!K28+'10'!K28+'11'!K28+'12'!K28</f>
        <v>0</v>
      </c>
      <c r="L28" s="135">
        <f>'1'!L28+'2'!L28+'3'!L28+'4'!L28+'5'!L28+'6'!L28+'7'!L28+'8'!L28+'9'!L28+'10'!L28+'11'!L28+'12'!L28</f>
        <v>0</v>
      </c>
      <c r="M28" s="91">
        <f>'1'!M28+'2'!M28+'3'!M28+'4'!M28+'5'!M28+'6'!M28+'7'!M28+'8'!M28+'9'!M28+'10'!M28+'11'!M28+'12'!M28</f>
        <v>0</v>
      </c>
      <c r="N28" s="91">
        <f>'1'!N28+'2'!N28+'3'!N28+'4'!N28+'5'!N28+'6'!N28+'7'!N28+'8'!N28+'9'!N28+'10'!N28+'11'!N28+'12'!N28</f>
        <v>0</v>
      </c>
      <c r="O28" s="91">
        <f>'1'!O28+'2'!O28+'3'!O28+'4'!O28+'5'!O28+'6'!O28+'7'!O28+'8'!O28+'9'!O28+'10'!O28+'11'!O28+'12'!O28</f>
        <v>0</v>
      </c>
      <c r="P28" s="91">
        <f>'1'!P28+'2'!P28+'3'!P28+'4'!P28+'5'!P28+'6'!P28+'7'!P28+'8'!P28+'9'!P28+'10'!P28+'11'!P28+'12'!P28</f>
        <v>0</v>
      </c>
      <c r="Q28" s="91">
        <f>'1'!Q28+'2'!Q28+'3'!Q28+'4'!Q28+'5'!Q28+'6'!Q28+'7'!Q28+'8'!Q28+'9'!Q28+'10'!Q28+'11'!Q28+'12'!Q28</f>
        <v>0</v>
      </c>
      <c r="R28" s="91">
        <f>'1'!R28+'2'!R28+'3'!R28+'4'!R28+'5'!R28+'6'!R28+'7'!R28+'8'!R28+'9'!R28+'10'!R28+'11'!R28+'12'!R28</f>
        <v>0</v>
      </c>
      <c r="S28" s="91">
        <f>'1'!S28+'2'!S28+'3'!S28+'4'!S28+'5'!S28+'6'!S28+'7'!S28+'8'!S28+'9'!S28+'10'!S28+'11'!S28+'12'!S28</f>
        <v>0</v>
      </c>
      <c r="T28" s="91">
        <f>'1'!T28+'2'!T28+'3'!T28+'4'!T28+'5'!T28+'6'!T28+'7'!T28+'8'!T28+'9'!T28+'10'!T28+'11'!T28+'12'!T28</f>
        <v>0</v>
      </c>
      <c r="U28" s="91">
        <f>'1'!U28+'2'!U28+'3'!U28+'4'!U28+'5'!U28+'6'!U28+'7'!U28+'8'!U28+'9'!U28+'10'!U28+'11'!U28+'12'!U28</f>
        <v>0</v>
      </c>
      <c r="V28" s="91">
        <f>'1'!V28+'2'!V28+'3'!V28+'4'!V28+'5'!V28+'6'!V28+'7'!V28+'8'!V28+'9'!V28+'10'!V28+'11'!V28+'12'!V28</f>
        <v>0</v>
      </c>
      <c r="W28" s="91">
        <f>'1'!W28+'2'!W28+'3'!W28+'4'!W28+'5'!W28+'6'!W28+'7'!W28+'8'!W28+'9'!W28+'10'!W28+'11'!W28+'12'!W28</f>
        <v>0</v>
      </c>
      <c r="X28" s="91">
        <f>'1'!X28+'2'!X28+'3'!X28+'4'!X28+'5'!X28+'6'!X28+'7'!X28+'8'!X28+'9'!X28+'10'!X28+'11'!X28+'12'!X28</f>
        <v>0</v>
      </c>
      <c r="Y28" s="91">
        <f>'1'!Y28+'2'!Y28+'3'!Y28+'4'!Y28+'5'!Y28+'6'!Y28+'7'!Y28+'8'!Y28+'9'!Y28+'10'!Y28+'11'!Y28+'12'!Y28</f>
        <v>0</v>
      </c>
      <c r="Z28" s="91">
        <f>'1'!Z28+'2'!Z28+'3'!Z28+'4'!Z28+'5'!Z28+'6'!Z28+'7'!Z28+'8'!Z28+'9'!Z28+'10'!Z28+'11'!Z28+'12'!Z28</f>
        <v>0</v>
      </c>
      <c r="AA28" s="91">
        <f>'1'!AA28+'2'!AA28+'3'!AA28+'4'!AA28+'5'!AA28+'6'!AA28+'7'!AA28+'8'!AA28+'9'!AA28+'10'!AA28+'11'!AA28+'12'!AA28</f>
        <v>0</v>
      </c>
      <c r="AB28" s="91">
        <f>'1'!AB28+'2'!AB28+'3'!AB28+'4'!AB28+'5'!AB28+'6'!AB28+'7'!AB28+'8'!AB28+'9'!AB28+'10'!AB28+'11'!AB28+'12'!AB28</f>
        <v>0</v>
      </c>
      <c r="AC28" s="91">
        <f>'1'!AC28+'2'!AC28+'3'!AC28+'4'!AC28+'5'!AC28+'6'!AC28+'7'!AC28+'8'!AC28+'9'!AC28+'10'!AC28+'11'!AC28+'12'!AC28</f>
        <v>0</v>
      </c>
      <c r="AD28" s="91">
        <f>'1'!AD28+'2'!AD28+'3'!AD28+'4'!AD28+'5'!AD28+'6'!AD28+'7'!AD28+'8'!AD28+'9'!AD28+'10'!AD28+'11'!AD28+'12'!AD28</f>
        <v>0</v>
      </c>
      <c r="AE28" s="91">
        <f>'1'!AE28+'2'!AE28+'3'!AE28+'4'!AE28+'5'!AE28+'6'!AE28+'7'!AE28+'8'!AE28+'9'!AE28+'10'!AE28+'11'!AE28+'12'!AE28</f>
        <v>0</v>
      </c>
      <c r="AF28" s="91">
        <f>'1'!AF28+'2'!AF28+'3'!AF28+'4'!AF28+'5'!AF28+'6'!AF28+'7'!AF28+'8'!AF28+'9'!AF28+'10'!AF28+'11'!AF28+'12'!AF28</f>
        <v>0</v>
      </c>
      <c r="AG28" s="91">
        <f>'1'!AG28+'2'!AG28+'3'!AG28+'4'!AG28+'5'!AG28+'6'!AG28+'7'!AG28+'8'!AG28+'9'!AG28+'10'!AG28+'11'!AG28+'12'!AG28</f>
        <v>0</v>
      </c>
      <c r="AH28" s="91">
        <f>'1'!AH28+'2'!AH28+'3'!AH28+'4'!AH28+'5'!AH28+'6'!AH28+'7'!AH28+'8'!AH28+'9'!AH28+'10'!AH28+'11'!AH28+'12'!AH28</f>
        <v>0</v>
      </c>
      <c r="AI28" s="91">
        <f>'1'!AI28+'2'!AI28+'3'!AI28+'4'!AI28+'5'!AI28+'6'!AI28+'7'!AI28+'8'!AI28+'9'!AI28+'10'!AI28+'11'!AI28+'12'!AI28</f>
        <v>0</v>
      </c>
      <c r="AJ28" s="91">
        <f>'1'!AJ28+'2'!AJ28+'3'!AJ28+'4'!AJ28+'5'!AJ28+'6'!AJ28+'7'!AJ28+'8'!AJ28+'9'!AJ28+'10'!AJ28+'11'!AJ28+'12'!AJ28</f>
        <v>0</v>
      </c>
      <c r="AK28" s="91">
        <f>'1'!AK28+'2'!AK28+'3'!AK28+'4'!AK28+'5'!AK28+'6'!AK28+'7'!AK28+'8'!AK28+'9'!AK28+'10'!AK28+'11'!AK28+'12'!AK28</f>
        <v>0</v>
      </c>
      <c r="AL28" s="91">
        <f>'1'!AL28+'2'!AL28+'3'!AL28+'4'!AL28+'5'!AL28+'6'!AL28+'7'!AL28+'8'!AL28+'9'!AL28+'10'!AL28+'11'!AL28+'12'!AL28</f>
        <v>0</v>
      </c>
      <c r="AM28" s="91">
        <f>'1'!AM28+'2'!AM28+'3'!AM28+'4'!AM28+'5'!AM28+'6'!AM28+'7'!AM28+'8'!AM28+'9'!AM28+'10'!AM28+'11'!AM28+'12'!AM28</f>
        <v>0</v>
      </c>
      <c r="AN28" s="91">
        <f>'1'!AN28+'2'!AN28+'3'!AN28+'4'!AN28+'5'!AN28+'6'!AN28+'7'!AN28+'8'!AN28+'9'!AN28+'10'!AN28+'11'!AN28+'12'!AN28</f>
        <v>0</v>
      </c>
      <c r="AO28" s="91">
        <f>'1'!AO28+'2'!AO28+'3'!AO28+'4'!AO28+'5'!AO28+'6'!AO28+'7'!AO28+'8'!AO28+'9'!AO28+'10'!AO28+'11'!AO28+'12'!AO28</f>
        <v>0</v>
      </c>
      <c r="AP28" s="91">
        <f>'1'!AP28+'2'!AP28+'3'!AP28+'4'!AP28+'5'!AP28+'6'!AP28+'7'!AP28+'8'!AP28+'9'!AP28+'10'!AP28+'11'!AP28+'12'!AP28</f>
        <v>0</v>
      </c>
      <c r="AQ28" s="16">
        <f t="shared" si="3"/>
        <v>0</v>
      </c>
      <c r="AR28" s="17">
        <f t="shared" si="11"/>
        <v>0</v>
      </c>
      <c r="AS28" s="91">
        <f t="shared" si="15"/>
        <v>0</v>
      </c>
      <c r="AT28" s="15"/>
      <c r="AU28" s="92">
        <f t="shared" si="16"/>
        <v>0</v>
      </c>
      <c r="AV28" s="92">
        <f t="shared" si="5"/>
        <v>0</v>
      </c>
      <c r="AW28" s="92">
        <f t="shared" si="17"/>
        <v>0</v>
      </c>
      <c r="AX28" s="92">
        <f t="shared" si="18"/>
        <v>0</v>
      </c>
      <c r="AY28" s="82">
        <f t="shared" si="20"/>
        <v>0</v>
      </c>
      <c r="AZ28" s="82">
        <f t="shared" si="20"/>
        <v>0</v>
      </c>
      <c r="BA28" s="95">
        <f t="shared" si="19"/>
        <v>0</v>
      </c>
      <c r="BB28" s="139"/>
      <c r="BC28"/>
    </row>
    <row r="29" spans="1:55" ht="15" hidden="1" customHeight="1" x14ac:dyDescent="0.3">
      <c r="A29" s="72" t="s">
        <v>32</v>
      </c>
      <c r="B29" s="111"/>
      <c r="C29" s="111">
        <v>40</v>
      </c>
      <c r="D29" s="121">
        <f t="shared" si="21"/>
        <v>0</v>
      </c>
      <c r="E29" s="16">
        <f t="shared" si="22"/>
        <v>0</v>
      </c>
      <c r="F29" s="91">
        <f>'1'!F29+'2'!F29+'3'!F29+'4'!F29+'5'!F29+'6'!F29+'7'!F29+'8'!F29+'9'!F29+'10'!F29+'11'!F29+'12'!F29</f>
        <v>0</v>
      </c>
      <c r="G29" s="91">
        <f>'1'!G29+'2'!G29+'3'!G29+'4'!G29+'5'!G29+'6'!G29+'7'!G29+'8'!G29+'9'!G29+'10'!G29+'11'!G29+'12'!G29</f>
        <v>0</v>
      </c>
      <c r="H29" s="135">
        <f>'1'!H29+'2'!H29+'3'!H29+'4'!H29+'5'!H29+'6'!H29+'7'!H29+'8'!H29+'9'!H29+'10'!H29+'11'!H29+'12'!H29</f>
        <v>0</v>
      </c>
      <c r="I29" s="135">
        <f>'1'!I29+'2'!I29+'3'!I29+'4'!I29+'5'!I29+'6'!I29+'7'!I29+'8'!I29+'9'!I29+'10'!I29+'11'!I29+'12'!I29</f>
        <v>0</v>
      </c>
      <c r="J29" s="9" t="s">
        <v>68</v>
      </c>
      <c r="K29" s="135">
        <f>'1'!K29+'2'!K29+'3'!K29+'4'!K29+'5'!K29+'6'!K29+'7'!K29+'8'!K29+'9'!K29+'10'!K29+'11'!K29+'12'!K29</f>
        <v>0</v>
      </c>
      <c r="L29" s="135">
        <f>'1'!L29+'2'!L29+'3'!L29+'4'!L29+'5'!L29+'6'!L29+'7'!L29+'8'!L29+'9'!L29+'10'!L29+'11'!L29+'12'!L29</f>
        <v>0</v>
      </c>
      <c r="M29" s="91">
        <f>'1'!M29+'2'!M29+'3'!M29+'4'!M29+'5'!M29+'6'!M29+'7'!M29+'8'!M29+'9'!M29+'10'!M29+'11'!M29+'12'!M29</f>
        <v>0</v>
      </c>
      <c r="N29" s="91">
        <f>'1'!N29+'2'!N29+'3'!N29+'4'!N29+'5'!N29+'6'!N29+'7'!N29+'8'!N29+'9'!N29+'10'!N29+'11'!N29+'12'!N29</f>
        <v>0</v>
      </c>
      <c r="O29" s="91">
        <f>'1'!O29+'2'!O29+'3'!O29+'4'!O29+'5'!O29+'6'!O29+'7'!O29+'8'!O29+'9'!O29+'10'!O29+'11'!O29+'12'!O29</f>
        <v>0</v>
      </c>
      <c r="P29" s="91">
        <f>'1'!P29+'2'!P29+'3'!P29+'4'!P29+'5'!P29+'6'!P29+'7'!P29+'8'!P29+'9'!P29+'10'!P29+'11'!P29+'12'!P29</f>
        <v>0</v>
      </c>
      <c r="Q29" s="91">
        <f>'1'!Q29+'2'!Q29+'3'!Q29+'4'!Q29+'5'!Q29+'6'!Q29+'7'!Q29+'8'!Q29+'9'!Q29+'10'!Q29+'11'!Q29+'12'!Q29</f>
        <v>0</v>
      </c>
      <c r="R29" s="91">
        <f>'1'!R29+'2'!R29+'3'!R29+'4'!R29+'5'!R29+'6'!R29+'7'!R29+'8'!R29+'9'!R29+'10'!R29+'11'!R29+'12'!R29</f>
        <v>0</v>
      </c>
      <c r="S29" s="91">
        <f>'1'!S29+'2'!S29+'3'!S29+'4'!S29+'5'!S29+'6'!S29+'7'!S29+'8'!S29+'9'!S29+'10'!S29+'11'!S29+'12'!S29</f>
        <v>0</v>
      </c>
      <c r="T29" s="91">
        <f>'1'!T29+'2'!T29+'3'!T29+'4'!T29+'5'!T29+'6'!T29+'7'!T29+'8'!T29+'9'!T29+'10'!T29+'11'!T29+'12'!T29</f>
        <v>0</v>
      </c>
      <c r="U29" s="91">
        <f>'1'!U29+'2'!U29+'3'!U29+'4'!U29+'5'!U29+'6'!U29+'7'!U29+'8'!U29+'9'!U29+'10'!U29+'11'!U29+'12'!U29</f>
        <v>0</v>
      </c>
      <c r="V29" s="91">
        <f>'1'!V29+'2'!V29+'3'!V29+'4'!V29+'5'!V29+'6'!V29+'7'!V29+'8'!V29+'9'!V29+'10'!V29+'11'!V29+'12'!V29</f>
        <v>0</v>
      </c>
      <c r="W29" s="91">
        <f>'1'!W29+'2'!W29+'3'!W29+'4'!W29+'5'!W29+'6'!W29+'7'!W29+'8'!W29+'9'!W29+'10'!W29+'11'!W29+'12'!W29</f>
        <v>0</v>
      </c>
      <c r="X29" s="91">
        <f>'1'!X29+'2'!X29+'3'!X29+'4'!X29+'5'!X29+'6'!X29+'7'!X29+'8'!X29+'9'!X29+'10'!X29+'11'!X29+'12'!X29</f>
        <v>0</v>
      </c>
      <c r="Y29" s="91">
        <f>'1'!Y29+'2'!Y29+'3'!Y29+'4'!Y29+'5'!Y29+'6'!Y29+'7'!Y29+'8'!Y29+'9'!Y29+'10'!Y29+'11'!Y29+'12'!Y29</f>
        <v>0</v>
      </c>
      <c r="Z29" s="91">
        <f>'1'!Z29+'2'!Z29+'3'!Z29+'4'!Z29+'5'!Z29+'6'!Z29+'7'!Z29+'8'!Z29+'9'!Z29+'10'!Z29+'11'!Z29+'12'!Z29</f>
        <v>0</v>
      </c>
      <c r="AA29" s="91">
        <f>'1'!AA29+'2'!AA29+'3'!AA29+'4'!AA29+'5'!AA29+'6'!AA29+'7'!AA29+'8'!AA29+'9'!AA29+'10'!AA29+'11'!AA29+'12'!AA29</f>
        <v>0</v>
      </c>
      <c r="AB29" s="91">
        <f>'1'!AB29+'2'!AB29+'3'!AB29+'4'!AB29+'5'!AB29+'6'!AB29+'7'!AB29+'8'!AB29+'9'!AB29+'10'!AB29+'11'!AB29+'12'!AB29</f>
        <v>0</v>
      </c>
      <c r="AC29" s="91">
        <f>'1'!AC29+'2'!AC29+'3'!AC29+'4'!AC29+'5'!AC29+'6'!AC29+'7'!AC29+'8'!AC29+'9'!AC29+'10'!AC29+'11'!AC29+'12'!AC29</f>
        <v>0</v>
      </c>
      <c r="AD29" s="91">
        <f>'1'!AD29+'2'!AD29+'3'!AD29+'4'!AD29+'5'!AD29+'6'!AD29+'7'!AD29+'8'!AD29+'9'!AD29+'10'!AD29+'11'!AD29+'12'!AD29</f>
        <v>0</v>
      </c>
      <c r="AE29" s="91">
        <f>'1'!AE29+'2'!AE29+'3'!AE29+'4'!AE29+'5'!AE29+'6'!AE29+'7'!AE29+'8'!AE29+'9'!AE29+'10'!AE29+'11'!AE29+'12'!AE29</f>
        <v>0</v>
      </c>
      <c r="AF29" s="91">
        <f>'1'!AF29+'2'!AF29+'3'!AF29+'4'!AF29+'5'!AF29+'6'!AF29+'7'!AF29+'8'!AF29+'9'!AF29+'10'!AF29+'11'!AF29+'12'!AF29</f>
        <v>0</v>
      </c>
      <c r="AG29" s="91">
        <f>'1'!AG29+'2'!AG29+'3'!AG29+'4'!AG29+'5'!AG29+'6'!AG29+'7'!AG29+'8'!AG29+'9'!AG29+'10'!AG29+'11'!AG29+'12'!AG29</f>
        <v>0</v>
      </c>
      <c r="AH29" s="91">
        <f>'1'!AH29+'2'!AH29+'3'!AH29+'4'!AH29+'5'!AH29+'6'!AH29+'7'!AH29+'8'!AH29+'9'!AH29+'10'!AH29+'11'!AH29+'12'!AH29</f>
        <v>0</v>
      </c>
      <c r="AI29" s="91">
        <f>'1'!AI29+'2'!AI29+'3'!AI29+'4'!AI29+'5'!AI29+'6'!AI29+'7'!AI29+'8'!AI29+'9'!AI29+'10'!AI29+'11'!AI29+'12'!AI29</f>
        <v>0</v>
      </c>
      <c r="AJ29" s="91">
        <f>'1'!AJ29+'2'!AJ29+'3'!AJ29+'4'!AJ29+'5'!AJ29+'6'!AJ29+'7'!AJ29+'8'!AJ29+'9'!AJ29+'10'!AJ29+'11'!AJ29+'12'!AJ29</f>
        <v>0</v>
      </c>
      <c r="AK29" s="91">
        <f>'1'!AK29+'2'!AK29+'3'!AK29+'4'!AK29+'5'!AK29+'6'!AK29+'7'!AK29+'8'!AK29+'9'!AK29+'10'!AK29+'11'!AK29+'12'!AK29</f>
        <v>0</v>
      </c>
      <c r="AL29" s="91">
        <f>'1'!AL29+'2'!AL29+'3'!AL29+'4'!AL29+'5'!AL29+'6'!AL29+'7'!AL29+'8'!AL29+'9'!AL29+'10'!AL29+'11'!AL29+'12'!AL29</f>
        <v>0</v>
      </c>
      <c r="AM29" s="91">
        <f>'1'!AM29+'2'!AM29+'3'!AM29+'4'!AM29+'5'!AM29+'6'!AM29+'7'!AM29+'8'!AM29+'9'!AM29+'10'!AM29+'11'!AM29+'12'!AM29</f>
        <v>0</v>
      </c>
      <c r="AN29" s="91">
        <f>'1'!AN29+'2'!AN29+'3'!AN29+'4'!AN29+'5'!AN29+'6'!AN29+'7'!AN29+'8'!AN29+'9'!AN29+'10'!AN29+'11'!AN29+'12'!AN29</f>
        <v>0</v>
      </c>
      <c r="AO29" s="91">
        <f>'1'!AO29+'2'!AO29+'3'!AO29+'4'!AO29+'5'!AO29+'6'!AO29+'7'!AO29+'8'!AO29+'9'!AO29+'10'!AO29+'11'!AO29+'12'!AO29</f>
        <v>0</v>
      </c>
      <c r="AP29" s="91">
        <f>'1'!AP29+'2'!AP29+'3'!AP29+'4'!AP29+'5'!AP29+'6'!AP29+'7'!AP29+'8'!AP29+'9'!AP29+'10'!AP29+'11'!AP29+'12'!AP29</f>
        <v>0</v>
      </c>
      <c r="AQ29" s="16">
        <f t="shared" si="3"/>
        <v>0</v>
      </c>
      <c r="AR29" s="17">
        <f t="shared" si="11"/>
        <v>0</v>
      </c>
      <c r="AS29" s="91">
        <f t="shared" si="15"/>
        <v>0</v>
      </c>
      <c r="AT29" s="15"/>
      <c r="AU29" s="92">
        <f t="shared" si="16"/>
        <v>0</v>
      </c>
      <c r="AV29" s="92">
        <f t="shared" si="5"/>
        <v>0</v>
      </c>
      <c r="AW29" s="92">
        <f t="shared" si="17"/>
        <v>0</v>
      </c>
      <c r="AX29" s="92">
        <f t="shared" si="18"/>
        <v>0</v>
      </c>
      <c r="AY29" s="82">
        <f t="shared" si="20"/>
        <v>0</v>
      </c>
      <c r="AZ29" s="82">
        <f t="shared" si="20"/>
        <v>0</v>
      </c>
      <c r="BA29" s="95">
        <f t="shared" si="19"/>
        <v>0</v>
      </c>
      <c r="BB29" s="139"/>
      <c r="BC29"/>
    </row>
    <row r="30" spans="1:55" ht="15" hidden="1" customHeight="1" x14ac:dyDescent="0.3">
      <c r="A30" s="72" t="s">
        <v>33</v>
      </c>
      <c r="B30" s="111"/>
      <c r="C30" s="111">
        <v>41</v>
      </c>
      <c r="D30" s="121">
        <f t="shared" si="21"/>
        <v>0</v>
      </c>
      <c r="E30" s="16">
        <f t="shared" si="22"/>
        <v>0</v>
      </c>
      <c r="F30" s="91">
        <f>'1'!F30+'2'!F30+'3'!F30+'4'!F30+'5'!F30+'6'!F30+'7'!F30+'8'!F30+'9'!F30+'10'!F30+'11'!F30+'12'!F30</f>
        <v>0</v>
      </c>
      <c r="G30" s="91">
        <f>'1'!G30+'2'!G30+'3'!G30+'4'!G30+'5'!G30+'6'!G30+'7'!G30+'8'!G30+'9'!G30+'10'!G30+'11'!G30+'12'!G30</f>
        <v>0</v>
      </c>
      <c r="H30" s="135">
        <f>'1'!H30+'2'!H30+'3'!H30+'4'!H30+'5'!H30+'6'!H30+'7'!H30+'8'!H30+'9'!H30+'10'!H30+'11'!H30+'12'!H30</f>
        <v>0</v>
      </c>
      <c r="I30" s="135">
        <f>'1'!I30+'2'!I30+'3'!I30+'4'!I30+'5'!I30+'6'!I30+'7'!I30+'8'!I30+'9'!I30+'10'!I30+'11'!I30+'12'!I30</f>
        <v>0</v>
      </c>
      <c r="J30" s="9" t="s">
        <v>68</v>
      </c>
      <c r="K30" s="135">
        <f>'1'!K30+'2'!K30+'3'!K30+'4'!K30+'5'!K30+'6'!K30+'7'!K30+'8'!K30+'9'!K30+'10'!K30+'11'!K30+'12'!K30</f>
        <v>0</v>
      </c>
      <c r="L30" s="135">
        <f>'1'!L30+'2'!L30+'3'!L30+'4'!L30+'5'!L30+'6'!L30+'7'!L30+'8'!L30+'9'!L30+'10'!L30+'11'!L30+'12'!L30</f>
        <v>0</v>
      </c>
      <c r="M30" s="91">
        <f>'1'!M30+'2'!M30+'3'!M30+'4'!M30+'5'!M30+'6'!M30+'7'!M30+'8'!M30+'9'!M30+'10'!M30+'11'!M30+'12'!M30</f>
        <v>0</v>
      </c>
      <c r="N30" s="91">
        <f>'1'!N30+'2'!N30+'3'!N30+'4'!N30+'5'!N30+'6'!N30+'7'!N30+'8'!N30+'9'!N30+'10'!N30+'11'!N30+'12'!N30</f>
        <v>0</v>
      </c>
      <c r="O30" s="91">
        <f>'1'!O30+'2'!O30+'3'!O30+'4'!O30+'5'!O30+'6'!O30+'7'!O30+'8'!O30+'9'!O30+'10'!O30+'11'!O30+'12'!O30</f>
        <v>0</v>
      </c>
      <c r="P30" s="91">
        <f>'1'!P30+'2'!P30+'3'!P30+'4'!P30+'5'!P30+'6'!P30+'7'!P30+'8'!P30+'9'!P30+'10'!P30+'11'!P30+'12'!P30</f>
        <v>0</v>
      </c>
      <c r="Q30" s="91">
        <f>'1'!Q30+'2'!Q30+'3'!Q30+'4'!Q30+'5'!Q30+'6'!Q30+'7'!Q30+'8'!Q30+'9'!Q30+'10'!Q30+'11'!Q30+'12'!Q30</f>
        <v>0</v>
      </c>
      <c r="R30" s="91">
        <f>'1'!R30+'2'!R30+'3'!R30+'4'!R30+'5'!R30+'6'!R30+'7'!R30+'8'!R30+'9'!R30+'10'!R30+'11'!R30+'12'!R30</f>
        <v>0</v>
      </c>
      <c r="S30" s="91">
        <f>'1'!S30+'2'!S30+'3'!S30+'4'!S30+'5'!S30+'6'!S30+'7'!S30+'8'!S30+'9'!S30+'10'!S30+'11'!S30+'12'!S30</f>
        <v>0</v>
      </c>
      <c r="T30" s="91">
        <f>'1'!T30+'2'!T30+'3'!T30+'4'!T30+'5'!T30+'6'!T30+'7'!T30+'8'!T30+'9'!T30+'10'!T30+'11'!T30+'12'!T30</f>
        <v>0</v>
      </c>
      <c r="U30" s="91">
        <f>'1'!U30+'2'!U30+'3'!U30+'4'!U30+'5'!U30+'6'!U30+'7'!U30+'8'!U30+'9'!U30+'10'!U30+'11'!U30+'12'!U30</f>
        <v>0</v>
      </c>
      <c r="V30" s="91">
        <f>'1'!V30+'2'!V30+'3'!V30+'4'!V30+'5'!V30+'6'!V30+'7'!V30+'8'!V30+'9'!V30+'10'!V30+'11'!V30+'12'!V30</f>
        <v>0</v>
      </c>
      <c r="W30" s="91">
        <f>'1'!W30+'2'!W30+'3'!W30+'4'!W30+'5'!W30+'6'!W30+'7'!W30+'8'!W30+'9'!W30+'10'!W30+'11'!W30+'12'!W30</f>
        <v>0</v>
      </c>
      <c r="X30" s="91">
        <f>'1'!X30+'2'!X30+'3'!X30+'4'!X30+'5'!X30+'6'!X30+'7'!X30+'8'!X30+'9'!X30+'10'!X30+'11'!X30+'12'!X30</f>
        <v>0</v>
      </c>
      <c r="Y30" s="91">
        <f>'1'!Y30+'2'!Y30+'3'!Y30+'4'!Y30+'5'!Y30+'6'!Y30+'7'!Y30+'8'!Y30+'9'!Y30+'10'!Y30+'11'!Y30+'12'!Y30</f>
        <v>0</v>
      </c>
      <c r="Z30" s="91">
        <f>'1'!Z30+'2'!Z30+'3'!Z30+'4'!Z30+'5'!Z30+'6'!Z30+'7'!Z30+'8'!Z30+'9'!Z30+'10'!Z30+'11'!Z30+'12'!Z30</f>
        <v>0</v>
      </c>
      <c r="AA30" s="91">
        <f>'1'!AA30+'2'!AA30+'3'!AA30+'4'!AA30+'5'!AA30+'6'!AA30+'7'!AA30+'8'!AA30+'9'!AA30+'10'!AA30+'11'!AA30+'12'!AA30</f>
        <v>0</v>
      </c>
      <c r="AB30" s="91">
        <f>'1'!AB30+'2'!AB30+'3'!AB30+'4'!AB30+'5'!AB30+'6'!AB30+'7'!AB30+'8'!AB30+'9'!AB30+'10'!AB30+'11'!AB30+'12'!AB30</f>
        <v>0</v>
      </c>
      <c r="AC30" s="91">
        <f>'1'!AC30+'2'!AC30+'3'!AC30+'4'!AC30+'5'!AC30+'6'!AC30+'7'!AC30+'8'!AC30+'9'!AC30+'10'!AC30+'11'!AC30+'12'!AC30</f>
        <v>0</v>
      </c>
      <c r="AD30" s="91">
        <f>'1'!AD30+'2'!AD30+'3'!AD30+'4'!AD30+'5'!AD30+'6'!AD30+'7'!AD30+'8'!AD30+'9'!AD30+'10'!AD30+'11'!AD30+'12'!AD30</f>
        <v>0</v>
      </c>
      <c r="AE30" s="91">
        <f>'1'!AE30+'2'!AE30+'3'!AE30+'4'!AE30+'5'!AE30+'6'!AE30+'7'!AE30+'8'!AE30+'9'!AE30+'10'!AE30+'11'!AE30+'12'!AE30</f>
        <v>0</v>
      </c>
      <c r="AF30" s="91">
        <f>'1'!AF30+'2'!AF30+'3'!AF30+'4'!AF30+'5'!AF30+'6'!AF30+'7'!AF30+'8'!AF30+'9'!AF30+'10'!AF30+'11'!AF30+'12'!AF30</f>
        <v>0</v>
      </c>
      <c r="AG30" s="91">
        <f>'1'!AG30+'2'!AG30+'3'!AG30+'4'!AG30+'5'!AG30+'6'!AG30+'7'!AG30+'8'!AG30+'9'!AG30+'10'!AG30+'11'!AG30+'12'!AG30</f>
        <v>0</v>
      </c>
      <c r="AH30" s="91">
        <f>'1'!AH30+'2'!AH30+'3'!AH30+'4'!AH30+'5'!AH30+'6'!AH30+'7'!AH30+'8'!AH30+'9'!AH30+'10'!AH30+'11'!AH30+'12'!AH30</f>
        <v>0</v>
      </c>
      <c r="AI30" s="91">
        <f>'1'!AI30+'2'!AI30+'3'!AI30+'4'!AI30+'5'!AI30+'6'!AI30+'7'!AI30+'8'!AI30+'9'!AI30+'10'!AI30+'11'!AI30+'12'!AI30</f>
        <v>0</v>
      </c>
      <c r="AJ30" s="91">
        <f>'1'!AJ30+'2'!AJ30+'3'!AJ30+'4'!AJ30+'5'!AJ30+'6'!AJ30+'7'!AJ30+'8'!AJ30+'9'!AJ30+'10'!AJ30+'11'!AJ30+'12'!AJ30</f>
        <v>0</v>
      </c>
      <c r="AK30" s="91">
        <f>'1'!AK30+'2'!AK30+'3'!AK30+'4'!AK30+'5'!AK30+'6'!AK30+'7'!AK30+'8'!AK30+'9'!AK30+'10'!AK30+'11'!AK30+'12'!AK30</f>
        <v>0</v>
      </c>
      <c r="AL30" s="91">
        <f>'1'!AL30+'2'!AL30+'3'!AL30+'4'!AL30+'5'!AL30+'6'!AL30+'7'!AL30+'8'!AL30+'9'!AL30+'10'!AL30+'11'!AL30+'12'!AL30</f>
        <v>0</v>
      </c>
      <c r="AM30" s="91">
        <f>'1'!AM30+'2'!AM30+'3'!AM30+'4'!AM30+'5'!AM30+'6'!AM30+'7'!AM30+'8'!AM30+'9'!AM30+'10'!AM30+'11'!AM30+'12'!AM30</f>
        <v>0</v>
      </c>
      <c r="AN30" s="91">
        <f>'1'!AN30+'2'!AN30+'3'!AN30+'4'!AN30+'5'!AN30+'6'!AN30+'7'!AN30+'8'!AN30+'9'!AN30+'10'!AN30+'11'!AN30+'12'!AN30</f>
        <v>0</v>
      </c>
      <c r="AO30" s="91">
        <f>'1'!AO30+'2'!AO30+'3'!AO30+'4'!AO30+'5'!AO30+'6'!AO30+'7'!AO30+'8'!AO30+'9'!AO30+'10'!AO30+'11'!AO30+'12'!AO30</f>
        <v>0</v>
      </c>
      <c r="AP30" s="91">
        <f>'1'!AP30+'2'!AP30+'3'!AP30+'4'!AP30+'5'!AP30+'6'!AP30+'7'!AP30+'8'!AP30+'9'!AP30+'10'!AP30+'11'!AP30+'12'!AP30</f>
        <v>0</v>
      </c>
      <c r="AQ30" s="16">
        <f t="shared" si="3"/>
        <v>0</v>
      </c>
      <c r="AR30" s="17">
        <f t="shared" si="11"/>
        <v>0</v>
      </c>
      <c r="AS30" s="91">
        <f t="shared" si="15"/>
        <v>0</v>
      </c>
      <c r="AT30" s="15"/>
      <c r="AU30" s="92">
        <f t="shared" si="16"/>
        <v>0</v>
      </c>
      <c r="AV30" s="92">
        <f t="shared" si="5"/>
        <v>0</v>
      </c>
      <c r="AW30" s="92">
        <f t="shared" si="17"/>
        <v>0</v>
      </c>
      <c r="AX30" s="92">
        <f t="shared" si="18"/>
        <v>0</v>
      </c>
      <c r="AY30" s="82">
        <f t="shared" si="20"/>
        <v>0</v>
      </c>
      <c r="AZ30" s="82">
        <f t="shared" si="20"/>
        <v>0</v>
      </c>
      <c r="BA30" s="95">
        <f t="shared" si="19"/>
        <v>0</v>
      </c>
      <c r="BB30" s="139"/>
      <c r="BC30"/>
    </row>
    <row r="31" spans="1:55" ht="15" hidden="1" customHeight="1" x14ac:dyDescent="0.3">
      <c r="A31" s="72" t="s">
        <v>34</v>
      </c>
      <c r="B31" s="111"/>
      <c r="C31" s="111">
        <v>42</v>
      </c>
      <c r="D31" s="121">
        <f t="shared" si="21"/>
        <v>0</v>
      </c>
      <c r="E31" s="16">
        <f t="shared" si="22"/>
        <v>0</v>
      </c>
      <c r="F31" s="91">
        <f>'1'!F31+'2'!F31+'3'!F31+'4'!F31+'5'!F31+'6'!F31+'7'!F31+'8'!F31+'9'!F31+'10'!F31+'11'!F31+'12'!F31</f>
        <v>0</v>
      </c>
      <c r="G31" s="91">
        <f>'1'!G31+'2'!G31+'3'!G31+'4'!G31+'5'!G31+'6'!G31+'7'!G31+'8'!G31+'9'!G31+'10'!G31+'11'!G31+'12'!G31</f>
        <v>0</v>
      </c>
      <c r="H31" s="135">
        <f>'1'!H31+'2'!H31+'3'!H31+'4'!H31+'5'!H31+'6'!H31+'7'!H31+'8'!H31+'9'!H31+'10'!H31+'11'!H31+'12'!H31</f>
        <v>0</v>
      </c>
      <c r="I31" s="135">
        <f>'1'!I31+'2'!I31+'3'!I31+'4'!I31+'5'!I31+'6'!I31+'7'!I31+'8'!I31+'9'!I31+'10'!I31+'11'!I31+'12'!I31</f>
        <v>0</v>
      </c>
      <c r="J31" s="9" t="s">
        <v>68</v>
      </c>
      <c r="K31" s="135">
        <f>'1'!K31+'2'!K31+'3'!K31+'4'!K31+'5'!K31+'6'!K31+'7'!K31+'8'!K31+'9'!K31+'10'!K31+'11'!K31+'12'!K31</f>
        <v>0</v>
      </c>
      <c r="L31" s="135">
        <f>'1'!L31+'2'!L31+'3'!L31+'4'!L31+'5'!L31+'6'!L31+'7'!L31+'8'!L31+'9'!L31+'10'!L31+'11'!L31+'12'!L31</f>
        <v>0</v>
      </c>
      <c r="M31" s="91">
        <f>'1'!M31+'2'!M31+'3'!M31+'4'!M31+'5'!M31+'6'!M31+'7'!M31+'8'!M31+'9'!M31+'10'!M31+'11'!M31+'12'!M31</f>
        <v>0</v>
      </c>
      <c r="N31" s="91">
        <f>'1'!N31+'2'!N31+'3'!N31+'4'!N31+'5'!N31+'6'!N31+'7'!N31+'8'!N31+'9'!N31+'10'!N31+'11'!N31+'12'!N31</f>
        <v>0</v>
      </c>
      <c r="O31" s="91">
        <f>'1'!O31+'2'!O31+'3'!O31+'4'!O31+'5'!O31+'6'!O31+'7'!O31+'8'!O31+'9'!O31+'10'!O31+'11'!O31+'12'!O31</f>
        <v>0</v>
      </c>
      <c r="P31" s="91">
        <f>'1'!P31+'2'!P31+'3'!P31+'4'!P31+'5'!P31+'6'!P31+'7'!P31+'8'!P31+'9'!P31+'10'!P31+'11'!P31+'12'!P31</f>
        <v>0</v>
      </c>
      <c r="Q31" s="91">
        <f>'1'!Q31+'2'!Q31+'3'!Q31+'4'!Q31+'5'!Q31+'6'!Q31+'7'!Q31+'8'!Q31+'9'!Q31+'10'!Q31+'11'!Q31+'12'!Q31</f>
        <v>0</v>
      </c>
      <c r="R31" s="91">
        <f>'1'!R31+'2'!R31+'3'!R31+'4'!R31+'5'!R31+'6'!R31+'7'!R31+'8'!R31+'9'!R31+'10'!R31+'11'!R31+'12'!R31</f>
        <v>0</v>
      </c>
      <c r="S31" s="91">
        <f>'1'!S31+'2'!S31+'3'!S31+'4'!S31+'5'!S31+'6'!S31+'7'!S31+'8'!S31+'9'!S31+'10'!S31+'11'!S31+'12'!S31</f>
        <v>0</v>
      </c>
      <c r="T31" s="91">
        <f>'1'!T31+'2'!T31+'3'!T31+'4'!T31+'5'!T31+'6'!T31+'7'!T31+'8'!T31+'9'!T31+'10'!T31+'11'!T31+'12'!T31</f>
        <v>0</v>
      </c>
      <c r="U31" s="91">
        <f>'1'!U31+'2'!U31+'3'!U31+'4'!U31+'5'!U31+'6'!U31+'7'!U31+'8'!U31+'9'!U31+'10'!U31+'11'!U31+'12'!U31</f>
        <v>0</v>
      </c>
      <c r="V31" s="91">
        <f>'1'!V31+'2'!V31+'3'!V31+'4'!V31+'5'!V31+'6'!V31+'7'!V31+'8'!V31+'9'!V31+'10'!V31+'11'!V31+'12'!V31</f>
        <v>0</v>
      </c>
      <c r="W31" s="91">
        <f>'1'!W31+'2'!W31+'3'!W31+'4'!W31+'5'!W31+'6'!W31+'7'!W31+'8'!W31+'9'!W31+'10'!W31+'11'!W31+'12'!W31</f>
        <v>0</v>
      </c>
      <c r="X31" s="91">
        <f>'1'!X31+'2'!X31+'3'!X31+'4'!X31+'5'!X31+'6'!X31+'7'!X31+'8'!X31+'9'!X31+'10'!X31+'11'!X31+'12'!X31</f>
        <v>0</v>
      </c>
      <c r="Y31" s="91">
        <f>'1'!Y31+'2'!Y31+'3'!Y31+'4'!Y31+'5'!Y31+'6'!Y31+'7'!Y31+'8'!Y31+'9'!Y31+'10'!Y31+'11'!Y31+'12'!Y31</f>
        <v>0</v>
      </c>
      <c r="Z31" s="91">
        <f>'1'!Z31+'2'!Z31+'3'!Z31+'4'!Z31+'5'!Z31+'6'!Z31+'7'!Z31+'8'!Z31+'9'!Z31+'10'!Z31+'11'!Z31+'12'!Z31</f>
        <v>0</v>
      </c>
      <c r="AA31" s="91">
        <f>'1'!AA31+'2'!AA31+'3'!AA31+'4'!AA31+'5'!AA31+'6'!AA31+'7'!AA31+'8'!AA31+'9'!AA31+'10'!AA31+'11'!AA31+'12'!AA31</f>
        <v>0</v>
      </c>
      <c r="AB31" s="91">
        <f>'1'!AB31+'2'!AB31+'3'!AB31+'4'!AB31+'5'!AB31+'6'!AB31+'7'!AB31+'8'!AB31+'9'!AB31+'10'!AB31+'11'!AB31+'12'!AB31</f>
        <v>0</v>
      </c>
      <c r="AC31" s="91">
        <f>'1'!AC31+'2'!AC31+'3'!AC31+'4'!AC31+'5'!AC31+'6'!AC31+'7'!AC31+'8'!AC31+'9'!AC31+'10'!AC31+'11'!AC31+'12'!AC31</f>
        <v>0</v>
      </c>
      <c r="AD31" s="91">
        <f>'1'!AD31+'2'!AD31+'3'!AD31+'4'!AD31+'5'!AD31+'6'!AD31+'7'!AD31+'8'!AD31+'9'!AD31+'10'!AD31+'11'!AD31+'12'!AD31</f>
        <v>0</v>
      </c>
      <c r="AE31" s="91">
        <f>'1'!AE31+'2'!AE31+'3'!AE31+'4'!AE31+'5'!AE31+'6'!AE31+'7'!AE31+'8'!AE31+'9'!AE31+'10'!AE31+'11'!AE31+'12'!AE31</f>
        <v>0</v>
      </c>
      <c r="AF31" s="91">
        <f>'1'!AF31+'2'!AF31+'3'!AF31+'4'!AF31+'5'!AF31+'6'!AF31+'7'!AF31+'8'!AF31+'9'!AF31+'10'!AF31+'11'!AF31+'12'!AF31</f>
        <v>0</v>
      </c>
      <c r="AG31" s="91">
        <f>'1'!AG31+'2'!AG31+'3'!AG31+'4'!AG31+'5'!AG31+'6'!AG31+'7'!AG31+'8'!AG31+'9'!AG31+'10'!AG31+'11'!AG31+'12'!AG31</f>
        <v>0</v>
      </c>
      <c r="AH31" s="91">
        <f>'1'!AH31+'2'!AH31+'3'!AH31+'4'!AH31+'5'!AH31+'6'!AH31+'7'!AH31+'8'!AH31+'9'!AH31+'10'!AH31+'11'!AH31+'12'!AH31</f>
        <v>0</v>
      </c>
      <c r="AI31" s="91">
        <f>'1'!AI31+'2'!AI31+'3'!AI31+'4'!AI31+'5'!AI31+'6'!AI31+'7'!AI31+'8'!AI31+'9'!AI31+'10'!AI31+'11'!AI31+'12'!AI31</f>
        <v>0</v>
      </c>
      <c r="AJ31" s="91">
        <f>'1'!AJ31+'2'!AJ31+'3'!AJ31+'4'!AJ31+'5'!AJ31+'6'!AJ31+'7'!AJ31+'8'!AJ31+'9'!AJ31+'10'!AJ31+'11'!AJ31+'12'!AJ31</f>
        <v>0</v>
      </c>
      <c r="AK31" s="91">
        <f>'1'!AK31+'2'!AK31+'3'!AK31+'4'!AK31+'5'!AK31+'6'!AK31+'7'!AK31+'8'!AK31+'9'!AK31+'10'!AK31+'11'!AK31+'12'!AK31</f>
        <v>0</v>
      </c>
      <c r="AL31" s="91">
        <f>'1'!AL31+'2'!AL31+'3'!AL31+'4'!AL31+'5'!AL31+'6'!AL31+'7'!AL31+'8'!AL31+'9'!AL31+'10'!AL31+'11'!AL31+'12'!AL31</f>
        <v>0</v>
      </c>
      <c r="AM31" s="91">
        <f>'1'!AM31+'2'!AM31+'3'!AM31+'4'!AM31+'5'!AM31+'6'!AM31+'7'!AM31+'8'!AM31+'9'!AM31+'10'!AM31+'11'!AM31+'12'!AM31</f>
        <v>0</v>
      </c>
      <c r="AN31" s="91">
        <f>'1'!AN31+'2'!AN31+'3'!AN31+'4'!AN31+'5'!AN31+'6'!AN31+'7'!AN31+'8'!AN31+'9'!AN31+'10'!AN31+'11'!AN31+'12'!AN31</f>
        <v>0</v>
      </c>
      <c r="AO31" s="91">
        <f>'1'!AO31+'2'!AO31+'3'!AO31+'4'!AO31+'5'!AO31+'6'!AO31+'7'!AO31+'8'!AO31+'9'!AO31+'10'!AO31+'11'!AO31+'12'!AO31</f>
        <v>0</v>
      </c>
      <c r="AP31" s="91">
        <f>'1'!AP31+'2'!AP31+'3'!AP31+'4'!AP31+'5'!AP31+'6'!AP31+'7'!AP31+'8'!AP31+'9'!AP31+'10'!AP31+'11'!AP31+'12'!AP31</f>
        <v>0</v>
      </c>
      <c r="AQ31" s="16">
        <f t="shared" si="3"/>
        <v>0</v>
      </c>
      <c r="AR31" s="17">
        <f t="shared" si="11"/>
        <v>0</v>
      </c>
      <c r="AS31" s="91">
        <f t="shared" si="15"/>
        <v>0</v>
      </c>
      <c r="AT31" s="15"/>
      <c r="AU31" s="92">
        <f t="shared" si="16"/>
        <v>0</v>
      </c>
      <c r="AV31" s="92">
        <f t="shared" si="5"/>
        <v>0</v>
      </c>
      <c r="AW31" s="92">
        <f t="shared" si="17"/>
        <v>0</v>
      </c>
      <c r="AX31" s="92">
        <f t="shared" si="18"/>
        <v>0</v>
      </c>
      <c r="AY31" s="82">
        <f t="shared" si="20"/>
        <v>0</v>
      </c>
      <c r="AZ31" s="82">
        <f t="shared" si="20"/>
        <v>0</v>
      </c>
      <c r="BA31" s="95">
        <f t="shared" si="19"/>
        <v>0</v>
      </c>
      <c r="BB31" s="139"/>
      <c r="BC31"/>
    </row>
    <row r="32" spans="1:55" ht="15" hidden="1" customHeight="1" x14ac:dyDescent="0.3">
      <c r="A32" s="72" t="s">
        <v>35</v>
      </c>
      <c r="B32" s="111"/>
      <c r="C32" s="111">
        <v>43</v>
      </c>
      <c r="D32" s="121">
        <f t="shared" si="21"/>
        <v>0</v>
      </c>
      <c r="E32" s="16">
        <f t="shared" si="22"/>
        <v>0</v>
      </c>
      <c r="F32" s="91">
        <f>'1'!F32+'2'!F32+'3'!F32+'4'!F32+'5'!F32+'6'!F32+'7'!F32+'8'!F32+'9'!F32+'10'!F32+'11'!F32+'12'!F32</f>
        <v>0</v>
      </c>
      <c r="G32" s="91">
        <f>'1'!G32+'2'!G32+'3'!G32+'4'!G32+'5'!G32+'6'!G32+'7'!G32+'8'!G32+'9'!G32+'10'!G32+'11'!G32+'12'!G32</f>
        <v>0</v>
      </c>
      <c r="H32" s="135">
        <f>'1'!H32+'2'!H32+'3'!H32+'4'!H32+'5'!H32+'6'!H32+'7'!H32+'8'!H32+'9'!H32+'10'!H32+'11'!H32+'12'!H32</f>
        <v>0</v>
      </c>
      <c r="I32" s="135">
        <f>'1'!I32+'2'!I32+'3'!I32+'4'!I32+'5'!I32+'6'!I32+'7'!I32+'8'!I32+'9'!I32+'10'!I32+'11'!I32+'12'!I32</f>
        <v>0</v>
      </c>
      <c r="J32" s="9" t="s">
        <v>68</v>
      </c>
      <c r="K32" s="135">
        <f>'1'!K32+'2'!K32+'3'!K32+'4'!K32+'5'!K32+'6'!K32+'7'!K32+'8'!K32+'9'!K32+'10'!K32+'11'!K32+'12'!K32</f>
        <v>0</v>
      </c>
      <c r="L32" s="135">
        <f>'1'!L32+'2'!L32+'3'!L32+'4'!L32+'5'!L32+'6'!L32+'7'!L32+'8'!L32+'9'!L32+'10'!L32+'11'!L32+'12'!L32</f>
        <v>0</v>
      </c>
      <c r="M32" s="91">
        <f>'1'!M32+'2'!M32+'3'!M32+'4'!M32+'5'!M32+'6'!M32+'7'!M32+'8'!M32+'9'!M32+'10'!M32+'11'!M32+'12'!M32</f>
        <v>0</v>
      </c>
      <c r="N32" s="91">
        <f>'1'!N32+'2'!N32+'3'!N32+'4'!N32+'5'!N32+'6'!N32+'7'!N32+'8'!N32+'9'!N32+'10'!N32+'11'!N32+'12'!N32</f>
        <v>0</v>
      </c>
      <c r="O32" s="91">
        <f>'1'!O32+'2'!O32+'3'!O32+'4'!O32+'5'!O32+'6'!O32+'7'!O32+'8'!O32+'9'!O32+'10'!O32+'11'!O32+'12'!O32</f>
        <v>0</v>
      </c>
      <c r="P32" s="91">
        <f>'1'!P32+'2'!P32+'3'!P32+'4'!P32+'5'!P32+'6'!P32+'7'!P32+'8'!P32+'9'!P32+'10'!P32+'11'!P32+'12'!P32</f>
        <v>0</v>
      </c>
      <c r="Q32" s="91">
        <f>'1'!Q32+'2'!Q32+'3'!Q32+'4'!Q32+'5'!Q32+'6'!Q32+'7'!Q32+'8'!Q32+'9'!Q32+'10'!Q32+'11'!Q32+'12'!Q32</f>
        <v>0</v>
      </c>
      <c r="R32" s="91">
        <f>'1'!R32+'2'!R32+'3'!R32+'4'!R32+'5'!R32+'6'!R32+'7'!R32+'8'!R32+'9'!R32+'10'!R32+'11'!R32+'12'!R32</f>
        <v>0</v>
      </c>
      <c r="S32" s="91">
        <f>'1'!S32+'2'!S32+'3'!S32+'4'!S32+'5'!S32+'6'!S32+'7'!S32+'8'!S32+'9'!S32+'10'!S32+'11'!S32+'12'!S32</f>
        <v>0</v>
      </c>
      <c r="T32" s="91">
        <f>'1'!T32+'2'!T32+'3'!T32+'4'!T32+'5'!T32+'6'!T32+'7'!T32+'8'!T32+'9'!T32+'10'!T32+'11'!T32+'12'!T32</f>
        <v>0</v>
      </c>
      <c r="U32" s="91">
        <f>'1'!U32+'2'!U32+'3'!U32+'4'!U32+'5'!U32+'6'!U32+'7'!U32+'8'!U32+'9'!U32+'10'!U32+'11'!U32+'12'!U32</f>
        <v>0</v>
      </c>
      <c r="V32" s="91">
        <f>'1'!V32+'2'!V32+'3'!V32+'4'!V32+'5'!V32+'6'!V32+'7'!V32+'8'!V32+'9'!V32+'10'!V32+'11'!V32+'12'!V32</f>
        <v>0</v>
      </c>
      <c r="W32" s="91">
        <f>'1'!W32+'2'!W32+'3'!W32+'4'!W32+'5'!W32+'6'!W32+'7'!W32+'8'!W32+'9'!W32+'10'!W32+'11'!W32+'12'!W32</f>
        <v>0</v>
      </c>
      <c r="X32" s="91">
        <f>'1'!X32+'2'!X32+'3'!X32+'4'!X32+'5'!X32+'6'!X32+'7'!X32+'8'!X32+'9'!X32+'10'!X32+'11'!X32+'12'!X32</f>
        <v>0</v>
      </c>
      <c r="Y32" s="91">
        <f>'1'!Y32+'2'!Y32+'3'!Y32+'4'!Y32+'5'!Y32+'6'!Y32+'7'!Y32+'8'!Y32+'9'!Y32+'10'!Y32+'11'!Y32+'12'!Y32</f>
        <v>0</v>
      </c>
      <c r="Z32" s="91">
        <f>'1'!Z32+'2'!Z32+'3'!Z32+'4'!Z32+'5'!Z32+'6'!Z32+'7'!Z32+'8'!Z32+'9'!Z32+'10'!Z32+'11'!Z32+'12'!Z32</f>
        <v>0</v>
      </c>
      <c r="AA32" s="91">
        <f>'1'!AA32+'2'!AA32+'3'!AA32+'4'!AA32+'5'!AA32+'6'!AA32+'7'!AA32+'8'!AA32+'9'!AA32+'10'!AA32+'11'!AA32+'12'!AA32</f>
        <v>0</v>
      </c>
      <c r="AB32" s="91">
        <f>'1'!AB32+'2'!AB32+'3'!AB32+'4'!AB32+'5'!AB32+'6'!AB32+'7'!AB32+'8'!AB32+'9'!AB32+'10'!AB32+'11'!AB32+'12'!AB32</f>
        <v>0</v>
      </c>
      <c r="AC32" s="91">
        <f>'1'!AC32+'2'!AC32+'3'!AC32+'4'!AC32+'5'!AC32+'6'!AC32+'7'!AC32+'8'!AC32+'9'!AC32+'10'!AC32+'11'!AC32+'12'!AC32</f>
        <v>0</v>
      </c>
      <c r="AD32" s="91">
        <f>'1'!AD32+'2'!AD32+'3'!AD32+'4'!AD32+'5'!AD32+'6'!AD32+'7'!AD32+'8'!AD32+'9'!AD32+'10'!AD32+'11'!AD32+'12'!AD32</f>
        <v>0</v>
      </c>
      <c r="AE32" s="91">
        <f>'1'!AE32+'2'!AE32+'3'!AE32+'4'!AE32+'5'!AE32+'6'!AE32+'7'!AE32+'8'!AE32+'9'!AE32+'10'!AE32+'11'!AE32+'12'!AE32</f>
        <v>0</v>
      </c>
      <c r="AF32" s="91">
        <f>'1'!AF32+'2'!AF32+'3'!AF32+'4'!AF32+'5'!AF32+'6'!AF32+'7'!AF32+'8'!AF32+'9'!AF32+'10'!AF32+'11'!AF32+'12'!AF32</f>
        <v>0</v>
      </c>
      <c r="AG32" s="91">
        <f>'1'!AG32+'2'!AG32+'3'!AG32+'4'!AG32+'5'!AG32+'6'!AG32+'7'!AG32+'8'!AG32+'9'!AG32+'10'!AG32+'11'!AG32+'12'!AG32</f>
        <v>0</v>
      </c>
      <c r="AH32" s="91">
        <f>'1'!AH32+'2'!AH32+'3'!AH32+'4'!AH32+'5'!AH32+'6'!AH32+'7'!AH32+'8'!AH32+'9'!AH32+'10'!AH32+'11'!AH32+'12'!AH32</f>
        <v>0</v>
      </c>
      <c r="AI32" s="91">
        <f>'1'!AI32+'2'!AI32+'3'!AI32+'4'!AI32+'5'!AI32+'6'!AI32+'7'!AI32+'8'!AI32+'9'!AI32+'10'!AI32+'11'!AI32+'12'!AI32</f>
        <v>0</v>
      </c>
      <c r="AJ32" s="91">
        <f>'1'!AJ32+'2'!AJ32+'3'!AJ32+'4'!AJ32+'5'!AJ32+'6'!AJ32+'7'!AJ32+'8'!AJ32+'9'!AJ32+'10'!AJ32+'11'!AJ32+'12'!AJ32</f>
        <v>0</v>
      </c>
      <c r="AK32" s="91">
        <f>'1'!AK32+'2'!AK32+'3'!AK32+'4'!AK32+'5'!AK32+'6'!AK32+'7'!AK32+'8'!AK32+'9'!AK32+'10'!AK32+'11'!AK32+'12'!AK32</f>
        <v>0</v>
      </c>
      <c r="AL32" s="91">
        <f>'1'!AL32+'2'!AL32+'3'!AL32+'4'!AL32+'5'!AL32+'6'!AL32+'7'!AL32+'8'!AL32+'9'!AL32+'10'!AL32+'11'!AL32+'12'!AL32</f>
        <v>0</v>
      </c>
      <c r="AM32" s="91">
        <f>'1'!AM32+'2'!AM32+'3'!AM32+'4'!AM32+'5'!AM32+'6'!AM32+'7'!AM32+'8'!AM32+'9'!AM32+'10'!AM32+'11'!AM32+'12'!AM32</f>
        <v>0</v>
      </c>
      <c r="AN32" s="91">
        <f>'1'!AN32+'2'!AN32+'3'!AN32+'4'!AN32+'5'!AN32+'6'!AN32+'7'!AN32+'8'!AN32+'9'!AN32+'10'!AN32+'11'!AN32+'12'!AN32</f>
        <v>0</v>
      </c>
      <c r="AO32" s="91">
        <f>'1'!AO32+'2'!AO32+'3'!AO32+'4'!AO32+'5'!AO32+'6'!AO32+'7'!AO32+'8'!AO32+'9'!AO32+'10'!AO32+'11'!AO32+'12'!AO32</f>
        <v>0</v>
      </c>
      <c r="AP32" s="91">
        <f>'1'!AP32+'2'!AP32+'3'!AP32+'4'!AP32+'5'!AP32+'6'!AP32+'7'!AP32+'8'!AP32+'9'!AP32+'10'!AP32+'11'!AP32+'12'!AP32</f>
        <v>0</v>
      </c>
      <c r="AQ32" s="16">
        <f t="shared" si="3"/>
        <v>0</v>
      </c>
      <c r="AR32" s="17">
        <f t="shared" si="11"/>
        <v>0</v>
      </c>
      <c r="AS32" s="91">
        <f t="shared" si="15"/>
        <v>0</v>
      </c>
      <c r="AT32" s="15"/>
      <c r="AU32" s="92">
        <f t="shared" si="16"/>
        <v>0</v>
      </c>
      <c r="AV32" s="92">
        <f t="shared" si="5"/>
        <v>0</v>
      </c>
      <c r="AW32" s="92">
        <f t="shared" si="17"/>
        <v>0</v>
      </c>
      <c r="AX32" s="92">
        <f t="shared" si="18"/>
        <v>0</v>
      </c>
      <c r="AY32" s="82">
        <f t="shared" si="20"/>
        <v>0</v>
      </c>
      <c r="AZ32" s="82">
        <f t="shared" si="20"/>
        <v>0</v>
      </c>
      <c r="BA32" s="95">
        <f t="shared" si="19"/>
        <v>0</v>
      </c>
      <c r="BB32" s="139"/>
      <c r="BC32"/>
    </row>
    <row r="33" spans="1:55" ht="15" hidden="1" customHeight="1" x14ac:dyDescent="0.3">
      <c r="A33" s="72" t="s">
        <v>36</v>
      </c>
      <c r="B33" s="111"/>
      <c r="C33" s="111">
        <v>44</v>
      </c>
      <c r="D33" s="121">
        <f t="shared" si="21"/>
        <v>0</v>
      </c>
      <c r="E33" s="16">
        <f t="shared" si="22"/>
        <v>0</v>
      </c>
      <c r="F33" s="91">
        <f>'1'!F33+'2'!F33+'3'!F33+'4'!F33+'5'!F33+'6'!F33+'7'!F33+'8'!F33+'9'!F33+'10'!F33+'11'!F33+'12'!F33</f>
        <v>0</v>
      </c>
      <c r="G33" s="91">
        <f>'1'!G33+'2'!G33+'3'!G33+'4'!G33+'5'!G33+'6'!G33+'7'!G33+'8'!G33+'9'!G33+'10'!G33+'11'!G33+'12'!G33</f>
        <v>0</v>
      </c>
      <c r="H33" s="135">
        <f>'1'!H33+'2'!H33+'3'!H33+'4'!H33+'5'!H33+'6'!H33+'7'!H33+'8'!H33+'9'!H33+'10'!H33+'11'!H33+'12'!H33</f>
        <v>0</v>
      </c>
      <c r="I33" s="135">
        <f>'1'!I33+'2'!I33+'3'!I33+'4'!I33+'5'!I33+'6'!I33+'7'!I33+'8'!I33+'9'!I33+'10'!I33+'11'!I33+'12'!I33</f>
        <v>0</v>
      </c>
      <c r="J33" s="9" t="s">
        <v>68</v>
      </c>
      <c r="K33" s="135">
        <f>'1'!K33+'2'!K33+'3'!K33+'4'!K33+'5'!K33+'6'!K33+'7'!K33+'8'!K33+'9'!K33+'10'!K33+'11'!K33+'12'!K33</f>
        <v>0</v>
      </c>
      <c r="L33" s="135">
        <f>'1'!L33+'2'!L33+'3'!L33+'4'!L33+'5'!L33+'6'!L33+'7'!L33+'8'!L33+'9'!L33+'10'!L33+'11'!L33+'12'!L33</f>
        <v>0</v>
      </c>
      <c r="M33" s="91">
        <f>'1'!M33+'2'!M33+'3'!M33+'4'!M33+'5'!M33+'6'!M33+'7'!M33+'8'!M33+'9'!M33+'10'!M33+'11'!M33+'12'!M33</f>
        <v>0</v>
      </c>
      <c r="N33" s="91">
        <f>'1'!N33+'2'!N33+'3'!N33+'4'!N33+'5'!N33+'6'!N33+'7'!N33+'8'!N33+'9'!N33+'10'!N33+'11'!N33+'12'!N33</f>
        <v>0</v>
      </c>
      <c r="O33" s="91">
        <f>'1'!O33+'2'!O33+'3'!O33+'4'!O33+'5'!O33+'6'!O33+'7'!O33+'8'!O33+'9'!O33+'10'!O33+'11'!O33+'12'!O33</f>
        <v>0</v>
      </c>
      <c r="P33" s="91">
        <f>'1'!P33+'2'!P33+'3'!P33+'4'!P33+'5'!P33+'6'!P33+'7'!P33+'8'!P33+'9'!P33+'10'!P33+'11'!P33+'12'!P33</f>
        <v>0</v>
      </c>
      <c r="Q33" s="91">
        <f>'1'!Q33+'2'!Q33+'3'!Q33+'4'!Q33+'5'!Q33+'6'!Q33+'7'!Q33+'8'!Q33+'9'!Q33+'10'!Q33+'11'!Q33+'12'!Q33</f>
        <v>0</v>
      </c>
      <c r="R33" s="91">
        <f>'1'!R33+'2'!R33+'3'!R33+'4'!R33+'5'!R33+'6'!R33+'7'!R33+'8'!R33+'9'!R33+'10'!R33+'11'!R33+'12'!R33</f>
        <v>0</v>
      </c>
      <c r="S33" s="91">
        <f>'1'!S33+'2'!S33+'3'!S33+'4'!S33+'5'!S33+'6'!S33+'7'!S33+'8'!S33+'9'!S33+'10'!S33+'11'!S33+'12'!S33</f>
        <v>0</v>
      </c>
      <c r="T33" s="91">
        <f>'1'!T33+'2'!T33+'3'!T33+'4'!T33+'5'!T33+'6'!T33+'7'!T33+'8'!T33+'9'!T33+'10'!T33+'11'!T33+'12'!T33</f>
        <v>0</v>
      </c>
      <c r="U33" s="91">
        <f>'1'!U33+'2'!U33+'3'!U33+'4'!U33+'5'!U33+'6'!U33+'7'!U33+'8'!U33+'9'!U33+'10'!U33+'11'!U33+'12'!U33</f>
        <v>0</v>
      </c>
      <c r="V33" s="91">
        <f>'1'!V33+'2'!V33+'3'!V33+'4'!V33+'5'!V33+'6'!V33+'7'!V33+'8'!V33+'9'!V33+'10'!V33+'11'!V33+'12'!V33</f>
        <v>0</v>
      </c>
      <c r="W33" s="91">
        <f>'1'!W33+'2'!W33+'3'!W33+'4'!W33+'5'!W33+'6'!W33+'7'!W33+'8'!W33+'9'!W33+'10'!W33+'11'!W33+'12'!W33</f>
        <v>0</v>
      </c>
      <c r="X33" s="91">
        <f>'1'!X33+'2'!X33+'3'!X33+'4'!X33+'5'!X33+'6'!X33+'7'!X33+'8'!X33+'9'!X33+'10'!X33+'11'!X33+'12'!X33</f>
        <v>0</v>
      </c>
      <c r="Y33" s="91">
        <f>'1'!Y33+'2'!Y33+'3'!Y33+'4'!Y33+'5'!Y33+'6'!Y33+'7'!Y33+'8'!Y33+'9'!Y33+'10'!Y33+'11'!Y33+'12'!Y33</f>
        <v>0</v>
      </c>
      <c r="Z33" s="91">
        <f>'1'!Z33+'2'!Z33+'3'!Z33+'4'!Z33+'5'!Z33+'6'!Z33+'7'!Z33+'8'!Z33+'9'!Z33+'10'!Z33+'11'!Z33+'12'!Z33</f>
        <v>0</v>
      </c>
      <c r="AA33" s="91">
        <f>'1'!AA33+'2'!AA33+'3'!AA33+'4'!AA33+'5'!AA33+'6'!AA33+'7'!AA33+'8'!AA33+'9'!AA33+'10'!AA33+'11'!AA33+'12'!AA33</f>
        <v>0</v>
      </c>
      <c r="AB33" s="91">
        <f>'1'!AB33+'2'!AB33+'3'!AB33+'4'!AB33+'5'!AB33+'6'!AB33+'7'!AB33+'8'!AB33+'9'!AB33+'10'!AB33+'11'!AB33+'12'!AB33</f>
        <v>0</v>
      </c>
      <c r="AC33" s="91">
        <f>'1'!AC33+'2'!AC33+'3'!AC33+'4'!AC33+'5'!AC33+'6'!AC33+'7'!AC33+'8'!AC33+'9'!AC33+'10'!AC33+'11'!AC33+'12'!AC33</f>
        <v>0</v>
      </c>
      <c r="AD33" s="91">
        <f>'1'!AD33+'2'!AD33+'3'!AD33+'4'!AD33+'5'!AD33+'6'!AD33+'7'!AD33+'8'!AD33+'9'!AD33+'10'!AD33+'11'!AD33+'12'!AD33</f>
        <v>0</v>
      </c>
      <c r="AE33" s="91">
        <f>'1'!AE33+'2'!AE33+'3'!AE33+'4'!AE33+'5'!AE33+'6'!AE33+'7'!AE33+'8'!AE33+'9'!AE33+'10'!AE33+'11'!AE33+'12'!AE33</f>
        <v>0</v>
      </c>
      <c r="AF33" s="91">
        <f>'1'!AF33+'2'!AF33+'3'!AF33+'4'!AF33+'5'!AF33+'6'!AF33+'7'!AF33+'8'!AF33+'9'!AF33+'10'!AF33+'11'!AF33+'12'!AF33</f>
        <v>0</v>
      </c>
      <c r="AG33" s="91">
        <f>'1'!AG33+'2'!AG33+'3'!AG33+'4'!AG33+'5'!AG33+'6'!AG33+'7'!AG33+'8'!AG33+'9'!AG33+'10'!AG33+'11'!AG33+'12'!AG33</f>
        <v>0</v>
      </c>
      <c r="AH33" s="91">
        <f>'1'!AH33+'2'!AH33+'3'!AH33+'4'!AH33+'5'!AH33+'6'!AH33+'7'!AH33+'8'!AH33+'9'!AH33+'10'!AH33+'11'!AH33+'12'!AH33</f>
        <v>0</v>
      </c>
      <c r="AI33" s="91">
        <f>'1'!AI33+'2'!AI33+'3'!AI33+'4'!AI33+'5'!AI33+'6'!AI33+'7'!AI33+'8'!AI33+'9'!AI33+'10'!AI33+'11'!AI33+'12'!AI33</f>
        <v>0</v>
      </c>
      <c r="AJ33" s="91">
        <f>'1'!AJ33+'2'!AJ33+'3'!AJ33+'4'!AJ33+'5'!AJ33+'6'!AJ33+'7'!AJ33+'8'!AJ33+'9'!AJ33+'10'!AJ33+'11'!AJ33+'12'!AJ33</f>
        <v>0</v>
      </c>
      <c r="AK33" s="91">
        <f>'1'!AK33+'2'!AK33+'3'!AK33+'4'!AK33+'5'!AK33+'6'!AK33+'7'!AK33+'8'!AK33+'9'!AK33+'10'!AK33+'11'!AK33+'12'!AK33</f>
        <v>0</v>
      </c>
      <c r="AL33" s="91">
        <f>'1'!AL33+'2'!AL33+'3'!AL33+'4'!AL33+'5'!AL33+'6'!AL33+'7'!AL33+'8'!AL33+'9'!AL33+'10'!AL33+'11'!AL33+'12'!AL33</f>
        <v>0</v>
      </c>
      <c r="AM33" s="91">
        <f>'1'!AM33+'2'!AM33+'3'!AM33+'4'!AM33+'5'!AM33+'6'!AM33+'7'!AM33+'8'!AM33+'9'!AM33+'10'!AM33+'11'!AM33+'12'!AM33</f>
        <v>0</v>
      </c>
      <c r="AN33" s="91">
        <f>'1'!AN33+'2'!AN33+'3'!AN33+'4'!AN33+'5'!AN33+'6'!AN33+'7'!AN33+'8'!AN33+'9'!AN33+'10'!AN33+'11'!AN33+'12'!AN33</f>
        <v>0</v>
      </c>
      <c r="AO33" s="91">
        <f>'1'!AO33+'2'!AO33+'3'!AO33+'4'!AO33+'5'!AO33+'6'!AO33+'7'!AO33+'8'!AO33+'9'!AO33+'10'!AO33+'11'!AO33+'12'!AO33</f>
        <v>0</v>
      </c>
      <c r="AP33" s="91">
        <f>'1'!AP33+'2'!AP33+'3'!AP33+'4'!AP33+'5'!AP33+'6'!AP33+'7'!AP33+'8'!AP33+'9'!AP33+'10'!AP33+'11'!AP33+'12'!AP33</f>
        <v>0</v>
      </c>
      <c r="AQ33" s="16">
        <f t="shared" si="3"/>
        <v>0</v>
      </c>
      <c r="AR33" s="17">
        <f t="shared" si="11"/>
        <v>0</v>
      </c>
      <c r="AS33" s="91">
        <f t="shared" si="15"/>
        <v>0</v>
      </c>
      <c r="AT33" s="15"/>
      <c r="AU33" s="92">
        <f t="shared" si="16"/>
        <v>0</v>
      </c>
      <c r="AV33" s="92">
        <f t="shared" si="5"/>
        <v>0</v>
      </c>
      <c r="AW33" s="92">
        <f t="shared" si="17"/>
        <v>0</v>
      </c>
      <c r="AX33" s="92">
        <f t="shared" si="18"/>
        <v>0</v>
      </c>
      <c r="AY33" s="82">
        <f t="shared" si="20"/>
        <v>0</v>
      </c>
      <c r="AZ33" s="82">
        <f t="shared" si="20"/>
        <v>0</v>
      </c>
      <c r="BA33" s="95">
        <f t="shared" si="19"/>
        <v>0</v>
      </c>
      <c r="BB33" s="139"/>
      <c r="BC33"/>
    </row>
    <row r="34" spans="1:55" ht="15" hidden="1" customHeight="1" x14ac:dyDescent="0.3">
      <c r="A34" s="72" t="s">
        <v>37</v>
      </c>
      <c r="B34" s="111"/>
      <c r="C34" s="111">
        <v>45</v>
      </c>
      <c r="D34" s="121">
        <f t="shared" si="21"/>
        <v>0</v>
      </c>
      <c r="E34" s="16">
        <f t="shared" si="22"/>
        <v>0</v>
      </c>
      <c r="F34" s="91">
        <f>'1'!F34+'2'!F34+'3'!F34+'4'!F34+'5'!F34+'6'!F34+'7'!F34+'8'!F34+'9'!F34+'10'!F34+'11'!F34+'12'!F34</f>
        <v>0</v>
      </c>
      <c r="G34" s="91">
        <f>'1'!G34+'2'!G34+'3'!G34+'4'!G34+'5'!G34+'6'!G34+'7'!G34+'8'!G34+'9'!G34+'10'!G34+'11'!G34+'12'!G34</f>
        <v>0</v>
      </c>
      <c r="H34" s="135">
        <f>'1'!H34+'2'!H34+'3'!H34+'4'!H34+'5'!H34+'6'!H34+'7'!H34+'8'!H34+'9'!H34+'10'!H34+'11'!H34+'12'!H34</f>
        <v>0</v>
      </c>
      <c r="I34" s="135">
        <f>'1'!I34+'2'!I34+'3'!I34+'4'!I34+'5'!I34+'6'!I34+'7'!I34+'8'!I34+'9'!I34+'10'!I34+'11'!I34+'12'!I34</f>
        <v>0</v>
      </c>
      <c r="J34" s="9" t="s">
        <v>68</v>
      </c>
      <c r="K34" s="135">
        <f>'1'!K34+'2'!K34+'3'!K34+'4'!K34+'5'!K34+'6'!K34+'7'!K34+'8'!K34+'9'!K34+'10'!K34+'11'!K34+'12'!K34</f>
        <v>0</v>
      </c>
      <c r="L34" s="135">
        <f>'1'!L34+'2'!L34+'3'!L34+'4'!L34+'5'!L34+'6'!L34+'7'!L34+'8'!L34+'9'!L34+'10'!L34+'11'!L34+'12'!L34</f>
        <v>0</v>
      </c>
      <c r="M34" s="91">
        <f>'1'!M34+'2'!M34+'3'!M34+'4'!M34+'5'!M34+'6'!M34+'7'!M34+'8'!M34+'9'!M34+'10'!M34+'11'!M34+'12'!M34</f>
        <v>0</v>
      </c>
      <c r="N34" s="91">
        <f>'1'!N34+'2'!N34+'3'!N34+'4'!N34+'5'!N34+'6'!N34+'7'!N34+'8'!N34+'9'!N34+'10'!N34+'11'!N34+'12'!N34</f>
        <v>0</v>
      </c>
      <c r="O34" s="91">
        <f>'1'!O34+'2'!O34+'3'!O34+'4'!O34+'5'!O34+'6'!O34+'7'!O34+'8'!O34+'9'!O34+'10'!O34+'11'!O34+'12'!O34</f>
        <v>0</v>
      </c>
      <c r="P34" s="91">
        <f>'1'!P34+'2'!P34+'3'!P34+'4'!P34+'5'!P34+'6'!P34+'7'!P34+'8'!P34+'9'!P34+'10'!P34+'11'!P34+'12'!P34</f>
        <v>0</v>
      </c>
      <c r="Q34" s="91">
        <f>'1'!Q34+'2'!Q34+'3'!Q34+'4'!Q34+'5'!Q34+'6'!Q34+'7'!Q34+'8'!Q34+'9'!Q34+'10'!Q34+'11'!Q34+'12'!Q34</f>
        <v>0</v>
      </c>
      <c r="R34" s="91">
        <f>'1'!R34+'2'!R34+'3'!R34+'4'!R34+'5'!R34+'6'!R34+'7'!R34+'8'!R34+'9'!R34+'10'!R34+'11'!R34+'12'!R34</f>
        <v>0</v>
      </c>
      <c r="S34" s="91">
        <f>'1'!S34+'2'!S34+'3'!S34+'4'!S34+'5'!S34+'6'!S34+'7'!S34+'8'!S34+'9'!S34+'10'!S34+'11'!S34+'12'!S34</f>
        <v>0</v>
      </c>
      <c r="T34" s="91">
        <f>'1'!T34+'2'!T34+'3'!T34+'4'!T34+'5'!T34+'6'!T34+'7'!T34+'8'!T34+'9'!T34+'10'!T34+'11'!T34+'12'!T34</f>
        <v>0</v>
      </c>
      <c r="U34" s="91">
        <f>'1'!U34+'2'!U34+'3'!U34+'4'!U34+'5'!U34+'6'!U34+'7'!U34+'8'!U34+'9'!U34+'10'!U34+'11'!U34+'12'!U34</f>
        <v>0</v>
      </c>
      <c r="V34" s="91">
        <f>'1'!V34+'2'!V34+'3'!V34+'4'!V34+'5'!V34+'6'!V34+'7'!V34+'8'!V34+'9'!V34+'10'!V34+'11'!V34+'12'!V34</f>
        <v>0</v>
      </c>
      <c r="W34" s="91">
        <f>'1'!W34+'2'!W34+'3'!W34+'4'!W34+'5'!W34+'6'!W34+'7'!W34+'8'!W34+'9'!W34+'10'!W34+'11'!W34+'12'!W34</f>
        <v>0</v>
      </c>
      <c r="X34" s="91">
        <f>'1'!X34+'2'!X34+'3'!X34+'4'!X34+'5'!X34+'6'!X34+'7'!X34+'8'!X34+'9'!X34+'10'!X34+'11'!X34+'12'!X34</f>
        <v>0</v>
      </c>
      <c r="Y34" s="91">
        <f>'1'!Y34+'2'!Y34+'3'!Y34+'4'!Y34+'5'!Y34+'6'!Y34+'7'!Y34+'8'!Y34+'9'!Y34+'10'!Y34+'11'!Y34+'12'!Y34</f>
        <v>0</v>
      </c>
      <c r="Z34" s="91">
        <f>'1'!Z34+'2'!Z34+'3'!Z34+'4'!Z34+'5'!Z34+'6'!Z34+'7'!Z34+'8'!Z34+'9'!Z34+'10'!Z34+'11'!Z34+'12'!Z34</f>
        <v>0</v>
      </c>
      <c r="AA34" s="91">
        <f>'1'!AA34+'2'!AA34+'3'!AA34+'4'!AA34+'5'!AA34+'6'!AA34+'7'!AA34+'8'!AA34+'9'!AA34+'10'!AA34+'11'!AA34+'12'!AA34</f>
        <v>0</v>
      </c>
      <c r="AB34" s="91">
        <f>'1'!AB34+'2'!AB34+'3'!AB34+'4'!AB34+'5'!AB34+'6'!AB34+'7'!AB34+'8'!AB34+'9'!AB34+'10'!AB34+'11'!AB34+'12'!AB34</f>
        <v>0</v>
      </c>
      <c r="AC34" s="91">
        <f>'1'!AC34+'2'!AC34+'3'!AC34+'4'!AC34+'5'!AC34+'6'!AC34+'7'!AC34+'8'!AC34+'9'!AC34+'10'!AC34+'11'!AC34+'12'!AC34</f>
        <v>0</v>
      </c>
      <c r="AD34" s="91">
        <f>'1'!AD34+'2'!AD34+'3'!AD34+'4'!AD34+'5'!AD34+'6'!AD34+'7'!AD34+'8'!AD34+'9'!AD34+'10'!AD34+'11'!AD34+'12'!AD34</f>
        <v>0</v>
      </c>
      <c r="AE34" s="91">
        <f>'1'!AE34+'2'!AE34+'3'!AE34+'4'!AE34+'5'!AE34+'6'!AE34+'7'!AE34+'8'!AE34+'9'!AE34+'10'!AE34+'11'!AE34+'12'!AE34</f>
        <v>0</v>
      </c>
      <c r="AF34" s="91">
        <f>'1'!AF34+'2'!AF34+'3'!AF34+'4'!AF34+'5'!AF34+'6'!AF34+'7'!AF34+'8'!AF34+'9'!AF34+'10'!AF34+'11'!AF34+'12'!AF34</f>
        <v>0</v>
      </c>
      <c r="AG34" s="91">
        <f>'1'!AG34+'2'!AG34+'3'!AG34+'4'!AG34+'5'!AG34+'6'!AG34+'7'!AG34+'8'!AG34+'9'!AG34+'10'!AG34+'11'!AG34+'12'!AG34</f>
        <v>0</v>
      </c>
      <c r="AH34" s="91">
        <f>'1'!AH34+'2'!AH34+'3'!AH34+'4'!AH34+'5'!AH34+'6'!AH34+'7'!AH34+'8'!AH34+'9'!AH34+'10'!AH34+'11'!AH34+'12'!AH34</f>
        <v>0</v>
      </c>
      <c r="AI34" s="91">
        <f>'1'!AI34+'2'!AI34+'3'!AI34+'4'!AI34+'5'!AI34+'6'!AI34+'7'!AI34+'8'!AI34+'9'!AI34+'10'!AI34+'11'!AI34+'12'!AI34</f>
        <v>0</v>
      </c>
      <c r="AJ34" s="91">
        <f>'1'!AJ34+'2'!AJ34+'3'!AJ34+'4'!AJ34+'5'!AJ34+'6'!AJ34+'7'!AJ34+'8'!AJ34+'9'!AJ34+'10'!AJ34+'11'!AJ34+'12'!AJ34</f>
        <v>0</v>
      </c>
      <c r="AK34" s="91">
        <f>'1'!AK34+'2'!AK34+'3'!AK34+'4'!AK34+'5'!AK34+'6'!AK34+'7'!AK34+'8'!AK34+'9'!AK34+'10'!AK34+'11'!AK34+'12'!AK34</f>
        <v>0</v>
      </c>
      <c r="AL34" s="91">
        <f>'1'!AL34+'2'!AL34+'3'!AL34+'4'!AL34+'5'!AL34+'6'!AL34+'7'!AL34+'8'!AL34+'9'!AL34+'10'!AL34+'11'!AL34+'12'!AL34</f>
        <v>0</v>
      </c>
      <c r="AM34" s="91">
        <f>'1'!AM34+'2'!AM34+'3'!AM34+'4'!AM34+'5'!AM34+'6'!AM34+'7'!AM34+'8'!AM34+'9'!AM34+'10'!AM34+'11'!AM34+'12'!AM34</f>
        <v>0</v>
      </c>
      <c r="AN34" s="91">
        <f>'1'!AN34+'2'!AN34+'3'!AN34+'4'!AN34+'5'!AN34+'6'!AN34+'7'!AN34+'8'!AN34+'9'!AN34+'10'!AN34+'11'!AN34+'12'!AN34</f>
        <v>0</v>
      </c>
      <c r="AO34" s="91">
        <f>'1'!AO34+'2'!AO34+'3'!AO34+'4'!AO34+'5'!AO34+'6'!AO34+'7'!AO34+'8'!AO34+'9'!AO34+'10'!AO34+'11'!AO34+'12'!AO34</f>
        <v>0</v>
      </c>
      <c r="AP34" s="91">
        <f>'1'!AP34+'2'!AP34+'3'!AP34+'4'!AP34+'5'!AP34+'6'!AP34+'7'!AP34+'8'!AP34+'9'!AP34+'10'!AP34+'11'!AP34+'12'!AP34</f>
        <v>0</v>
      </c>
      <c r="AQ34" s="16">
        <f t="shared" si="3"/>
        <v>0</v>
      </c>
      <c r="AR34" s="17">
        <f t="shared" si="11"/>
        <v>0</v>
      </c>
      <c r="AS34" s="91">
        <f t="shared" si="15"/>
        <v>0</v>
      </c>
      <c r="AT34" s="15"/>
      <c r="AU34" s="92">
        <f t="shared" si="16"/>
        <v>0</v>
      </c>
      <c r="AV34" s="92">
        <f t="shared" si="5"/>
        <v>0</v>
      </c>
      <c r="AW34" s="92">
        <f t="shared" si="17"/>
        <v>0</v>
      </c>
      <c r="AX34" s="92">
        <f t="shared" si="18"/>
        <v>0</v>
      </c>
      <c r="AY34" s="82">
        <f t="shared" si="20"/>
        <v>0</v>
      </c>
      <c r="AZ34" s="82">
        <f t="shared" si="20"/>
        <v>0</v>
      </c>
      <c r="BA34" s="95">
        <f t="shared" si="19"/>
        <v>0</v>
      </c>
      <c r="BB34" s="139"/>
      <c r="BC34"/>
    </row>
    <row r="35" spans="1:55" ht="15" hidden="1" customHeight="1" x14ac:dyDescent="0.3">
      <c r="A35" s="72" t="s">
        <v>38</v>
      </c>
      <c r="B35" s="111"/>
      <c r="C35" s="111">
        <v>46</v>
      </c>
      <c r="D35" s="121">
        <f t="shared" si="21"/>
        <v>0</v>
      </c>
      <c r="E35" s="16">
        <f t="shared" si="22"/>
        <v>0</v>
      </c>
      <c r="F35" s="91">
        <f>'1'!F35+'2'!F35+'3'!F35+'4'!F35+'5'!F35+'6'!F35+'7'!F35+'8'!F35+'9'!F35+'10'!F35+'11'!F35+'12'!F35</f>
        <v>0</v>
      </c>
      <c r="G35" s="91">
        <f>'1'!G35+'2'!G35+'3'!G35+'4'!G35+'5'!G35+'6'!G35+'7'!G35+'8'!G35+'9'!G35+'10'!G35+'11'!G35+'12'!G35</f>
        <v>0</v>
      </c>
      <c r="H35" s="135">
        <f>'1'!H35+'2'!H35+'3'!H35+'4'!H35+'5'!H35+'6'!H35+'7'!H35+'8'!H35+'9'!H35+'10'!H35+'11'!H35+'12'!H35</f>
        <v>0</v>
      </c>
      <c r="I35" s="135">
        <f>'1'!I35+'2'!I35+'3'!I35+'4'!I35+'5'!I35+'6'!I35+'7'!I35+'8'!I35+'9'!I35+'10'!I35+'11'!I35+'12'!I35</f>
        <v>0</v>
      </c>
      <c r="J35" s="9" t="s">
        <v>68</v>
      </c>
      <c r="K35" s="135">
        <f>'1'!K35+'2'!K35+'3'!K35+'4'!K35+'5'!K35+'6'!K35+'7'!K35+'8'!K35+'9'!K35+'10'!K35+'11'!K35+'12'!K35</f>
        <v>0</v>
      </c>
      <c r="L35" s="135">
        <f>'1'!L35+'2'!L35+'3'!L35+'4'!L35+'5'!L35+'6'!L35+'7'!L35+'8'!L35+'9'!L35+'10'!L35+'11'!L35+'12'!L35</f>
        <v>0</v>
      </c>
      <c r="M35" s="91">
        <f>'1'!M35+'2'!M35+'3'!M35+'4'!M35+'5'!M35+'6'!M35+'7'!M35+'8'!M35+'9'!M35+'10'!M35+'11'!M35+'12'!M35</f>
        <v>0</v>
      </c>
      <c r="N35" s="91">
        <f>'1'!N35+'2'!N35+'3'!N35+'4'!N35+'5'!N35+'6'!N35+'7'!N35+'8'!N35+'9'!N35+'10'!N35+'11'!N35+'12'!N35</f>
        <v>0</v>
      </c>
      <c r="O35" s="91">
        <f>'1'!O35+'2'!O35+'3'!O35+'4'!O35+'5'!O35+'6'!O35+'7'!O35+'8'!O35+'9'!O35+'10'!O35+'11'!O35+'12'!O35</f>
        <v>0</v>
      </c>
      <c r="P35" s="91">
        <f>'1'!P35+'2'!P35+'3'!P35+'4'!P35+'5'!P35+'6'!P35+'7'!P35+'8'!P35+'9'!P35+'10'!P35+'11'!P35+'12'!P35</f>
        <v>0</v>
      </c>
      <c r="Q35" s="91">
        <f>'1'!Q35+'2'!Q35+'3'!Q35+'4'!Q35+'5'!Q35+'6'!Q35+'7'!Q35+'8'!Q35+'9'!Q35+'10'!Q35+'11'!Q35+'12'!Q35</f>
        <v>0</v>
      </c>
      <c r="R35" s="91">
        <f>'1'!R35+'2'!R35+'3'!R35+'4'!R35+'5'!R35+'6'!R35+'7'!R35+'8'!R35+'9'!R35+'10'!R35+'11'!R35+'12'!R35</f>
        <v>0</v>
      </c>
      <c r="S35" s="91">
        <f>'1'!S35+'2'!S35+'3'!S35+'4'!S35+'5'!S35+'6'!S35+'7'!S35+'8'!S35+'9'!S35+'10'!S35+'11'!S35+'12'!S35</f>
        <v>0</v>
      </c>
      <c r="T35" s="91">
        <f>'1'!T35+'2'!T35+'3'!T35+'4'!T35+'5'!T35+'6'!T35+'7'!T35+'8'!T35+'9'!T35+'10'!T35+'11'!T35+'12'!T35</f>
        <v>0</v>
      </c>
      <c r="U35" s="91">
        <f>'1'!U35+'2'!U35+'3'!U35+'4'!U35+'5'!U35+'6'!U35+'7'!U35+'8'!U35+'9'!U35+'10'!U35+'11'!U35+'12'!U35</f>
        <v>0</v>
      </c>
      <c r="V35" s="91">
        <f>'1'!V35+'2'!V35+'3'!V35+'4'!V35+'5'!V35+'6'!V35+'7'!V35+'8'!V35+'9'!V35+'10'!V35+'11'!V35+'12'!V35</f>
        <v>0</v>
      </c>
      <c r="W35" s="91">
        <f>'1'!W35+'2'!W35+'3'!W35+'4'!W35+'5'!W35+'6'!W35+'7'!W35+'8'!W35+'9'!W35+'10'!W35+'11'!W35+'12'!W35</f>
        <v>0</v>
      </c>
      <c r="X35" s="91">
        <f>'1'!X35+'2'!X35+'3'!X35+'4'!X35+'5'!X35+'6'!X35+'7'!X35+'8'!X35+'9'!X35+'10'!X35+'11'!X35+'12'!X35</f>
        <v>0</v>
      </c>
      <c r="Y35" s="91">
        <f>'1'!Y35+'2'!Y35+'3'!Y35+'4'!Y35+'5'!Y35+'6'!Y35+'7'!Y35+'8'!Y35+'9'!Y35+'10'!Y35+'11'!Y35+'12'!Y35</f>
        <v>0</v>
      </c>
      <c r="Z35" s="91">
        <f>'1'!Z35+'2'!Z35+'3'!Z35+'4'!Z35+'5'!Z35+'6'!Z35+'7'!Z35+'8'!Z35+'9'!Z35+'10'!Z35+'11'!Z35+'12'!Z35</f>
        <v>0</v>
      </c>
      <c r="AA35" s="91">
        <f>'1'!AA35+'2'!AA35+'3'!AA35+'4'!AA35+'5'!AA35+'6'!AA35+'7'!AA35+'8'!AA35+'9'!AA35+'10'!AA35+'11'!AA35+'12'!AA35</f>
        <v>0</v>
      </c>
      <c r="AB35" s="91">
        <f>'1'!AB35+'2'!AB35+'3'!AB35+'4'!AB35+'5'!AB35+'6'!AB35+'7'!AB35+'8'!AB35+'9'!AB35+'10'!AB35+'11'!AB35+'12'!AB35</f>
        <v>0</v>
      </c>
      <c r="AC35" s="91">
        <f>'1'!AC35+'2'!AC35+'3'!AC35+'4'!AC35+'5'!AC35+'6'!AC35+'7'!AC35+'8'!AC35+'9'!AC35+'10'!AC35+'11'!AC35+'12'!AC35</f>
        <v>0</v>
      </c>
      <c r="AD35" s="91">
        <f>'1'!AD35+'2'!AD35+'3'!AD35+'4'!AD35+'5'!AD35+'6'!AD35+'7'!AD35+'8'!AD35+'9'!AD35+'10'!AD35+'11'!AD35+'12'!AD35</f>
        <v>0</v>
      </c>
      <c r="AE35" s="91">
        <f>'1'!AE35+'2'!AE35+'3'!AE35+'4'!AE35+'5'!AE35+'6'!AE35+'7'!AE35+'8'!AE35+'9'!AE35+'10'!AE35+'11'!AE35+'12'!AE35</f>
        <v>0</v>
      </c>
      <c r="AF35" s="91">
        <f>'1'!AF35+'2'!AF35+'3'!AF35+'4'!AF35+'5'!AF35+'6'!AF35+'7'!AF35+'8'!AF35+'9'!AF35+'10'!AF35+'11'!AF35+'12'!AF35</f>
        <v>0</v>
      </c>
      <c r="AG35" s="91">
        <f>'1'!AG35+'2'!AG35+'3'!AG35+'4'!AG35+'5'!AG35+'6'!AG35+'7'!AG35+'8'!AG35+'9'!AG35+'10'!AG35+'11'!AG35+'12'!AG35</f>
        <v>0</v>
      </c>
      <c r="AH35" s="91">
        <f>'1'!AH35+'2'!AH35+'3'!AH35+'4'!AH35+'5'!AH35+'6'!AH35+'7'!AH35+'8'!AH35+'9'!AH35+'10'!AH35+'11'!AH35+'12'!AH35</f>
        <v>0</v>
      </c>
      <c r="AI35" s="91">
        <f>'1'!AI35+'2'!AI35+'3'!AI35+'4'!AI35+'5'!AI35+'6'!AI35+'7'!AI35+'8'!AI35+'9'!AI35+'10'!AI35+'11'!AI35+'12'!AI35</f>
        <v>0</v>
      </c>
      <c r="AJ35" s="91">
        <f>'1'!AJ35+'2'!AJ35+'3'!AJ35+'4'!AJ35+'5'!AJ35+'6'!AJ35+'7'!AJ35+'8'!AJ35+'9'!AJ35+'10'!AJ35+'11'!AJ35+'12'!AJ35</f>
        <v>0</v>
      </c>
      <c r="AK35" s="91">
        <f>'1'!AK35+'2'!AK35+'3'!AK35+'4'!AK35+'5'!AK35+'6'!AK35+'7'!AK35+'8'!AK35+'9'!AK35+'10'!AK35+'11'!AK35+'12'!AK35</f>
        <v>0</v>
      </c>
      <c r="AL35" s="91">
        <f>'1'!AL35+'2'!AL35+'3'!AL35+'4'!AL35+'5'!AL35+'6'!AL35+'7'!AL35+'8'!AL35+'9'!AL35+'10'!AL35+'11'!AL35+'12'!AL35</f>
        <v>0</v>
      </c>
      <c r="AM35" s="91">
        <f>'1'!AM35+'2'!AM35+'3'!AM35+'4'!AM35+'5'!AM35+'6'!AM35+'7'!AM35+'8'!AM35+'9'!AM35+'10'!AM35+'11'!AM35+'12'!AM35</f>
        <v>0</v>
      </c>
      <c r="AN35" s="91">
        <f>'1'!AN35+'2'!AN35+'3'!AN35+'4'!AN35+'5'!AN35+'6'!AN35+'7'!AN35+'8'!AN35+'9'!AN35+'10'!AN35+'11'!AN35+'12'!AN35</f>
        <v>0</v>
      </c>
      <c r="AO35" s="91">
        <f>'1'!AO35+'2'!AO35+'3'!AO35+'4'!AO35+'5'!AO35+'6'!AO35+'7'!AO35+'8'!AO35+'9'!AO35+'10'!AO35+'11'!AO35+'12'!AO35</f>
        <v>0</v>
      </c>
      <c r="AP35" s="91">
        <f>'1'!AP35+'2'!AP35+'3'!AP35+'4'!AP35+'5'!AP35+'6'!AP35+'7'!AP35+'8'!AP35+'9'!AP35+'10'!AP35+'11'!AP35+'12'!AP35</f>
        <v>0</v>
      </c>
      <c r="AQ35" s="16">
        <f t="shared" si="3"/>
        <v>0</v>
      </c>
      <c r="AR35" s="17">
        <f t="shared" si="11"/>
        <v>0</v>
      </c>
      <c r="AS35" s="91">
        <f t="shared" si="15"/>
        <v>0</v>
      </c>
      <c r="AT35" s="15"/>
      <c r="AU35" s="92">
        <f t="shared" si="16"/>
        <v>0</v>
      </c>
      <c r="AV35" s="92">
        <f t="shared" si="5"/>
        <v>0</v>
      </c>
      <c r="AW35" s="92">
        <f t="shared" si="17"/>
        <v>0</v>
      </c>
      <c r="AX35" s="92">
        <f t="shared" si="18"/>
        <v>0</v>
      </c>
      <c r="AY35" s="82">
        <f t="shared" si="20"/>
        <v>0</v>
      </c>
      <c r="AZ35" s="82">
        <f t="shared" si="20"/>
        <v>0</v>
      </c>
      <c r="BA35" s="95">
        <f t="shared" si="19"/>
        <v>0</v>
      </c>
      <c r="BB35" s="139"/>
      <c r="BC35"/>
    </row>
    <row r="36" spans="1:55" ht="15" hidden="1" customHeight="1" x14ac:dyDescent="0.3">
      <c r="A36" s="72" t="s">
        <v>39</v>
      </c>
      <c r="B36" s="111"/>
      <c r="C36" s="111">
        <v>47</v>
      </c>
      <c r="D36" s="121">
        <f t="shared" si="21"/>
        <v>0</v>
      </c>
      <c r="E36" s="16">
        <f t="shared" si="22"/>
        <v>0</v>
      </c>
      <c r="F36" s="91">
        <f>'1'!F36+'2'!F36+'3'!F36+'4'!F36+'5'!F36+'6'!F36+'7'!F36+'8'!F36+'9'!F36+'10'!F36+'11'!F36+'12'!F36</f>
        <v>0</v>
      </c>
      <c r="G36" s="91">
        <f>'1'!G36+'2'!G36+'3'!G36+'4'!G36+'5'!G36+'6'!G36+'7'!G36+'8'!G36+'9'!G36+'10'!G36+'11'!G36+'12'!G36</f>
        <v>0</v>
      </c>
      <c r="H36" s="135">
        <f>'1'!H36+'2'!H36+'3'!H36+'4'!H36+'5'!H36+'6'!H36+'7'!H36+'8'!H36+'9'!H36+'10'!H36+'11'!H36+'12'!H36</f>
        <v>0</v>
      </c>
      <c r="I36" s="135">
        <f>'1'!I36+'2'!I36+'3'!I36+'4'!I36+'5'!I36+'6'!I36+'7'!I36+'8'!I36+'9'!I36+'10'!I36+'11'!I36+'12'!I36</f>
        <v>0</v>
      </c>
      <c r="J36" s="9" t="s">
        <v>68</v>
      </c>
      <c r="K36" s="135">
        <f>'1'!K36+'2'!K36+'3'!K36+'4'!K36+'5'!K36+'6'!K36+'7'!K36+'8'!K36+'9'!K36+'10'!K36+'11'!K36+'12'!K36</f>
        <v>0</v>
      </c>
      <c r="L36" s="135">
        <f>'1'!L36+'2'!L36+'3'!L36+'4'!L36+'5'!L36+'6'!L36+'7'!L36+'8'!L36+'9'!L36+'10'!L36+'11'!L36+'12'!L36</f>
        <v>0</v>
      </c>
      <c r="M36" s="91">
        <f>'1'!M36+'2'!M36+'3'!M36+'4'!M36+'5'!M36+'6'!M36+'7'!M36+'8'!M36+'9'!M36+'10'!M36+'11'!M36+'12'!M36</f>
        <v>0</v>
      </c>
      <c r="N36" s="91">
        <f>'1'!N36+'2'!N36+'3'!N36+'4'!N36+'5'!N36+'6'!N36+'7'!N36+'8'!N36+'9'!N36+'10'!N36+'11'!N36+'12'!N36</f>
        <v>0</v>
      </c>
      <c r="O36" s="91">
        <f>'1'!O36+'2'!O36+'3'!O36+'4'!O36+'5'!O36+'6'!O36+'7'!O36+'8'!O36+'9'!O36+'10'!O36+'11'!O36+'12'!O36</f>
        <v>0</v>
      </c>
      <c r="P36" s="91">
        <f>'1'!P36+'2'!P36+'3'!P36+'4'!P36+'5'!P36+'6'!P36+'7'!P36+'8'!P36+'9'!P36+'10'!P36+'11'!P36+'12'!P36</f>
        <v>0</v>
      </c>
      <c r="Q36" s="91">
        <f>'1'!Q36+'2'!Q36+'3'!Q36+'4'!Q36+'5'!Q36+'6'!Q36+'7'!Q36+'8'!Q36+'9'!Q36+'10'!Q36+'11'!Q36+'12'!Q36</f>
        <v>0</v>
      </c>
      <c r="R36" s="91">
        <f>'1'!R36+'2'!R36+'3'!R36+'4'!R36+'5'!R36+'6'!R36+'7'!R36+'8'!R36+'9'!R36+'10'!R36+'11'!R36+'12'!R36</f>
        <v>0</v>
      </c>
      <c r="S36" s="91">
        <f>'1'!S36+'2'!S36+'3'!S36+'4'!S36+'5'!S36+'6'!S36+'7'!S36+'8'!S36+'9'!S36+'10'!S36+'11'!S36+'12'!S36</f>
        <v>0</v>
      </c>
      <c r="T36" s="91">
        <f>'1'!T36+'2'!T36+'3'!T36+'4'!T36+'5'!T36+'6'!T36+'7'!T36+'8'!T36+'9'!T36+'10'!T36+'11'!T36+'12'!T36</f>
        <v>0</v>
      </c>
      <c r="U36" s="91">
        <f>'1'!U36+'2'!U36+'3'!U36+'4'!U36+'5'!U36+'6'!U36+'7'!U36+'8'!U36+'9'!U36+'10'!U36+'11'!U36+'12'!U36</f>
        <v>0</v>
      </c>
      <c r="V36" s="91">
        <f>'1'!V36+'2'!V36+'3'!V36+'4'!V36+'5'!V36+'6'!V36+'7'!V36+'8'!V36+'9'!V36+'10'!V36+'11'!V36+'12'!V36</f>
        <v>0</v>
      </c>
      <c r="W36" s="91">
        <f>'1'!W36+'2'!W36+'3'!W36+'4'!W36+'5'!W36+'6'!W36+'7'!W36+'8'!W36+'9'!W36+'10'!W36+'11'!W36+'12'!W36</f>
        <v>0</v>
      </c>
      <c r="X36" s="91">
        <f>'1'!X36+'2'!X36+'3'!X36+'4'!X36+'5'!X36+'6'!X36+'7'!X36+'8'!X36+'9'!X36+'10'!X36+'11'!X36+'12'!X36</f>
        <v>0</v>
      </c>
      <c r="Y36" s="91">
        <f>'1'!Y36+'2'!Y36+'3'!Y36+'4'!Y36+'5'!Y36+'6'!Y36+'7'!Y36+'8'!Y36+'9'!Y36+'10'!Y36+'11'!Y36+'12'!Y36</f>
        <v>0</v>
      </c>
      <c r="Z36" s="91">
        <f>'1'!Z36+'2'!Z36+'3'!Z36+'4'!Z36+'5'!Z36+'6'!Z36+'7'!Z36+'8'!Z36+'9'!Z36+'10'!Z36+'11'!Z36+'12'!Z36</f>
        <v>0</v>
      </c>
      <c r="AA36" s="91">
        <f>'1'!AA36+'2'!AA36+'3'!AA36+'4'!AA36+'5'!AA36+'6'!AA36+'7'!AA36+'8'!AA36+'9'!AA36+'10'!AA36+'11'!AA36+'12'!AA36</f>
        <v>0</v>
      </c>
      <c r="AB36" s="91">
        <f>'1'!AB36+'2'!AB36+'3'!AB36+'4'!AB36+'5'!AB36+'6'!AB36+'7'!AB36+'8'!AB36+'9'!AB36+'10'!AB36+'11'!AB36+'12'!AB36</f>
        <v>0</v>
      </c>
      <c r="AC36" s="91">
        <f>'1'!AC36+'2'!AC36+'3'!AC36+'4'!AC36+'5'!AC36+'6'!AC36+'7'!AC36+'8'!AC36+'9'!AC36+'10'!AC36+'11'!AC36+'12'!AC36</f>
        <v>0</v>
      </c>
      <c r="AD36" s="91">
        <f>'1'!AD36+'2'!AD36+'3'!AD36+'4'!AD36+'5'!AD36+'6'!AD36+'7'!AD36+'8'!AD36+'9'!AD36+'10'!AD36+'11'!AD36+'12'!AD36</f>
        <v>0</v>
      </c>
      <c r="AE36" s="91">
        <f>'1'!AE36+'2'!AE36+'3'!AE36+'4'!AE36+'5'!AE36+'6'!AE36+'7'!AE36+'8'!AE36+'9'!AE36+'10'!AE36+'11'!AE36+'12'!AE36</f>
        <v>0</v>
      </c>
      <c r="AF36" s="91">
        <f>'1'!AF36+'2'!AF36+'3'!AF36+'4'!AF36+'5'!AF36+'6'!AF36+'7'!AF36+'8'!AF36+'9'!AF36+'10'!AF36+'11'!AF36+'12'!AF36</f>
        <v>0</v>
      </c>
      <c r="AG36" s="91">
        <f>'1'!AG36+'2'!AG36+'3'!AG36+'4'!AG36+'5'!AG36+'6'!AG36+'7'!AG36+'8'!AG36+'9'!AG36+'10'!AG36+'11'!AG36+'12'!AG36</f>
        <v>0</v>
      </c>
      <c r="AH36" s="91">
        <f>'1'!AH36+'2'!AH36+'3'!AH36+'4'!AH36+'5'!AH36+'6'!AH36+'7'!AH36+'8'!AH36+'9'!AH36+'10'!AH36+'11'!AH36+'12'!AH36</f>
        <v>0</v>
      </c>
      <c r="AI36" s="91">
        <f>'1'!AI36+'2'!AI36+'3'!AI36+'4'!AI36+'5'!AI36+'6'!AI36+'7'!AI36+'8'!AI36+'9'!AI36+'10'!AI36+'11'!AI36+'12'!AI36</f>
        <v>0</v>
      </c>
      <c r="AJ36" s="91">
        <f>'1'!AJ36+'2'!AJ36+'3'!AJ36+'4'!AJ36+'5'!AJ36+'6'!AJ36+'7'!AJ36+'8'!AJ36+'9'!AJ36+'10'!AJ36+'11'!AJ36+'12'!AJ36</f>
        <v>0</v>
      </c>
      <c r="AK36" s="91">
        <f>'1'!AK36+'2'!AK36+'3'!AK36+'4'!AK36+'5'!AK36+'6'!AK36+'7'!AK36+'8'!AK36+'9'!AK36+'10'!AK36+'11'!AK36+'12'!AK36</f>
        <v>0</v>
      </c>
      <c r="AL36" s="91">
        <f>'1'!AL36+'2'!AL36+'3'!AL36+'4'!AL36+'5'!AL36+'6'!AL36+'7'!AL36+'8'!AL36+'9'!AL36+'10'!AL36+'11'!AL36+'12'!AL36</f>
        <v>0</v>
      </c>
      <c r="AM36" s="91">
        <f>'1'!AM36+'2'!AM36+'3'!AM36+'4'!AM36+'5'!AM36+'6'!AM36+'7'!AM36+'8'!AM36+'9'!AM36+'10'!AM36+'11'!AM36+'12'!AM36</f>
        <v>0</v>
      </c>
      <c r="AN36" s="91">
        <f>'1'!AN36+'2'!AN36+'3'!AN36+'4'!AN36+'5'!AN36+'6'!AN36+'7'!AN36+'8'!AN36+'9'!AN36+'10'!AN36+'11'!AN36+'12'!AN36</f>
        <v>0</v>
      </c>
      <c r="AO36" s="91">
        <f>'1'!AO36+'2'!AO36+'3'!AO36+'4'!AO36+'5'!AO36+'6'!AO36+'7'!AO36+'8'!AO36+'9'!AO36+'10'!AO36+'11'!AO36+'12'!AO36</f>
        <v>0</v>
      </c>
      <c r="AP36" s="91">
        <f>'1'!AP36+'2'!AP36+'3'!AP36+'4'!AP36+'5'!AP36+'6'!AP36+'7'!AP36+'8'!AP36+'9'!AP36+'10'!AP36+'11'!AP36+'12'!AP36</f>
        <v>0</v>
      </c>
      <c r="AQ36" s="16">
        <f t="shared" si="3"/>
        <v>0</v>
      </c>
      <c r="AR36" s="17">
        <f t="shared" si="11"/>
        <v>0</v>
      </c>
      <c r="AS36" s="91">
        <f t="shared" si="15"/>
        <v>0</v>
      </c>
      <c r="AT36" s="91">
        <f>'1'!AT36+'2'!AT36+'3'!AT36+'4'!AT36+'5'!AT36+'6'!AT36+'7'!AT36+'8'!AT36+'9'!AT36+'10'!AT36+'11'!AT36+'12'!AT36</f>
        <v>0</v>
      </c>
      <c r="AU36" s="92">
        <f t="shared" si="16"/>
        <v>0</v>
      </c>
      <c r="AV36" s="92">
        <f t="shared" si="5"/>
        <v>0</v>
      </c>
      <c r="AW36" s="92">
        <f t="shared" si="17"/>
        <v>0</v>
      </c>
      <c r="AX36" s="92">
        <f t="shared" si="18"/>
        <v>0</v>
      </c>
      <c r="AY36" s="82">
        <f t="shared" si="20"/>
        <v>0</v>
      </c>
      <c r="AZ36" s="82">
        <f t="shared" si="20"/>
        <v>0</v>
      </c>
      <c r="BA36" s="95">
        <f t="shared" si="19"/>
        <v>0</v>
      </c>
      <c r="BB36" s="139"/>
      <c r="BC36"/>
    </row>
    <row r="37" spans="1:55" ht="15" hidden="1" customHeight="1" x14ac:dyDescent="0.3">
      <c r="A37" s="72" t="s">
        <v>40</v>
      </c>
      <c r="B37" s="111"/>
      <c r="C37" s="111">
        <v>48</v>
      </c>
      <c r="D37" s="121">
        <f t="shared" si="21"/>
        <v>0</v>
      </c>
      <c r="E37" s="16">
        <f t="shared" si="22"/>
        <v>0</v>
      </c>
      <c r="F37" s="91">
        <f>'1'!F37+'2'!F37+'3'!F37+'4'!F37+'5'!F37+'6'!F37+'7'!F37+'8'!F37+'9'!F37+'10'!F37+'11'!F37+'12'!F37</f>
        <v>0</v>
      </c>
      <c r="G37" s="91">
        <f>'1'!G37+'2'!G37+'3'!G37+'4'!G37+'5'!G37+'6'!G37+'7'!G37+'8'!G37+'9'!G37+'10'!G37+'11'!G37+'12'!G37</f>
        <v>0</v>
      </c>
      <c r="H37" s="135">
        <f>'1'!H37+'2'!H37+'3'!H37+'4'!H37+'5'!H37+'6'!H37+'7'!H37+'8'!H37+'9'!H37+'10'!H37+'11'!H37+'12'!H37</f>
        <v>0</v>
      </c>
      <c r="I37" s="135">
        <f>'1'!I37+'2'!I37+'3'!I37+'4'!I37+'5'!I37+'6'!I37+'7'!I37+'8'!I37+'9'!I37+'10'!I37+'11'!I37+'12'!I37</f>
        <v>0</v>
      </c>
      <c r="J37" s="9" t="s">
        <v>68</v>
      </c>
      <c r="K37" s="135">
        <f>'1'!K37+'2'!K37+'3'!K37+'4'!K37+'5'!K37+'6'!K37+'7'!K37+'8'!K37+'9'!K37+'10'!K37+'11'!K37+'12'!K37</f>
        <v>0</v>
      </c>
      <c r="L37" s="135">
        <f>'1'!L37+'2'!L37+'3'!L37+'4'!L37+'5'!L37+'6'!L37+'7'!L37+'8'!L37+'9'!L37+'10'!L37+'11'!L37+'12'!L37</f>
        <v>0</v>
      </c>
      <c r="M37" s="91">
        <f>'1'!M37+'2'!M37+'3'!M37+'4'!M37+'5'!M37+'6'!M37+'7'!M37+'8'!M37+'9'!M37+'10'!M37+'11'!M37+'12'!M37</f>
        <v>0</v>
      </c>
      <c r="N37" s="91">
        <f>'1'!N37+'2'!N37+'3'!N37+'4'!N37+'5'!N37+'6'!N37+'7'!N37+'8'!N37+'9'!N37+'10'!N37+'11'!N37+'12'!N37</f>
        <v>0</v>
      </c>
      <c r="O37" s="91">
        <f>'1'!O37+'2'!O37+'3'!O37+'4'!O37+'5'!O37+'6'!O37+'7'!O37+'8'!O37+'9'!O37+'10'!O37+'11'!O37+'12'!O37</f>
        <v>0</v>
      </c>
      <c r="P37" s="91">
        <f>'1'!P37+'2'!P37+'3'!P37+'4'!P37+'5'!P37+'6'!P37+'7'!P37+'8'!P37+'9'!P37+'10'!P37+'11'!P37+'12'!P37</f>
        <v>0</v>
      </c>
      <c r="Q37" s="91">
        <f>'1'!Q37+'2'!Q37+'3'!Q37+'4'!Q37+'5'!Q37+'6'!Q37+'7'!Q37+'8'!Q37+'9'!Q37+'10'!Q37+'11'!Q37+'12'!Q37</f>
        <v>0</v>
      </c>
      <c r="R37" s="91">
        <f>'1'!R37+'2'!R37+'3'!R37+'4'!R37+'5'!R37+'6'!R37+'7'!R37+'8'!R37+'9'!R37+'10'!R37+'11'!R37+'12'!R37</f>
        <v>0</v>
      </c>
      <c r="S37" s="91">
        <f>'1'!S37+'2'!S37+'3'!S37+'4'!S37+'5'!S37+'6'!S37+'7'!S37+'8'!S37+'9'!S37+'10'!S37+'11'!S37+'12'!S37</f>
        <v>0</v>
      </c>
      <c r="T37" s="91">
        <f>'1'!T37+'2'!T37+'3'!T37+'4'!T37+'5'!T37+'6'!T37+'7'!T37+'8'!T37+'9'!T37+'10'!T37+'11'!T37+'12'!T37</f>
        <v>0</v>
      </c>
      <c r="U37" s="91">
        <f>'1'!U37+'2'!U37+'3'!U37+'4'!U37+'5'!U37+'6'!U37+'7'!U37+'8'!U37+'9'!U37+'10'!U37+'11'!U37+'12'!U37</f>
        <v>0</v>
      </c>
      <c r="V37" s="91">
        <f>'1'!V37+'2'!V37+'3'!V37+'4'!V37+'5'!V37+'6'!V37+'7'!V37+'8'!V37+'9'!V37+'10'!V37+'11'!V37+'12'!V37</f>
        <v>0</v>
      </c>
      <c r="W37" s="91">
        <f>'1'!W37+'2'!W37+'3'!W37+'4'!W37+'5'!W37+'6'!W37+'7'!W37+'8'!W37+'9'!W37+'10'!W37+'11'!W37+'12'!W37</f>
        <v>0</v>
      </c>
      <c r="X37" s="91">
        <f>'1'!X37+'2'!X37+'3'!X37+'4'!X37+'5'!X37+'6'!X37+'7'!X37+'8'!X37+'9'!X37+'10'!X37+'11'!X37+'12'!X37</f>
        <v>0</v>
      </c>
      <c r="Y37" s="91">
        <f>'1'!Y37+'2'!Y37+'3'!Y37+'4'!Y37+'5'!Y37+'6'!Y37+'7'!Y37+'8'!Y37+'9'!Y37+'10'!Y37+'11'!Y37+'12'!Y37</f>
        <v>0</v>
      </c>
      <c r="Z37" s="91">
        <f>'1'!Z37+'2'!Z37+'3'!Z37+'4'!Z37+'5'!Z37+'6'!Z37+'7'!Z37+'8'!Z37+'9'!Z37+'10'!Z37+'11'!Z37+'12'!Z37</f>
        <v>0</v>
      </c>
      <c r="AA37" s="91">
        <f>'1'!AA37+'2'!AA37+'3'!AA37+'4'!AA37+'5'!AA37+'6'!AA37+'7'!AA37+'8'!AA37+'9'!AA37+'10'!AA37+'11'!AA37+'12'!AA37</f>
        <v>0</v>
      </c>
      <c r="AB37" s="91">
        <f>'1'!AB37+'2'!AB37+'3'!AB37+'4'!AB37+'5'!AB37+'6'!AB37+'7'!AB37+'8'!AB37+'9'!AB37+'10'!AB37+'11'!AB37+'12'!AB37</f>
        <v>0</v>
      </c>
      <c r="AC37" s="91">
        <f>'1'!AC37+'2'!AC37+'3'!AC37+'4'!AC37+'5'!AC37+'6'!AC37+'7'!AC37+'8'!AC37+'9'!AC37+'10'!AC37+'11'!AC37+'12'!AC37</f>
        <v>0</v>
      </c>
      <c r="AD37" s="91">
        <f>'1'!AD37+'2'!AD37+'3'!AD37+'4'!AD37+'5'!AD37+'6'!AD37+'7'!AD37+'8'!AD37+'9'!AD37+'10'!AD37+'11'!AD37+'12'!AD37</f>
        <v>0</v>
      </c>
      <c r="AE37" s="91">
        <f>'1'!AE37+'2'!AE37+'3'!AE37+'4'!AE37+'5'!AE37+'6'!AE37+'7'!AE37+'8'!AE37+'9'!AE37+'10'!AE37+'11'!AE37+'12'!AE37</f>
        <v>0</v>
      </c>
      <c r="AF37" s="91">
        <f>'1'!AF37+'2'!AF37+'3'!AF37+'4'!AF37+'5'!AF37+'6'!AF37+'7'!AF37+'8'!AF37+'9'!AF37+'10'!AF37+'11'!AF37+'12'!AF37</f>
        <v>0</v>
      </c>
      <c r="AG37" s="91">
        <f>'1'!AG37+'2'!AG37+'3'!AG37+'4'!AG37+'5'!AG37+'6'!AG37+'7'!AG37+'8'!AG37+'9'!AG37+'10'!AG37+'11'!AG37+'12'!AG37</f>
        <v>0</v>
      </c>
      <c r="AH37" s="91">
        <f>'1'!AH37+'2'!AH37+'3'!AH37+'4'!AH37+'5'!AH37+'6'!AH37+'7'!AH37+'8'!AH37+'9'!AH37+'10'!AH37+'11'!AH37+'12'!AH37</f>
        <v>0</v>
      </c>
      <c r="AI37" s="91">
        <f>'1'!AI37+'2'!AI37+'3'!AI37+'4'!AI37+'5'!AI37+'6'!AI37+'7'!AI37+'8'!AI37+'9'!AI37+'10'!AI37+'11'!AI37+'12'!AI37</f>
        <v>0</v>
      </c>
      <c r="AJ37" s="91">
        <f>'1'!AJ37+'2'!AJ37+'3'!AJ37+'4'!AJ37+'5'!AJ37+'6'!AJ37+'7'!AJ37+'8'!AJ37+'9'!AJ37+'10'!AJ37+'11'!AJ37+'12'!AJ37</f>
        <v>0</v>
      </c>
      <c r="AK37" s="91">
        <f>'1'!AK37+'2'!AK37+'3'!AK37+'4'!AK37+'5'!AK37+'6'!AK37+'7'!AK37+'8'!AK37+'9'!AK37+'10'!AK37+'11'!AK37+'12'!AK37</f>
        <v>0</v>
      </c>
      <c r="AL37" s="91">
        <f>'1'!AL37+'2'!AL37+'3'!AL37+'4'!AL37+'5'!AL37+'6'!AL37+'7'!AL37+'8'!AL37+'9'!AL37+'10'!AL37+'11'!AL37+'12'!AL37</f>
        <v>0</v>
      </c>
      <c r="AM37" s="91">
        <f>'1'!AM37+'2'!AM37+'3'!AM37+'4'!AM37+'5'!AM37+'6'!AM37+'7'!AM37+'8'!AM37+'9'!AM37+'10'!AM37+'11'!AM37+'12'!AM37</f>
        <v>0</v>
      </c>
      <c r="AN37" s="91">
        <f>'1'!AN37+'2'!AN37+'3'!AN37+'4'!AN37+'5'!AN37+'6'!AN37+'7'!AN37+'8'!AN37+'9'!AN37+'10'!AN37+'11'!AN37+'12'!AN37</f>
        <v>0</v>
      </c>
      <c r="AO37" s="91">
        <f>'1'!AO37+'2'!AO37+'3'!AO37+'4'!AO37+'5'!AO37+'6'!AO37+'7'!AO37+'8'!AO37+'9'!AO37+'10'!AO37+'11'!AO37+'12'!AO37</f>
        <v>0</v>
      </c>
      <c r="AP37" s="91">
        <f>'1'!AP37+'2'!AP37+'3'!AP37+'4'!AP37+'5'!AP37+'6'!AP37+'7'!AP37+'8'!AP37+'9'!AP37+'10'!AP37+'11'!AP37+'12'!AP37</f>
        <v>0</v>
      </c>
      <c r="AQ37" s="16">
        <f t="shared" si="3"/>
        <v>0</v>
      </c>
      <c r="AR37" s="17">
        <f t="shared" si="11"/>
        <v>0</v>
      </c>
      <c r="AS37" s="91">
        <f t="shared" si="15"/>
        <v>0</v>
      </c>
      <c r="AT37" s="91">
        <f>'1'!AT37+'2'!AT37+'3'!AT37+'4'!AT37+'5'!AT37+'6'!AT37+'7'!AT37+'8'!AT37+'9'!AT37+'10'!AT37+'11'!AT37+'12'!AT37</f>
        <v>0</v>
      </c>
      <c r="AU37" s="92">
        <f t="shared" si="16"/>
        <v>0</v>
      </c>
      <c r="AV37" s="92">
        <f t="shared" si="5"/>
        <v>0</v>
      </c>
      <c r="AW37" s="92">
        <f t="shared" si="17"/>
        <v>0</v>
      </c>
      <c r="AX37" s="92">
        <f t="shared" si="18"/>
        <v>0</v>
      </c>
      <c r="AY37" s="82">
        <f t="shared" si="20"/>
        <v>0</v>
      </c>
      <c r="AZ37" s="82">
        <f t="shared" si="20"/>
        <v>0</v>
      </c>
      <c r="BA37" s="95">
        <f t="shared" si="19"/>
        <v>0</v>
      </c>
      <c r="BB37" s="139"/>
      <c r="BC37"/>
    </row>
    <row r="38" spans="1:55" ht="15" hidden="1" customHeight="1" x14ac:dyDescent="0.3">
      <c r="A38" s="72" t="s">
        <v>41</v>
      </c>
      <c r="B38" s="111"/>
      <c r="C38" s="111">
        <v>49</v>
      </c>
      <c r="D38" s="121">
        <f t="shared" si="21"/>
        <v>0</v>
      </c>
      <c r="E38" s="16">
        <f t="shared" si="22"/>
        <v>0</v>
      </c>
      <c r="F38" s="91">
        <f>'1'!F38+'2'!F38+'3'!F38+'4'!F38+'5'!F38+'6'!F38+'7'!F38+'8'!F38+'9'!F38+'10'!F38+'11'!F38+'12'!F38</f>
        <v>0</v>
      </c>
      <c r="G38" s="91">
        <f>'1'!G38+'2'!G38+'3'!G38+'4'!G38+'5'!G38+'6'!G38+'7'!G38+'8'!G38+'9'!G38+'10'!G38+'11'!G38+'12'!G38</f>
        <v>0</v>
      </c>
      <c r="H38" s="135">
        <f>'1'!H38+'2'!H38+'3'!H38+'4'!H38+'5'!H38+'6'!H38+'7'!H38+'8'!H38+'9'!H38+'10'!H38+'11'!H38+'12'!H38</f>
        <v>0</v>
      </c>
      <c r="I38" s="135">
        <f>'1'!I38+'2'!I38+'3'!I38+'4'!I38+'5'!I38+'6'!I38+'7'!I38+'8'!I38+'9'!I38+'10'!I38+'11'!I38+'12'!I38</f>
        <v>0</v>
      </c>
      <c r="J38" s="9" t="s">
        <v>68</v>
      </c>
      <c r="K38" s="135">
        <f>'1'!K38+'2'!K38+'3'!K38+'4'!K38+'5'!K38+'6'!K38+'7'!K38+'8'!K38+'9'!K38+'10'!K38+'11'!K38+'12'!K38</f>
        <v>0</v>
      </c>
      <c r="L38" s="135">
        <f>'1'!L38+'2'!L38+'3'!L38+'4'!L38+'5'!L38+'6'!L38+'7'!L38+'8'!L38+'9'!L38+'10'!L38+'11'!L38+'12'!L38</f>
        <v>0</v>
      </c>
      <c r="M38" s="91">
        <f>'1'!M38+'2'!M38+'3'!M38+'4'!M38+'5'!M38+'6'!M38+'7'!M38+'8'!M38+'9'!M38+'10'!M38+'11'!M38+'12'!M38</f>
        <v>0</v>
      </c>
      <c r="N38" s="91">
        <f>'1'!N38+'2'!N38+'3'!N38+'4'!N38+'5'!N38+'6'!N38+'7'!N38+'8'!N38+'9'!N38+'10'!N38+'11'!N38+'12'!N38</f>
        <v>0</v>
      </c>
      <c r="O38" s="91">
        <f>'1'!O38+'2'!O38+'3'!O38+'4'!O38+'5'!O38+'6'!O38+'7'!O38+'8'!O38+'9'!O38+'10'!O38+'11'!O38+'12'!O38</f>
        <v>0</v>
      </c>
      <c r="P38" s="91">
        <f>'1'!P38+'2'!P38+'3'!P38+'4'!P38+'5'!P38+'6'!P38+'7'!P38+'8'!P38+'9'!P38+'10'!P38+'11'!P38+'12'!P38</f>
        <v>0</v>
      </c>
      <c r="Q38" s="91">
        <f>'1'!Q38+'2'!Q38+'3'!Q38+'4'!Q38+'5'!Q38+'6'!Q38+'7'!Q38+'8'!Q38+'9'!Q38+'10'!Q38+'11'!Q38+'12'!Q38</f>
        <v>0</v>
      </c>
      <c r="R38" s="91">
        <f>'1'!R38+'2'!R38+'3'!R38+'4'!R38+'5'!R38+'6'!R38+'7'!R38+'8'!R38+'9'!R38+'10'!R38+'11'!R38+'12'!R38</f>
        <v>0</v>
      </c>
      <c r="S38" s="91">
        <f>'1'!S38+'2'!S38+'3'!S38+'4'!S38+'5'!S38+'6'!S38+'7'!S38+'8'!S38+'9'!S38+'10'!S38+'11'!S38+'12'!S38</f>
        <v>0</v>
      </c>
      <c r="T38" s="91">
        <f>'1'!T38+'2'!T38+'3'!T38+'4'!T38+'5'!T38+'6'!T38+'7'!T38+'8'!T38+'9'!T38+'10'!T38+'11'!T38+'12'!T38</f>
        <v>0</v>
      </c>
      <c r="U38" s="91">
        <f>'1'!U38+'2'!U38+'3'!U38+'4'!U38+'5'!U38+'6'!U38+'7'!U38+'8'!U38+'9'!U38+'10'!U38+'11'!U38+'12'!U38</f>
        <v>0</v>
      </c>
      <c r="V38" s="91">
        <f>'1'!V38+'2'!V38+'3'!V38+'4'!V38+'5'!V38+'6'!V38+'7'!V38+'8'!V38+'9'!V38+'10'!V38+'11'!V38+'12'!V38</f>
        <v>0</v>
      </c>
      <c r="W38" s="91">
        <f>'1'!W38+'2'!W38+'3'!W38+'4'!W38+'5'!W38+'6'!W38+'7'!W38+'8'!W38+'9'!W38+'10'!W38+'11'!W38+'12'!W38</f>
        <v>0</v>
      </c>
      <c r="X38" s="91">
        <f>'1'!X38+'2'!X38+'3'!X38+'4'!X38+'5'!X38+'6'!X38+'7'!X38+'8'!X38+'9'!X38+'10'!X38+'11'!X38+'12'!X38</f>
        <v>0</v>
      </c>
      <c r="Y38" s="91">
        <f>'1'!Y38+'2'!Y38+'3'!Y38+'4'!Y38+'5'!Y38+'6'!Y38+'7'!Y38+'8'!Y38+'9'!Y38+'10'!Y38+'11'!Y38+'12'!Y38</f>
        <v>0</v>
      </c>
      <c r="Z38" s="91">
        <f>'1'!Z38+'2'!Z38+'3'!Z38+'4'!Z38+'5'!Z38+'6'!Z38+'7'!Z38+'8'!Z38+'9'!Z38+'10'!Z38+'11'!Z38+'12'!Z38</f>
        <v>0</v>
      </c>
      <c r="AA38" s="91">
        <f>'1'!AA38+'2'!AA38+'3'!AA38+'4'!AA38+'5'!AA38+'6'!AA38+'7'!AA38+'8'!AA38+'9'!AA38+'10'!AA38+'11'!AA38+'12'!AA38</f>
        <v>0</v>
      </c>
      <c r="AB38" s="91">
        <f>'1'!AB38+'2'!AB38+'3'!AB38+'4'!AB38+'5'!AB38+'6'!AB38+'7'!AB38+'8'!AB38+'9'!AB38+'10'!AB38+'11'!AB38+'12'!AB38</f>
        <v>0</v>
      </c>
      <c r="AC38" s="91">
        <f>'1'!AC38+'2'!AC38+'3'!AC38+'4'!AC38+'5'!AC38+'6'!AC38+'7'!AC38+'8'!AC38+'9'!AC38+'10'!AC38+'11'!AC38+'12'!AC38</f>
        <v>0</v>
      </c>
      <c r="AD38" s="91">
        <f>'1'!AD38+'2'!AD38+'3'!AD38+'4'!AD38+'5'!AD38+'6'!AD38+'7'!AD38+'8'!AD38+'9'!AD38+'10'!AD38+'11'!AD38+'12'!AD38</f>
        <v>0</v>
      </c>
      <c r="AE38" s="91">
        <f>'1'!AE38+'2'!AE38+'3'!AE38+'4'!AE38+'5'!AE38+'6'!AE38+'7'!AE38+'8'!AE38+'9'!AE38+'10'!AE38+'11'!AE38+'12'!AE38</f>
        <v>0</v>
      </c>
      <c r="AF38" s="91">
        <f>'1'!AF38+'2'!AF38+'3'!AF38+'4'!AF38+'5'!AF38+'6'!AF38+'7'!AF38+'8'!AF38+'9'!AF38+'10'!AF38+'11'!AF38+'12'!AF38</f>
        <v>0</v>
      </c>
      <c r="AG38" s="91">
        <f>'1'!AG38+'2'!AG38+'3'!AG38+'4'!AG38+'5'!AG38+'6'!AG38+'7'!AG38+'8'!AG38+'9'!AG38+'10'!AG38+'11'!AG38+'12'!AG38</f>
        <v>0</v>
      </c>
      <c r="AH38" s="91">
        <f>'1'!AH38+'2'!AH38+'3'!AH38+'4'!AH38+'5'!AH38+'6'!AH38+'7'!AH38+'8'!AH38+'9'!AH38+'10'!AH38+'11'!AH38+'12'!AH38</f>
        <v>0</v>
      </c>
      <c r="AI38" s="91">
        <f>'1'!AI38+'2'!AI38+'3'!AI38+'4'!AI38+'5'!AI38+'6'!AI38+'7'!AI38+'8'!AI38+'9'!AI38+'10'!AI38+'11'!AI38+'12'!AI38</f>
        <v>0</v>
      </c>
      <c r="AJ38" s="91">
        <f>'1'!AJ38+'2'!AJ38+'3'!AJ38+'4'!AJ38+'5'!AJ38+'6'!AJ38+'7'!AJ38+'8'!AJ38+'9'!AJ38+'10'!AJ38+'11'!AJ38+'12'!AJ38</f>
        <v>0</v>
      </c>
      <c r="AK38" s="91">
        <f>'1'!AK38+'2'!AK38+'3'!AK38+'4'!AK38+'5'!AK38+'6'!AK38+'7'!AK38+'8'!AK38+'9'!AK38+'10'!AK38+'11'!AK38+'12'!AK38</f>
        <v>0</v>
      </c>
      <c r="AL38" s="91">
        <f>'1'!AL38+'2'!AL38+'3'!AL38+'4'!AL38+'5'!AL38+'6'!AL38+'7'!AL38+'8'!AL38+'9'!AL38+'10'!AL38+'11'!AL38+'12'!AL38</f>
        <v>0</v>
      </c>
      <c r="AM38" s="91">
        <f>'1'!AM38+'2'!AM38+'3'!AM38+'4'!AM38+'5'!AM38+'6'!AM38+'7'!AM38+'8'!AM38+'9'!AM38+'10'!AM38+'11'!AM38+'12'!AM38</f>
        <v>0</v>
      </c>
      <c r="AN38" s="91">
        <f>'1'!AN38+'2'!AN38+'3'!AN38+'4'!AN38+'5'!AN38+'6'!AN38+'7'!AN38+'8'!AN38+'9'!AN38+'10'!AN38+'11'!AN38+'12'!AN38</f>
        <v>0</v>
      </c>
      <c r="AO38" s="91">
        <f>'1'!AO38+'2'!AO38+'3'!AO38+'4'!AO38+'5'!AO38+'6'!AO38+'7'!AO38+'8'!AO38+'9'!AO38+'10'!AO38+'11'!AO38+'12'!AO38</f>
        <v>0</v>
      </c>
      <c r="AP38" s="91">
        <f>'1'!AP38+'2'!AP38+'3'!AP38+'4'!AP38+'5'!AP38+'6'!AP38+'7'!AP38+'8'!AP38+'9'!AP38+'10'!AP38+'11'!AP38+'12'!AP38</f>
        <v>0</v>
      </c>
      <c r="AQ38" s="16">
        <f t="shared" si="3"/>
        <v>0</v>
      </c>
      <c r="AR38" s="17">
        <f t="shared" si="11"/>
        <v>0</v>
      </c>
      <c r="AS38" s="91">
        <f t="shared" si="15"/>
        <v>0</v>
      </c>
      <c r="AT38" s="91">
        <f>'1'!AT38+'2'!AT38+'3'!AT38+'4'!AT38+'5'!AT38+'6'!AT38+'7'!AT38+'8'!AT38+'9'!AT38+'10'!AT38+'11'!AT38+'12'!AT38</f>
        <v>0</v>
      </c>
      <c r="AU38" s="92">
        <f t="shared" si="16"/>
        <v>0</v>
      </c>
      <c r="AV38" s="92">
        <f t="shared" si="5"/>
        <v>0</v>
      </c>
      <c r="AW38" s="92">
        <f t="shared" si="17"/>
        <v>0</v>
      </c>
      <c r="AX38" s="92">
        <f t="shared" si="18"/>
        <v>0</v>
      </c>
      <c r="AY38" s="82">
        <f t="shared" si="20"/>
        <v>0</v>
      </c>
      <c r="AZ38" s="82">
        <f t="shared" si="20"/>
        <v>0</v>
      </c>
      <c r="BA38" s="95">
        <f t="shared" si="19"/>
        <v>0</v>
      </c>
      <c r="BB38" s="139"/>
      <c r="BC38"/>
    </row>
    <row r="39" spans="1:55" ht="15" hidden="1" customHeight="1" x14ac:dyDescent="0.3">
      <c r="A39" s="72" t="s">
        <v>42</v>
      </c>
      <c r="B39" s="111"/>
      <c r="C39" s="111">
        <v>50</v>
      </c>
      <c r="D39" s="121">
        <f t="shared" si="21"/>
        <v>0</v>
      </c>
      <c r="E39" s="16">
        <f t="shared" si="22"/>
        <v>0</v>
      </c>
      <c r="F39" s="91">
        <f>'1'!F39+'2'!F39+'3'!F39+'4'!F39+'5'!F39+'6'!F39+'7'!F39+'8'!F39+'9'!F39+'10'!F39+'11'!F39+'12'!F39</f>
        <v>0</v>
      </c>
      <c r="G39" s="91">
        <f>'1'!G39+'2'!G39+'3'!G39+'4'!G39+'5'!G39+'6'!G39+'7'!G39+'8'!G39+'9'!G39+'10'!G39+'11'!G39+'12'!G39</f>
        <v>0</v>
      </c>
      <c r="H39" s="135">
        <f>'1'!H39+'2'!H39+'3'!H39+'4'!H39+'5'!H39+'6'!H39+'7'!H39+'8'!H39+'9'!H39+'10'!H39+'11'!H39+'12'!H39</f>
        <v>0</v>
      </c>
      <c r="I39" s="135">
        <f>'1'!I39+'2'!I39+'3'!I39+'4'!I39+'5'!I39+'6'!I39+'7'!I39+'8'!I39+'9'!I39+'10'!I39+'11'!I39+'12'!I39</f>
        <v>0</v>
      </c>
      <c r="J39" s="9" t="s">
        <v>68</v>
      </c>
      <c r="K39" s="135">
        <f>'1'!K39+'2'!K39+'3'!K39+'4'!K39+'5'!K39+'6'!K39+'7'!K39+'8'!K39+'9'!K39+'10'!K39+'11'!K39+'12'!K39</f>
        <v>0</v>
      </c>
      <c r="L39" s="135">
        <f>'1'!L39+'2'!L39+'3'!L39+'4'!L39+'5'!L39+'6'!L39+'7'!L39+'8'!L39+'9'!L39+'10'!L39+'11'!L39+'12'!L39</f>
        <v>0</v>
      </c>
      <c r="M39" s="91">
        <f>'1'!M39+'2'!M39+'3'!M39+'4'!M39+'5'!M39+'6'!M39+'7'!M39+'8'!M39+'9'!M39+'10'!M39+'11'!M39+'12'!M39</f>
        <v>0</v>
      </c>
      <c r="N39" s="91">
        <f>'1'!N39+'2'!N39+'3'!N39+'4'!N39+'5'!N39+'6'!N39+'7'!N39+'8'!N39+'9'!N39+'10'!N39+'11'!N39+'12'!N39</f>
        <v>0</v>
      </c>
      <c r="O39" s="91">
        <f>'1'!O39+'2'!O39+'3'!O39+'4'!O39+'5'!O39+'6'!O39+'7'!O39+'8'!O39+'9'!O39+'10'!O39+'11'!O39+'12'!O39</f>
        <v>0</v>
      </c>
      <c r="P39" s="91">
        <f>'1'!P39+'2'!P39+'3'!P39+'4'!P39+'5'!P39+'6'!P39+'7'!P39+'8'!P39+'9'!P39+'10'!P39+'11'!P39+'12'!P39</f>
        <v>0</v>
      </c>
      <c r="Q39" s="91">
        <f>'1'!Q39+'2'!Q39+'3'!Q39+'4'!Q39+'5'!Q39+'6'!Q39+'7'!Q39+'8'!Q39+'9'!Q39+'10'!Q39+'11'!Q39+'12'!Q39</f>
        <v>0</v>
      </c>
      <c r="R39" s="91">
        <f>'1'!R39+'2'!R39+'3'!R39+'4'!R39+'5'!R39+'6'!R39+'7'!R39+'8'!R39+'9'!R39+'10'!R39+'11'!R39+'12'!R39</f>
        <v>0</v>
      </c>
      <c r="S39" s="91">
        <f>'1'!S39+'2'!S39+'3'!S39+'4'!S39+'5'!S39+'6'!S39+'7'!S39+'8'!S39+'9'!S39+'10'!S39+'11'!S39+'12'!S39</f>
        <v>0</v>
      </c>
      <c r="T39" s="91">
        <f>'1'!T39+'2'!T39+'3'!T39+'4'!T39+'5'!T39+'6'!T39+'7'!T39+'8'!T39+'9'!T39+'10'!T39+'11'!T39+'12'!T39</f>
        <v>0</v>
      </c>
      <c r="U39" s="91">
        <f>'1'!U39+'2'!U39+'3'!U39+'4'!U39+'5'!U39+'6'!U39+'7'!U39+'8'!U39+'9'!U39+'10'!U39+'11'!U39+'12'!U39</f>
        <v>0</v>
      </c>
      <c r="V39" s="91">
        <f>'1'!V39+'2'!V39+'3'!V39+'4'!V39+'5'!V39+'6'!V39+'7'!V39+'8'!V39+'9'!V39+'10'!V39+'11'!V39+'12'!V39</f>
        <v>0</v>
      </c>
      <c r="W39" s="91">
        <f>'1'!W39+'2'!W39+'3'!W39+'4'!W39+'5'!W39+'6'!W39+'7'!W39+'8'!W39+'9'!W39+'10'!W39+'11'!W39+'12'!W39</f>
        <v>0</v>
      </c>
      <c r="X39" s="91">
        <f>'1'!X39+'2'!X39+'3'!X39+'4'!X39+'5'!X39+'6'!X39+'7'!X39+'8'!X39+'9'!X39+'10'!X39+'11'!X39+'12'!X39</f>
        <v>0</v>
      </c>
      <c r="Y39" s="91">
        <f>'1'!Y39+'2'!Y39+'3'!Y39+'4'!Y39+'5'!Y39+'6'!Y39+'7'!Y39+'8'!Y39+'9'!Y39+'10'!Y39+'11'!Y39+'12'!Y39</f>
        <v>0</v>
      </c>
      <c r="Z39" s="91">
        <f>'1'!Z39+'2'!Z39+'3'!Z39+'4'!Z39+'5'!Z39+'6'!Z39+'7'!Z39+'8'!Z39+'9'!Z39+'10'!Z39+'11'!Z39+'12'!Z39</f>
        <v>0</v>
      </c>
      <c r="AA39" s="91">
        <f>'1'!AA39+'2'!AA39+'3'!AA39+'4'!AA39+'5'!AA39+'6'!AA39+'7'!AA39+'8'!AA39+'9'!AA39+'10'!AA39+'11'!AA39+'12'!AA39</f>
        <v>0</v>
      </c>
      <c r="AB39" s="91">
        <f>'1'!AB39+'2'!AB39+'3'!AB39+'4'!AB39+'5'!AB39+'6'!AB39+'7'!AB39+'8'!AB39+'9'!AB39+'10'!AB39+'11'!AB39+'12'!AB39</f>
        <v>0</v>
      </c>
      <c r="AC39" s="91">
        <f>'1'!AC39+'2'!AC39+'3'!AC39+'4'!AC39+'5'!AC39+'6'!AC39+'7'!AC39+'8'!AC39+'9'!AC39+'10'!AC39+'11'!AC39+'12'!AC39</f>
        <v>0</v>
      </c>
      <c r="AD39" s="91">
        <f>'1'!AD39+'2'!AD39+'3'!AD39+'4'!AD39+'5'!AD39+'6'!AD39+'7'!AD39+'8'!AD39+'9'!AD39+'10'!AD39+'11'!AD39+'12'!AD39</f>
        <v>0</v>
      </c>
      <c r="AE39" s="91">
        <f>'1'!AE39+'2'!AE39+'3'!AE39+'4'!AE39+'5'!AE39+'6'!AE39+'7'!AE39+'8'!AE39+'9'!AE39+'10'!AE39+'11'!AE39+'12'!AE39</f>
        <v>0</v>
      </c>
      <c r="AF39" s="91">
        <f>'1'!AF39+'2'!AF39+'3'!AF39+'4'!AF39+'5'!AF39+'6'!AF39+'7'!AF39+'8'!AF39+'9'!AF39+'10'!AF39+'11'!AF39+'12'!AF39</f>
        <v>0</v>
      </c>
      <c r="AG39" s="91">
        <f>'1'!AG39+'2'!AG39+'3'!AG39+'4'!AG39+'5'!AG39+'6'!AG39+'7'!AG39+'8'!AG39+'9'!AG39+'10'!AG39+'11'!AG39+'12'!AG39</f>
        <v>0</v>
      </c>
      <c r="AH39" s="91">
        <f>'1'!AH39+'2'!AH39+'3'!AH39+'4'!AH39+'5'!AH39+'6'!AH39+'7'!AH39+'8'!AH39+'9'!AH39+'10'!AH39+'11'!AH39+'12'!AH39</f>
        <v>0</v>
      </c>
      <c r="AI39" s="91">
        <f>'1'!AI39+'2'!AI39+'3'!AI39+'4'!AI39+'5'!AI39+'6'!AI39+'7'!AI39+'8'!AI39+'9'!AI39+'10'!AI39+'11'!AI39+'12'!AI39</f>
        <v>0</v>
      </c>
      <c r="AJ39" s="91">
        <f>'1'!AJ39+'2'!AJ39+'3'!AJ39+'4'!AJ39+'5'!AJ39+'6'!AJ39+'7'!AJ39+'8'!AJ39+'9'!AJ39+'10'!AJ39+'11'!AJ39+'12'!AJ39</f>
        <v>0</v>
      </c>
      <c r="AK39" s="91">
        <f>'1'!AK39+'2'!AK39+'3'!AK39+'4'!AK39+'5'!AK39+'6'!AK39+'7'!AK39+'8'!AK39+'9'!AK39+'10'!AK39+'11'!AK39+'12'!AK39</f>
        <v>0</v>
      </c>
      <c r="AL39" s="91">
        <f>'1'!AL39+'2'!AL39+'3'!AL39+'4'!AL39+'5'!AL39+'6'!AL39+'7'!AL39+'8'!AL39+'9'!AL39+'10'!AL39+'11'!AL39+'12'!AL39</f>
        <v>0</v>
      </c>
      <c r="AM39" s="91">
        <f>'1'!AM39+'2'!AM39+'3'!AM39+'4'!AM39+'5'!AM39+'6'!AM39+'7'!AM39+'8'!AM39+'9'!AM39+'10'!AM39+'11'!AM39+'12'!AM39</f>
        <v>0</v>
      </c>
      <c r="AN39" s="91">
        <f>'1'!AN39+'2'!AN39+'3'!AN39+'4'!AN39+'5'!AN39+'6'!AN39+'7'!AN39+'8'!AN39+'9'!AN39+'10'!AN39+'11'!AN39+'12'!AN39</f>
        <v>0</v>
      </c>
      <c r="AO39" s="91">
        <f>'1'!AO39+'2'!AO39+'3'!AO39+'4'!AO39+'5'!AO39+'6'!AO39+'7'!AO39+'8'!AO39+'9'!AO39+'10'!AO39+'11'!AO39+'12'!AO39</f>
        <v>0</v>
      </c>
      <c r="AP39" s="91">
        <f>'1'!AP39+'2'!AP39+'3'!AP39+'4'!AP39+'5'!AP39+'6'!AP39+'7'!AP39+'8'!AP39+'9'!AP39+'10'!AP39+'11'!AP39+'12'!AP39</f>
        <v>0</v>
      </c>
      <c r="AQ39" s="16">
        <f t="shared" si="3"/>
        <v>0</v>
      </c>
      <c r="AR39" s="17">
        <f t="shared" si="11"/>
        <v>0</v>
      </c>
      <c r="AS39" s="91">
        <f t="shared" si="15"/>
        <v>0</v>
      </c>
      <c r="AT39" s="91">
        <f>'1'!AT39+'2'!AT39+'3'!AT39+'4'!AT39+'5'!AT39+'6'!AT39+'7'!AT39+'8'!AT39+'9'!AT39+'10'!AT39+'11'!AT39+'12'!AT39</f>
        <v>0</v>
      </c>
      <c r="AU39" s="92">
        <f t="shared" si="16"/>
        <v>0</v>
      </c>
      <c r="AV39" s="92">
        <f t="shared" si="5"/>
        <v>0</v>
      </c>
      <c r="AW39" s="92">
        <f t="shared" si="17"/>
        <v>0</v>
      </c>
      <c r="AX39" s="92">
        <f t="shared" si="18"/>
        <v>0</v>
      </c>
      <c r="AY39" s="82">
        <f t="shared" si="20"/>
        <v>0</v>
      </c>
      <c r="AZ39" s="82">
        <f t="shared" si="20"/>
        <v>0</v>
      </c>
      <c r="BA39" s="95">
        <f t="shared" si="19"/>
        <v>0</v>
      </c>
      <c r="BB39" s="139"/>
      <c r="BC39"/>
    </row>
    <row r="40" spans="1:55" ht="15" hidden="1" customHeight="1" x14ac:dyDescent="0.3">
      <c r="A40" s="72" t="s">
        <v>43</v>
      </c>
      <c r="B40" s="111"/>
      <c r="C40" s="111">
        <v>51</v>
      </c>
      <c r="D40" s="121">
        <f t="shared" si="21"/>
        <v>0</v>
      </c>
      <c r="E40" s="16">
        <f t="shared" si="22"/>
        <v>0</v>
      </c>
      <c r="F40" s="91">
        <f>'1'!F40+'2'!F40+'3'!F40+'4'!F40+'5'!F40+'6'!F40+'7'!F40+'8'!F40+'9'!F40+'10'!F40+'11'!F40+'12'!F40</f>
        <v>0</v>
      </c>
      <c r="G40" s="91">
        <f>'1'!G40+'2'!G40+'3'!G40+'4'!G40+'5'!G40+'6'!G40+'7'!G40+'8'!G40+'9'!G40+'10'!G40+'11'!G40+'12'!G40</f>
        <v>0</v>
      </c>
      <c r="H40" s="135">
        <f>'1'!H40+'2'!H40+'3'!H40+'4'!H40+'5'!H40+'6'!H40+'7'!H40+'8'!H40+'9'!H40+'10'!H40+'11'!H40+'12'!H40</f>
        <v>0</v>
      </c>
      <c r="I40" s="135">
        <f>'1'!I40+'2'!I40+'3'!I40+'4'!I40+'5'!I40+'6'!I40+'7'!I40+'8'!I40+'9'!I40+'10'!I40+'11'!I40+'12'!I40</f>
        <v>0</v>
      </c>
      <c r="J40" s="9" t="s">
        <v>68</v>
      </c>
      <c r="K40" s="135">
        <f>'1'!K40+'2'!K40+'3'!K40+'4'!K40+'5'!K40+'6'!K40+'7'!K40+'8'!K40+'9'!K40+'10'!K40+'11'!K40+'12'!K40</f>
        <v>0</v>
      </c>
      <c r="L40" s="135">
        <f>'1'!L40+'2'!L40+'3'!L40+'4'!L40+'5'!L40+'6'!L40+'7'!L40+'8'!L40+'9'!L40+'10'!L40+'11'!L40+'12'!L40</f>
        <v>0</v>
      </c>
      <c r="M40" s="91">
        <f>'1'!M40+'2'!M40+'3'!M40+'4'!M40+'5'!M40+'6'!M40+'7'!M40+'8'!M40+'9'!M40+'10'!M40+'11'!M40+'12'!M40</f>
        <v>0</v>
      </c>
      <c r="N40" s="91">
        <f>'1'!N40+'2'!N40+'3'!N40+'4'!N40+'5'!N40+'6'!N40+'7'!N40+'8'!N40+'9'!N40+'10'!N40+'11'!N40+'12'!N40</f>
        <v>0</v>
      </c>
      <c r="O40" s="91">
        <f>'1'!O40+'2'!O40+'3'!O40+'4'!O40+'5'!O40+'6'!O40+'7'!O40+'8'!O40+'9'!O40+'10'!O40+'11'!O40+'12'!O40</f>
        <v>0</v>
      </c>
      <c r="P40" s="91">
        <f>'1'!P40+'2'!P40+'3'!P40+'4'!P40+'5'!P40+'6'!P40+'7'!P40+'8'!P40+'9'!P40+'10'!P40+'11'!P40+'12'!P40</f>
        <v>0</v>
      </c>
      <c r="Q40" s="91">
        <f>'1'!Q40+'2'!Q40+'3'!Q40+'4'!Q40+'5'!Q40+'6'!Q40+'7'!Q40+'8'!Q40+'9'!Q40+'10'!Q40+'11'!Q40+'12'!Q40</f>
        <v>0</v>
      </c>
      <c r="R40" s="91">
        <f>'1'!R40+'2'!R40+'3'!R40+'4'!R40+'5'!R40+'6'!R40+'7'!R40+'8'!R40+'9'!R40+'10'!R40+'11'!R40+'12'!R40</f>
        <v>0</v>
      </c>
      <c r="S40" s="91">
        <f>'1'!S40+'2'!S40+'3'!S40+'4'!S40+'5'!S40+'6'!S40+'7'!S40+'8'!S40+'9'!S40+'10'!S40+'11'!S40+'12'!S40</f>
        <v>0</v>
      </c>
      <c r="T40" s="91">
        <f>'1'!T40+'2'!T40+'3'!T40+'4'!T40+'5'!T40+'6'!T40+'7'!T40+'8'!T40+'9'!T40+'10'!T40+'11'!T40+'12'!T40</f>
        <v>0</v>
      </c>
      <c r="U40" s="91">
        <f>'1'!U40+'2'!U40+'3'!U40+'4'!U40+'5'!U40+'6'!U40+'7'!U40+'8'!U40+'9'!U40+'10'!U40+'11'!U40+'12'!U40</f>
        <v>0</v>
      </c>
      <c r="V40" s="91">
        <f>'1'!V40+'2'!V40+'3'!V40+'4'!V40+'5'!V40+'6'!V40+'7'!V40+'8'!V40+'9'!V40+'10'!V40+'11'!V40+'12'!V40</f>
        <v>0</v>
      </c>
      <c r="W40" s="91">
        <f>'1'!W40+'2'!W40+'3'!W40+'4'!W40+'5'!W40+'6'!W40+'7'!W40+'8'!W40+'9'!W40+'10'!W40+'11'!W40+'12'!W40</f>
        <v>0</v>
      </c>
      <c r="X40" s="91">
        <f>'1'!X40+'2'!X40+'3'!X40+'4'!X40+'5'!X40+'6'!X40+'7'!X40+'8'!X40+'9'!X40+'10'!X40+'11'!X40+'12'!X40</f>
        <v>0</v>
      </c>
      <c r="Y40" s="91">
        <f>'1'!Y40+'2'!Y40+'3'!Y40+'4'!Y40+'5'!Y40+'6'!Y40+'7'!Y40+'8'!Y40+'9'!Y40+'10'!Y40+'11'!Y40+'12'!Y40</f>
        <v>0</v>
      </c>
      <c r="Z40" s="91">
        <f>'1'!Z40+'2'!Z40+'3'!Z40+'4'!Z40+'5'!Z40+'6'!Z40+'7'!Z40+'8'!Z40+'9'!Z40+'10'!Z40+'11'!Z40+'12'!Z40</f>
        <v>0</v>
      </c>
      <c r="AA40" s="91">
        <f>'1'!AA40+'2'!AA40+'3'!AA40+'4'!AA40+'5'!AA40+'6'!AA40+'7'!AA40+'8'!AA40+'9'!AA40+'10'!AA40+'11'!AA40+'12'!AA40</f>
        <v>0</v>
      </c>
      <c r="AB40" s="91">
        <f>'1'!AB40+'2'!AB40+'3'!AB40+'4'!AB40+'5'!AB40+'6'!AB40+'7'!AB40+'8'!AB40+'9'!AB40+'10'!AB40+'11'!AB40+'12'!AB40</f>
        <v>0</v>
      </c>
      <c r="AC40" s="91">
        <f>'1'!AC40+'2'!AC40+'3'!AC40+'4'!AC40+'5'!AC40+'6'!AC40+'7'!AC40+'8'!AC40+'9'!AC40+'10'!AC40+'11'!AC40+'12'!AC40</f>
        <v>0</v>
      </c>
      <c r="AD40" s="91">
        <f>'1'!AD40+'2'!AD40+'3'!AD40+'4'!AD40+'5'!AD40+'6'!AD40+'7'!AD40+'8'!AD40+'9'!AD40+'10'!AD40+'11'!AD40+'12'!AD40</f>
        <v>0</v>
      </c>
      <c r="AE40" s="91">
        <f>'1'!AE40+'2'!AE40+'3'!AE40+'4'!AE40+'5'!AE40+'6'!AE40+'7'!AE40+'8'!AE40+'9'!AE40+'10'!AE40+'11'!AE40+'12'!AE40</f>
        <v>0</v>
      </c>
      <c r="AF40" s="91">
        <f>'1'!AF40+'2'!AF40+'3'!AF40+'4'!AF40+'5'!AF40+'6'!AF40+'7'!AF40+'8'!AF40+'9'!AF40+'10'!AF40+'11'!AF40+'12'!AF40</f>
        <v>0</v>
      </c>
      <c r="AG40" s="91">
        <f>'1'!AG40+'2'!AG40+'3'!AG40+'4'!AG40+'5'!AG40+'6'!AG40+'7'!AG40+'8'!AG40+'9'!AG40+'10'!AG40+'11'!AG40+'12'!AG40</f>
        <v>0</v>
      </c>
      <c r="AH40" s="91">
        <f>'1'!AH40+'2'!AH40+'3'!AH40+'4'!AH40+'5'!AH40+'6'!AH40+'7'!AH40+'8'!AH40+'9'!AH40+'10'!AH40+'11'!AH40+'12'!AH40</f>
        <v>0</v>
      </c>
      <c r="AI40" s="91">
        <f>'1'!AI40+'2'!AI40+'3'!AI40+'4'!AI40+'5'!AI40+'6'!AI40+'7'!AI40+'8'!AI40+'9'!AI40+'10'!AI40+'11'!AI40+'12'!AI40</f>
        <v>0</v>
      </c>
      <c r="AJ40" s="91">
        <f>'1'!AJ40+'2'!AJ40+'3'!AJ40+'4'!AJ40+'5'!AJ40+'6'!AJ40+'7'!AJ40+'8'!AJ40+'9'!AJ40+'10'!AJ40+'11'!AJ40+'12'!AJ40</f>
        <v>0</v>
      </c>
      <c r="AK40" s="91">
        <f>'1'!AK40+'2'!AK40+'3'!AK40+'4'!AK40+'5'!AK40+'6'!AK40+'7'!AK40+'8'!AK40+'9'!AK40+'10'!AK40+'11'!AK40+'12'!AK40</f>
        <v>0</v>
      </c>
      <c r="AL40" s="91">
        <f>'1'!AL40+'2'!AL40+'3'!AL40+'4'!AL40+'5'!AL40+'6'!AL40+'7'!AL40+'8'!AL40+'9'!AL40+'10'!AL40+'11'!AL40+'12'!AL40</f>
        <v>0</v>
      </c>
      <c r="AM40" s="91">
        <f>'1'!AM40+'2'!AM40+'3'!AM40+'4'!AM40+'5'!AM40+'6'!AM40+'7'!AM40+'8'!AM40+'9'!AM40+'10'!AM40+'11'!AM40+'12'!AM40</f>
        <v>0</v>
      </c>
      <c r="AN40" s="91">
        <f>'1'!AN40+'2'!AN40+'3'!AN40+'4'!AN40+'5'!AN40+'6'!AN40+'7'!AN40+'8'!AN40+'9'!AN40+'10'!AN40+'11'!AN40+'12'!AN40</f>
        <v>0</v>
      </c>
      <c r="AO40" s="91">
        <f>'1'!AO40+'2'!AO40+'3'!AO40+'4'!AO40+'5'!AO40+'6'!AO40+'7'!AO40+'8'!AO40+'9'!AO40+'10'!AO40+'11'!AO40+'12'!AO40</f>
        <v>0</v>
      </c>
      <c r="AP40" s="91">
        <f>'1'!AP40+'2'!AP40+'3'!AP40+'4'!AP40+'5'!AP40+'6'!AP40+'7'!AP40+'8'!AP40+'9'!AP40+'10'!AP40+'11'!AP40+'12'!AP40</f>
        <v>0</v>
      </c>
      <c r="AQ40" s="16">
        <f t="shared" si="3"/>
        <v>0</v>
      </c>
      <c r="AR40" s="17">
        <f t="shared" si="11"/>
        <v>0</v>
      </c>
      <c r="AS40" s="91">
        <f t="shared" si="15"/>
        <v>0</v>
      </c>
      <c r="AT40" s="91">
        <f>'1'!AT40+'2'!AT40+'3'!AT40+'4'!AT40+'5'!AT40+'6'!AT40+'7'!AT40+'8'!AT40+'9'!AT40+'10'!AT40+'11'!AT40+'12'!AT40</f>
        <v>0</v>
      </c>
      <c r="AU40" s="92">
        <f t="shared" si="16"/>
        <v>0</v>
      </c>
      <c r="AV40" s="92">
        <f t="shared" si="5"/>
        <v>0</v>
      </c>
      <c r="AW40" s="92">
        <f t="shared" si="17"/>
        <v>0</v>
      </c>
      <c r="AX40" s="92">
        <f t="shared" si="18"/>
        <v>0</v>
      </c>
      <c r="AY40" s="82">
        <f t="shared" si="20"/>
        <v>0</v>
      </c>
      <c r="AZ40" s="82">
        <f t="shared" si="20"/>
        <v>0</v>
      </c>
      <c r="BA40" s="95">
        <f t="shared" si="19"/>
        <v>0</v>
      </c>
      <c r="BB40" s="139"/>
      <c r="BC40"/>
    </row>
    <row r="41" spans="1:55" ht="15" hidden="1" customHeight="1" thickBot="1" x14ac:dyDescent="0.3">
      <c r="A41" s="100" t="s">
        <v>44</v>
      </c>
      <c r="B41" s="116"/>
      <c r="C41" s="116">
        <v>52</v>
      </c>
      <c r="D41" s="121">
        <f t="shared" si="21"/>
        <v>0</v>
      </c>
      <c r="E41" s="16">
        <f t="shared" si="22"/>
        <v>0</v>
      </c>
      <c r="F41" s="91">
        <f>'1'!F41+'2'!F41+'3'!F41+'4'!F41+'5'!F41+'6'!F41+'7'!F41+'8'!F41+'9'!F41+'10'!F41+'11'!F41+'12'!F41</f>
        <v>0</v>
      </c>
      <c r="G41" s="91">
        <f>'1'!G41+'2'!G41+'3'!G41+'4'!G41+'5'!G41+'6'!G41+'7'!G41+'8'!G41+'9'!G41+'10'!G41+'11'!G41+'12'!G41</f>
        <v>0</v>
      </c>
      <c r="H41" s="135">
        <f>'1'!H41+'2'!H41+'3'!H41+'4'!H41+'5'!H41+'6'!H41+'7'!H41+'8'!H41+'9'!H41+'10'!H41+'11'!H41+'12'!H41</f>
        <v>0</v>
      </c>
      <c r="I41" s="135">
        <f>'1'!I41+'2'!I41+'3'!I41+'4'!I41+'5'!I41+'6'!I41+'7'!I41+'8'!I41+'9'!I41+'10'!I41+'11'!I41+'12'!I41</f>
        <v>0</v>
      </c>
      <c r="J41" s="101" t="s">
        <v>68</v>
      </c>
      <c r="K41" s="135">
        <f>'1'!K41+'2'!K41+'3'!K41+'4'!K41+'5'!K41+'6'!K41+'7'!K41+'8'!K41+'9'!K41+'10'!K41+'11'!K41+'12'!K41</f>
        <v>0</v>
      </c>
      <c r="L41" s="135">
        <f>'1'!L41+'2'!L41+'3'!L41+'4'!L41+'5'!L41+'6'!L41+'7'!L41+'8'!L41+'9'!L41+'10'!L41+'11'!L41+'12'!L41</f>
        <v>0</v>
      </c>
      <c r="M41" s="91">
        <f>'1'!M41+'2'!M41+'3'!M41+'4'!M41+'5'!M41+'6'!M41+'7'!M41+'8'!M41+'9'!M41+'10'!M41+'11'!M41+'12'!M41</f>
        <v>0</v>
      </c>
      <c r="N41" s="91">
        <f>'1'!N41+'2'!N41+'3'!N41+'4'!N41+'5'!N41+'6'!N41+'7'!N41+'8'!N41+'9'!N41+'10'!N41+'11'!N41+'12'!N41</f>
        <v>0</v>
      </c>
      <c r="O41" s="91">
        <f>'1'!O41+'2'!O41+'3'!O41+'4'!O41+'5'!O41+'6'!O41+'7'!O41+'8'!O41+'9'!O41+'10'!O41+'11'!O41+'12'!O41</f>
        <v>0</v>
      </c>
      <c r="P41" s="91">
        <f>'1'!P41+'2'!P41+'3'!P41+'4'!P41+'5'!P41+'6'!P41+'7'!P41+'8'!P41+'9'!P41+'10'!P41+'11'!P41+'12'!P41</f>
        <v>0</v>
      </c>
      <c r="Q41" s="91">
        <f>'1'!Q41+'2'!Q41+'3'!Q41+'4'!Q41+'5'!Q41+'6'!Q41+'7'!Q41+'8'!Q41+'9'!Q41+'10'!Q41+'11'!Q41+'12'!Q41</f>
        <v>0</v>
      </c>
      <c r="R41" s="91">
        <f>'1'!R41+'2'!R41+'3'!R41+'4'!R41+'5'!R41+'6'!R41+'7'!R41+'8'!R41+'9'!R41+'10'!R41+'11'!R41+'12'!R41</f>
        <v>0</v>
      </c>
      <c r="S41" s="91">
        <f>'1'!S41+'2'!S41+'3'!S41+'4'!S41+'5'!S41+'6'!S41+'7'!S41+'8'!S41+'9'!S41+'10'!S41+'11'!S41+'12'!S41</f>
        <v>0</v>
      </c>
      <c r="T41" s="91">
        <f>'1'!T41+'2'!T41+'3'!T41+'4'!T41+'5'!T41+'6'!T41+'7'!T41+'8'!T41+'9'!T41+'10'!T41+'11'!T41+'12'!T41</f>
        <v>0</v>
      </c>
      <c r="U41" s="91">
        <f>'1'!U41+'2'!U41+'3'!U41+'4'!U41+'5'!U41+'6'!U41+'7'!U41+'8'!U41+'9'!U41+'10'!U41+'11'!U41+'12'!U41</f>
        <v>0</v>
      </c>
      <c r="V41" s="91">
        <f>'1'!V41+'2'!V41+'3'!V41+'4'!V41+'5'!V41+'6'!V41+'7'!V41+'8'!V41+'9'!V41+'10'!V41+'11'!V41+'12'!V41</f>
        <v>0</v>
      </c>
      <c r="W41" s="91">
        <f>'1'!W41+'2'!W41+'3'!W41+'4'!W41+'5'!W41+'6'!W41+'7'!W41+'8'!W41+'9'!W41+'10'!W41+'11'!W41+'12'!W41</f>
        <v>0</v>
      </c>
      <c r="X41" s="91">
        <f>'1'!X41+'2'!X41+'3'!X41+'4'!X41+'5'!X41+'6'!X41+'7'!X41+'8'!X41+'9'!X41+'10'!X41+'11'!X41+'12'!X41</f>
        <v>0</v>
      </c>
      <c r="Y41" s="91">
        <f>'1'!Y41+'2'!Y41+'3'!Y41+'4'!Y41+'5'!Y41+'6'!Y41+'7'!Y41+'8'!Y41+'9'!Y41+'10'!Y41+'11'!Y41+'12'!Y41</f>
        <v>0</v>
      </c>
      <c r="Z41" s="91">
        <f>'1'!Z41+'2'!Z41+'3'!Z41+'4'!Z41+'5'!Z41+'6'!Z41+'7'!Z41+'8'!Z41+'9'!Z41+'10'!Z41+'11'!Z41+'12'!Z41</f>
        <v>0</v>
      </c>
      <c r="AA41" s="91">
        <f>'1'!AA41+'2'!AA41+'3'!AA41+'4'!AA41+'5'!AA41+'6'!AA41+'7'!AA41+'8'!AA41+'9'!AA41+'10'!AA41+'11'!AA41+'12'!AA41</f>
        <v>0</v>
      </c>
      <c r="AB41" s="91">
        <f>'1'!AB41+'2'!AB41+'3'!AB41+'4'!AB41+'5'!AB41+'6'!AB41+'7'!AB41+'8'!AB41+'9'!AB41+'10'!AB41+'11'!AB41+'12'!AB41</f>
        <v>0</v>
      </c>
      <c r="AC41" s="91">
        <f>'1'!AC41+'2'!AC41+'3'!AC41+'4'!AC41+'5'!AC41+'6'!AC41+'7'!AC41+'8'!AC41+'9'!AC41+'10'!AC41+'11'!AC41+'12'!AC41</f>
        <v>0</v>
      </c>
      <c r="AD41" s="91">
        <f>'1'!AD41+'2'!AD41+'3'!AD41+'4'!AD41+'5'!AD41+'6'!AD41+'7'!AD41+'8'!AD41+'9'!AD41+'10'!AD41+'11'!AD41+'12'!AD41</f>
        <v>0</v>
      </c>
      <c r="AE41" s="91">
        <f>'1'!AE41+'2'!AE41+'3'!AE41+'4'!AE41+'5'!AE41+'6'!AE41+'7'!AE41+'8'!AE41+'9'!AE41+'10'!AE41+'11'!AE41+'12'!AE41</f>
        <v>0</v>
      </c>
      <c r="AF41" s="91">
        <f>'1'!AF41+'2'!AF41+'3'!AF41+'4'!AF41+'5'!AF41+'6'!AF41+'7'!AF41+'8'!AF41+'9'!AF41+'10'!AF41+'11'!AF41+'12'!AF41</f>
        <v>0</v>
      </c>
      <c r="AG41" s="91">
        <f>'1'!AG41+'2'!AG41+'3'!AG41+'4'!AG41+'5'!AG41+'6'!AG41+'7'!AG41+'8'!AG41+'9'!AG41+'10'!AG41+'11'!AG41+'12'!AG41</f>
        <v>0</v>
      </c>
      <c r="AH41" s="91">
        <f>'1'!AH41+'2'!AH41+'3'!AH41+'4'!AH41+'5'!AH41+'6'!AH41+'7'!AH41+'8'!AH41+'9'!AH41+'10'!AH41+'11'!AH41+'12'!AH41</f>
        <v>0</v>
      </c>
      <c r="AI41" s="91">
        <f>'1'!AI41+'2'!AI41+'3'!AI41+'4'!AI41+'5'!AI41+'6'!AI41+'7'!AI41+'8'!AI41+'9'!AI41+'10'!AI41+'11'!AI41+'12'!AI41</f>
        <v>0</v>
      </c>
      <c r="AJ41" s="91">
        <f>'1'!AJ41+'2'!AJ41+'3'!AJ41+'4'!AJ41+'5'!AJ41+'6'!AJ41+'7'!AJ41+'8'!AJ41+'9'!AJ41+'10'!AJ41+'11'!AJ41+'12'!AJ41</f>
        <v>0</v>
      </c>
      <c r="AK41" s="91">
        <f>'1'!AK41+'2'!AK41+'3'!AK41+'4'!AK41+'5'!AK41+'6'!AK41+'7'!AK41+'8'!AK41+'9'!AK41+'10'!AK41+'11'!AK41+'12'!AK41</f>
        <v>0</v>
      </c>
      <c r="AL41" s="91">
        <f>'1'!AL41+'2'!AL41+'3'!AL41+'4'!AL41+'5'!AL41+'6'!AL41+'7'!AL41+'8'!AL41+'9'!AL41+'10'!AL41+'11'!AL41+'12'!AL41</f>
        <v>0</v>
      </c>
      <c r="AM41" s="91">
        <f>'1'!AM41+'2'!AM41+'3'!AM41+'4'!AM41+'5'!AM41+'6'!AM41+'7'!AM41+'8'!AM41+'9'!AM41+'10'!AM41+'11'!AM41+'12'!AM41</f>
        <v>0</v>
      </c>
      <c r="AN41" s="91">
        <f>'1'!AN41+'2'!AN41+'3'!AN41+'4'!AN41+'5'!AN41+'6'!AN41+'7'!AN41+'8'!AN41+'9'!AN41+'10'!AN41+'11'!AN41+'12'!AN41</f>
        <v>0</v>
      </c>
      <c r="AO41" s="91">
        <f>'1'!AO41+'2'!AO41+'3'!AO41+'4'!AO41+'5'!AO41+'6'!AO41+'7'!AO41+'8'!AO41+'9'!AO41+'10'!AO41+'11'!AO41+'12'!AO41</f>
        <v>0</v>
      </c>
      <c r="AP41" s="91">
        <f>'1'!AP41+'2'!AP41+'3'!AP41+'4'!AP41+'5'!AP41+'6'!AP41+'7'!AP41+'8'!AP41+'9'!AP41+'10'!AP41+'11'!AP41+'12'!AP41</f>
        <v>0</v>
      </c>
      <c r="AQ41" s="16">
        <f t="shared" si="3"/>
        <v>0</v>
      </c>
      <c r="AR41" s="17">
        <f t="shared" si="11"/>
        <v>0</v>
      </c>
      <c r="AS41" s="91">
        <f t="shared" si="15"/>
        <v>0</v>
      </c>
      <c r="AT41" s="91">
        <f>'1'!AT41+'2'!AT41+'3'!AT41+'4'!AT41+'5'!AT41+'6'!AT41+'7'!AT41+'8'!AT41+'9'!AT41+'10'!AT41+'11'!AT41+'12'!AT41</f>
        <v>0</v>
      </c>
      <c r="AU41" s="92">
        <f t="shared" si="16"/>
        <v>0</v>
      </c>
      <c r="AV41" s="92">
        <f t="shared" si="5"/>
        <v>0</v>
      </c>
      <c r="AW41" s="92">
        <f t="shared" si="17"/>
        <v>0</v>
      </c>
      <c r="AX41" s="92">
        <f t="shared" si="18"/>
        <v>0</v>
      </c>
      <c r="AY41" s="82">
        <f t="shared" si="20"/>
        <v>0</v>
      </c>
      <c r="AZ41" s="82">
        <f t="shared" si="20"/>
        <v>0</v>
      </c>
      <c r="BA41" s="95">
        <f t="shared" si="19"/>
        <v>0</v>
      </c>
      <c r="BB41" s="140"/>
      <c r="BC41"/>
    </row>
    <row r="42" spans="1:55" ht="15" customHeight="1" thickBot="1" x14ac:dyDescent="0.3">
      <c r="A42" s="102" t="s">
        <v>81</v>
      </c>
      <c r="B42" s="124"/>
      <c r="C42" s="87"/>
      <c r="D42" s="129">
        <f t="shared" ref="D42:AP42" si="23">SUM(D43:D45)</f>
        <v>0</v>
      </c>
      <c r="E42" s="129">
        <f t="shared" si="23"/>
        <v>0</v>
      </c>
      <c r="F42" s="129">
        <f t="shared" si="23"/>
        <v>0</v>
      </c>
      <c r="G42" s="129">
        <f t="shared" si="23"/>
        <v>0</v>
      </c>
      <c r="H42" s="131">
        <f t="shared" si="23"/>
        <v>0</v>
      </c>
      <c r="I42" s="131">
        <f t="shared" si="23"/>
        <v>0</v>
      </c>
      <c r="J42" s="129">
        <f t="shared" si="23"/>
        <v>0</v>
      </c>
      <c r="K42" s="130">
        <f t="shared" si="23"/>
        <v>0</v>
      </c>
      <c r="L42" s="130">
        <f t="shared" si="23"/>
        <v>0</v>
      </c>
      <c r="M42" s="129">
        <f t="shared" si="23"/>
        <v>0</v>
      </c>
      <c r="N42" s="129">
        <f t="shared" si="23"/>
        <v>0</v>
      </c>
      <c r="O42" s="129">
        <f t="shared" si="23"/>
        <v>0</v>
      </c>
      <c r="P42" s="129">
        <f t="shared" si="23"/>
        <v>0</v>
      </c>
      <c r="Q42" s="129">
        <f t="shared" si="23"/>
        <v>0</v>
      </c>
      <c r="R42" s="129">
        <f t="shared" si="23"/>
        <v>0</v>
      </c>
      <c r="S42" s="129">
        <f t="shared" si="23"/>
        <v>0</v>
      </c>
      <c r="T42" s="129">
        <f t="shared" si="23"/>
        <v>0</v>
      </c>
      <c r="U42" s="129">
        <f t="shared" si="23"/>
        <v>0</v>
      </c>
      <c r="V42" s="129">
        <f t="shared" si="23"/>
        <v>0</v>
      </c>
      <c r="W42" s="129">
        <f t="shared" si="23"/>
        <v>0</v>
      </c>
      <c r="X42" s="129">
        <f t="shared" si="23"/>
        <v>0</v>
      </c>
      <c r="Y42" s="129">
        <f t="shared" si="23"/>
        <v>0</v>
      </c>
      <c r="Z42" s="129">
        <f t="shared" si="23"/>
        <v>0</v>
      </c>
      <c r="AA42" s="129">
        <f t="shared" si="23"/>
        <v>0</v>
      </c>
      <c r="AB42" s="129">
        <f t="shared" si="23"/>
        <v>0</v>
      </c>
      <c r="AC42" s="129">
        <f t="shared" si="23"/>
        <v>0</v>
      </c>
      <c r="AD42" s="129">
        <f t="shared" si="23"/>
        <v>0</v>
      </c>
      <c r="AE42" s="129">
        <f t="shared" si="23"/>
        <v>0</v>
      </c>
      <c r="AF42" s="129">
        <f t="shared" si="23"/>
        <v>0</v>
      </c>
      <c r="AG42" s="129">
        <f t="shared" si="23"/>
        <v>0</v>
      </c>
      <c r="AH42" s="129">
        <f t="shared" si="23"/>
        <v>0</v>
      </c>
      <c r="AI42" s="129">
        <f t="shared" si="23"/>
        <v>0</v>
      </c>
      <c r="AJ42" s="129">
        <f t="shared" si="23"/>
        <v>0</v>
      </c>
      <c r="AK42" s="129">
        <f t="shared" si="23"/>
        <v>0</v>
      </c>
      <c r="AL42" s="129">
        <f t="shared" si="23"/>
        <v>0</v>
      </c>
      <c r="AM42" s="129">
        <f t="shared" si="23"/>
        <v>0</v>
      </c>
      <c r="AN42" s="129">
        <f t="shared" si="23"/>
        <v>0</v>
      </c>
      <c r="AO42" s="129">
        <f t="shared" si="23"/>
        <v>0</v>
      </c>
      <c r="AP42" s="129">
        <f t="shared" si="23"/>
        <v>0</v>
      </c>
      <c r="AQ42" s="129">
        <f t="shared" si="3"/>
        <v>0</v>
      </c>
      <c r="AR42" s="129">
        <f t="shared" si="11"/>
        <v>0</v>
      </c>
      <c r="AS42" s="129">
        <f t="shared" si="15"/>
        <v>0</v>
      </c>
      <c r="AT42" s="129">
        <f>SUM(AT43:AT45)</f>
        <v>0</v>
      </c>
      <c r="AU42" s="131">
        <f t="shared" si="16"/>
        <v>0</v>
      </c>
      <c r="AV42" s="131">
        <f t="shared" si="5"/>
        <v>0</v>
      </c>
      <c r="AW42" s="131">
        <f t="shared" si="17"/>
        <v>0</v>
      </c>
      <c r="AX42" s="131">
        <f t="shared" si="18"/>
        <v>0</v>
      </c>
      <c r="AY42" s="131">
        <f>SUM(AY43:AY45)</f>
        <v>0</v>
      </c>
      <c r="AZ42" s="131">
        <f>SUM(AZ43:AZ45)</f>
        <v>0</v>
      </c>
      <c r="BA42" s="129">
        <f t="shared" si="19"/>
        <v>0</v>
      </c>
      <c r="BB42" s="141"/>
      <c r="BC42"/>
    </row>
    <row r="43" spans="1:55" ht="15" customHeight="1" x14ac:dyDescent="0.25">
      <c r="A43" s="97" t="s">
        <v>66</v>
      </c>
      <c r="B43" s="123" t="s">
        <v>139</v>
      </c>
      <c r="C43" s="115">
        <v>25</v>
      </c>
      <c r="D43" s="121">
        <f>AT43*AU43*AW43</f>
        <v>0</v>
      </c>
      <c r="E43" s="16">
        <f>ROUND(AT43*AV43*AX43,4)</f>
        <v>0</v>
      </c>
      <c r="F43" s="91">
        <f>'1'!F43+'2'!F43+'3'!F43+'4'!F43+'5'!F43+'6'!F43+'7'!F43+'8'!F43+'9'!F43+'10'!F43+'11'!F43+'12'!F43</f>
        <v>0</v>
      </c>
      <c r="G43" s="91">
        <f>'1'!G43+'2'!G43+'3'!G43+'4'!G43+'5'!G43+'6'!G43+'7'!G43+'8'!G43+'9'!G43+'10'!G43+'11'!G43+'12'!G43</f>
        <v>0</v>
      </c>
      <c r="H43" s="135">
        <f>'1'!H43+'2'!H43+'3'!H43+'4'!H43+'5'!H43+'6'!H43+'7'!H43+'8'!H43+'9'!H43+'10'!H43+'11'!H43+'12'!H43</f>
        <v>0</v>
      </c>
      <c r="I43" s="135">
        <f>'1'!I43+'2'!I43+'3'!I43+'4'!I43+'5'!I43+'6'!I43+'7'!I43+'8'!I43+'9'!I43+'10'!I43+'11'!I43+'12'!I43</f>
        <v>0</v>
      </c>
      <c r="J43" s="14" t="s">
        <v>55</v>
      </c>
      <c r="K43" s="133">
        <f>'1'!K43+'2'!K43+'3'!K43+'4'!K43+'5'!K43+'6'!K43+'7'!K43+'8'!K43+'9'!K43+'10'!K43+'11'!K43+'12'!K43</f>
        <v>0</v>
      </c>
      <c r="L43" s="133">
        <f>'1'!L43+'2'!L43+'3'!L43+'4'!L43+'5'!L43+'6'!L43+'7'!L43+'8'!L43+'9'!L43+'10'!L43+'11'!L43+'12'!L43</f>
        <v>0</v>
      </c>
      <c r="M43" s="91">
        <f>'1'!M43+'2'!M43+'3'!M43+'4'!M43+'5'!M43+'6'!M43+'7'!M43+'8'!M43+'9'!M43+'10'!M43+'11'!M43+'12'!M43</f>
        <v>0</v>
      </c>
      <c r="N43" s="91">
        <f>'1'!N43+'2'!N43+'3'!N43+'4'!N43+'5'!N43+'6'!N43+'7'!N43+'8'!N43+'9'!N43+'10'!N43+'11'!N43+'12'!N43</f>
        <v>0</v>
      </c>
      <c r="O43" s="91">
        <f>'1'!O43+'2'!O43+'3'!O43+'4'!O43+'5'!O43+'6'!O43+'7'!O43+'8'!O43+'9'!O43+'10'!O43+'11'!O43+'12'!O43</f>
        <v>0</v>
      </c>
      <c r="P43" s="91">
        <f>'1'!P43+'2'!P43+'3'!P43+'4'!P43+'5'!P43+'6'!P43+'7'!P43+'8'!P43+'9'!P43+'10'!P43+'11'!P43+'12'!P43</f>
        <v>0</v>
      </c>
      <c r="Q43" s="91">
        <f>'1'!Q43+'2'!Q43+'3'!Q43+'4'!Q43+'5'!Q43+'6'!Q43+'7'!Q43+'8'!Q43+'9'!Q43+'10'!Q43+'11'!Q43+'12'!Q43</f>
        <v>0</v>
      </c>
      <c r="R43" s="91">
        <f>'1'!R43+'2'!R43+'3'!R43+'4'!R43+'5'!R43+'6'!R43+'7'!R43+'8'!R43+'9'!R43+'10'!R43+'11'!R43+'12'!R43</f>
        <v>0</v>
      </c>
      <c r="S43" s="91">
        <f>'1'!S43+'2'!S43+'3'!S43+'4'!S43+'5'!S43+'6'!S43+'7'!S43+'8'!S43+'9'!S43+'10'!S43+'11'!S43+'12'!S43</f>
        <v>0</v>
      </c>
      <c r="T43" s="91">
        <f>'1'!T43+'2'!T43+'3'!T43+'4'!T43+'5'!T43+'6'!T43+'7'!T43+'8'!T43+'9'!T43+'10'!T43+'11'!T43+'12'!T43</f>
        <v>0</v>
      </c>
      <c r="U43" s="91">
        <f>'1'!U43+'2'!U43+'3'!U43+'4'!U43+'5'!U43+'6'!U43+'7'!U43+'8'!U43+'9'!U43+'10'!U43+'11'!U43+'12'!U43</f>
        <v>0</v>
      </c>
      <c r="V43" s="91">
        <f>'1'!V43+'2'!V43+'3'!V43+'4'!V43+'5'!V43+'6'!V43+'7'!V43+'8'!V43+'9'!V43+'10'!V43+'11'!V43+'12'!V43</f>
        <v>0</v>
      </c>
      <c r="W43" s="91">
        <f>'1'!W43+'2'!W43+'3'!W43+'4'!W43+'5'!W43+'6'!W43+'7'!W43+'8'!W43+'9'!W43+'10'!W43+'11'!W43+'12'!W43</f>
        <v>0</v>
      </c>
      <c r="X43" s="91">
        <f>'1'!X43+'2'!X43+'3'!X43+'4'!X43+'5'!X43+'6'!X43+'7'!X43+'8'!X43+'9'!X43+'10'!X43+'11'!X43+'12'!X43</f>
        <v>0</v>
      </c>
      <c r="Y43" s="91">
        <f>'1'!Y43+'2'!Y43+'3'!Y43+'4'!Y43+'5'!Y43+'6'!Y43+'7'!Y43+'8'!Y43+'9'!Y43+'10'!Y43+'11'!Y43+'12'!Y43</f>
        <v>0</v>
      </c>
      <c r="Z43" s="91">
        <f>'1'!Z43+'2'!Z43+'3'!Z43+'4'!Z43+'5'!Z43+'6'!Z43+'7'!Z43+'8'!Z43+'9'!Z43+'10'!Z43+'11'!Z43+'12'!Z43</f>
        <v>0</v>
      </c>
      <c r="AA43" s="91">
        <f>'1'!AA43+'2'!AA43+'3'!AA43+'4'!AA43+'5'!AA43+'6'!AA43+'7'!AA43+'8'!AA43+'9'!AA43+'10'!AA43+'11'!AA43+'12'!AA43</f>
        <v>0</v>
      </c>
      <c r="AB43" s="91">
        <f>'1'!AB43+'2'!AB43+'3'!AB43+'4'!AB43+'5'!AB43+'6'!AB43+'7'!AB43+'8'!AB43+'9'!AB43+'10'!AB43+'11'!AB43+'12'!AB43</f>
        <v>0</v>
      </c>
      <c r="AC43" s="91">
        <f>'1'!AC43+'2'!AC43+'3'!AC43+'4'!AC43+'5'!AC43+'6'!AC43+'7'!AC43+'8'!AC43+'9'!AC43+'10'!AC43+'11'!AC43+'12'!AC43</f>
        <v>0</v>
      </c>
      <c r="AD43" s="91">
        <f>'1'!AD43+'2'!AD43+'3'!AD43+'4'!AD43+'5'!AD43+'6'!AD43+'7'!AD43+'8'!AD43+'9'!AD43+'10'!AD43+'11'!AD43+'12'!AD43</f>
        <v>0</v>
      </c>
      <c r="AE43" s="91">
        <f>'1'!AE43+'2'!AE43+'3'!AE43+'4'!AE43+'5'!AE43+'6'!AE43+'7'!AE43+'8'!AE43+'9'!AE43+'10'!AE43+'11'!AE43+'12'!AE43</f>
        <v>0</v>
      </c>
      <c r="AF43" s="91">
        <f>'1'!AF43+'2'!AF43+'3'!AF43+'4'!AF43+'5'!AF43+'6'!AF43+'7'!AF43+'8'!AF43+'9'!AF43+'10'!AF43+'11'!AF43+'12'!AF43</f>
        <v>0</v>
      </c>
      <c r="AG43" s="91">
        <f>'1'!AG43+'2'!AG43+'3'!AG43+'4'!AG43+'5'!AG43+'6'!AG43+'7'!AG43+'8'!AG43+'9'!AG43+'10'!AG43+'11'!AG43+'12'!AG43</f>
        <v>0</v>
      </c>
      <c r="AH43" s="91">
        <f>'1'!AH43+'2'!AH43+'3'!AH43+'4'!AH43+'5'!AH43+'6'!AH43+'7'!AH43+'8'!AH43+'9'!AH43+'10'!AH43+'11'!AH43+'12'!AH43</f>
        <v>0</v>
      </c>
      <c r="AI43" s="91">
        <f>'1'!AI43+'2'!AI43+'3'!AI43+'4'!AI43+'5'!AI43+'6'!AI43+'7'!AI43+'8'!AI43+'9'!AI43+'10'!AI43+'11'!AI43+'12'!AI43</f>
        <v>0</v>
      </c>
      <c r="AJ43" s="91">
        <f>'1'!AJ43+'2'!AJ43+'3'!AJ43+'4'!AJ43+'5'!AJ43+'6'!AJ43+'7'!AJ43+'8'!AJ43+'9'!AJ43+'10'!AJ43+'11'!AJ43+'12'!AJ43</f>
        <v>0</v>
      </c>
      <c r="AK43" s="91">
        <f>'1'!AK43+'2'!AK43+'3'!AK43+'4'!AK43+'5'!AK43+'6'!AK43+'7'!AK43+'8'!AK43+'9'!AK43+'10'!AK43+'11'!AK43+'12'!AK43</f>
        <v>0</v>
      </c>
      <c r="AL43" s="91">
        <f>'1'!AL43+'2'!AL43+'3'!AL43+'4'!AL43+'5'!AL43+'6'!AL43+'7'!AL43+'8'!AL43+'9'!AL43+'10'!AL43+'11'!AL43+'12'!AL43</f>
        <v>0</v>
      </c>
      <c r="AM43" s="91">
        <f>'1'!AM43+'2'!AM43+'3'!AM43+'4'!AM43+'5'!AM43+'6'!AM43+'7'!AM43+'8'!AM43+'9'!AM43+'10'!AM43+'11'!AM43+'12'!AM43</f>
        <v>0</v>
      </c>
      <c r="AN43" s="91">
        <f>'1'!AN43+'2'!AN43+'3'!AN43+'4'!AN43+'5'!AN43+'6'!AN43+'7'!AN43+'8'!AN43+'9'!AN43+'10'!AN43+'11'!AN43+'12'!AN43</f>
        <v>0</v>
      </c>
      <c r="AO43" s="91">
        <f>'1'!AO43+'2'!AO43+'3'!AO43+'4'!AO43+'5'!AO43+'6'!AO43+'7'!AO43+'8'!AO43+'9'!AO43+'10'!AO43+'11'!AO43+'12'!AO43</f>
        <v>0</v>
      </c>
      <c r="AP43" s="91">
        <f>'1'!AP43+'2'!AP43+'3'!AP43+'4'!AP43+'5'!AP43+'6'!AP43+'7'!AP43+'8'!AP43+'9'!AP43+'10'!AP43+'11'!AP43+'12'!AP43</f>
        <v>0</v>
      </c>
      <c r="AQ43" s="16">
        <f t="shared" si="3"/>
        <v>0</v>
      </c>
      <c r="AR43" s="17">
        <f t="shared" si="11"/>
        <v>0</v>
      </c>
      <c r="AS43" s="91">
        <f t="shared" si="15"/>
        <v>0</v>
      </c>
      <c r="AT43" s="91">
        <f>'1'!AT43+'2'!AT43+'3'!AT43+'4'!AT43+'5'!AT43+'6'!AT43+'7'!AT43+'8'!AT43+'9'!AT43+'10'!AT43+'11'!AT43+'12'!AT43</f>
        <v>0</v>
      </c>
      <c r="AU43" s="92">
        <f t="shared" si="16"/>
        <v>0</v>
      </c>
      <c r="AV43" s="92">
        <f t="shared" si="5"/>
        <v>0</v>
      </c>
      <c r="AW43" s="92">
        <f t="shared" si="17"/>
        <v>0</v>
      </c>
      <c r="AX43" s="92">
        <f t="shared" si="18"/>
        <v>0</v>
      </c>
      <c r="AY43" s="92">
        <f>IF(D43=0,0,K43/D43/24)</f>
        <v>0</v>
      </c>
      <c r="AZ43" s="92">
        <f>IF(E43=0,0,L43/E43/24)</f>
        <v>0</v>
      </c>
      <c r="BA43" s="95">
        <f t="shared" si="19"/>
        <v>0</v>
      </c>
      <c r="BB43" s="138"/>
      <c r="BC43"/>
    </row>
    <row r="44" spans="1:55" ht="15" hidden="1" customHeight="1" x14ac:dyDescent="0.25">
      <c r="A44" s="72" t="s">
        <v>67</v>
      </c>
      <c r="B44" s="123"/>
      <c r="C44" s="111">
        <v>31</v>
      </c>
      <c r="D44" s="121">
        <f t="shared" ref="D44:D45" si="24">AT44*AU44*AW44</f>
        <v>0</v>
      </c>
      <c r="E44" s="16">
        <f t="shared" ref="E44:E45" si="25">ROUND(AT44*AV44*AX44,4)</f>
        <v>0</v>
      </c>
      <c r="F44" s="91">
        <f>'1'!F44+'2'!F44+'3'!F44+'4'!F44+'5'!F44+'6'!F44+'7'!F44+'8'!F44+'9'!F44+'10'!F44+'11'!F44+'12'!F44</f>
        <v>0</v>
      </c>
      <c r="G44" s="91">
        <f>'1'!G44+'2'!G44+'3'!G44+'4'!G44+'5'!G44+'6'!G44+'7'!G44+'8'!G44+'9'!G44+'10'!G44+'11'!G44+'12'!G44</f>
        <v>0</v>
      </c>
      <c r="H44" s="135">
        <f>'1'!H44+'2'!H44+'3'!H44+'4'!H44+'5'!H44+'6'!H44+'7'!H44+'8'!H44+'9'!H44+'10'!H44+'11'!H44+'12'!H44</f>
        <v>0</v>
      </c>
      <c r="I44" s="135">
        <f>'1'!I44+'2'!I44+'3'!I44+'4'!I44+'5'!I44+'6'!I44+'7'!I44+'8'!I44+'9'!I44+'10'!I44+'11'!I44+'12'!I44</f>
        <v>0</v>
      </c>
      <c r="J44" s="14" t="s">
        <v>55</v>
      </c>
      <c r="K44" s="133">
        <f>'1'!K44+'2'!K44+'3'!K44+'4'!K44+'5'!K44+'6'!K44+'7'!K44+'8'!K44+'9'!K44+'10'!K44+'11'!K44+'12'!K44</f>
        <v>0</v>
      </c>
      <c r="L44" s="133">
        <f>'1'!L44+'2'!L44+'3'!L44+'4'!L44+'5'!L44+'6'!L44+'7'!L44+'8'!L44+'9'!L44+'10'!L44+'11'!L44+'12'!L44</f>
        <v>0</v>
      </c>
      <c r="M44" s="91">
        <f>'1'!M44+'2'!M44+'3'!M44+'4'!M44+'5'!M44+'6'!M44+'7'!M44+'8'!M44+'9'!M44+'10'!M44+'11'!M44+'12'!M44</f>
        <v>0</v>
      </c>
      <c r="N44" s="91">
        <f>'1'!N44+'2'!N44+'3'!N44+'4'!N44+'5'!N44+'6'!N44+'7'!N44+'8'!N44+'9'!N44+'10'!N44+'11'!N44+'12'!N44</f>
        <v>0</v>
      </c>
      <c r="O44" s="91">
        <f>'1'!O44+'2'!O44+'3'!O44+'4'!O44+'5'!O44+'6'!O44+'7'!O44+'8'!O44+'9'!O44+'10'!O44+'11'!O44+'12'!O44</f>
        <v>0</v>
      </c>
      <c r="P44" s="91">
        <f>'1'!P44+'2'!P44+'3'!P44+'4'!P44+'5'!P44+'6'!P44+'7'!P44+'8'!P44+'9'!P44+'10'!P44+'11'!P44+'12'!P44</f>
        <v>0</v>
      </c>
      <c r="Q44" s="91">
        <f>'1'!Q44+'2'!Q44+'3'!Q44+'4'!Q44+'5'!Q44+'6'!Q44+'7'!Q44+'8'!Q44+'9'!Q44+'10'!Q44+'11'!Q44+'12'!Q44</f>
        <v>0</v>
      </c>
      <c r="R44" s="91">
        <f>'1'!R44+'2'!R44+'3'!R44+'4'!R44+'5'!R44+'6'!R44+'7'!R44+'8'!R44+'9'!R44+'10'!R44+'11'!R44+'12'!R44</f>
        <v>0</v>
      </c>
      <c r="S44" s="91">
        <f>'1'!S44+'2'!S44+'3'!S44+'4'!S44+'5'!S44+'6'!S44+'7'!S44+'8'!S44+'9'!S44+'10'!S44+'11'!S44+'12'!S44</f>
        <v>0</v>
      </c>
      <c r="T44" s="91">
        <f>'1'!T44+'2'!T44+'3'!T44+'4'!T44+'5'!T44+'6'!T44+'7'!T44+'8'!T44+'9'!T44+'10'!T44+'11'!T44+'12'!T44</f>
        <v>0</v>
      </c>
      <c r="U44" s="91">
        <f>'1'!U44+'2'!U44+'3'!U44+'4'!U44+'5'!U44+'6'!U44+'7'!U44+'8'!U44+'9'!U44+'10'!U44+'11'!U44+'12'!U44</f>
        <v>0</v>
      </c>
      <c r="V44" s="91">
        <f>'1'!V44+'2'!V44+'3'!V44+'4'!V44+'5'!V44+'6'!V44+'7'!V44+'8'!V44+'9'!V44+'10'!V44+'11'!V44+'12'!V44</f>
        <v>0</v>
      </c>
      <c r="W44" s="91">
        <f>'1'!W44+'2'!W44+'3'!W44+'4'!W44+'5'!W44+'6'!W44+'7'!W44+'8'!W44+'9'!W44+'10'!W44+'11'!W44+'12'!W44</f>
        <v>0</v>
      </c>
      <c r="X44" s="91">
        <f>'1'!X44+'2'!X44+'3'!X44+'4'!X44+'5'!X44+'6'!X44+'7'!X44+'8'!X44+'9'!X44+'10'!X44+'11'!X44+'12'!X44</f>
        <v>0</v>
      </c>
      <c r="Y44" s="91">
        <f>'1'!Y44+'2'!Y44+'3'!Y44+'4'!Y44+'5'!Y44+'6'!Y44+'7'!Y44+'8'!Y44+'9'!Y44+'10'!Y44+'11'!Y44+'12'!Y44</f>
        <v>0</v>
      </c>
      <c r="Z44" s="91">
        <f>'1'!Z44+'2'!Z44+'3'!Z44+'4'!Z44+'5'!Z44+'6'!Z44+'7'!Z44+'8'!Z44+'9'!Z44+'10'!Z44+'11'!Z44+'12'!Z44</f>
        <v>0</v>
      </c>
      <c r="AA44" s="91">
        <f>'1'!AA44+'2'!AA44+'3'!AA44+'4'!AA44+'5'!AA44+'6'!AA44+'7'!AA44+'8'!AA44+'9'!AA44+'10'!AA44+'11'!AA44+'12'!AA44</f>
        <v>0</v>
      </c>
      <c r="AB44" s="91">
        <f>'1'!AB44+'2'!AB44+'3'!AB44+'4'!AB44+'5'!AB44+'6'!AB44+'7'!AB44+'8'!AB44+'9'!AB44+'10'!AB44+'11'!AB44+'12'!AB44</f>
        <v>0</v>
      </c>
      <c r="AC44" s="91">
        <f>'1'!AC44+'2'!AC44+'3'!AC44+'4'!AC44+'5'!AC44+'6'!AC44+'7'!AC44+'8'!AC44+'9'!AC44+'10'!AC44+'11'!AC44+'12'!AC44</f>
        <v>0</v>
      </c>
      <c r="AD44" s="91">
        <f>'1'!AD44+'2'!AD44+'3'!AD44+'4'!AD44+'5'!AD44+'6'!AD44+'7'!AD44+'8'!AD44+'9'!AD44+'10'!AD44+'11'!AD44+'12'!AD44</f>
        <v>0</v>
      </c>
      <c r="AE44" s="91">
        <f>'1'!AE44+'2'!AE44+'3'!AE44+'4'!AE44+'5'!AE44+'6'!AE44+'7'!AE44+'8'!AE44+'9'!AE44+'10'!AE44+'11'!AE44+'12'!AE44</f>
        <v>0</v>
      </c>
      <c r="AF44" s="91">
        <f>'1'!AF44+'2'!AF44+'3'!AF44+'4'!AF44+'5'!AF44+'6'!AF44+'7'!AF44+'8'!AF44+'9'!AF44+'10'!AF44+'11'!AF44+'12'!AF44</f>
        <v>0</v>
      </c>
      <c r="AG44" s="91">
        <f>'1'!AG44+'2'!AG44+'3'!AG44+'4'!AG44+'5'!AG44+'6'!AG44+'7'!AG44+'8'!AG44+'9'!AG44+'10'!AG44+'11'!AG44+'12'!AG44</f>
        <v>0</v>
      </c>
      <c r="AH44" s="91">
        <f>'1'!AH44+'2'!AH44+'3'!AH44+'4'!AH44+'5'!AH44+'6'!AH44+'7'!AH44+'8'!AH44+'9'!AH44+'10'!AH44+'11'!AH44+'12'!AH44</f>
        <v>0</v>
      </c>
      <c r="AI44" s="91">
        <f>'1'!AI44+'2'!AI44+'3'!AI44+'4'!AI44+'5'!AI44+'6'!AI44+'7'!AI44+'8'!AI44+'9'!AI44+'10'!AI44+'11'!AI44+'12'!AI44</f>
        <v>0</v>
      </c>
      <c r="AJ44" s="91">
        <f>'1'!AJ44+'2'!AJ44+'3'!AJ44+'4'!AJ44+'5'!AJ44+'6'!AJ44+'7'!AJ44+'8'!AJ44+'9'!AJ44+'10'!AJ44+'11'!AJ44+'12'!AJ44</f>
        <v>0</v>
      </c>
      <c r="AK44" s="91">
        <f>'1'!AK44+'2'!AK44+'3'!AK44+'4'!AK44+'5'!AK44+'6'!AK44+'7'!AK44+'8'!AK44+'9'!AK44+'10'!AK44+'11'!AK44+'12'!AK44</f>
        <v>0</v>
      </c>
      <c r="AL44" s="91">
        <f>'1'!AL44+'2'!AL44+'3'!AL44+'4'!AL44+'5'!AL44+'6'!AL44+'7'!AL44+'8'!AL44+'9'!AL44+'10'!AL44+'11'!AL44+'12'!AL44</f>
        <v>0</v>
      </c>
      <c r="AM44" s="91">
        <f>'1'!AM44+'2'!AM44+'3'!AM44+'4'!AM44+'5'!AM44+'6'!AM44+'7'!AM44+'8'!AM44+'9'!AM44+'10'!AM44+'11'!AM44+'12'!AM44</f>
        <v>0</v>
      </c>
      <c r="AN44" s="91">
        <f>'1'!AN44+'2'!AN44+'3'!AN44+'4'!AN44+'5'!AN44+'6'!AN44+'7'!AN44+'8'!AN44+'9'!AN44+'10'!AN44+'11'!AN44+'12'!AN44</f>
        <v>0</v>
      </c>
      <c r="AO44" s="91">
        <f>'1'!AO44+'2'!AO44+'3'!AO44+'4'!AO44+'5'!AO44+'6'!AO44+'7'!AO44+'8'!AO44+'9'!AO44+'10'!AO44+'11'!AO44+'12'!AO44</f>
        <v>0</v>
      </c>
      <c r="AP44" s="91">
        <f>'1'!AP44+'2'!AP44+'3'!AP44+'4'!AP44+'5'!AP44+'6'!AP44+'7'!AP44+'8'!AP44+'9'!AP44+'10'!AP44+'11'!AP44+'12'!AP44</f>
        <v>0</v>
      </c>
      <c r="AQ44" s="16">
        <f t="shared" si="3"/>
        <v>0</v>
      </c>
      <c r="AR44" s="17">
        <f t="shared" si="11"/>
        <v>0</v>
      </c>
      <c r="AS44" s="91">
        <f t="shared" si="15"/>
        <v>0</v>
      </c>
      <c r="AT44" s="91">
        <f>'1'!AT44+'2'!AT44+'3'!AT44+'4'!AT44+'5'!AT44+'6'!AT44+'7'!AT44+'8'!AT44+'9'!AT44+'10'!AT44+'11'!AT44+'12'!AT44</f>
        <v>0</v>
      </c>
      <c r="AU44" s="92">
        <f t="shared" si="16"/>
        <v>0</v>
      </c>
      <c r="AV44" s="92">
        <f t="shared" si="5"/>
        <v>0</v>
      </c>
      <c r="AW44" s="92">
        <f t="shared" si="17"/>
        <v>0</v>
      </c>
      <c r="AX44" s="92">
        <f t="shared" si="18"/>
        <v>0</v>
      </c>
      <c r="AY44" s="92">
        <f t="shared" ref="AY44:AZ45" si="26">IF(D44=0,0,K44/D44/24)</f>
        <v>0</v>
      </c>
      <c r="AZ44" s="92">
        <f t="shared" si="26"/>
        <v>0</v>
      </c>
      <c r="BA44" s="95">
        <f t="shared" si="19"/>
        <v>0</v>
      </c>
      <c r="BB44" s="139"/>
      <c r="BC44"/>
    </row>
    <row r="45" spans="1:55" ht="15" customHeight="1" thickBot="1" x14ac:dyDescent="0.3">
      <c r="A45" s="103" t="s">
        <v>67</v>
      </c>
      <c r="B45" s="123" t="s">
        <v>140</v>
      </c>
      <c r="C45" s="114">
        <v>38</v>
      </c>
      <c r="D45" s="121">
        <f t="shared" si="24"/>
        <v>0</v>
      </c>
      <c r="E45" s="16">
        <f t="shared" si="25"/>
        <v>0</v>
      </c>
      <c r="F45" s="91">
        <f>'1'!F45+'2'!F45+'3'!F45+'4'!F45+'5'!F45+'6'!F45+'7'!F45+'8'!F45+'9'!F45+'10'!F45+'11'!F45+'12'!F45</f>
        <v>0</v>
      </c>
      <c r="G45" s="91">
        <f>'1'!G45+'2'!G45+'3'!G45+'4'!G45+'5'!G45+'6'!G45+'7'!G45+'8'!G45+'9'!G45+'10'!G45+'11'!G45+'12'!G45</f>
        <v>0</v>
      </c>
      <c r="H45" s="135">
        <f>'1'!H45+'2'!H45+'3'!H45+'4'!H45+'5'!H45+'6'!H45+'7'!H45+'8'!H45+'9'!H45+'10'!H45+'11'!H45+'12'!H45</f>
        <v>0</v>
      </c>
      <c r="I45" s="135">
        <f>'1'!I45+'2'!I45+'3'!I45+'4'!I45+'5'!I45+'6'!I45+'7'!I45+'8'!I45+'9'!I45+'10'!I45+'11'!I45+'12'!I45</f>
        <v>0</v>
      </c>
      <c r="J45" s="14" t="s">
        <v>55</v>
      </c>
      <c r="K45" s="133">
        <f>'1'!K45+'2'!K45+'3'!K45+'4'!K45+'5'!K45+'6'!K45+'7'!K45+'8'!K45+'9'!K45+'10'!K45+'11'!K45+'12'!K45</f>
        <v>0</v>
      </c>
      <c r="L45" s="133">
        <f>'1'!L45+'2'!L45+'3'!L45+'4'!L45+'5'!L45+'6'!L45+'7'!L45+'8'!L45+'9'!L45+'10'!L45+'11'!L45+'12'!L45</f>
        <v>0</v>
      </c>
      <c r="M45" s="91">
        <f>'1'!M45+'2'!M45+'3'!M45+'4'!M45+'5'!M45+'6'!M45+'7'!M45+'8'!M45+'9'!M45+'10'!M45+'11'!M45+'12'!M45</f>
        <v>0</v>
      </c>
      <c r="N45" s="91">
        <f>'1'!N45+'2'!N45+'3'!N45+'4'!N45+'5'!N45+'6'!N45+'7'!N45+'8'!N45+'9'!N45+'10'!N45+'11'!N45+'12'!N45</f>
        <v>0</v>
      </c>
      <c r="O45" s="91">
        <f>'1'!O45+'2'!O45+'3'!O45+'4'!O45+'5'!O45+'6'!O45+'7'!O45+'8'!O45+'9'!O45+'10'!O45+'11'!O45+'12'!O45</f>
        <v>0</v>
      </c>
      <c r="P45" s="91">
        <f>'1'!P45+'2'!P45+'3'!P45+'4'!P45+'5'!P45+'6'!P45+'7'!P45+'8'!P45+'9'!P45+'10'!P45+'11'!P45+'12'!P45</f>
        <v>0</v>
      </c>
      <c r="Q45" s="91">
        <f>'1'!Q45+'2'!Q45+'3'!Q45+'4'!Q45+'5'!Q45+'6'!Q45+'7'!Q45+'8'!Q45+'9'!Q45+'10'!Q45+'11'!Q45+'12'!Q45</f>
        <v>0</v>
      </c>
      <c r="R45" s="91">
        <f>'1'!R45+'2'!R45+'3'!R45+'4'!R45+'5'!R45+'6'!R45+'7'!R45+'8'!R45+'9'!R45+'10'!R45+'11'!R45+'12'!R45</f>
        <v>0</v>
      </c>
      <c r="S45" s="91">
        <f>'1'!S45+'2'!S45+'3'!S45+'4'!S45+'5'!S45+'6'!S45+'7'!S45+'8'!S45+'9'!S45+'10'!S45+'11'!S45+'12'!S45</f>
        <v>0</v>
      </c>
      <c r="T45" s="91">
        <f>'1'!T45+'2'!T45+'3'!T45+'4'!T45+'5'!T45+'6'!T45+'7'!T45+'8'!T45+'9'!T45+'10'!T45+'11'!T45+'12'!T45</f>
        <v>0</v>
      </c>
      <c r="U45" s="91">
        <f>'1'!U45+'2'!U45+'3'!U45+'4'!U45+'5'!U45+'6'!U45+'7'!U45+'8'!U45+'9'!U45+'10'!U45+'11'!U45+'12'!U45</f>
        <v>0</v>
      </c>
      <c r="V45" s="91">
        <f>'1'!V45+'2'!V45+'3'!V45+'4'!V45+'5'!V45+'6'!V45+'7'!V45+'8'!V45+'9'!V45+'10'!V45+'11'!V45+'12'!V45</f>
        <v>0</v>
      </c>
      <c r="W45" s="91">
        <f>'1'!W45+'2'!W45+'3'!W45+'4'!W45+'5'!W45+'6'!W45+'7'!W45+'8'!W45+'9'!W45+'10'!W45+'11'!W45+'12'!W45</f>
        <v>0</v>
      </c>
      <c r="X45" s="91">
        <f>'1'!X45+'2'!X45+'3'!X45+'4'!X45+'5'!X45+'6'!X45+'7'!X45+'8'!X45+'9'!X45+'10'!X45+'11'!X45+'12'!X45</f>
        <v>0</v>
      </c>
      <c r="Y45" s="91">
        <f>'1'!Y45+'2'!Y45+'3'!Y45+'4'!Y45+'5'!Y45+'6'!Y45+'7'!Y45+'8'!Y45+'9'!Y45+'10'!Y45+'11'!Y45+'12'!Y45</f>
        <v>0</v>
      </c>
      <c r="Z45" s="91">
        <f>'1'!Z45+'2'!Z45+'3'!Z45+'4'!Z45+'5'!Z45+'6'!Z45+'7'!Z45+'8'!Z45+'9'!Z45+'10'!Z45+'11'!Z45+'12'!Z45</f>
        <v>0</v>
      </c>
      <c r="AA45" s="91">
        <f>'1'!AA45+'2'!AA45+'3'!AA45+'4'!AA45+'5'!AA45+'6'!AA45+'7'!AA45+'8'!AA45+'9'!AA45+'10'!AA45+'11'!AA45+'12'!AA45</f>
        <v>0</v>
      </c>
      <c r="AB45" s="91">
        <f>'1'!AB45+'2'!AB45+'3'!AB45+'4'!AB45+'5'!AB45+'6'!AB45+'7'!AB45+'8'!AB45+'9'!AB45+'10'!AB45+'11'!AB45+'12'!AB45</f>
        <v>0</v>
      </c>
      <c r="AC45" s="91">
        <f>'1'!AC45+'2'!AC45+'3'!AC45+'4'!AC45+'5'!AC45+'6'!AC45+'7'!AC45+'8'!AC45+'9'!AC45+'10'!AC45+'11'!AC45+'12'!AC45</f>
        <v>0</v>
      </c>
      <c r="AD45" s="91">
        <f>'1'!AD45+'2'!AD45+'3'!AD45+'4'!AD45+'5'!AD45+'6'!AD45+'7'!AD45+'8'!AD45+'9'!AD45+'10'!AD45+'11'!AD45+'12'!AD45</f>
        <v>0</v>
      </c>
      <c r="AE45" s="91">
        <f>'1'!AE45+'2'!AE45+'3'!AE45+'4'!AE45+'5'!AE45+'6'!AE45+'7'!AE45+'8'!AE45+'9'!AE45+'10'!AE45+'11'!AE45+'12'!AE45</f>
        <v>0</v>
      </c>
      <c r="AF45" s="91">
        <f>'1'!AF45+'2'!AF45+'3'!AF45+'4'!AF45+'5'!AF45+'6'!AF45+'7'!AF45+'8'!AF45+'9'!AF45+'10'!AF45+'11'!AF45+'12'!AF45</f>
        <v>0</v>
      </c>
      <c r="AG45" s="91">
        <f>'1'!AG45+'2'!AG45+'3'!AG45+'4'!AG45+'5'!AG45+'6'!AG45+'7'!AG45+'8'!AG45+'9'!AG45+'10'!AG45+'11'!AG45+'12'!AG45</f>
        <v>0</v>
      </c>
      <c r="AH45" s="91">
        <f>'1'!AH45+'2'!AH45+'3'!AH45+'4'!AH45+'5'!AH45+'6'!AH45+'7'!AH45+'8'!AH45+'9'!AH45+'10'!AH45+'11'!AH45+'12'!AH45</f>
        <v>0</v>
      </c>
      <c r="AI45" s="91">
        <f>'1'!AI45+'2'!AI45+'3'!AI45+'4'!AI45+'5'!AI45+'6'!AI45+'7'!AI45+'8'!AI45+'9'!AI45+'10'!AI45+'11'!AI45+'12'!AI45</f>
        <v>0</v>
      </c>
      <c r="AJ45" s="91">
        <f>'1'!AJ45+'2'!AJ45+'3'!AJ45+'4'!AJ45+'5'!AJ45+'6'!AJ45+'7'!AJ45+'8'!AJ45+'9'!AJ45+'10'!AJ45+'11'!AJ45+'12'!AJ45</f>
        <v>0</v>
      </c>
      <c r="AK45" s="91">
        <f>'1'!AK45+'2'!AK45+'3'!AK45+'4'!AK45+'5'!AK45+'6'!AK45+'7'!AK45+'8'!AK45+'9'!AK45+'10'!AK45+'11'!AK45+'12'!AK45</f>
        <v>0</v>
      </c>
      <c r="AL45" s="91">
        <f>'1'!AL45+'2'!AL45+'3'!AL45+'4'!AL45+'5'!AL45+'6'!AL45+'7'!AL45+'8'!AL45+'9'!AL45+'10'!AL45+'11'!AL45+'12'!AL45</f>
        <v>0</v>
      </c>
      <c r="AM45" s="91">
        <f>'1'!AM45+'2'!AM45+'3'!AM45+'4'!AM45+'5'!AM45+'6'!AM45+'7'!AM45+'8'!AM45+'9'!AM45+'10'!AM45+'11'!AM45+'12'!AM45</f>
        <v>0</v>
      </c>
      <c r="AN45" s="91">
        <f>'1'!AN45+'2'!AN45+'3'!AN45+'4'!AN45+'5'!AN45+'6'!AN45+'7'!AN45+'8'!AN45+'9'!AN45+'10'!AN45+'11'!AN45+'12'!AN45</f>
        <v>0</v>
      </c>
      <c r="AO45" s="91">
        <f>'1'!AO45+'2'!AO45+'3'!AO45+'4'!AO45+'5'!AO45+'6'!AO45+'7'!AO45+'8'!AO45+'9'!AO45+'10'!AO45+'11'!AO45+'12'!AO45</f>
        <v>0</v>
      </c>
      <c r="AP45" s="91">
        <f>'1'!AP45+'2'!AP45+'3'!AP45+'4'!AP45+'5'!AP45+'6'!AP45+'7'!AP45+'8'!AP45+'9'!AP45+'10'!AP45+'11'!AP45+'12'!AP45</f>
        <v>0</v>
      </c>
      <c r="AQ45" s="16">
        <f t="shared" si="3"/>
        <v>0</v>
      </c>
      <c r="AR45" s="17">
        <f t="shared" si="11"/>
        <v>0</v>
      </c>
      <c r="AS45" s="91">
        <f t="shared" si="15"/>
        <v>0</v>
      </c>
      <c r="AT45" s="91">
        <f>'1'!AT45+'2'!AT45+'3'!AT45+'4'!AT45+'5'!AT45+'6'!AT45+'7'!AT45+'8'!AT45+'9'!AT45+'10'!AT45+'11'!AT45+'12'!AT45</f>
        <v>0</v>
      </c>
      <c r="AU45" s="92">
        <f t="shared" si="16"/>
        <v>0</v>
      </c>
      <c r="AV45" s="92">
        <f t="shared" si="5"/>
        <v>0</v>
      </c>
      <c r="AW45" s="92">
        <f t="shared" si="17"/>
        <v>0</v>
      </c>
      <c r="AX45" s="92">
        <f t="shared" si="18"/>
        <v>0</v>
      </c>
      <c r="AY45" s="92">
        <f t="shared" si="26"/>
        <v>0</v>
      </c>
      <c r="AZ45" s="92">
        <f t="shared" si="26"/>
        <v>0</v>
      </c>
      <c r="BA45" s="95">
        <f t="shared" si="19"/>
        <v>0</v>
      </c>
      <c r="BB45" s="140"/>
      <c r="BC45"/>
    </row>
    <row r="46" spans="1:55" ht="15" customHeight="1" thickBot="1" x14ac:dyDescent="0.3">
      <c r="A46" s="102" t="s">
        <v>82</v>
      </c>
      <c r="B46" s="124"/>
      <c r="C46" s="87"/>
      <c r="D46" s="129">
        <f t="shared" ref="D46:E46" si="27">SUM(D47:D51)</f>
        <v>0</v>
      </c>
      <c r="E46" s="129">
        <f t="shared" si="27"/>
        <v>0</v>
      </c>
      <c r="F46" s="129">
        <f>SUM(F47:F51)</f>
        <v>0</v>
      </c>
      <c r="G46" s="129">
        <f t="shared" ref="G46:AP46" si="28">SUM(G47:G51)</f>
        <v>0</v>
      </c>
      <c r="H46" s="131">
        <f t="shared" si="28"/>
        <v>0</v>
      </c>
      <c r="I46" s="131">
        <f t="shared" si="28"/>
        <v>0</v>
      </c>
      <c r="J46" s="129">
        <f t="shared" si="28"/>
        <v>0</v>
      </c>
      <c r="K46" s="130">
        <f t="shared" si="28"/>
        <v>0</v>
      </c>
      <c r="L46" s="130">
        <f t="shared" si="28"/>
        <v>0</v>
      </c>
      <c r="M46" s="129">
        <f t="shared" si="28"/>
        <v>0</v>
      </c>
      <c r="N46" s="129">
        <f t="shared" si="28"/>
        <v>0</v>
      </c>
      <c r="O46" s="129">
        <f t="shared" si="28"/>
        <v>0</v>
      </c>
      <c r="P46" s="129">
        <f t="shared" si="28"/>
        <v>0</v>
      </c>
      <c r="Q46" s="129">
        <f t="shared" si="28"/>
        <v>0</v>
      </c>
      <c r="R46" s="129">
        <f t="shared" si="28"/>
        <v>0</v>
      </c>
      <c r="S46" s="129">
        <f t="shared" si="28"/>
        <v>0</v>
      </c>
      <c r="T46" s="129">
        <f t="shared" si="28"/>
        <v>0</v>
      </c>
      <c r="U46" s="129">
        <f t="shared" si="28"/>
        <v>0</v>
      </c>
      <c r="V46" s="129">
        <f t="shared" si="28"/>
        <v>0</v>
      </c>
      <c r="W46" s="129">
        <f t="shared" si="28"/>
        <v>0</v>
      </c>
      <c r="X46" s="129">
        <f t="shared" si="28"/>
        <v>0</v>
      </c>
      <c r="Y46" s="129">
        <f t="shared" si="28"/>
        <v>0</v>
      </c>
      <c r="Z46" s="129">
        <f t="shared" si="28"/>
        <v>0</v>
      </c>
      <c r="AA46" s="129">
        <f t="shared" si="28"/>
        <v>0</v>
      </c>
      <c r="AB46" s="129">
        <f t="shared" si="28"/>
        <v>0</v>
      </c>
      <c r="AC46" s="129">
        <f t="shared" si="28"/>
        <v>0</v>
      </c>
      <c r="AD46" s="129">
        <f t="shared" si="28"/>
        <v>0</v>
      </c>
      <c r="AE46" s="129">
        <f t="shared" si="28"/>
        <v>0</v>
      </c>
      <c r="AF46" s="129">
        <f t="shared" si="28"/>
        <v>0</v>
      </c>
      <c r="AG46" s="129">
        <f t="shared" si="28"/>
        <v>0</v>
      </c>
      <c r="AH46" s="129">
        <f t="shared" si="28"/>
        <v>0</v>
      </c>
      <c r="AI46" s="129">
        <f t="shared" si="28"/>
        <v>0</v>
      </c>
      <c r="AJ46" s="129">
        <f t="shared" si="28"/>
        <v>0</v>
      </c>
      <c r="AK46" s="129">
        <f t="shared" si="28"/>
        <v>0</v>
      </c>
      <c r="AL46" s="129">
        <f t="shared" si="28"/>
        <v>0</v>
      </c>
      <c r="AM46" s="129">
        <f t="shared" si="28"/>
        <v>0</v>
      </c>
      <c r="AN46" s="129">
        <f t="shared" si="28"/>
        <v>0</v>
      </c>
      <c r="AO46" s="129">
        <f t="shared" si="28"/>
        <v>0</v>
      </c>
      <c r="AP46" s="129">
        <f t="shared" si="28"/>
        <v>0</v>
      </c>
      <c r="AQ46" s="129">
        <f t="shared" si="3"/>
        <v>0</v>
      </c>
      <c r="AR46" s="129">
        <f t="shared" si="11"/>
        <v>0</v>
      </c>
      <c r="AS46" s="129">
        <f t="shared" si="15"/>
        <v>0</v>
      </c>
      <c r="AT46" s="129">
        <f>SUM(AT47:AT51)</f>
        <v>0</v>
      </c>
      <c r="AU46" s="131">
        <f t="shared" si="16"/>
        <v>0</v>
      </c>
      <c r="AV46" s="131">
        <f t="shared" si="5"/>
        <v>0</v>
      </c>
      <c r="AW46" s="131">
        <f t="shared" si="17"/>
        <v>0</v>
      </c>
      <c r="AX46" s="131">
        <f t="shared" si="18"/>
        <v>0</v>
      </c>
      <c r="AY46" s="131">
        <f>SUM(AY47:AY51)</f>
        <v>0</v>
      </c>
      <c r="AZ46" s="131">
        <f>SUM(AZ47:AZ51)</f>
        <v>0</v>
      </c>
      <c r="BA46" s="129">
        <f t="shared" si="19"/>
        <v>0</v>
      </c>
      <c r="BB46" s="141"/>
      <c r="BC46"/>
    </row>
    <row r="47" spans="1:55" ht="15" customHeight="1" x14ac:dyDescent="0.25">
      <c r="A47" s="97" t="s">
        <v>46</v>
      </c>
      <c r="B47" s="123" t="s">
        <v>141</v>
      </c>
      <c r="C47" s="115">
        <v>28</v>
      </c>
      <c r="D47" s="121">
        <f>AT47*AU47*AW47</f>
        <v>0</v>
      </c>
      <c r="E47" s="16">
        <f>ROUND(AT47*AV47*AX47,4)</f>
        <v>0</v>
      </c>
      <c r="F47" s="91">
        <f>'1'!F47+'2'!F47+'3'!F47+'4'!F47+'5'!F47+'6'!F47+'7'!F47+'8'!F47+'9'!F47+'10'!F47+'11'!F47+'12'!F47</f>
        <v>0</v>
      </c>
      <c r="G47" s="91">
        <f>'1'!G47+'2'!G47+'3'!G47+'4'!G47+'5'!G47+'6'!G47+'7'!G47+'8'!G47+'9'!G47+'10'!G47+'11'!G47+'12'!G47</f>
        <v>0</v>
      </c>
      <c r="H47" s="135">
        <f>'1'!H47+'2'!H47+'3'!H47+'4'!H47+'5'!H47+'6'!H47+'7'!H47+'8'!H47+'9'!H47+'10'!H47+'11'!H47+'12'!H47</f>
        <v>0</v>
      </c>
      <c r="I47" s="135">
        <f>'1'!I47+'2'!I47+'3'!I47+'4'!I47+'5'!I47+'6'!I47+'7'!I47+'8'!I47+'9'!I47+'10'!I47+'11'!I47+'12'!I47</f>
        <v>0</v>
      </c>
      <c r="J47" s="14" t="s">
        <v>55</v>
      </c>
      <c r="K47" s="133">
        <f>'1'!K47+'2'!K47+'3'!K47+'4'!K47+'5'!K47+'6'!K47+'7'!K47+'8'!K47+'9'!K47+'10'!K47+'11'!K47+'12'!K47</f>
        <v>0</v>
      </c>
      <c r="L47" s="133">
        <f>'1'!L47+'2'!L47+'3'!L47+'4'!L47+'5'!L47+'6'!L47+'7'!L47+'8'!L47+'9'!L47+'10'!L47+'11'!L47+'12'!L47</f>
        <v>0</v>
      </c>
      <c r="M47" s="91">
        <f>'1'!M47+'2'!M47+'3'!M47+'4'!M47+'5'!M47+'6'!M47+'7'!M47+'8'!M47+'9'!M47+'10'!M47+'11'!M47+'12'!M47</f>
        <v>0</v>
      </c>
      <c r="N47" s="91">
        <f>'1'!N47+'2'!N47+'3'!N47+'4'!N47+'5'!N47+'6'!N47+'7'!N47+'8'!N47+'9'!N47+'10'!N47+'11'!N47+'12'!N47</f>
        <v>0</v>
      </c>
      <c r="O47" s="91">
        <f>'1'!O47+'2'!O47+'3'!O47+'4'!O47+'5'!O47+'6'!O47+'7'!O47+'8'!O47+'9'!O47+'10'!O47+'11'!O47+'12'!O47</f>
        <v>0</v>
      </c>
      <c r="P47" s="91">
        <f>'1'!P47+'2'!P47+'3'!P47+'4'!P47+'5'!P47+'6'!P47+'7'!P47+'8'!P47+'9'!P47+'10'!P47+'11'!P47+'12'!P47</f>
        <v>0</v>
      </c>
      <c r="Q47" s="91">
        <f>'1'!Q47+'2'!Q47+'3'!Q47+'4'!Q47+'5'!Q47+'6'!Q47+'7'!Q47+'8'!Q47+'9'!Q47+'10'!Q47+'11'!Q47+'12'!Q47</f>
        <v>0</v>
      </c>
      <c r="R47" s="91">
        <f>'1'!R47+'2'!R47+'3'!R47+'4'!R47+'5'!R47+'6'!R47+'7'!R47+'8'!R47+'9'!R47+'10'!R47+'11'!R47+'12'!R47</f>
        <v>0</v>
      </c>
      <c r="S47" s="91">
        <f>'1'!S47+'2'!S47+'3'!S47+'4'!S47+'5'!S47+'6'!S47+'7'!S47+'8'!S47+'9'!S47+'10'!S47+'11'!S47+'12'!S47</f>
        <v>0</v>
      </c>
      <c r="T47" s="91">
        <f>'1'!T47+'2'!T47+'3'!T47+'4'!T47+'5'!T47+'6'!T47+'7'!T47+'8'!T47+'9'!T47+'10'!T47+'11'!T47+'12'!T47</f>
        <v>0</v>
      </c>
      <c r="U47" s="91">
        <f>'1'!U47+'2'!U47+'3'!U47+'4'!U47+'5'!U47+'6'!U47+'7'!U47+'8'!U47+'9'!U47+'10'!U47+'11'!U47+'12'!U47</f>
        <v>0</v>
      </c>
      <c r="V47" s="91">
        <f>'1'!V47+'2'!V47+'3'!V47+'4'!V47+'5'!V47+'6'!V47+'7'!V47+'8'!V47+'9'!V47+'10'!V47+'11'!V47+'12'!V47</f>
        <v>0</v>
      </c>
      <c r="W47" s="91">
        <f>'1'!W47+'2'!W47+'3'!W47+'4'!W47+'5'!W47+'6'!W47+'7'!W47+'8'!W47+'9'!W47+'10'!W47+'11'!W47+'12'!W47</f>
        <v>0</v>
      </c>
      <c r="X47" s="91">
        <f>'1'!X47+'2'!X47+'3'!X47+'4'!X47+'5'!X47+'6'!X47+'7'!X47+'8'!X47+'9'!X47+'10'!X47+'11'!X47+'12'!X47</f>
        <v>0</v>
      </c>
      <c r="Y47" s="91">
        <f>'1'!Y47+'2'!Y47+'3'!Y47+'4'!Y47+'5'!Y47+'6'!Y47+'7'!Y47+'8'!Y47+'9'!Y47+'10'!Y47+'11'!Y47+'12'!Y47</f>
        <v>0</v>
      </c>
      <c r="Z47" s="91">
        <f>'1'!Z47+'2'!Z47+'3'!Z47+'4'!Z47+'5'!Z47+'6'!Z47+'7'!Z47+'8'!Z47+'9'!Z47+'10'!Z47+'11'!Z47+'12'!Z47</f>
        <v>0</v>
      </c>
      <c r="AA47" s="91">
        <f>'1'!AA47+'2'!AA47+'3'!AA47+'4'!AA47+'5'!AA47+'6'!AA47+'7'!AA47+'8'!AA47+'9'!AA47+'10'!AA47+'11'!AA47+'12'!AA47</f>
        <v>0</v>
      </c>
      <c r="AB47" s="91">
        <f>'1'!AB47+'2'!AB47+'3'!AB47+'4'!AB47+'5'!AB47+'6'!AB47+'7'!AB47+'8'!AB47+'9'!AB47+'10'!AB47+'11'!AB47+'12'!AB47</f>
        <v>0</v>
      </c>
      <c r="AC47" s="91">
        <f>'1'!AC47+'2'!AC47+'3'!AC47+'4'!AC47+'5'!AC47+'6'!AC47+'7'!AC47+'8'!AC47+'9'!AC47+'10'!AC47+'11'!AC47+'12'!AC47</f>
        <v>0</v>
      </c>
      <c r="AD47" s="91">
        <f>'1'!AD47+'2'!AD47+'3'!AD47+'4'!AD47+'5'!AD47+'6'!AD47+'7'!AD47+'8'!AD47+'9'!AD47+'10'!AD47+'11'!AD47+'12'!AD47</f>
        <v>0</v>
      </c>
      <c r="AE47" s="91">
        <f>'1'!AE47+'2'!AE47+'3'!AE47+'4'!AE47+'5'!AE47+'6'!AE47+'7'!AE47+'8'!AE47+'9'!AE47+'10'!AE47+'11'!AE47+'12'!AE47</f>
        <v>0</v>
      </c>
      <c r="AF47" s="91">
        <f>'1'!AF47+'2'!AF47+'3'!AF47+'4'!AF47+'5'!AF47+'6'!AF47+'7'!AF47+'8'!AF47+'9'!AF47+'10'!AF47+'11'!AF47+'12'!AF47</f>
        <v>0</v>
      </c>
      <c r="AG47" s="91">
        <f>'1'!AG47+'2'!AG47+'3'!AG47+'4'!AG47+'5'!AG47+'6'!AG47+'7'!AG47+'8'!AG47+'9'!AG47+'10'!AG47+'11'!AG47+'12'!AG47</f>
        <v>0</v>
      </c>
      <c r="AH47" s="91">
        <f>'1'!AH47+'2'!AH47+'3'!AH47+'4'!AH47+'5'!AH47+'6'!AH47+'7'!AH47+'8'!AH47+'9'!AH47+'10'!AH47+'11'!AH47+'12'!AH47</f>
        <v>0</v>
      </c>
      <c r="AI47" s="91">
        <f>'1'!AI47+'2'!AI47+'3'!AI47+'4'!AI47+'5'!AI47+'6'!AI47+'7'!AI47+'8'!AI47+'9'!AI47+'10'!AI47+'11'!AI47+'12'!AI47</f>
        <v>0</v>
      </c>
      <c r="AJ47" s="91">
        <f>'1'!AJ47+'2'!AJ47+'3'!AJ47+'4'!AJ47+'5'!AJ47+'6'!AJ47+'7'!AJ47+'8'!AJ47+'9'!AJ47+'10'!AJ47+'11'!AJ47+'12'!AJ47</f>
        <v>0</v>
      </c>
      <c r="AK47" s="91">
        <f>'1'!AK47+'2'!AK47+'3'!AK47+'4'!AK47+'5'!AK47+'6'!AK47+'7'!AK47+'8'!AK47+'9'!AK47+'10'!AK47+'11'!AK47+'12'!AK47</f>
        <v>0</v>
      </c>
      <c r="AL47" s="91">
        <f>'1'!AL47+'2'!AL47+'3'!AL47+'4'!AL47+'5'!AL47+'6'!AL47+'7'!AL47+'8'!AL47+'9'!AL47+'10'!AL47+'11'!AL47+'12'!AL47</f>
        <v>0</v>
      </c>
      <c r="AM47" s="91">
        <f>'1'!AM47+'2'!AM47+'3'!AM47+'4'!AM47+'5'!AM47+'6'!AM47+'7'!AM47+'8'!AM47+'9'!AM47+'10'!AM47+'11'!AM47+'12'!AM47</f>
        <v>0</v>
      </c>
      <c r="AN47" s="91">
        <f>'1'!AN47+'2'!AN47+'3'!AN47+'4'!AN47+'5'!AN47+'6'!AN47+'7'!AN47+'8'!AN47+'9'!AN47+'10'!AN47+'11'!AN47+'12'!AN47</f>
        <v>0</v>
      </c>
      <c r="AO47" s="91">
        <f>'1'!AO47+'2'!AO47+'3'!AO47+'4'!AO47+'5'!AO47+'6'!AO47+'7'!AO47+'8'!AO47+'9'!AO47+'10'!AO47+'11'!AO47+'12'!AO47</f>
        <v>0</v>
      </c>
      <c r="AP47" s="91">
        <f>'1'!AP47+'2'!AP47+'3'!AP47+'4'!AP47+'5'!AP47+'6'!AP47+'7'!AP47+'8'!AP47+'9'!AP47+'10'!AP47+'11'!AP47+'12'!AP47</f>
        <v>0</v>
      </c>
      <c r="AQ47" s="16">
        <f t="shared" si="3"/>
        <v>0</v>
      </c>
      <c r="AR47" s="17">
        <f t="shared" si="11"/>
        <v>0</v>
      </c>
      <c r="AS47" s="91">
        <f t="shared" si="15"/>
        <v>0</v>
      </c>
      <c r="AT47" s="91">
        <f>'1'!AT47+'2'!AT47+'3'!AT47+'4'!AT47+'5'!AT47+'6'!AT47+'7'!AT47+'8'!AT47+'9'!AT47+'10'!AT47+'11'!AT47+'12'!AT47</f>
        <v>0</v>
      </c>
      <c r="AU47" s="92">
        <f t="shared" si="16"/>
        <v>0</v>
      </c>
      <c r="AV47" s="92">
        <f t="shared" si="5"/>
        <v>0</v>
      </c>
      <c r="AW47" s="92">
        <f t="shared" si="17"/>
        <v>0</v>
      </c>
      <c r="AX47" s="92">
        <f t="shared" si="18"/>
        <v>0</v>
      </c>
      <c r="AY47" s="92">
        <f>IF(D47=0,0,K47/D47/24)</f>
        <v>0</v>
      </c>
      <c r="AZ47" s="92">
        <f>IF(E47=0,0,L47/E47/24)</f>
        <v>0</v>
      </c>
      <c r="BA47" s="95">
        <f t="shared" si="19"/>
        <v>0</v>
      </c>
      <c r="BB47" s="138"/>
      <c r="BC47"/>
    </row>
    <row r="48" spans="1:55" ht="15" customHeight="1" thickBot="1" x14ac:dyDescent="0.3">
      <c r="A48" s="71" t="s">
        <v>45</v>
      </c>
      <c r="B48" s="123" t="s">
        <v>142</v>
      </c>
      <c r="C48" s="112">
        <v>33</v>
      </c>
      <c r="D48" s="121">
        <f t="shared" ref="D48:D51" si="29">AT48*AU48*AW48</f>
        <v>0</v>
      </c>
      <c r="E48" s="16">
        <f t="shared" ref="E48:E51" si="30">ROUND(AT48*AV48*AX48,4)</f>
        <v>0</v>
      </c>
      <c r="F48" s="91">
        <f>'1'!F48+'2'!F48+'3'!F48+'4'!F48+'5'!F48+'6'!F48+'7'!F48+'8'!F48+'9'!F48+'10'!F48+'11'!F48+'12'!F48</f>
        <v>0</v>
      </c>
      <c r="G48" s="91">
        <f>'1'!G48+'2'!G48+'3'!G48+'4'!G48+'5'!G48+'6'!G48+'7'!G48+'8'!G48+'9'!G48+'10'!G48+'11'!G48+'12'!G48</f>
        <v>0</v>
      </c>
      <c r="H48" s="135">
        <f>'1'!H48+'2'!H48+'3'!H48+'4'!H48+'5'!H48+'6'!H48+'7'!H48+'8'!H48+'9'!H48+'10'!H48+'11'!H48+'12'!H48</f>
        <v>0</v>
      </c>
      <c r="I48" s="135">
        <f>'1'!I48+'2'!I48+'3'!I48+'4'!I48+'5'!I48+'6'!I48+'7'!I48+'8'!I48+'9'!I48+'10'!I48+'11'!I48+'12'!I48</f>
        <v>0</v>
      </c>
      <c r="J48" s="14" t="s">
        <v>55</v>
      </c>
      <c r="K48" s="133">
        <f>'1'!K48+'2'!K48+'3'!K48+'4'!K48+'5'!K48+'6'!K48+'7'!K48+'8'!K48+'9'!K48+'10'!K48+'11'!K48+'12'!K48</f>
        <v>0</v>
      </c>
      <c r="L48" s="133">
        <f>'1'!L48+'2'!L48+'3'!L48+'4'!L48+'5'!L48+'6'!L48+'7'!L48+'8'!L48+'9'!L48+'10'!L48+'11'!L48+'12'!L48</f>
        <v>0</v>
      </c>
      <c r="M48" s="91">
        <f>'1'!M48+'2'!M48+'3'!M48+'4'!M48+'5'!M48+'6'!M48+'7'!M48+'8'!M48+'9'!M48+'10'!M48+'11'!M48+'12'!M48</f>
        <v>0</v>
      </c>
      <c r="N48" s="91">
        <f>'1'!N48+'2'!N48+'3'!N48+'4'!N48+'5'!N48+'6'!N48+'7'!N48+'8'!N48+'9'!N48+'10'!N48+'11'!N48+'12'!N48</f>
        <v>0</v>
      </c>
      <c r="O48" s="91">
        <f>'1'!O48+'2'!O48+'3'!O48+'4'!O48+'5'!O48+'6'!O48+'7'!O48+'8'!O48+'9'!O48+'10'!O48+'11'!O48+'12'!O48</f>
        <v>0</v>
      </c>
      <c r="P48" s="91">
        <f>'1'!P48+'2'!P48+'3'!P48+'4'!P48+'5'!P48+'6'!P48+'7'!P48+'8'!P48+'9'!P48+'10'!P48+'11'!P48+'12'!P48</f>
        <v>0</v>
      </c>
      <c r="Q48" s="91">
        <f>'1'!Q48+'2'!Q48+'3'!Q48+'4'!Q48+'5'!Q48+'6'!Q48+'7'!Q48+'8'!Q48+'9'!Q48+'10'!Q48+'11'!Q48+'12'!Q48</f>
        <v>0</v>
      </c>
      <c r="R48" s="91">
        <f>'1'!R48+'2'!R48+'3'!R48+'4'!R48+'5'!R48+'6'!R48+'7'!R48+'8'!R48+'9'!R48+'10'!R48+'11'!R48+'12'!R48</f>
        <v>0</v>
      </c>
      <c r="S48" s="91">
        <f>'1'!S48+'2'!S48+'3'!S48+'4'!S48+'5'!S48+'6'!S48+'7'!S48+'8'!S48+'9'!S48+'10'!S48+'11'!S48+'12'!S48</f>
        <v>0</v>
      </c>
      <c r="T48" s="91">
        <f>'1'!T48+'2'!T48+'3'!T48+'4'!T48+'5'!T48+'6'!T48+'7'!T48+'8'!T48+'9'!T48+'10'!T48+'11'!T48+'12'!T48</f>
        <v>0</v>
      </c>
      <c r="U48" s="91">
        <f>'1'!U48+'2'!U48+'3'!U48+'4'!U48+'5'!U48+'6'!U48+'7'!U48+'8'!U48+'9'!U48+'10'!U48+'11'!U48+'12'!U48</f>
        <v>0</v>
      </c>
      <c r="V48" s="91">
        <f>'1'!V48+'2'!V48+'3'!V48+'4'!V48+'5'!V48+'6'!V48+'7'!V48+'8'!V48+'9'!V48+'10'!V48+'11'!V48+'12'!V48</f>
        <v>0</v>
      </c>
      <c r="W48" s="91">
        <f>'1'!W48+'2'!W48+'3'!W48+'4'!W48+'5'!W48+'6'!W48+'7'!W48+'8'!W48+'9'!W48+'10'!W48+'11'!W48+'12'!W48</f>
        <v>0</v>
      </c>
      <c r="X48" s="91">
        <f>'1'!X48+'2'!X48+'3'!X48+'4'!X48+'5'!X48+'6'!X48+'7'!X48+'8'!X48+'9'!X48+'10'!X48+'11'!X48+'12'!X48</f>
        <v>0</v>
      </c>
      <c r="Y48" s="91">
        <f>'1'!Y48+'2'!Y48+'3'!Y48+'4'!Y48+'5'!Y48+'6'!Y48+'7'!Y48+'8'!Y48+'9'!Y48+'10'!Y48+'11'!Y48+'12'!Y48</f>
        <v>0</v>
      </c>
      <c r="Z48" s="91">
        <f>'1'!Z48+'2'!Z48+'3'!Z48+'4'!Z48+'5'!Z48+'6'!Z48+'7'!Z48+'8'!Z48+'9'!Z48+'10'!Z48+'11'!Z48+'12'!Z48</f>
        <v>0</v>
      </c>
      <c r="AA48" s="91">
        <f>'1'!AA48+'2'!AA48+'3'!AA48+'4'!AA48+'5'!AA48+'6'!AA48+'7'!AA48+'8'!AA48+'9'!AA48+'10'!AA48+'11'!AA48+'12'!AA48</f>
        <v>0</v>
      </c>
      <c r="AB48" s="91">
        <f>'1'!AB48+'2'!AB48+'3'!AB48+'4'!AB48+'5'!AB48+'6'!AB48+'7'!AB48+'8'!AB48+'9'!AB48+'10'!AB48+'11'!AB48+'12'!AB48</f>
        <v>0</v>
      </c>
      <c r="AC48" s="91">
        <f>'1'!AC48+'2'!AC48+'3'!AC48+'4'!AC48+'5'!AC48+'6'!AC48+'7'!AC48+'8'!AC48+'9'!AC48+'10'!AC48+'11'!AC48+'12'!AC48</f>
        <v>0</v>
      </c>
      <c r="AD48" s="91">
        <f>'1'!AD48+'2'!AD48+'3'!AD48+'4'!AD48+'5'!AD48+'6'!AD48+'7'!AD48+'8'!AD48+'9'!AD48+'10'!AD48+'11'!AD48+'12'!AD48</f>
        <v>0</v>
      </c>
      <c r="AE48" s="91">
        <f>'1'!AE48+'2'!AE48+'3'!AE48+'4'!AE48+'5'!AE48+'6'!AE48+'7'!AE48+'8'!AE48+'9'!AE48+'10'!AE48+'11'!AE48+'12'!AE48</f>
        <v>0</v>
      </c>
      <c r="AF48" s="91">
        <f>'1'!AF48+'2'!AF48+'3'!AF48+'4'!AF48+'5'!AF48+'6'!AF48+'7'!AF48+'8'!AF48+'9'!AF48+'10'!AF48+'11'!AF48+'12'!AF48</f>
        <v>0</v>
      </c>
      <c r="AG48" s="91">
        <f>'1'!AG48+'2'!AG48+'3'!AG48+'4'!AG48+'5'!AG48+'6'!AG48+'7'!AG48+'8'!AG48+'9'!AG48+'10'!AG48+'11'!AG48+'12'!AG48</f>
        <v>0</v>
      </c>
      <c r="AH48" s="91">
        <f>'1'!AH48+'2'!AH48+'3'!AH48+'4'!AH48+'5'!AH48+'6'!AH48+'7'!AH48+'8'!AH48+'9'!AH48+'10'!AH48+'11'!AH48+'12'!AH48</f>
        <v>0</v>
      </c>
      <c r="AI48" s="91">
        <f>'1'!AI48+'2'!AI48+'3'!AI48+'4'!AI48+'5'!AI48+'6'!AI48+'7'!AI48+'8'!AI48+'9'!AI48+'10'!AI48+'11'!AI48+'12'!AI48</f>
        <v>0</v>
      </c>
      <c r="AJ48" s="91">
        <f>'1'!AJ48+'2'!AJ48+'3'!AJ48+'4'!AJ48+'5'!AJ48+'6'!AJ48+'7'!AJ48+'8'!AJ48+'9'!AJ48+'10'!AJ48+'11'!AJ48+'12'!AJ48</f>
        <v>0</v>
      </c>
      <c r="AK48" s="91">
        <f>'1'!AK48+'2'!AK48+'3'!AK48+'4'!AK48+'5'!AK48+'6'!AK48+'7'!AK48+'8'!AK48+'9'!AK48+'10'!AK48+'11'!AK48+'12'!AK48</f>
        <v>0</v>
      </c>
      <c r="AL48" s="91">
        <f>'1'!AL48+'2'!AL48+'3'!AL48+'4'!AL48+'5'!AL48+'6'!AL48+'7'!AL48+'8'!AL48+'9'!AL48+'10'!AL48+'11'!AL48+'12'!AL48</f>
        <v>0</v>
      </c>
      <c r="AM48" s="91">
        <f>'1'!AM48+'2'!AM48+'3'!AM48+'4'!AM48+'5'!AM48+'6'!AM48+'7'!AM48+'8'!AM48+'9'!AM48+'10'!AM48+'11'!AM48+'12'!AM48</f>
        <v>0</v>
      </c>
      <c r="AN48" s="91">
        <f>'1'!AN48+'2'!AN48+'3'!AN48+'4'!AN48+'5'!AN48+'6'!AN48+'7'!AN48+'8'!AN48+'9'!AN48+'10'!AN48+'11'!AN48+'12'!AN48</f>
        <v>0</v>
      </c>
      <c r="AO48" s="91">
        <f>'1'!AO48+'2'!AO48+'3'!AO48+'4'!AO48+'5'!AO48+'6'!AO48+'7'!AO48+'8'!AO48+'9'!AO48+'10'!AO48+'11'!AO48+'12'!AO48</f>
        <v>0</v>
      </c>
      <c r="AP48" s="91">
        <f>'1'!AP48+'2'!AP48+'3'!AP48+'4'!AP48+'5'!AP48+'6'!AP48+'7'!AP48+'8'!AP48+'9'!AP48+'10'!AP48+'11'!AP48+'12'!AP48</f>
        <v>0</v>
      </c>
      <c r="AQ48" s="16">
        <f t="shared" si="3"/>
        <v>0</v>
      </c>
      <c r="AR48" s="17">
        <f t="shared" si="11"/>
        <v>0</v>
      </c>
      <c r="AS48" s="91">
        <f t="shared" si="15"/>
        <v>0</v>
      </c>
      <c r="AT48" s="91">
        <f>'1'!AT48+'2'!AT48+'3'!AT48+'4'!AT48+'5'!AT48+'6'!AT48+'7'!AT48+'8'!AT48+'9'!AT48+'10'!AT48+'11'!AT48+'12'!AT48</f>
        <v>0</v>
      </c>
      <c r="AU48" s="92">
        <f t="shared" si="16"/>
        <v>0</v>
      </c>
      <c r="AV48" s="92">
        <f t="shared" si="5"/>
        <v>0</v>
      </c>
      <c r="AW48" s="92">
        <f t="shared" si="17"/>
        <v>0</v>
      </c>
      <c r="AX48" s="92">
        <f t="shared" si="18"/>
        <v>0</v>
      </c>
      <c r="AY48" s="92">
        <f>IF(D48=0,0,K48/D48/24)</f>
        <v>0</v>
      </c>
      <c r="AZ48" s="92">
        <f>IF(E48=0,0,L48/E48/24)</f>
        <v>0</v>
      </c>
      <c r="BA48" s="95">
        <f t="shared" si="19"/>
        <v>0</v>
      </c>
      <c r="BB48" s="139"/>
      <c r="BC48"/>
    </row>
    <row r="49" spans="1:55" ht="15" hidden="1" customHeight="1" x14ac:dyDescent="0.3">
      <c r="A49" s="72" t="s">
        <v>48</v>
      </c>
      <c r="B49" s="111"/>
      <c r="C49" s="111">
        <v>35</v>
      </c>
      <c r="D49" s="121">
        <f t="shared" si="29"/>
        <v>0</v>
      </c>
      <c r="E49" s="16">
        <f t="shared" si="30"/>
        <v>0</v>
      </c>
      <c r="F49" s="91">
        <f>'1'!F49+'2'!F49+'3'!F49+'4'!F49+'5'!F49+'6'!F49+'7'!F49+'8'!F49+'9'!F49+'10'!F49+'11'!F49+'12'!F49</f>
        <v>0</v>
      </c>
      <c r="G49" s="91">
        <f>'1'!G49+'2'!G49+'3'!G49+'4'!G49+'5'!G49+'6'!G49+'7'!G49+'8'!G49+'9'!G49+'10'!G49+'11'!G49+'12'!G49</f>
        <v>0</v>
      </c>
      <c r="H49" s="135">
        <f>'1'!H49+'2'!H49+'3'!H49+'4'!H49+'5'!H49+'6'!H49+'7'!H49+'8'!H49+'9'!H49+'10'!H49+'11'!H49+'12'!H49</f>
        <v>0</v>
      </c>
      <c r="I49" s="135">
        <f>'1'!I49+'2'!I49+'3'!I49+'4'!I49+'5'!I49+'6'!I49+'7'!I49+'8'!I49+'9'!I49+'10'!I49+'11'!I49+'12'!I49</f>
        <v>0</v>
      </c>
      <c r="J49" s="14" t="s">
        <v>55</v>
      </c>
      <c r="K49" s="133">
        <f>'1'!K49+'2'!K49+'3'!K49+'4'!K49+'5'!K49+'6'!K49+'7'!K49+'8'!K49+'9'!K49+'10'!K49+'11'!K49+'12'!K49</f>
        <v>0</v>
      </c>
      <c r="L49" s="133">
        <f>'1'!L49+'2'!L49+'3'!L49+'4'!L49+'5'!L49+'6'!L49+'7'!L49+'8'!L49+'9'!L49+'10'!L49+'11'!L49+'12'!L49</f>
        <v>0</v>
      </c>
      <c r="M49" s="91">
        <f>'1'!M49+'2'!M49+'3'!M49+'4'!M49+'5'!M49+'6'!M49+'7'!M49+'8'!M49+'9'!M49+'10'!M49+'11'!M49+'12'!M49</f>
        <v>0</v>
      </c>
      <c r="N49" s="91">
        <f>'1'!N49+'2'!N49+'3'!N49+'4'!N49+'5'!N49+'6'!N49+'7'!N49+'8'!N49+'9'!N49+'10'!N49+'11'!N49+'12'!N49</f>
        <v>0</v>
      </c>
      <c r="O49" s="91">
        <f>'1'!O49+'2'!O49+'3'!O49+'4'!O49+'5'!O49+'6'!O49+'7'!O49+'8'!O49+'9'!O49+'10'!O49+'11'!O49+'12'!O49</f>
        <v>0</v>
      </c>
      <c r="P49" s="91">
        <f>'1'!P49+'2'!P49+'3'!P49+'4'!P49+'5'!P49+'6'!P49+'7'!P49+'8'!P49+'9'!P49+'10'!P49+'11'!P49+'12'!P49</f>
        <v>0</v>
      </c>
      <c r="Q49" s="91">
        <f>'1'!Q49+'2'!Q49+'3'!Q49+'4'!Q49+'5'!Q49+'6'!Q49+'7'!Q49+'8'!Q49+'9'!Q49+'10'!Q49+'11'!Q49+'12'!Q49</f>
        <v>0</v>
      </c>
      <c r="R49" s="91">
        <f>'1'!R49+'2'!R49+'3'!R49+'4'!R49+'5'!R49+'6'!R49+'7'!R49+'8'!R49+'9'!R49+'10'!R49+'11'!R49+'12'!R49</f>
        <v>0</v>
      </c>
      <c r="S49" s="91">
        <f>'1'!S49+'2'!S49+'3'!S49+'4'!S49+'5'!S49+'6'!S49+'7'!S49+'8'!S49+'9'!S49+'10'!S49+'11'!S49+'12'!S49</f>
        <v>0</v>
      </c>
      <c r="T49" s="91">
        <f>'1'!T49+'2'!T49+'3'!T49+'4'!T49+'5'!T49+'6'!T49+'7'!T49+'8'!T49+'9'!T49+'10'!T49+'11'!T49+'12'!T49</f>
        <v>0</v>
      </c>
      <c r="U49" s="91">
        <f>'1'!U49+'2'!U49+'3'!U49+'4'!U49+'5'!U49+'6'!U49+'7'!U49+'8'!U49+'9'!U49+'10'!U49+'11'!U49+'12'!U49</f>
        <v>0</v>
      </c>
      <c r="V49" s="91">
        <f>'1'!V49+'2'!V49+'3'!V49+'4'!V49+'5'!V49+'6'!V49+'7'!V49+'8'!V49+'9'!V49+'10'!V49+'11'!V49+'12'!V49</f>
        <v>0</v>
      </c>
      <c r="W49" s="91">
        <f>'1'!W49+'2'!W49+'3'!W49+'4'!W49+'5'!W49+'6'!W49+'7'!W49+'8'!W49+'9'!W49+'10'!W49+'11'!W49+'12'!W49</f>
        <v>0</v>
      </c>
      <c r="X49" s="91">
        <f>'1'!X49+'2'!X49+'3'!X49+'4'!X49+'5'!X49+'6'!X49+'7'!X49+'8'!X49+'9'!X49+'10'!X49+'11'!X49+'12'!X49</f>
        <v>0</v>
      </c>
      <c r="Y49" s="91">
        <f>'1'!Y49+'2'!Y49+'3'!Y49+'4'!Y49+'5'!Y49+'6'!Y49+'7'!Y49+'8'!Y49+'9'!Y49+'10'!Y49+'11'!Y49+'12'!Y49</f>
        <v>0</v>
      </c>
      <c r="Z49" s="91">
        <f>'1'!Z49+'2'!Z49+'3'!Z49+'4'!Z49+'5'!Z49+'6'!Z49+'7'!Z49+'8'!Z49+'9'!Z49+'10'!Z49+'11'!Z49+'12'!Z49</f>
        <v>0</v>
      </c>
      <c r="AA49" s="91">
        <f>'1'!AA49+'2'!AA49+'3'!AA49+'4'!AA49+'5'!AA49+'6'!AA49+'7'!AA49+'8'!AA49+'9'!AA49+'10'!AA49+'11'!AA49+'12'!AA49</f>
        <v>0</v>
      </c>
      <c r="AB49" s="91">
        <f>'1'!AB49+'2'!AB49+'3'!AB49+'4'!AB49+'5'!AB49+'6'!AB49+'7'!AB49+'8'!AB49+'9'!AB49+'10'!AB49+'11'!AB49+'12'!AB49</f>
        <v>0</v>
      </c>
      <c r="AC49" s="91">
        <f>'1'!AC49+'2'!AC49+'3'!AC49+'4'!AC49+'5'!AC49+'6'!AC49+'7'!AC49+'8'!AC49+'9'!AC49+'10'!AC49+'11'!AC49+'12'!AC49</f>
        <v>0</v>
      </c>
      <c r="AD49" s="91">
        <f>'1'!AD49+'2'!AD49+'3'!AD49+'4'!AD49+'5'!AD49+'6'!AD49+'7'!AD49+'8'!AD49+'9'!AD49+'10'!AD49+'11'!AD49+'12'!AD49</f>
        <v>0</v>
      </c>
      <c r="AE49" s="91">
        <f>'1'!AE49+'2'!AE49+'3'!AE49+'4'!AE49+'5'!AE49+'6'!AE49+'7'!AE49+'8'!AE49+'9'!AE49+'10'!AE49+'11'!AE49+'12'!AE49</f>
        <v>0</v>
      </c>
      <c r="AF49" s="91">
        <f>'1'!AF49+'2'!AF49+'3'!AF49+'4'!AF49+'5'!AF49+'6'!AF49+'7'!AF49+'8'!AF49+'9'!AF49+'10'!AF49+'11'!AF49+'12'!AF49</f>
        <v>0</v>
      </c>
      <c r="AG49" s="91">
        <f>'1'!AG49+'2'!AG49+'3'!AG49+'4'!AG49+'5'!AG49+'6'!AG49+'7'!AG49+'8'!AG49+'9'!AG49+'10'!AG49+'11'!AG49+'12'!AG49</f>
        <v>0</v>
      </c>
      <c r="AH49" s="91">
        <f>'1'!AH49+'2'!AH49+'3'!AH49+'4'!AH49+'5'!AH49+'6'!AH49+'7'!AH49+'8'!AH49+'9'!AH49+'10'!AH49+'11'!AH49+'12'!AH49</f>
        <v>0</v>
      </c>
      <c r="AI49" s="91">
        <f>'1'!AI49+'2'!AI49+'3'!AI49+'4'!AI49+'5'!AI49+'6'!AI49+'7'!AI49+'8'!AI49+'9'!AI49+'10'!AI49+'11'!AI49+'12'!AI49</f>
        <v>0</v>
      </c>
      <c r="AJ49" s="91">
        <f>'1'!AJ49+'2'!AJ49+'3'!AJ49+'4'!AJ49+'5'!AJ49+'6'!AJ49+'7'!AJ49+'8'!AJ49+'9'!AJ49+'10'!AJ49+'11'!AJ49+'12'!AJ49</f>
        <v>0</v>
      </c>
      <c r="AK49" s="91">
        <f>'1'!AK49+'2'!AK49+'3'!AK49+'4'!AK49+'5'!AK49+'6'!AK49+'7'!AK49+'8'!AK49+'9'!AK49+'10'!AK49+'11'!AK49+'12'!AK49</f>
        <v>0</v>
      </c>
      <c r="AL49" s="91">
        <f>'1'!AL49+'2'!AL49+'3'!AL49+'4'!AL49+'5'!AL49+'6'!AL49+'7'!AL49+'8'!AL49+'9'!AL49+'10'!AL49+'11'!AL49+'12'!AL49</f>
        <v>0</v>
      </c>
      <c r="AM49" s="91">
        <f>'1'!AM49+'2'!AM49+'3'!AM49+'4'!AM49+'5'!AM49+'6'!AM49+'7'!AM49+'8'!AM49+'9'!AM49+'10'!AM49+'11'!AM49+'12'!AM49</f>
        <v>0</v>
      </c>
      <c r="AN49" s="91">
        <f>'1'!AN49+'2'!AN49+'3'!AN49+'4'!AN49+'5'!AN49+'6'!AN49+'7'!AN49+'8'!AN49+'9'!AN49+'10'!AN49+'11'!AN49+'12'!AN49</f>
        <v>0</v>
      </c>
      <c r="AO49" s="91">
        <f>'1'!AO49+'2'!AO49+'3'!AO49+'4'!AO49+'5'!AO49+'6'!AO49+'7'!AO49+'8'!AO49+'9'!AO49+'10'!AO49+'11'!AO49+'12'!AO49</f>
        <v>0</v>
      </c>
      <c r="AP49" s="91">
        <f>'1'!AP49+'2'!AP49+'3'!AP49+'4'!AP49+'5'!AP49+'6'!AP49+'7'!AP49+'8'!AP49+'9'!AP49+'10'!AP49+'11'!AP49+'12'!AP49</f>
        <v>0</v>
      </c>
      <c r="AQ49" s="16">
        <f t="shared" si="3"/>
        <v>0</v>
      </c>
      <c r="AR49" s="17">
        <f t="shared" si="11"/>
        <v>0</v>
      </c>
      <c r="AS49" s="91">
        <f t="shared" si="15"/>
        <v>0</v>
      </c>
      <c r="AT49" s="91">
        <f>'1'!AT49+'2'!AT49+'3'!AT49+'4'!AT49+'5'!AT49+'6'!AT49+'7'!AT49+'8'!AT49+'9'!AT49+'10'!AT49+'11'!AT49+'12'!AT49</f>
        <v>0</v>
      </c>
      <c r="AU49" s="92">
        <f t="shared" si="16"/>
        <v>0</v>
      </c>
      <c r="AV49" s="92">
        <f t="shared" si="5"/>
        <v>0</v>
      </c>
      <c r="AW49" s="92">
        <f t="shared" si="17"/>
        <v>0</v>
      </c>
      <c r="AX49" s="92">
        <f t="shared" si="18"/>
        <v>0</v>
      </c>
      <c r="AY49" s="18">
        <f t="shared" ref="AY49:AZ51" si="31">IF(D49=0,0,K49/D49/24)</f>
        <v>0</v>
      </c>
      <c r="AZ49" s="18">
        <f t="shared" si="31"/>
        <v>0</v>
      </c>
      <c r="BA49" s="95">
        <f t="shared" si="19"/>
        <v>0</v>
      </c>
      <c r="BB49" s="139"/>
      <c r="BC49"/>
    </row>
    <row r="50" spans="1:55" ht="15" hidden="1" customHeight="1" x14ac:dyDescent="0.3">
      <c r="A50" s="72" t="s">
        <v>47</v>
      </c>
      <c r="B50" s="111"/>
      <c r="C50" s="111">
        <v>36</v>
      </c>
      <c r="D50" s="121">
        <f t="shared" si="29"/>
        <v>0</v>
      </c>
      <c r="E50" s="16">
        <f t="shared" si="30"/>
        <v>0</v>
      </c>
      <c r="F50" s="91">
        <f>'1'!F50+'2'!F50+'3'!F50+'4'!F50+'5'!F50+'6'!F50+'7'!F50+'8'!F50+'9'!F50+'10'!F50+'11'!F50+'12'!F50</f>
        <v>0</v>
      </c>
      <c r="G50" s="91">
        <f>'1'!G50+'2'!G50+'3'!G50+'4'!G50+'5'!G50+'6'!G50+'7'!G50+'8'!G50+'9'!G50+'10'!G50+'11'!G50+'12'!G50</f>
        <v>0</v>
      </c>
      <c r="H50" s="135">
        <f>'1'!H50+'2'!H50+'3'!H50+'4'!H50+'5'!H50+'6'!H50+'7'!H50+'8'!H50+'9'!H50+'10'!H50+'11'!H50+'12'!H50</f>
        <v>0</v>
      </c>
      <c r="I50" s="135">
        <f>'1'!I50+'2'!I50+'3'!I50+'4'!I50+'5'!I50+'6'!I50+'7'!I50+'8'!I50+'9'!I50+'10'!I50+'11'!I50+'12'!I50</f>
        <v>0</v>
      </c>
      <c r="J50" s="14" t="s">
        <v>55</v>
      </c>
      <c r="K50" s="133">
        <f>'1'!K50+'2'!K50+'3'!K50+'4'!K50+'5'!K50+'6'!K50+'7'!K50+'8'!K50+'9'!K50+'10'!K50+'11'!K50+'12'!K50</f>
        <v>0</v>
      </c>
      <c r="L50" s="133">
        <f>'1'!L50+'2'!L50+'3'!L50+'4'!L50+'5'!L50+'6'!L50+'7'!L50+'8'!L50+'9'!L50+'10'!L50+'11'!L50+'12'!L50</f>
        <v>0</v>
      </c>
      <c r="M50" s="91">
        <f>'1'!M50+'2'!M50+'3'!M50+'4'!M50+'5'!M50+'6'!M50+'7'!M50+'8'!M50+'9'!M50+'10'!M50+'11'!M50+'12'!M50</f>
        <v>0</v>
      </c>
      <c r="N50" s="91">
        <f>'1'!N50+'2'!N50+'3'!N50+'4'!N50+'5'!N50+'6'!N50+'7'!N50+'8'!N50+'9'!N50+'10'!N50+'11'!N50+'12'!N50</f>
        <v>0</v>
      </c>
      <c r="O50" s="91">
        <f>'1'!O50+'2'!O50+'3'!O50+'4'!O50+'5'!O50+'6'!O50+'7'!O50+'8'!O50+'9'!O50+'10'!O50+'11'!O50+'12'!O50</f>
        <v>0</v>
      </c>
      <c r="P50" s="91">
        <f>'1'!P50+'2'!P50+'3'!P50+'4'!P50+'5'!P50+'6'!P50+'7'!P50+'8'!P50+'9'!P50+'10'!P50+'11'!P50+'12'!P50</f>
        <v>0</v>
      </c>
      <c r="Q50" s="91">
        <f>'1'!Q50+'2'!Q50+'3'!Q50+'4'!Q50+'5'!Q50+'6'!Q50+'7'!Q50+'8'!Q50+'9'!Q50+'10'!Q50+'11'!Q50+'12'!Q50</f>
        <v>0</v>
      </c>
      <c r="R50" s="91">
        <f>'1'!R50+'2'!R50+'3'!R50+'4'!R50+'5'!R50+'6'!R50+'7'!R50+'8'!R50+'9'!R50+'10'!R50+'11'!R50+'12'!R50</f>
        <v>0</v>
      </c>
      <c r="S50" s="91">
        <f>'1'!S50+'2'!S50+'3'!S50+'4'!S50+'5'!S50+'6'!S50+'7'!S50+'8'!S50+'9'!S50+'10'!S50+'11'!S50+'12'!S50</f>
        <v>0</v>
      </c>
      <c r="T50" s="91">
        <f>'1'!T50+'2'!T50+'3'!T50+'4'!T50+'5'!T50+'6'!T50+'7'!T50+'8'!T50+'9'!T50+'10'!T50+'11'!T50+'12'!T50</f>
        <v>0</v>
      </c>
      <c r="U50" s="91">
        <f>'1'!U50+'2'!U50+'3'!U50+'4'!U50+'5'!U50+'6'!U50+'7'!U50+'8'!U50+'9'!U50+'10'!U50+'11'!U50+'12'!U50</f>
        <v>0</v>
      </c>
      <c r="V50" s="91">
        <f>'1'!V50+'2'!V50+'3'!V50+'4'!V50+'5'!V50+'6'!V50+'7'!V50+'8'!V50+'9'!V50+'10'!V50+'11'!V50+'12'!V50</f>
        <v>0</v>
      </c>
      <c r="W50" s="91">
        <f>'1'!W50+'2'!W50+'3'!W50+'4'!W50+'5'!W50+'6'!W50+'7'!W50+'8'!W50+'9'!W50+'10'!W50+'11'!W50+'12'!W50</f>
        <v>0</v>
      </c>
      <c r="X50" s="91">
        <f>'1'!X50+'2'!X50+'3'!X50+'4'!X50+'5'!X50+'6'!X50+'7'!X50+'8'!X50+'9'!X50+'10'!X50+'11'!X50+'12'!X50</f>
        <v>0</v>
      </c>
      <c r="Y50" s="91">
        <f>'1'!Y50+'2'!Y50+'3'!Y50+'4'!Y50+'5'!Y50+'6'!Y50+'7'!Y50+'8'!Y50+'9'!Y50+'10'!Y50+'11'!Y50+'12'!Y50</f>
        <v>0</v>
      </c>
      <c r="Z50" s="91">
        <f>'1'!Z50+'2'!Z50+'3'!Z50+'4'!Z50+'5'!Z50+'6'!Z50+'7'!Z50+'8'!Z50+'9'!Z50+'10'!Z50+'11'!Z50+'12'!Z50</f>
        <v>0</v>
      </c>
      <c r="AA50" s="91">
        <f>'1'!AA50+'2'!AA50+'3'!AA50+'4'!AA50+'5'!AA50+'6'!AA50+'7'!AA50+'8'!AA50+'9'!AA50+'10'!AA50+'11'!AA50+'12'!AA50</f>
        <v>0</v>
      </c>
      <c r="AB50" s="91">
        <f>'1'!AB50+'2'!AB50+'3'!AB50+'4'!AB50+'5'!AB50+'6'!AB50+'7'!AB50+'8'!AB50+'9'!AB50+'10'!AB50+'11'!AB50+'12'!AB50</f>
        <v>0</v>
      </c>
      <c r="AC50" s="91">
        <f>'1'!AC50+'2'!AC50+'3'!AC50+'4'!AC50+'5'!AC50+'6'!AC50+'7'!AC50+'8'!AC50+'9'!AC50+'10'!AC50+'11'!AC50+'12'!AC50</f>
        <v>0</v>
      </c>
      <c r="AD50" s="91">
        <f>'1'!AD50+'2'!AD50+'3'!AD50+'4'!AD50+'5'!AD50+'6'!AD50+'7'!AD50+'8'!AD50+'9'!AD50+'10'!AD50+'11'!AD50+'12'!AD50</f>
        <v>0</v>
      </c>
      <c r="AE50" s="91">
        <f>'1'!AE50+'2'!AE50+'3'!AE50+'4'!AE50+'5'!AE50+'6'!AE50+'7'!AE50+'8'!AE50+'9'!AE50+'10'!AE50+'11'!AE50+'12'!AE50</f>
        <v>0</v>
      </c>
      <c r="AF50" s="91">
        <f>'1'!AF50+'2'!AF50+'3'!AF50+'4'!AF50+'5'!AF50+'6'!AF50+'7'!AF50+'8'!AF50+'9'!AF50+'10'!AF50+'11'!AF50+'12'!AF50</f>
        <v>0</v>
      </c>
      <c r="AG50" s="91">
        <f>'1'!AG50+'2'!AG50+'3'!AG50+'4'!AG50+'5'!AG50+'6'!AG50+'7'!AG50+'8'!AG50+'9'!AG50+'10'!AG50+'11'!AG50+'12'!AG50</f>
        <v>0</v>
      </c>
      <c r="AH50" s="91">
        <f>'1'!AH50+'2'!AH50+'3'!AH50+'4'!AH50+'5'!AH50+'6'!AH50+'7'!AH50+'8'!AH50+'9'!AH50+'10'!AH50+'11'!AH50+'12'!AH50</f>
        <v>0</v>
      </c>
      <c r="AI50" s="91">
        <f>'1'!AI50+'2'!AI50+'3'!AI50+'4'!AI50+'5'!AI50+'6'!AI50+'7'!AI50+'8'!AI50+'9'!AI50+'10'!AI50+'11'!AI50+'12'!AI50</f>
        <v>0</v>
      </c>
      <c r="AJ50" s="91">
        <f>'1'!AJ50+'2'!AJ50+'3'!AJ50+'4'!AJ50+'5'!AJ50+'6'!AJ50+'7'!AJ50+'8'!AJ50+'9'!AJ50+'10'!AJ50+'11'!AJ50+'12'!AJ50</f>
        <v>0</v>
      </c>
      <c r="AK50" s="91">
        <f>'1'!AK50+'2'!AK50+'3'!AK50+'4'!AK50+'5'!AK50+'6'!AK50+'7'!AK50+'8'!AK50+'9'!AK50+'10'!AK50+'11'!AK50+'12'!AK50</f>
        <v>0</v>
      </c>
      <c r="AL50" s="91">
        <f>'1'!AL50+'2'!AL50+'3'!AL50+'4'!AL50+'5'!AL50+'6'!AL50+'7'!AL50+'8'!AL50+'9'!AL50+'10'!AL50+'11'!AL50+'12'!AL50</f>
        <v>0</v>
      </c>
      <c r="AM50" s="91">
        <f>'1'!AM50+'2'!AM50+'3'!AM50+'4'!AM50+'5'!AM50+'6'!AM50+'7'!AM50+'8'!AM50+'9'!AM50+'10'!AM50+'11'!AM50+'12'!AM50</f>
        <v>0</v>
      </c>
      <c r="AN50" s="91">
        <f>'1'!AN50+'2'!AN50+'3'!AN50+'4'!AN50+'5'!AN50+'6'!AN50+'7'!AN50+'8'!AN50+'9'!AN50+'10'!AN50+'11'!AN50+'12'!AN50</f>
        <v>0</v>
      </c>
      <c r="AO50" s="91">
        <f>'1'!AO50+'2'!AO50+'3'!AO50+'4'!AO50+'5'!AO50+'6'!AO50+'7'!AO50+'8'!AO50+'9'!AO50+'10'!AO50+'11'!AO50+'12'!AO50</f>
        <v>0</v>
      </c>
      <c r="AP50" s="91">
        <f>'1'!AP50+'2'!AP50+'3'!AP50+'4'!AP50+'5'!AP50+'6'!AP50+'7'!AP50+'8'!AP50+'9'!AP50+'10'!AP50+'11'!AP50+'12'!AP50</f>
        <v>0</v>
      </c>
      <c r="AQ50" s="16">
        <f t="shared" si="3"/>
        <v>0</v>
      </c>
      <c r="AR50" s="17">
        <f t="shared" si="11"/>
        <v>0</v>
      </c>
      <c r="AS50" s="91">
        <f t="shared" si="15"/>
        <v>0</v>
      </c>
      <c r="AT50" s="91">
        <f>'1'!AT50+'2'!AT50+'3'!AT50+'4'!AT50+'5'!AT50+'6'!AT50+'7'!AT50+'8'!AT50+'9'!AT50+'10'!AT50+'11'!AT50+'12'!AT50</f>
        <v>0</v>
      </c>
      <c r="AU50" s="92">
        <f t="shared" si="16"/>
        <v>0</v>
      </c>
      <c r="AV50" s="92">
        <f t="shared" si="5"/>
        <v>0</v>
      </c>
      <c r="AW50" s="92">
        <f t="shared" si="17"/>
        <v>0</v>
      </c>
      <c r="AX50" s="92">
        <f t="shared" si="18"/>
        <v>0</v>
      </c>
      <c r="AY50" s="18">
        <f t="shared" si="31"/>
        <v>0</v>
      </c>
      <c r="AZ50" s="18">
        <f t="shared" si="31"/>
        <v>0</v>
      </c>
      <c r="BA50" s="95">
        <f t="shared" si="19"/>
        <v>0</v>
      </c>
      <c r="BB50" s="139"/>
      <c r="BC50"/>
    </row>
    <row r="51" spans="1:55" ht="15" hidden="1" customHeight="1" thickBot="1" x14ac:dyDescent="0.3">
      <c r="A51" s="100" t="s">
        <v>64</v>
      </c>
      <c r="B51" s="116"/>
      <c r="C51" s="116">
        <v>37</v>
      </c>
      <c r="D51" s="121">
        <f t="shared" si="29"/>
        <v>0</v>
      </c>
      <c r="E51" s="16">
        <f t="shared" si="30"/>
        <v>0</v>
      </c>
      <c r="F51" s="91">
        <f>'1'!F51+'2'!F51+'3'!F51+'4'!F51+'5'!F51+'6'!F51+'7'!F51+'8'!F51+'9'!F51+'10'!F51+'11'!F51+'12'!F51</f>
        <v>0</v>
      </c>
      <c r="G51" s="91">
        <f>'1'!G51+'2'!G51+'3'!G51+'4'!G51+'5'!G51+'6'!G51+'7'!G51+'8'!G51+'9'!G51+'10'!G51+'11'!G51+'12'!G51</f>
        <v>0</v>
      </c>
      <c r="H51" s="135">
        <f>'1'!H51+'2'!H51+'3'!H51+'4'!H51+'5'!H51+'6'!H51+'7'!H51+'8'!H51+'9'!H51+'10'!H51+'11'!H51+'12'!H51</f>
        <v>0</v>
      </c>
      <c r="I51" s="135">
        <f>'1'!I51+'2'!I51+'3'!I51+'4'!I51+'5'!I51+'6'!I51+'7'!I51+'8'!I51+'9'!I51+'10'!I51+'11'!I51+'12'!I51</f>
        <v>0</v>
      </c>
      <c r="J51" s="14" t="s">
        <v>55</v>
      </c>
      <c r="K51" s="133">
        <f>'1'!K51+'2'!K51+'3'!K51+'4'!K51+'5'!K51+'6'!K51+'7'!K51+'8'!K51+'9'!K51+'10'!K51+'11'!K51+'12'!K51</f>
        <v>0</v>
      </c>
      <c r="L51" s="133">
        <f>'1'!L51+'2'!L51+'3'!L51+'4'!L51+'5'!L51+'6'!L51+'7'!L51+'8'!L51+'9'!L51+'10'!L51+'11'!L51+'12'!L51</f>
        <v>0</v>
      </c>
      <c r="M51" s="91">
        <f>'1'!M51+'2'!M51+'3'!M51+'4'!M51+'5'!M51+'6'!M51+'7'!M51+'8'!M51+'9'!M51+'10'!M51+'11'!M51+'12'!M51</f>
        <v>0</v>
      </c>
      <c r="N51" s="91">
        <f>'1'!N51+'2'!N51+'3'!N51+'4'!N51+'5'!N51+'6'!N51+'7'!N51+'8'!N51+'9'!N51+'10'!N51+'11'!N51+'12'!N51</f>
        <v>0</v>
      </c>
      <c r="O51" s="91">
        <f>'1'!O51+'2'!O51+'3'!O51+'4'!O51+'5'!O51+'6'!O51+'7'!O51+'8'!O51+'9'!O51+'10'!O51+'11'!O51+'12'!O51</f>
        <v>0</v>
      </c>
      <c r="P51" s="91">
        <f>'1'!P51+'2'!P51+'3'!P51+'4'!P51+'5'!P51+'6'!P51+'7'!P51+'8'!P51+'9'!P51+'10'!P51+'11'!P51+'12'!P51</f>
        <v>0</v>
      </c>
      <c r="Q51" s="91">
        <f>'1'!Q51+'2'!Q51+'3'!Q51+'4'!Q51+'5'!Q51+'6'!Q51+'7'!Q51+'8'!Q51+'9'!Q51+'10'!Q51+'11'!Q51+'12'!Q51</f>
        <v>0</v>
      </c>
      <c r="R51" s="91">
        <f>'1'!R51+'2'!R51+'3'!R51+'4'!R51+'5'!R51+'6'!R51+'7'!R51+'8'!R51+'9'!R51+'10'!R51+'11'!R51+'12'!R51</f>
        <v>0</v>
      </c>
      <c r="S51" s="91">
        <f>'1'!S51+'2'!S51+'3'!S51+'4'!S51+'5'!S51+'6'!S51+'7'!S51+'8'!S51+'9'!S51+'10'!S51+'11'!S51+'12'!S51</f>
        <v>0</v>
      </c>
      <c r="T51" s="91">
        <f>'1'!T51+'2'!T51+'3'!T51+'4'!T51+'5'!T51+'6'!T51+'7'!T51+'8'!T51+'9'!T51+'10'!T51+'11'!T51+'12'!T51</f>
        <v>0</v>
      </c>
      <c r="U51" s="91">
        <f>'1'!U51+'2'!U51+'3'!U51+'4'!U51+'5'!U51+'6'!U51+'7'!U51+'8'!U51+'9'!U51+'10'!U51+'11'!U51+'12'!U51</f>
        <v>0</v>
      </c>
      <c r="V51" s="91">
        <f>'1'!V51+'2'!V51+'3'!V51+'4'!V51+'5'!V51+'6'!V51+'7'!V51+'8'!V51+'9'!V51+'10'!V51+'11'!V51+'12'!V51</f>
        <v>0</v>
      </c>
      <c r="W51" s="91">
        <f>'1'!W51+'2'!W51+'3'!W51+'4'!W51+'5'!W51+'6'!W51+'7'!W51+'8'!W51+'9'!W51+'10'!W51+'11'!W51+'12'!W51</f>
        <v>0</v>
      </c>
      <c r="X51" s="91">
        <f>'1'!X51+'2'!X51+'3'!X51+'4'!X51+'5'!X51+'6'!X51+'7'!X51+'8'!X51+'9'!X51+'10'!X51+'11'!X51+'12'!X51</f>
        <v>0</v>
      </c>
      <c r="Y51" s="91">
        <f>'1'!Y51+'2'!Y51+'3'!Y51+'4'!Y51+'5'!Y51+'6'!Y51+'7'!Y51+'8'!Y51+'9'!Y51+'10'!Y51+'11'!Y51+'12'!Y51</f>
        <v>0</v>
      </c>
      <c r="Z51" s="91">
        <f>'1'!Z51+'2'!Z51+'3'!Z51+'4'!Z51+'5'!Z51+'6'!Z51+'7'!Z51+'8'!Z51+'9'!Z51+'10'!Z51+'11'!Z51+'12'!Z51</f>
        <v>0</v>
      </c>
      <c r="AA51" s="91">
        <f>'1'!AA51+'2'!AA51+'3'!AA51+'4'!AA51+'5'!AA51+'6'!AA51+'7'!AA51+'8'!AA51+'9'!AA51+'10'!AA51+'11'!AA51+'12'!AA51</f>
        <v>0</v>
      </c>
      <c r="AB51" s="91">
        <f>'1'!AB51+'2'!AB51+'3'!AB51+'4'!AB51+'5'!AB51+'6'!AB51+'7'!AB51+'8'!AB51+'9'!AB51+'10'!AB51+'11'!AB51+'12'!AB51</f>
        <v>0</v>
      </c>
      <c r="AC51" s="91">
        <f>'1'!AC51+'2'!AC51+'3'!AC51+'4'!AC51+'5'!AC51+'6'!AC51+'7'!AC51+'8'!AC51+'9'!AC51+'10'!AC51+'11'!AC51+'12'!AC51</f>
        <v>0</v>
      </c>
      <c r="AD51" s="91">
        <f>'1'!AD51+'2'!AD51+'3'!AD51+'4'!AD51+'5'!AD51+'6'!AD51+'7'!AD51+'8'!AD51+'9'!AD51+'10'!AD51+'11'!AD51+'12'!AD51</f>
        <v>0</v>
      </c>
      <c r="AE51" s="91">
        <f>'1'!AE51+'2'!AE51+'3'!AE51+'4'!AE51+'5'!AE51+'6'!AE51+'7'!AE51+'8'!AE51+'9'!AE51+'10'!AE51+'11'!AE51+'12'!AE51</f>
        <v>0</v>
      </c>
      <c r="AF51" s="91">
        <f>'1'!AF51+'2'!AF51+'3'!AF51+'4'!AF51+'5'!AF51+'6'!AF51+'7'!AF51+'8'!AF51+'9'!AF51+'10'!AF51+'11'!AF51+'12'!AF51</f>
        <v>0</v>
      </c>
      <c r="AG51" s="91">
        <f>'1'!AG51+'2'!AG51+'3'!AG51+'4'!AG51+'5'!AG51+'6'!AG51+'7'!AG51+'8'!AG51+'9'!AG51+'10'!AG51+'11'!AG51+'12'!AG51</f>
        <v>0</v>
      </c>
      <c r="AH51" s="91">
        <f>'1'!AH51+'2'!AH51+'3'!AH51+'4'!AH51+'5'!AH51+'6'!AH51+'7'!AH51+'8'!AH51+'9'!AH51+'10'!AH51+'11'!AH51+'12'!AH51</f>
        <v>0</v>
      </c>
      <c r="AI51" s="91">
        <f>'1'!AI51+'2'!AI51+'3'!AI51+'4'!AI51+'5'!AI51+'6'!AI51+'7'!AI51+'8'!AI51+'9'!AI51+'10'!AI51+'11'!AI51+'12'!AI51</f>
        <v>0</v>
      </c>
      <c r="AJ51" s="91">
        <f>'1'!AJ51+'2'!AJ51+'3'!AJ51+'4'!AJ51+'5'!AJ51+'6'!AJ51+'7'!AJ51+'8'!AJ51+'9'!AJ51+'10'!AJ51+'11'!AJ51+'12'!AJ51</f>
        <v>0</v>
      </c>
      <c r="AK51" s="91">
        <f>'1'!AK51+'2'!AK51+'3'!AK51+'4'!AK51+'5'!AK51+'6'!AK51+'7'!AK51+'8'!AK51+'9'!AK51+'10'!AK51+'11'!AK51+'12'!AK51</f>
        <v>0</v>
      </c>
      <c r="AL51" s="91">
        <f>'1'!AL51+'2'!AL51+'3'!AL51+'4'!AL51+'5'!AL51+'6'!AL51+'7'!AL51+'8'!AL51+'9'!AL51+'10'!AL51+'11'!AL51+'12'!AL51</f>
        <v>0</v>
      </c>
      <c r="AM51" s="91">
        <f>'1'!AM51+'2'!AM51+'3'!AM51+'4'!AM51+'5'!AM51+'6'!AM51+'7'!AM51+'8'!AM51+'9'!AM51+'10'!AM51+'11'!AM51+'12'!AM51</f>
        <v>0</v>
      </c>
      <c r="AN51" s="91">
        <f>'1'!AN51+'2'!AN51+'3'!AN51+'4'!AN51+'5'!AN51+'6'!AN51+'7'!AN51+'8'!AN51+'9'!AN51+'10'!AN51+'11'!AN51+'12'!AN51</f>
        <v>0</v>
      </c>
      <c r="AO51" s="91">
        <f>'1'!AO51+'2'!AO51+'3'!AO51+'4'!AO51+'5'!AO51+'6'!AO51+'7'!AO51+'8'!AO51+'9'!AO51+'10'!AO51+'11'!AO51+'12'!AO51</f>
        <v>0</v>
      </c>
      <c r="AP51" s="91">
        <f>'1'!AP51+'2'!AP51+'3'!AP51+'4'!AP51+'5'!AP51+'6'!AP51+'7'!AP51+'8'!AP51+'9'!AP51+'10'!AP51+'11'!AP51+'12'!AP51</f>
        <v>0</v>
      </c>
      <c r="AQ51" s="16">
        <f t="shared" si="3"/>
        <v>0</v>
      </c>
      <c r="AR51" s="17">
        <f t="shared" si="11"/>
        <v>0</v>
      </c>
      <c r="AS51" s="91">
        <f t="shared" si="15"/>
        <v>0</v>
      </c>
      <c r="AT51" s="91">
        <f>'1'!AT51+'2'!AT51+'3'!AT51+'4'!AT51+'5'!AT51+'6'!AT51+'7'!AT51+'8'!AT51+'9'!AT51+'10'!AT51+'11'!AT51+'12'!AT51</f>
        <v>0</v>
      </c>
      <c r="AU51" s="92">
        <f t="shared" si="16"/>
        <v>0</v>
      </c>
      <c r="AV51" s="92">
        <f t="shared" si="5"/>
        <v>0</v>
      </c>
      <c r="AW51" s="92">
        <f t="shared" si="17"/>
        <v>0</v>
      </c>
      <c r="AX51" s="92">
        <f t="shared" si="18"/>
        <v>0</v>
      </c>
      <c r="AY51" s="92">
        <f t="shared" si="31"/>
        <v>0</v>
      </c>
      <c r="AZ51" s="92">
        <f t="shared" si="31"/>
        <v>0</v>
      </c>
      <c r="BA51" s="95">
        <f t="shared" si="19"/>
        <v>0</v>
      </c>
      <c r="BB51" s="140"/>
      <c r="BC51"/>
    </row>
    <row r="52" spans="1:55" ht="15" customHeight="1" thickBot="1" x14ac:dyDescent="0.3">
      <c r="A52" s="102" t="s">
        <v>49</v>
      </c>
      <c r="B52" s="124"/>
      <c r="C52" s="87"/>
      <c r="D52" s="129">
        <f t="shared" ref="D52:E52" si="32">SUM(D53:D54)</f>
        <v>0</v>
      </c>
      <c r="E52" s="129">
        <f t="shared" si="32"/>
        <v>0</v>
      </c>
      <c r="F52" s="129">
        <f>SUM(F53:F54)</f>
        <v>0</v>
      </c>
      <c r="G52" s="129">
        <f t="shared" ref="G52:AP52" si="33">SUM(G53:G54)</f>
        <v>0</v>
      </c>
      <c r="H52" s="131">
        <f t="shared" si="33"/>
        <v>0</v>
      </c>
      <c r="I52" s="131">
        <f t="shared" si="33"/>
        <v>0</v>
      </c>
      <c r="J52" s="129">
        <f t="shared" si="33"/>
        <v>0</v>
      </c>
      <c r="K52" s="130">
        <f t="shared" si="33"/>
        <v>0</v>
      </c>
      <c r="L52" s="130">
        <f t="shared" si="33"/>
        <v>0</v>
      </c>
      <c r="M52" s="129">
        <f t="shared" si="33"/>
        <v>0</v>
      </c>
      <c r="N52" s="129">
        <f t="shared" si="33"/>
        <v>0</v>
      </c>
      <c r="O52" s="129">
        <f t="shared" si="33"/>
        <v>0</v>
      </c>
      <c r="P52" s="129">
        <f t="shared" si="33"/>
        <v>0</v>
      </c>
      <c r="Q52" s="129">
        <f t="shared" si="33"/>
        <v>0</v>
      </c>
      <c r="R52" s="129">
        <f t="shared" si="33"/>
        <v>0</v>
      </c>
      <c r="S52" s="129">
        <f t="shared" si="33"/>
        <v>0</v>
      </c>
      <c r="T52" s="129">
        <f t="shared" si="33"/>
        <v>0</v>
      </c>
      <c r="U52" s="129">
        <f t="shared" si="33"/>
        <v>0</v>
      </c>
      <c r="V52" s="129">
        <f t="shared" si="33"/>
        <v>0</v>
      </c>
      <c r="W52" s="129">
        <f t="shared" si="33"/>
        <v>0</v>
      </c>
      <c r="X52" s="129">
        <f t="shared" si="33"/>
        <v>0</v>
      </c>
      <c r="Y52" s="129">
        <f t="shared" si="33"/>
        <v>0</v>
      </c>
      <c r="Z52" s="129">
        <f t="shared" si="33"/>
        <v>0</v>
      </c>
      <c r="AA52" s="129">
        <f t="shared" si="33"/>
        <v>0</v>
      </c>
      <c r="AB52" s="129">
        <f t="shared" si="33"/>
        <v>0</v>
      </c>
      <c r="AC52" s="129">
        <f t="shared" si="33"/>
        <v>0</v>
      </c>
      <c r="AD52" s="129">
        <f t="shared" si="33"/>
        <v>0</v>
      </c>
      <c r="AE52" s="129">
        <f t="shared" si="33"/>
        <v>0</v>
      </c>
      <c r="AF52" s="129">
        <f t="shared" si="33"/>
        <v>0</v>
      </c>
      <c r="AG52" s="129">
        <f t="shared" si="33"/>
        <v>0</v>
      </c>
      <c r="AH52" s="129">
        <f t="shared" si="33"/>
        <v>0</v>
      </c>
      <c r="AI52" s="129">
        <f t="shared" si="33"/>
        <v>0</v>
      </c>
      <c r="AJ52" s="129">
        <f t="shared" si="33"/>
        <v>0</v>
      </c>
      <c r="AK52" s="129">
        <f t="shared" si="33"/>
        <v>0</v>
      </c>
      <c r="AL52" s="129">
        <f t="shared" si="33"/>
        <v>0</v>
      </c>
      <c r="AM52" s="129">
        <f t="shared" si="33"/>
        <v>0</v>
      </c>
      <c r="AN52" s="129">
        <f t="shared" si="33"/>
        <v>0</v>
      </c>
      <c r="AO52" s="129">
        <f t="shared" si="33"/>
        <v>0</v>
      </c>
      <c r="AP52" s="129">
        <f t="shared" si="33"/>
        <v>0</v>
      </c>
      <c r="AQ52" s="129">
        <f t="shared" si="3"/>
        <v>0</v>
      </c>
      <c r="AR52" s="129">
        <f t="shared" si="11"/>
        <v>0</v>
      </c>
      <c r="AS52" s="129">
        <f t="shared" si="15"/>
        <v>0</v>
      </c>
      <c r="AT52" s="129">
        <f>SUM(AT53:AT54)</f>
        <v>0</v>
      </c>
      <c r="AU52" s="131">
        <f t="shared" si="16"/>
        <v>0</v>
      </c>
      <c r="AV52" s="131">
        <f t="shared" si="5"/>
        <v>0</v>
      </c>
      <c r="AW52" s="131">
        <f t="shared" si="17"/>
        <v>0</v>
      </c>
      <c r="AX52" s="131">
        <f t="shared" si="18"/>
        <v>0</v>
      </c>
      <c r="AY52" s="131"/>
      <c r="AZ52" s="131"/>
      <c r="BA52" s="129">
        <f t="shared" si="19"/>
        <v>0</v>
      </c>
      <c r="BB52" s="141"/>
      <c r="BC52"/>
    </row>
    <row r="53" spans="1:55" ht="15" customHeight="1" x14ac:dyDescent="0.25">
      <c r="A53" s="97" t="s">
        <v>51</v>
      </c>
      <c r="B53" s="123" t="s">
        <v>143</v>
      </c>
      <c r="C53" s="115">
        <v>4</v>
      </c>
      <c r="D53" s="121">
        <f>AT53*AU53*AW53</f>
        <v>0</v>
      </c>
      <c r="E53" s="16">
        <f>ROUND(AT53*AV53*AX53,4)</f>
        <v>0</v>
      </c>
      <c r="F53" s="91">
        <f>'1'!F53+'2'!F53+'3'!F53+'4'!F53+'5'!F53+'6'!F53+'7'!F53+'8'!F53+'9'!F53+'10'!F53+'11'!F53+'12'!F53</f>
        <v>0</v>
      </c>
      <c r="G53" s="91">
        <f>'1'!G53+'2'!G53+'3'!G53+'4'!G53+'5'!G53+'6'!G53+'7'!G53+'8'!G53+'9'!G53+'10'!G53+'11'!G53+'12'!G53</f>
        <v>0</v>
      </c>
      <c r="H53" s="135">
        <f>'1'!H53+'2'!H53+'3'!H53+'4'!H53+'5'!H53+'6'!H53+'7'!H53+'8'!H53+'9'!H53+'10'!H53+'11'!H53+'12'!H53</f>
        <v>0</v>
      </c>
      <c r="I53" s="135">
        <f>'1'!I53+'2'!I53+'3'!I53+'4'!I53+'5'!I53+'6'!I53+'7'!I53+'8'!I53+'9'!I53+'10'!I53+'11'!I53+'12'!I53</f>
        <v>0</v>
      </c>
      <c r="J53" s="14" t="s">
        <v>83</v>
      </c>
      <c r="K53" s="133">
        <f>'1'!K53+'2'!K53+'3'!K53+'4'!K53+'5'!K53+'6'!K53+'7'!K53+'8'!K53+'9'!K53+'10'!K53+'11'!K53+'12'!K53</f>
        <v>0</v>
      </c>
      <c r="L53" s="133">
        <f>'1'!L53+'2'!L53+'3'!L53+'4'!L53+'5'!L53+'6'!L53+'7'!L53+'8'!L53+'9'!L53+'10'!L53+'11'!L53+'12'!L53</f>
        <v>0</v>
      </c>
      <c r="M53" s="91">
        <f>'1'!M53+'2'!M53+'3'!M53+'4'!M53+'5'!M53+'6'!M53+'7'!M53+'8'!M53+'9'!M53+'10'!M53+'11'!M53+'12'!M53</f>
        <v>0</v>
      </c>
      <c r="N53" s="91">
        <f>'1'!N53+'2'!N53+'3'!N53+'4'!N53+'5'!N53+'6'!N53+'7'!N53+'8'!N53+'9'!N53+'10'!N53+'11'!N53+'12'!N53</f>
        <v>0</v>
      </c>
      <c r="O53" s="91">
        <f>'1'!O53+'2'!O53+'3'!O53+'4'!O53+'5'!O53+'6'!O53+'7'!O53+'8'!O53+'9'!O53+'10'!O53+'11'!O53+'12'!O53</f>
        <v>0</v>
      </c>
      <c r="P53" s="91">
        <f>'1'!P53+'2'!P53+'3'!P53+'4'!P53+'5'!P53+'6'!P53+'7'!P53+'8'!P53+'9'!P53+'10'!P53+'11'!P53+'12'!P53</f>
        <v>0</v>
      </c>
      <c r="Q53" s="91">
        <f>'1'!Q53+'2'!Q53+'3'!Q53+'4'!Q53+'5'!Q53+'6'!Q53+'7'!Q53+'8'!Q53+'9'!Q53+'10'!Q53+'11'!Q53+'12'!Q53</f>
        <v>0</v>
      </c>
      <c r="R53" s="91">
        <f>'1'!R53+'2'!R53+'3'!R53+'4'!R53+'5'!R53+'6'!R53+'7'!R53+'8'!R53+'9'!R53+'10'!R53+'11'!R53+'12'!R53</f>
        <v>0</v>
      </c>
      <c r="S53" s="91">
        <f>'1'!S53+'2'!S53+'3'!S53+'4'!S53+'5'!S53+'6'!S53+'7'!S53+'8'!S53+'9'!S53+'10'!S53+'11'!S53+'12'!S53</f>
        <v>0</v>
      </c>
      <c r="T53" s="91">
        <f>'1'!T53+'2'!T53+'3'!T53+'4'!T53+'5'!T53+'6'!T53+'7'!T53+'8'!T53+'9'!T53+'10'!T53+'11'!T53+'12'!T53</f>
        <v>0</v>
      </c>
      <c r="U53" s="91">
        <f>'1'!U53+'2'!U53+'3'!U53+'4'!U53+'5'!U53+'6'!U53+'7'!U53+'8'!U53+'9'!U53+'10'!U53+'11'!U53+'12'!U53</f>
        <v>0</v>
      </c>
      <c r="V53" s="91">
        <f>'1'!V53+'2'!V53+'3'!V53+'4'!V53+'5'!V53+'6'!V53+'7'!V53+'8'!V53+'9'!V53+'10'!V53+'11'!V53+'12'!V53</f>
        <v>0</v>
      </c>
      <c r="W53" s="91">
        <f>'1'!W53+'2'!W53+'3'!W53+'4'!W53+'5'!W53+'6'!W53+'7'!W53+'8'!W53+'9'!W53+'10'!W53+'11'!W53+'12'!W53</f>
        <v>0</v>
      </c>
      <c r="X53" s="91">
        <f>'1'!X53+'2'!X53+'3'!X53+'4'!X53+'5'!X53+'6'!X53+'7'!X53+'8'!X53+'9'!X53+'10'!X53+'11'!X53+'12'!X53</f>
        <v>0</v>
      </c>
      <c r="Y53" s="91">
        <f>'1'!Y53+'2'!Y53+'3'!Y53+'4'!Y53+'5'!Y53+'6'!Y53+'7'!Y53+'8'!Y53+'9'!Y53+'10'!Y53+'11'!Y53+'12'!Y53</f>
        <v>0</v>
      </c>
      <c r="Z53" s="91">
        <f>'1'!Z53+'2'!Z53+'3'!Z53+'4'!Z53+'5'!Z53+'6'!Z53+'7'!Z53+'8'!Z53+'9'!Z53+'10'!Z53+'11'!Z53+'12'!Z53</f>
        <v>0</v>
      </c>
      <c r="AA53" s="91">
        <f>'1'!AA53+'2'!AA53+'3'!AA53+'4'!AA53+'5'!AA53+'6'!AA53+'7'!AA53+'8'!AA53+'9'!AA53+'10'!AA53+'11'!AA53+'12'!AA53</f>
        <v>0</v>
      </c>
      <c r="AB53" s="91">
        <f>'1'!AB53+'2'!AB53+'3'!AB53+'4'!AB53+'5'!AB53+'6'!AB53+'7'!AB53+'8'!AB53+'9'!AB53+'10'!AB53+'11'!AB53+'12'!AB53</f>
        <v>0</v>
      </c>
      <c r="AC53" s="91">
        <f>'1'!AC53+'2'!AC53+'3'!AC53+'4'!AC53+'5'!AC53+'6'!AC53+'7'!AC53+'8'!AC53+'9'!AC53+'10'!AC53+'11'!AC53+'12'!AC53</f>
        <v>0</v>
      </c>
      <c r="AD53" s="91">
        <f>'1'!AD53+'2'!AD53+'3'!AD53+'4'!AD53+'5'!AD53+'6'!AD53+'7'!AD53+'8'!AD53+'9'!AD53+'10'!AD53+'11'!AD53+'12'!AD53</f>
        <v>0</v>
      </c>
      <c r="AE53" s="91">
        <f>'1'!AE53+'2'!AE53+'3'!AE53+'4'!AE53+'5'!AE53+'6'!AE53+'7'!AE53+'8'!AE53+'9'!AE53+'10'!AE53+'11'!AE53+'12'!AE53</f>
        <v>0</v>
      </c>
      <c r="AF53" s="91">
        <f>'1'!AF53+'2'!AF53+'3'!AF53+'4'!AF53+'5'!AF53+'6'!AF53+'7'!AF53+'8'!AF53+'9'!AF53+'10'!AF53+'11'!AF53+'12'!AF53</f>
        <v>0</v>
      </c>
      <c r="AG53" s="91">
        <f>'1'!AG53+'2'!AG53+'3'!AG53+'4'!AG53+'5'!AG53+'6'!AG53+'7'!AG53+'8'!AG53+'9'!AG53+'10'!AG53+'11'!AG53+'12'!AG53</f>
        <v>0</v>
      </c>
      <c r="AH53" s="91">
        <f>'1'!AH53+'2'!AH53+'3'!AH53+'4'!AH53+'5'!AH53+'6'!AH53+'7'!AH53+'8'!AH53+'9'!AH53+'10'!AH53+'11'!AH53+'12'!AH53</f>
        <v>0</v>
      </c>
      <c r="AI53" s="91">
        <f>'1'!AI53+'2'!AI53+'3'!AI53+'4'!AI53+'5'!AI53+'6'!AI53+'7'!AI53+'8'!AI53+'9'!AI53+'10'!AI53+'11'!AI53+'12'!AI53</f>
        <v>0</v>
      </c>
      <c r="AJ53" s="91">
        <f>'1'!AJ53+'2'!AJ53+'3'!AJ53+'4'!AJ53+'5'!AJ53+'6'!AJ53+'7'!AJ53+'8'!AJ53+'9'!AJ53+'10'!AJ53+'11'!AJ53+'12'!AJ53</f>
        <v>0</v>
      </c>
      <c r="AK53" s="91">
        <f>'1'!AK53+'2'!AK53+'3'!AK53+'4'!AK53+'5'!AK53+'6'!AK53+'7'!AK53+'8'!AK53+'9'!AK53+'10'!AK53+'11'!AK53+'12'!AK53</f>
        <v>0</v>
      </c>
      <c r="AL53" s="91">
        <f>'1'!AL53+'2'!AL53+'3'!AL53+'4'!AL53+'5'!AL53+'6'!AL53+'7'!AL53+'8'!AL53+'9'!AL53+'10'!AL53+'11'!AL53+'12'!AL53</f>
        <v>0</v>
      </c>
      <c r="AM53" s="91">
        <f>'1'!AM53+'2'!AM53+'3'!AM53+'4'!AM53+'5'!AM53+'6'!AM53+'7'!AM53+'8'!AM53+'9'!AM53+'10'!AM53+'11'!AM53+'12'!AM53</f>
        <v>0</v>
      </c>
      <c r="AN53" s="91">
        <f>'1'!AN53+'2'!AN53+'3'!AN53+'4'!AN53+'5'!AN53+'6'!AN53+'7'!AN53+'8'!AN53+'9'!AN53+'10'!AN53+'11'!AN53+'12'!AN53</f>
        <v>0</v>
      </c>
      <c r="AO53" s="91">
        <f>'1'!AO53+'2'!AO53+'3'!AO53+'4'!AO53+'5'!AO53+'6'!AO53+'7'!AO53+'8'!AO53+'9'!AO53+'10'!AO53+'11'!AO53+'12'!AO53</f>
        <v>0</v>
      </c>
      <c r="AP53" s="91">
        <f>'1'!AP53+'2'!AP53+'3'!AP53+'4'!AP53+'5'!AP53+'6'!AP53+'7'!AP53+'8'!AP53+'9'!AP53+'10'!AP53+'11'!AP53+'12'!AP53</f>
        <v>0</v>
      </c>
      <c r="AQ53" s="16">
        <f t="shared" si="3"/>
        <v>0</v>
      </c>
      <c r="AR53" s="17">
        <f t="shared" si="11"/>
        <v>0</v>
      </c>
      <c r="AS53" s="91">
        <f t="shared" si="15"/>
        <v>0</v>
      </c>
      <c r="AT53" s="91">
        <f>'1'!AT53+'2'!AT53+'3'!AT53+'4'!AT53+'5'!AT53+'6'!AT53+'7'!AT53+'8'!AT53+'9'!AT53+'10'!AT53+'11'!AT53+'12'!AT53</f>
        <v>0</v>
      </c>
      <c r="AU53" s="92">
        <f t="shared" si="16"/>
        <v>0</v>
      </c>
      <c r="AV53" s="92">
        <f t="shared" si="5"/>
        <v>0</v>
      </c>
      <c r="AW53" s="92">
        <f t="shared" si="17"/>
        <v>0</v>
      </c>
      <c r="AX53" s="92">
        <f t="shared" si="18"/>
        <v>0</v>
      </c>
      <c r="AY53" s="92">
        <f>IF(D53=0,0,K53/D53/24)</f>
        <v>0</v>
      </c>
      <c r="AZ53" s="92">
        <f>IF(E53=0,0,L53/E53/24)</f>
        <v>0</v>
      </c>
      <c r="BA53" s="95">
        <f t="shared" si="19"/>
        <v>0</v>
      </c>
      <c r="BB53" s="138"/>
      <c r="BC53"/>
    </row>
    <row r="54" spans="1:55" ht="15" customHeight="1" thickBot="1" x14ac:dyDescent="0.3">
      <c r="A54" s="104" t="s">
        <v>50</v>
      </c>
      <c r="B54" s="123" t="s">
        <v>153</v>
      </c>
      <c r="C54" s="117">
        <v>5</v>
      </c>
      <c r="D54" s="121">
        <f>AT54*AU54*AW54</f>
        <v>0</v>
      </c>
      <c r="E54" s="16">
        <f>ROUND(AT54*AV54*AX54,4)</f>
        <v>0</v>
      </c>
      <c r="F54" s="91">
        <f>'1'!F54+'2'!F54+'3'!F54+'4'!F54+'5'!F54+'6'!F54+'7'!F54+'8'!F54+'9'!F54+'10'!F54+'11'!F54+'12'!F54</f>
        <v>0</v>
      </c>
      <c r="G54" s="91">
        <f>'1'!G54+'2'!G54+'3'!G54+'4'!G54+'5'!G54+'6'!G54+'7'!G54+'8'!G54+'9'!G54+'10'!G54+'11'!G54+'12'!G54</f>
        <v>0</v>
      </c>
      <c r="H54" s="135">
        <f>'1'!H54+'2'!H54+'3'!H54+'4'!H54+'5'!H54+'6'!H54+'7'!H54+'8'!H54+'9'!H54+'10'!H54+'11'!H54+'12'!H54</f>
        <v>0</v>
      </c>
      <c r="I54" s="135">
        <f>'1'!I54+'2'!I54+'3'!I54+'4'!I54+'5'!I54+'6'!I54+'7'!I54+'8'!I54+'9'!I54+'10'!I54+'11'!I54+'12'!I54</f>
        <v>0</v>
      </c>
      <c r="J54" s="13" t="s">
        <v>83</v>
      </c>
      <c r="K54" s="133">
        <f>'1'!K54+'2'!K54+'3'!K54+'4'!K54+'5'!K54+'6'!K54+'7'!K54+'8'!K54+'9'!K54+'10'!K54+'11'!K54+'12'!K54</f>
        <v>0</v>
      </c>
      <c r="L54" s="133">
        <f>'1'!L54+'2'!L54+'3'!L54+'4'!L54+'5'!L54+'6'!L54+'7'!L54+'8'!L54+'9'!L54+'10'!L54+'11'!L54+'12'!L54</f>
        <v>0</v>
      </c>
      <c r="M54" s="91">
        <f>'1'!M54+'2'!M54+'3'!M54+'4'!M54+'5'!M54+'6'!M54+'7'!M54+'8'!M54+'9'!M54+'10'!M54+'11'!M54+'12'!M54</f>
        <v>0</v>
      </c>
      <c r="N54" s="91">
        <f>'1'!N54+'2'!N54+'3'!N54+'4'!N54+'5'!N54+'6'!N54+'7'!N54+'8'!N54+'9'!N54+'10'!N54+'11'!N54+'12'!N54</f>
        <v>0</v>
      </c>
      <c r="O54" s="91">
        <f>'1'!O54+'2'!O54+'3'!O54+'4'!O54+'5'!O54+'6'!O54+'7'!O54+'8'!O54+'9'!O54+'10'!O54+'11'!O54+'12'!O54</f>
        <v>0</v>
      </c>
      <c r="P54" s="91">
        <f>'1'!P54+'2'!P54+'3'!P54+'4'!P54+'5'!P54+'6'!P54+'7'!P54+'8'!P54+'9'!P54+'10'!P54+'11'!P54+'12'!P54</f>
        <v>0</v>
      </c>
      <c r="Q54" s="91">
        <f>'1'!Q54+'2'!Q54+'3'!Q54+'4'!Q54+'5'!Q54+'6'!Q54+'7'!Q54+'8'!Q54+'9'!Q54+'10'!Q54+'11'!Q54+'12'!Q54</f>
        <v>0</v>
      </c>
      <c r="R54" s="91">
        <f>'1'!R54+'2'!R54+'3'!R54+'4'!R54+'5'!R54+'6'!R54+'7'!R54+'8'!R54+'9'!R54+'10'!R54+'11'!R54+'12'!R54</f>
        <v>0</v>
      </c>
      <c r="S54" s="91">
        <f>'1'!S54+'2'!S54+'3'!S54+'4'!S54+'5'!S54+'6'!S54+'7'!S54+'8'!S54+'9'!S54+'10'!S54+'11'!S54+'12'!S54</f>
        <v>0</v>
      </c>
      <c r="T54" s="91">
        <f>'1'!T54+'2'!T54+'3'!T54+'4'!T54+'5'!T54+'6'!T54+'7'!T54+'8'!T54+'9'!T54+'10'!T54+'11'!T54+'12'!T54</f>
        <v>0</v>
      </c>
      <c r="U54" s="91">
        <f>'1'!U54+'2'!U54+'3'!U54+'4'!U54+'5'!U54+'6'!U54+'7'!U54+'8'!U54+'9'!U54+'10'!U54+'11'!U54+'12'!U54</f>
        <v>0</v>
      </c>
      <c r="V54" s="91">
        <f>'1'!V54+'2'!V54+'3'!V54+'4'!V54+'5'!V54+'6'!V54+'7'!V54+'8'!V54+'9'!V54+'10'!V54+'11'!V54+'12'!V54</f>
        <v>0</v>
      </c>
      <c r="W54" s="91">
        <f>'1'!W54+'2'!W54+'3'!W54+'4'!W54+'5'!W54+'6'!W54+'7'!W54+'8'!W54+'9'!W54+'10'!W54+'11'!W54+'12'!W54</f>
        <v>0</v>
      </c>
      <c r="X54" s="91">
        <f>'1'!X54+'2'!X54+'3'!X54+'4'!X54+'5'!X54+'6'!X54+'7'!X54+'8'!X54+'9'!X54+'10'!X54+'11'!X54+'12'!X54</f>
        <v>0</v>
      </c>
      <c r="Y54" s="91">
        <f>'1'!Y54+'2'!Y54+'3'!Y54+'4'!Y54+'5'!Y54+'6'!Y54+'7'!Y54+'8'!Y54+'9'!Y54+'10'!Y54+'11'!Y54+'12'!Y54</f>
        <v>0</v>
      </c>
      <c r="Z54" s="91">
        <f>'1'!Z54+'2'!Z54+'3'!Z54+'4'!Z54+'5'!Z54+'6'!Z54+'7'!Z54+'8'!Z54+'9'!Z54+'10'!Z54+'11'!Z54+'12'!Z54</f>
        <v>0</v>
      </c>
      <c r="AA54" s="91">
        <f>'1'!AA54+'2'!AA54+'3'!AA54+'4'!AA54+'5'!AA54+'6'!AA54+'7'!AA54+'8'!AA54+'9'!AA54+'10'!AA54+'11'!AA54+'12'!AA54</f>
        <v>0</v>
      </c>
      <c r="AB54" s="91">
        <f>'1'!AB54+'2'!AB54+'3'!AB54+'4'!AB54+'5'!AB54+'6'!AB54+'7'!AB54+'8'!AB54+'9'!AB54+'10'!AB54+'11'!AB54+'12'!AB54</f>
        <v>0</v>
      </c>
      <c r="AC54" s="91">
        <f>'1'!AC54+'2'!AC54+'3'!AC54+'4'!AC54+'5'!AC54+'6'!AC54+'7'!AC54+'8'!AC54+'9'!AC54+'10'!AC54+'11'!AC54+'12'!AC54</f>
        <v>0</v>
      </c>
      <c r="AD54" s="91">
        <f>'1'!AD54+'2'!AD54+'3'!AD54+'4'!AD54+'5'!AD54+'6'!AD54+'7'!AD54+'8'!AD54+'9'!AD54+'10'!AD54+'11'!AD54+'12'!AD54</f>
        <v>0</v>
      </c>
      <c r="AE54" s="91">
        <f>'1'!AE54+'2'!AE54+'3'!AE54+'4'!AE54+'5'!AE54+'6'!AE54+'7'!AE54+'8'!AE54+'9'!AE54+'10'!AE54+'11'!AE54+'12'!AE54</f>
        <v>0</v>
      </c>
      <c r="AF54" s="91">
        <f>'1'!AF54+'2'!AF54+'3'!AF54+'4'!AF54+'5'!AF54+'6'!AF54+'7'!AF54+'8'!AF54+'9'!AF54+'10'!AF54+'11'!AF54+'12'!AF54</f>
        <v>0</v>
      </c>
      <c r="AG54" s="91">
        <f>'1'!AG54+'2'!AG54+'3'!AG54+'4'!AG54+'5'!AG54+'6'!AG54+'7'!AG54+'8'!AG54+'9'!AG54+'10'!AG54+'11'!AG54+'12'!AG54</f>
        <v>0</v>
      </c>
      <c r="AH54" s="91">
        <f>'1'!AH54+'2'!AH54+'3'!AH54+'4'!AH54+'5'!AH54+'6'!AH54+'7'!AH54+'8'!AH54+'9'!AH54+'10'!AH54+'11'!AH54+'12'!AH54</f>
        <v>0</v>
      </c>
      <c r="AI54" s="91">
        <f>'1'!AI54+'2'!AI54+'3'!AI54+'4'!AI54+'5'!AI54+'6'!AI54+'7'!AI54+'8'!AI54+'9'!AI54+'10'!AI54+'11'!AI54+'12'!AI54</f>
        <v>0</v>
      </c>
      <c r="AJ54" s="91">
        <f>'1'!AJ54+'2'!AJ54+'3'!AJ54+'4'!AJ54+'5'!AJ54+'6'!AJ54+'7'!AJ54+'8'!AJ54+'9'!AJ54+'10'!AJ54+'11'!AJ54+'12'!AJ54</f>
        <v>0</v>
      </c>
      <c r="AK54" s="91">
        <f>'1'!AK54+'2'!AK54+'3'!AK54+'4'!AK54+'5'!AK54+'6'!AK54+'7'!AK54+'8'!AK54+'9'!AK54+'10'!AK54+'11'!AK54+'12'!AK54</f>
        <v>0</v>
      </c>
      <c r="AL54" s="91">
        <f>'1'!AL54+'2'!AL54+'3'!AL54+'4'!AL54+'5'!AL54+'6'!AL54+'7'!AL54+'8'!AL54+'9'!AL54+'10'!AL54+'11'!AL54+'12'!AL54</f>
        <v>0</v>
      </c>
      <c r="AM54" s="91">
        <f>'1'!AM54+'2'!AM54+'3'!AM54+'4'!AM54+'5'!AM54+'6'!AM54+'7'!AM54+'8'!AM54+'9'!AM54+'10'!AM54+'11'!AM54+'12'!AM54</f>
        <v>0</v>
      </c>
      <c r="AN54" s="91">
        <f>'1'!AN54+'2'!AN54+'3'!AN54+'4'!AN54+'5'!AN54+'6'!AN54+'7'!AN54+'8'!AN54+'9'!AN54+'10'!AN54+'11'!AN54+'12'!AN54</f>
        <v>0</v>
      </c>
      <c r="AO54" s="91">
        <f>'1'!AO54+'2'!AO54+'3'!AO54+'4'!AO54+'5'!AO54+'6'!AO54+'7'!AO54+'8'!AO54+'9'!AO54+'10'!AO54+'11'!AO54+'12'!AO54</f>
        <v>0</v>
      </c>
      <c r="AP54" s="91">
        <f>'1'!AP54+'2'!AP54+'3'!AP54+'4'!AP54+'5'!AP54+'6'!AP54+'7'!AP54+'8'!AP54+'9'!AP54+'10'!AP54+'11'!AP54+'12'!AP54</f>
        <v>0</v>
      </c>
      <c r="AQ54" s="16">
        <f t="shared" si="3"/>
        <v>0</v>
      </c>
      <c r="AR54" s="17">
        <f t="shared" si="11"/>
        <v>0</v>
      </c>
      <c r="AS54" s="91">
        <f t="shared" si="15"/>
        <v>0</v>
      </c>
      <c r="AT54" s="91">
        <f>'1'!AT54+'2'!AT54+'3'!AT54+'4'!AT54+'5'!AT54+'6'!AT54+'7'!AT54+'8'!AT54+'9'!AT54+'10'!AT54+'11'!AT54+'12'!AT54</f>
        <v>0</v>
      </c>
      <c r="AU54" s="92">
        <f t="shared" si="16"/>
        <v>0</v>
      </c>
      <c r="AV54" s="92">
        <f t="shared" si="5"/>
        <v>0</v>
      </c>
      <c r="AW54" s="92">
        <f t="shared" si="17"/>
        <v>0</v>
      </c>
      <c r="AX54" s="92">
        <f t="shared" si="18"/>
        <v>0</v>
      </c>
      <c r="AY54" s="92">
        <f>IF(D54=0,0,K54/D54/24)</f>
        <v>0</v>
      </c>
      <c r="AZ54" s="92">
        <f>IF(E54=0,0,L54/E54/24)</f>
        <v>0</v>
      </c>
      <c r="BA54" s="95">
        <f t="shared" si="19"/>
        <v>0</v>
      </c>
      <c r="BB54" s="140"/>
      <c r="BC54"/>
    </row>
    <row r="55" spans="1:55" ht="15" customHeight="1" thickBot="1" x14ac:dyDescent="0.3">
      <c r="A55" s="87" t="s">
        <v>52</v>
      </c>
      <c r="B55" s="124"/>
      <c r="C55" s="87"/>
      <c r="D55" s="129">
        <f t="shared" ref="D55:E55" si="34">SUM(D56:D61)</f>
        <v>0</v>
      </c>
      <c r="E55" s="129">
        <f t="shared" si="34"/>
        <v>0</v>
      </c>
      <c r="F55" s="129">
        <f>SUM(F56:F61)</f>
        <v>0</v>
      </c>
      <c r="G55" s="129">
        <f t="shared" ref="G55:AP55" si="35">SUM(G56:G61)</f>
        <v>0</v>
      </c>
      <c r="H55" s="131">
        <f t="shared" si="35"/>
        <v>0</v>
      </c>
      <c r="I55" s="131">
        <f t="shared" si="35"/>
        <v>0</v>
      </c>
      <c r="J55" s="129">
        <f t="shared" si="35"/>
        <v>0</v>
      </c>
      <c r="K55" s="130">
        <f t="shared" si="35"/>
        <v>0</v>
      </c>
      <c r="L55" s="130">
        <f t="shared" si="35"/>
        <v>0</v>
      </c>
      <c r="M55" s="129">
        <f t="shared" si="35"/>
        <v>0</v>
      </c>
      <c r="N55" s="129">
        <f t="shared" si="35"/>
        <v>0</v>
      </c>
      <c r="O55" s="129">
        <f t="shared" si="35"/>
        <v>0</v>
      </c>
      <c r="P55" s="129">
        <f t="shared" si="35"/>
        <v>0</v>
      </c>
      <c r="Q55" s="129">
        <f t="shared" si="35"/>
        <v>0</v>
      </c>
      <c r="R55" s="129">
        <f t="shared" si="35"/>
        <v>0</v>
      </c>
      <c r="S55" s="129">
        <f t="shared" si="35"/>
        <v>0</v>
      </c>
      <c r="T55" s="129">
        <f t="shared" si="35"/>
        <v>0</v>
      </c>
      <c r="U55" s="129">
        <f t="shared" si="35"/>
        <v>0</v>
      </c>
      <c r="V55" s="129">
        <f t="shared" si="35"/>
        <v>0</v>
      </c>
      <c r="W55" s="129">
        <f t="shared" si="35"/>
        <v>0</v>
      </c>
      <c r="X55" s="129">
        <f t="shared" si="35"/>
        <v>0</v>
      </c>
      <c r="Y55" s="129">
        <f t="shared" si="35"/>
        <v>0</v>
      </c>
      <c r="Z55" s="129">
        <f t="shared" si="35"/>
        <v>0</v>
      </c>
      <c r="AA55" s="129">
        <f t="shared" si="35"/>
        <v>0</v>
      </c>
      <c r="AB55" s="129">
        <f t="shared" si="35"/>
        <v>0</v>
      </c>
      <c r="AC55" s="129">
        <f t="shared" si="35"/>
        <v>0</v>
      </c>
      <c r="AD55" s="129">
        <f t="shared" si="35"/>
        <v>0</v>
      </c>
      <c r="AE55" s="129">
        <f t="shared" si="35"/>
        <v>0</v>
      </c>
      <c r="AF55" s="129">
        <f t="shared" si="35"/>
        <v>0</v>
      </c>
      <c r="AG55" s="129">
        <f t="shared" si="35"/>
        <v>0</v>
      </c>
      <c r="AH55" s="129">
        <f t="shared" si="35"/>
        <v>0</v>
      </c>
      <c r="AI55" s="129">
        <f t="shared" si="35"/>
        <v>0</v>
      </c>
      <c r="AJ55" s="129">
        <f t="shared" si="35"/>
        <v>0</v>
      </c>
      <c r="AK55" s="129">
        <f t="shared" si="35"/>
        <v>0</v>
      </c>
      <c r="AL55" s="129">
        <f t="shared" si="35"/>
        <v>0</v>
      </c>
      <c r="AM55" s="129">
        <f t="shared" si="35"/>
        <v>0</v>
      </c>
      <c r="AN55" s="129">
        <f t="shared" si="35"/>
        <v>0</v>
      </c>
      <c r="AO55" s="129">
        <f t="shared" si="35"/>
        <v>0</v>
      </c>
      <c r="AP55" s="129">
        <f t="shared" si="35"/>
        <v>0</v>
      </c>
      <c r="AQ55" s="129">
        <f t="shared" si="3"/>
        <v>0</v>
      </c>
      <c r="AR55" s="129">
        <f t="shared" si="11"/>
        <v>0</v>
      </c>
      <c r="AS55" s="129">
        <f t="shared" si="15"/>
        <v>0</v>
      </c>
      <c r="AT55" s="129">
        <f>SUM(AT56:AT61)</f>
        <v>0</v>
      </c>
      <c r="AU55" s="131">
        <f t="shared" si="16"/>
        <v>0</v>
      </c>
      <c r="AV55" s="131">
        <f>IF(AT55=0,0,(AT55-N55-P55-R55-AC55-AD55-AE55-AF55-AG55-AH55-AI55-AJ55-AL55)/AT55)</f>
        <v>0</v>
      </c>
      <c r="AW55" s="131">
        <f t="shared" si="17"/>
        <v>0</v>
      </c>
      <c r="AX55" s="131">
        <f t="shared" si="18"/>
        <v>0</v>
      </c>
      <c r="AY55" s="131"/>
      <c r="AZ55" s="131"/>
      <c r="BA55" s="129">
        <f t="shared" si="19"/>
        <v>0</v>
      </c>
      <c r="BB55" s="141"/>
      <c r="BC55"/>
    </row>
    <row r="56" spans="1:55" ht="15" customHeight="1" x14ac:dyDescent="0.25">
      <c r="A56" s="97" t="s">
        <v>53</v>
      </c>
      <c r="B56" s="123" t="s">
        <v>144</v>
      </c>
      <c r="C56" s="115">
        <v>15</v>
      </c>
      <c r="D56" s="121">
        <f>AT56*AU56*AW56</f>
        <v>0</v>
      </c>
      <c r="E56" s="16">
        <f>ROUND(AT56*AV56*AX56,4)</f>
        <v>0</v>
      </c>
      <c r="F56" s="91">
        <f>'1'!F56+'2'!F56+'3'!F56+'4'!F56+'5'!F56+'6'!F56+'7'!F56+'8'!F56+'9'!F56+'10'!F56+'11'!F56+'12'!F56</f>
        <v>0</v>
      </c>
      <c r="G56" s="91">
        <f>'1'!G56+'2'!G56+'3'!G56+'4'!G56+'5'!G56+'6'!G56+'7'!G56+'8'!G56+'9'!G56+'10'!G56+'11'!G56+'12'!G56</f>
        <v>0</v>
      </c>
      <c r="H56" s="135">
        <f>'1'!H56+'2'!H56+'3'!H56+'4'!H56+'5'!H56+'6'!H56+'7'!H56+'8'!H56+'9'!H56+'10'!H56+'11'!H56+'12'!H56</f>
        <v>0</v>
      </c>
      <c r="I56" s="135">
        <f>'1'!I56+'2'!I56+'3'!I56+'4'!I56+'5'!I56+'6'!I56+'7'!I56+'8'!I56+'9'!I56+'10'!I56+'11'!I56+'12'!I56</f>
        <v>0</v>
      </c>
      <c r="J56" s="14" t="s">
        <v>55</v>
      </c>
      <c r="K56" s="133">
        <f>'1'!K56+'2'!K56+'3'!K56+'4'!K56+'5'!K56+'6'!K56+'7'!K56+'8'!K56+'9'!K56+'10'!K56+'11'!K56+'12'!K56</f>
        <v>0</v>
      </c>
      <c r="L56" s="133">
        <f>'1'!L56+'2'!L56+'3'!L56+'4'!L56+'5'!L56+'6'!L56+'7'!L56+'8'!L56+'9'!L56+'10'!L56+'11'!L56+'12'!L56</f>
        <v>0</v>
      </c>
      <c r="M56" s="91">
        <f>'1'!M56+'2'!M56+'3'!M56+'4'!M56+'5'!M56+'6'!M56+'7'!M56+'8'!M56+'9'!M56+'10'!M56+'11'!M56+'12'!M56</f>
        <v>0</v>
      </c>
      <c r="N56" s="91">
        <f>'1'!N56+'2'!N56+'3'!N56+'4'!N56+'5'!N56+'6'!N56+'7'!N56+'8'!N56+'9'!N56+'10'!N56+'11'!N56+'12'!N56</f>
        <v>0</v>
      </c>
      <c r="O56" s="91">
        <f>'1'!O56+'2'!O56+'3'!O56+'4'!O56+'5'!O56+'6'!O56+'7'!O56+'8'!O56+'9'!O56+'10'!O56+'11'!O56+'12'!O56</f>
        <v>0</v>
      </c>
      <c r="P56" s="91">
        <f>'1'!P56+'2'!P56+'3'!P56+'4'!P56+'5'!P56+'6'!P56+'7'!P56+'8'!P56+'9'!P56+'10'!P56+'11'!P56+'12'!P56</f>
        <v>0</v>
      </c>
      <c r="Q56" s="91">
        <f>'1'!Q56+'2'!Q56+'3'!Q56+'4'!Q56+'5'!Q56+'6'!Q56+'7'!Q56+'8'!Q56+'9'!Q56+'10'!Q56+'11'!Q56+'12'!Q56</f>
        <v>0</v>
      </c>
      <c r="R56" s="91">
        <f>'1'!R56+'2'!R56+'3'!R56+'4'!R56+'5'!R56+'6'!R56+'7'!R56+'8'!R56+'9'!R56+'10'!R56+'11'!R56+'12'!R56</f>
        <v>0</v>
      </c>
      <c r="S56" s="91">
        <f>'1'!S56+'2'!S56+'3'!S56+'4'!S56+'5'!S56+'6'!S56+'7'!S56+'8'!S56+'9'!S56+'10'!S56+'11'!S56+'12'!S56</f>
        <v>0</v>
      </c>
      <c r="T56" s="91">
        <f>'1'!T56+'2'!T56+'3'!T56+'4'!T56+'5'!T56+'6'!T56+'7'!T56+'8'!T56+'9'!T56+'10'!T56+'11'!T56+'12'!T56</f>
        <v>0</v>
      </c>
      <c r="U56" s="91">
        <f>'1'!U56+'2'!U56+'3'!U56+'4'!U56+'5'!U56+'6'!U56+'7'!U56+'8'!U56+'9'!U56+'10'!U56+'11'!U56+'12'!U56</f>
        <v>0</v>
      </c>
      <c r="V56" s="91">
        <f>'1'!V56+'2'!V56+'3'!V56+'4'!V56+'5'!V56+'6'!V56+'7'!V56+'8'!V56+'9'!V56+'10'!V56+'11'!V56+'12'!V56</f>
        <v>0</v>
      </c>
      <c r="W56" s="91">
        <f>'1'!W56+'2'!W56+'3'!W56+'4'!W56+'5'!W56+'6'!W56+'7'!W56+'8'!W56+'9'!W56+'10'!W56+'11'!W56+'12'!W56</f>
        <v>0</v>
      </c>
      <c r="X56" s="91">
        <f>'1'!X56+'2'!X56+'3'!X56+'4'!X56+'5'!X56+'6'!X56+'7'!X56+'8'!X56+'9'!X56+'10'!X56+'11'!X56+'12'!X56</f>
        <v>0</v>
      </c>
      <c r="Y56" s="91">
        <f>'1'!Y56+'2'!Y56+'3'!Y56+'4'!Y56+'5'!Y56+'6'!Y56+'7'!Y56+'8'!Y56+'9'!Y56+'10'!Y56+'11'!Y56+'12'!Y56</f>
        <v>0</v>
      </c>
      <c r="Z56" s="91">
        <f>'1'!Z56+'2'!Z56+'3'!Z56+'4'!Z56+'5'!Z56+'6'!Z56+'7'!Z56+'8'!Z56+'9'!Z56+'10'!Z56+'11'!Z56+'12'!Z56</f>
        <v>0</v>
      </c>
      <c r="AA56" s="91">
        <f>'1'!AA56+'2'!AA56+'3'!AA56+'4'!AA56+'5'!AA56+'6'!AA56+'7'!AA56+'8'!AA56+'9'!AA56+'10'!AA56+'11'!AA56+'12'!AA56</f>
        <v>0</v>
      </c>
      <c r="AB56" s="91">
        <f>'1'!AB56+'2'!AB56+'3'!AB56+'4'!AB56+'5'!AB56+'6'!AB56+'7'!AB56+'8'!AB56+'9'!AB56+'10'!AB56+'11'!AB56+'12'!AB56</f>
        <v>0</v>
      </c>
      <c r="AC56" s="91">
        <f>'1'!AC56+'2'!AC56+'3'!AC56+'4'!AC56+'5'!AC56+'6'!AC56+'7'!AC56+'8'!AC56+'9'!AC56+'10'!AC56+'11'!AC56+'12'!AC56</f>
        <v>0</v>
      </c>
      <c r="AD56" s="91">
        <f>'1'!AD56+'2'!AD56+'3'!AD56+'4'!AD56+'5'!AD56+'6'!AD56+'7'!AD56+'8'!AD56+'9'!AD56+'10'!AD56+'11'!AD56+'12'!AD56</f>
        <v>0</v>
      </c>
      <c r="AE56" s="91">
        <f>'1'!AE56+'2'!AE56+'3'!AE56+'4'!AE56+'5'!AE56+'6'!AE56+'7'!AE56+'8'!AE56+'9'!AE56+'10'!AE56+'11'!AE56+'12'!AE56</f>
        <v>0</v>
      </c>
      <c r="AF56" s="91">
        <f>'1'!AF56+'2'!AF56+'3'!AF56+'4'!AF56+'5'!AF56+'6'!AF56+'7'!AF56+'8'!AF56+'9'!AF56+'10'!AF56+'11'!AF56+'12'!AF56</f>
        <v>0</v>
      </c>
      <c r="AG56" s="91">
        <f>'1'!AG56+'2'!AG56+'3'!AG56+'4'!AG56+'5'!AG56+'6'!AG56+'7'!AG56+'8'!AG56+'9'!AG56+'10'!AG56+'11'!AG56+'12'!AG56</f>
        <v>0</v>
      </c>
      <c r="AH56" s="91">
        <f>'1'!AH56+'2'!AH56+'3'!AH56+'4'!AH56+'5'!AH56+'6'!AH56+'7'!AH56+'8'!AH56+'9'!AH56+'10'!AH56+'11'!AH56+'12'!AH56</f>
        <v>0</v>
      </c>
      <c r="AI56" s="91">
        <f>'1'!AI56+'2'!AI56+'3'!AI56+'4'!AI56+'5'!AI56+'6'!AI56+'7'!AI56+'8'!AI56+'9'!AI56+'10'!AI56+'11'!AI56+'12'!AI56</f>
        <v>0</v>
      </c>
      <c r="AJ56" s="91">
        <f>'1'!AJ56+'2'!AJ56+'3'!AJ56+'4'!AJ56+'5'!AJ56+'6'!AJ56+'7'!AJ56+'8'!AJ56+'9'!AJ56+'10'!AJ56+'11'!AJ56+'12'!AJ56</f>
        <v>0</v>
      </c>
      <c r="AK56" s="91">
        <f>'1'!AK56+'2'!AK56+'3'!AK56+'4'!AK56+'5'!AK56+'6'!AK56+'7'!AK56+'8'!AK56+'9'!AK56+'10'!AK56+'11'!AK56+'12'!AK56</f>
        <v>0</v>
      </c>
      <c r="AL56" s="91">
        <f>'1'!AL56+'2'!AL56+'3'!AL56+'4'!AL56+'5'!AL56+'6'!AL56+'7'!AL56+'8'!AL56+'9'!AL56+'10'!AL56+'11'!AL56+'12'!AL56</f>
        <v>0</v>
      </c>
      <c r="AM56" s="91">
        <f>'1'!AM56+'2'!AM56+'3'!AM56+'4'!AM56+'5'!AM56+'6'!AM56+'7'!AM56+'8'!AM56+'9'!AM56+'10'!AM56+'11'!AM56+'12'!AM56</f>
        <v>0</v>
      </c>
      <c r="AN56" s="91">
        <f>'1'!AN56+'2'!AN56+'3'!AN56+'4'!AN56+'5'!AN56+'6'!AN56+'7'!AN56+'8'!AN56+'9'!AN56+'10'!AN56+'11'!AN56+'12'!AN56</f>
        <v>0</v>
      </c>
      <c r="AO56" s="91">
        <f>'1'!AO56+'2'!AO56+'3'!AO56+'4'!AO56+'5'!AO56+'6'!AO56+'7'!AO56+'8'!AO56+'9'!AO56+'10'!AO56+'11'!AO56+'12'!AO56</f>
        <v>0</v>
      </c>
      <c r="AP56" s="91">
        <f>'1'!AP56+'2'!AP56+'3'!AP56+'4'!AP56+'5'!AP56+'6'!AP56+'7'!AP56+'8'!AP56+'9'!AP56+'10'!AP56+'11'!AP56+'12'!AP56</f>
        <v>0</v>
      </c>
      <c r="AQ56" s="16">
        <f t="shared" si="3"/>
        <v>0</v>
      </c>
      <c r="AR56" s="17">
        <f t="shared" si="11"/>
        <v>0</v>
      </c>
      <c r="AS56" s="91">
        <f t="shared" si="15"/>
        <v>0</v>
      </c>
      <c r="AT56" s="91">
        <f>'1'!AT56+'2'!AT56+'3'!AT56+'4'!AT56+'5'!AT56+'6'!AT56+'7'!AT56+'8'!AT56+'9'!AT56+'10'!AT56+'11'!AT56+'12'!AT56</f>
        <v>0</v>
      </c>
      <c r="AU56" s="92">
        <f t="shared" si="16"/>
        <v>0</v>
      </c>
      <c r="AV56" s="92">
        <f t="shared" si="5"/>
        <v>0</v>
      </c>
      <c r="AW56" s="92">
        <f t="shared" si="17"/>
        <v>0</v>
      </c>
      <c r="AX56" s="92">
        <f t="shared" si="18"/>
        <v>0</v>
      </c>
      <c r="AY56" s="92">
        <f t="shared" ref="AY56:AZ59" si="36">IF(D56=0,0,K56/D56/24)</f>
        <v>0</v>
      </c>
      <c r="AZ56" s="92">
        <f t="shared" si="36"/>
        <v>0</v>
      </c>
      <c r="BA56" s="95">
        <f t="shared" si="19"/>
        <v>0</v>
      </c>
      <c r="BB56" s="138"/>
      <c r="BC56"/>
    </row>
    <row r="57" spans="1:55" ht="15" customHeight="1" x14ac:dyDescent="0.25">
      <c r="A57" s="71" t="s">
        <v>54</v>
      </c>
      <c r="B57" s="123" t="s">
        <v>145</v>
      </c>
      <c r="C57" s="112">
        <v>16</v>
      </c>
      <c r="D57" s="121">
        <f>AT57*AU57*AW57</f>
        <v>0</v>
      </c>
      <c r="E57" s="16">
        <f>ROUND(AT57*AV57*AX57,4)</f>
        <v>0</v>
      </c>
      <c r="F57" s="91">
        <f>'1'!F57+'2'!F57+'3'!F57+'4'!F57+'5'!F57+'6'!F57+'7'!F57+'8'!F57+'9'!F57+'10'!F57+'11'!F57+'12'!F57</f>
        <v>0</v>
      </c>
      <c r="G57" s="91">
        <f>'1'!G57+'2'!G57+'3'!G57+'4'!G57+'5'!G57+'6'!G57+'7'!G57+'8'!G57+'9'!G57+'10'!G57+'11'!G57+'12'!G57</f>
        <v>0</v>
      </c>
      <c r="H57" s="135">
        <f>'1'!H57+'2'!H57+'3'!H57+'4'!H57+'5'!H57+'6'!H57+'7'!H57+'8'!H57+'9'!H57+'10'!H57+'11'!H57+'12'!H57</f>
        <v>0</v>
      </c>
      <c r="I57" s="135">
        <f>'1'!I57+'2'!I57+'3'!I57+'4'!I57+'5'!I57+'6'!I57+'7'!I57+'8'!I57+'9'!I57+'10'!I57+'11'!I57+'12'!I57</f>
        <v>0</v>
      </c>
      <c r="J57" s="7" t="s">
        <v>55</v>
      </c>
      <c r="K57" s="133">
        <f>'1'!K57+'2'!K57+'3'!K57+'4'!K57+'5'!K57+'6'!K57+'7'!K57+'8'!K57+'9'!K57+'10'!K57+'11'!K57+'12'!K57</f>
        <v>0</v>
      </c>
      <c r="L57" s="133">
        <f>'1'!L57+'2'!L57+'3'!L57+'4'!L57+'5'!L57+'6'!L57+'7'!L57+'8'!L57+'9'!L57+'10'!L57+'11'!L57+'12'!L57</f>
        <v>0</v>
      </c>
      <c r="M57" s="91">
        <f>'1'!M57+'2'!M57+'3'!M57+'4'!M57+'5'!M57+'6'!M57+'7'!M57+'8'!M57+'9'!M57+'10'!M57+'11'!M57+'12'!M57</f>
        <v>0</v>
      </c>
      <c r="N57" s="91">
        <f>'1'!N57+'2'!N57+'3'!N57+'4'!N57+'5'!N57+'6'!N57+'7'!N57+'8'!N57+'9'!N57+'10'!N57+'11'!N57+'12'!N57</f>
        <v>0</v>
      </c>
      <c r="O57" s="91">
        <f>'1'!O57+'2'!O57+'3'!O57+'4'!O57+'5'!O57+'6'!O57+'7'!O57+'8'!O57+'9'!O57+'10'!O57+'11'!O57+'12'!O57</f>
        <v>0</v>
      </c>
      <c r="P57" s="91">
        <f>'1'!P57+'2'!P57+'3'!P57+'4'!P57+'5'!P57+'6'!P57+'7'!P57+'8'!P57+'9'!P57+'10'!P57+'11'!P57+'12'!P57</f>
        <v>0</v>
      </c>
      <c r="Q57" s="91">
        <f>'1'!Q57+'2'!Q57+'3'!Q57+'4'!Q57+'5'!Q57+'6'!Q57+'7'!Q57+'8'!Q57+'9'!Q57+'10'!Q57+'11'!Q57+'12'!Q57</f>
        <v>0</v>
      </c>
      <c r="R57" s="91">
        <f>'1'!R57+'2'!R57+'3'!R57+'4'!R57+'5'!R57+'6'!R57+'7'!R57+'8'!R57+'9'!R57+'10'!R57+'11'!R57+'12'!R57</f>
        <v>0</v>
      </c>
      <c r="S57" s="91">
        <f>'1'!S57+'2'!S57+'3'!S57+'4'!S57+'5'!S57+'6'!S57+'7'!S57+'8'!S57+'9'!S57+'10'!S57+'11'!S57+'12'!S57</f>
        <v>0</v>
      </c>
      <c r="T57" s="91">
        <f>'1'!T57+'2'!T57+'3'!T57+'4'!T57+'5'!T57+'6'!T57+'7'!T57+'8'!T57+'9'!T57+'10'!T57+'11'!T57+'12'!T57</f>
        <v>0</v>
      </c>
      <c r="U57" s="91">
        <f>'1'!U57+'2'!U57+'3'!U57+'4'!U57+'5'!U57+'6'!U57+'7'!U57+'8'!U57+'9'!U57+'10'!U57+'11'!U57+'12'!U57</f>
        <v>0</v>
      </c>
      <c r="V57" s="91">
        <f>'1'!V57+'2'!V57+'3'!V57+'4'!V57+'5'!V57+'6'!V57+'7'!V57+'8'!V57+'9'!V57+'10'!V57+'11'!V57+'12'!V57</f>
        <v>0</v>
      </c>
      <c r="W57" s="91">
        <f>'1'!W57+'2'!W57+'3'!W57+'4'!W57+'5'!W57+'6'!W57+'7'!W57+'8'!W57+'9'!W57+'10'!W57+'11'!W57+'12'!W57</f>
        <v>0</v>
      </c>
      <c r="X57" s="91">
        <f>'1'!X57+'2'!X57+'3'!X57+'4'!X57+'5'!X57+'6'!X57+'7'!X57+'8'!X57+'9'!X57+'10'!X57+'11'!X57+'12'!X57</f>
        <v>0</v>
      </c>
      <c r="Y57" s="91">
        <f>'1'!Y57+'2'!Y57+'3'!Y57+'4'!Y57+'5'!Y57+'6'!Y57+'7'!Y57+'8'!Y57+'9'!Y57+'10'!Y57+'11'!Y57+'12'!Y57</f>
        <v>0</v>
      </c>
      <c r="Z57" s="91">
        <f>'1'!Z57+'2'!Z57+'3'!Z57+'4'!Z57+'5'!Z57+'6'!Z57+'7'!Z57+'8'!Z57+'9'!Z57+'10'!Z57+'11'!Z57+'12'!Z57</f>
        <v>0</v>
      </c>
      <c r="AA57" s="91">
        <f>'1'!AA57+'2'!AA57+'3'!AA57+'4'!AA57+'5'!AA57+'6'!AA57+'7'!AA57+'8'!AA57+'9'!AA57+'10'!AA57+'11'!AA57+'12'!AA57</f>
        <v>0</v>
      </c>
      <c r="AB57" s="91">
        <f>'1'!AB57+'2'!AB57+'3'!AB57+'4'!AB57+'5'!AB57+'6'!AB57+'7'!AB57+'8'!AB57+'9'!AB57+'10'!AB57+'11'!AB57+'12'!AB57</f>
        <v>0</v>
      </c>
      <c r="AC57" s="91">
        <f>'1'!AC57+'2'!AC57+'3'!AC57+'4'!AC57+'5'!AC57+'6'!AC57+'7'!AC57+'8'!AC57+'9'!AC57+'10'!AC57+'11'!AC57+'12'!AC57</f>
        <v>0</v>
      </c>
      <c r="AD57" s="91">
        <f>'1'!AD57+'2'!AD57+'3'!AD57+'4'!AD57+'5'!AD57+'6'!AD57+'7'!AD57+'8'!AD57+'9'!AD57+'10'!AD57+'11'!AD57+'12'!AD57</f>
        <v>0</v>
      </c>
      <c r="AE57" s="91">
        <f>'1'!AE57+'2'!AE57+'3'!AE57+'4'!AE57+'5'!AE57+'6'!AE57+'7'!AE57+'8'!AE57+'9'!AE57+'10'!AE57+'11'!AE57+'12'!AE57</f>
        <v>0</v>
      </c>
      <c r="AF57" s="91">
        <f>'1'!AF57+'2'!AF57+'3'!AF57+'4'!AF57+'5'!AF57+'6'!AF57+'7'!AF57+'8'!AF57+'9'!AF57+'10'!AF57+'11'!AF57+'12'!AF57</f>
        <v>0</v>
      </c>
      <c r="AG57" s="91">
        <f>'1'!AG57+'2'!AG57+'3'!AG57+'4'!AG57+'5'!AG57+'6'!AG57+'7'!AG57+'8'!AG57+'9'!AG57+'10'!AG57+'11'!AG57+'12'!AG57</f>
        <v>0</v>
      </c>
      <c r="AH57" s="91">
        <f>'1'!AH57+'2'!AH57+'3'!AH57+'4'!AH57+'5'!AH57+'6'!AH57+'7'!AH57+'8'!AH57+'9'!AH57+'10'!AH57+'11'!AH57+'12'!AH57</f>
        <v>0</v>
      </c>
      <c r="AI57" s="91">
        <f>'1'!AI57+'2'!AI57+'3'!AI57+'4'!AI57+'5'!AI57+'6'!AI57+'7'!AI57+'8'!AI57+'9'!AI57+'10'!AI57+'11'!AI57+'12'!AI57</f>
        <v>0</v>
      </c>
      <c r="AJ57" s="91">
        <f>'1'!AJ57+'2'!AJ57+'3'!AJ57+'4'!AJ57+'5'!AJ57+'6'!AJ57+'7'!AJ57+'8'!AJ57+'9'!AJ57+'10'!AJ57+'11'!AJ57+'12'!AJ57</f>
        <v>0</v>
      </c>
      <c r="AK57" s="91">
        <f>'1'!AK57+'2'!AK57+'3'!AK57+'4'!AK57+'5'!AK57+'6'!AK57+'7'!AK57+'8'!AK57+'9'!AK57+'10'!AK57+'11'!AK57+'12'!AK57</f>
        <v>0</v>
      </c>
      <c r="AL57" s="91">
        <f>'1'!AL57+'2'!AL57+'3'!AL57+'4'!AL57+'5'!AL57+'6'!AL57+'7'!AL57+'8'!AL57+'9'!AL57+'10'!AL57+'11'!AL57+'12'!AL57</f>
        <v>0</v>
      </c>
      <c r="AM57" s="91">
        <f>'1'!AM57+'2'!AM57+'3'!AM57+'4'!AM57+'5'!AM57+'6'!AM57+'7'!AM57+'8'!AM57+'9'!AM57+'10'!AM57+'11'!AM57+'12'!AM57</f>
        <v>0</v>
      </c>
      <c r="AN57" s="91">
        <f>'1'!AN57+'2'!AN57+'3'!AN57+'4'!AN57+'5'!AN57+'6'!AN57+'7'!AN57+'8'!AN57+'9'!AN57+'10'!AN57+'11'!AN57+'12'!AN57</f>
        <v>0</v>
      </c>
      <c r="AO57" s="91">
        <f>'1'!AO57+'2'!AO57+'3'!AO57+'4'!AO57+'5'!AO57+'6'!AO57+'7'!AO57+'8'!AO57+'9'!AO57+'10'!AO57+'11'!AO57+'12'!AO57</f>
        <v>0</v>
      </c>
      <c r="AP57" s="91">
        <f>'1'!AP57+'2'!AP57+'3'!AP57+'4'!AP57+'5'!AP57+'6'!AP57+'7'!AP57+'8'!AP57+'9'!AP57+'10'!AP57+'11'!AP57+'12'!AP57</f>
        <v>0</v>
      </c>
      <c r="AQ57" s="16">
        <f t="shared" si="3"/>
        <v>0</v>
      </c>
      <c r="AR57" s="17">
        <f t="shared" si="11"/>
        <v>0</v>
      </c>
      <c r="AS57" s="91">
        <f t="shared" si="15"/>
        <v>0</v>
      </c>
      <c r="AT57" s="91">
        <f>'1'!AT57+'2'!AT57+'3'!AT57+'4'!AT57+'5'!AT57+'6'!AT57+'7'!AT57+'8'!AT57+'9'!AT57+'10'!AT57+'11'!AT57+'12'!AT57</f>
        <v>0</v>
      </c>
      <c r="AU57" s="92">
        <f t="shared" si="16"/>
        <v>0</v>
      </c>
      <c r="AV57" s="92">
        <f t="shared" si="5"/>
        <v>0</v>
      </c>
      <c r="AW57" s="92">
        <f t="shared" si="17"/>
        <v>0</v>
      </c>
      <c r="AX57" s="92">
        <f t="shared" si="18"/>
        <v>0</v>
      </c>
      <c r="AY57" s="92">
        <f t="shared" si="36"/>
        <v>0</v>
      </c>
      <c r="AZ57" s="92">
        <f t="shared" si="36"/>
        <v>0</v>
      </c>
      <c r="BA57" s="95">
        <f t="shared" si="19"/>
        <v>0</v>
      </c>
      <c r="BB57" s="139"/>
      <c r="BC57"/>
    </row>
    <row r="58" spans="1:55" ht="15" customHeight="1" x14ac:dyDescent="0.25">
      <c r="A58" s="73" t="s">
        <v>124</v>
      </c>
      <c r="B58" s="123" t="s">
        <v>146</v>
      </c>
      <c r="C58" s="113">
        <v>26</v>
      </c>
      <c r="D58" s="121">
        <f>AT58*AU58*AW58</f>
        <v>0</v>
      </c>
      <c r="E58" s="16">
        <f>ROUND(AT58*AV58*AX58,4)</f>
        <v>0</v>
      </c>
      <c r="F58" s="91">
        <f>'1'!F58+'2'!F58+'3'!F58+'4'!F58+'5'!F58+'6'!F58+'7'!F58+'8'!F58+'9'!F58+'10'!F58+'11'!F58+'12'!F58</f>
        <v>0</v>
      </c>
      <c r="G58" s="91">
        <f>'1'!G58+'2'!G58+'3'!G58+'4'!G58+'5'!G58+'6'!G58+'7'!G58+'8'!G58+'9'!G58+'10'!G58+'11'!G58+'12'!G58</f>
        <v>0</v>
      </c>
      <c r="H58" s="135">
        <f>'1'!H58+'2'!H58+'3'!H58+'4'!H58+'5'!H58+'6'!H58+'7'!H58+'8'!H58+'9'!H58+'10'!H58+'11'!H58+'12'!H58</f>
        <v>0</v>
      </c>
      <c r="I58" s="135">
        <f>'1'!I58+'2'!I58+'3'!I58+'4'!I58+'5'!I58+'6'!I58+'7'!I58+'8'!I58+'9'!I58+'10'!I58+'11'!I58+'12'!I58</f>
        <v>0</v>
      </c>
      <c r="J58" s="7" t="s">
        <v>55</v>
      </c>
      <c r="K58" s="133">
        <f>'1'!K58+'2'!K58+'3'!K58+'4'!K58+'5'!K58+'6'!K58+'7'!K58+'8'!K58+'9'!K58+'10'!K58+'11'!K58+'12'!K58</f>
        <v>0</v>
      </c>
      <c r="L58" s="133">
        <f>'1'!L58+'2'!L58+'3'!L58+'4'!L58+'5'!L58+'6'!L58+'7'!L58+'8'!L58+'9'!L58+'10'!L58+'11'!L58+'12'!L58</f>
        <v>0</v>
      </c>
      <c r="M58" s="91">
        <f>'1'!M58+'2'!M58+'3'!M58+'4'!M58+'5'!M58+'6'!M58+'7'!M58+'8'!M58+'9'!M58+'10'!M58+'11'!M58+'12'!M58</f>
        <v>0</v>
      </c>
      <c r="N58" s="91">
        <f>'1'!N58+'2'!N58+'3'!N58+'4'!N58+'5'!N58+'6'!N58+'7'!N58+'8'!N58+'9'!N58+'10'!N58+'11'!N58+'12'!N58</f>
        <v>0</v>
      </c>
      <c r="O58" s="91">
        <f>'1'!O58+'2'!O58+'3'!O58+'4'!O58+'5'!O58+'6'!O58+'7'!O58+'8'!O58+'9'!O58+'10'!O58+'11'!O58+'12'!O58</f>
        <v>0</v>
      </c>
      <c r="P58" s="91">
        <f>'1'!P58+'2'!P58+'3'!P58+'4'!P58+'5'!P58+'6'!P58+'7'!P58+'8'!P58+'9'!P58+'10'!P58+'11'!P58+'12'!P58</f>
        <v>0</v>
      </c>
      <c r="Q58" s="91">
        <f>'1'!Q58+'2'!Q58+'3'!Q58+'4'!Q58+'5'!Q58+'6'!Q58+'7'!Q58+'8'!Q58+'9'!Q58+'10'!Q58+'11'!Q58+'12'!Q58</f>
        <v>0</v>
      </c>
      <c r="R58" s="91">
        <f>'1'!R58+'2'!R58+'3'!R58+'4'!R58+'5'!R58+'6'!R58+'7'!R58+'8'!R58+'9'!R58+'10'!R58+'11'!R58+'12'!R58</f>
        <v>0</v>
      </c>
      <c r="S58" s="91">
        <f>'1'!S58+'2'!S58+'3'!S58+'4'!S58+'5'!S58+'6'!S58+'7'!S58+'8'!S58+'9'!S58+'10'!S58+'11'!S58+'12'!S58</f>
        <v>0</v>
      </c>
      <c r="T58" s="91">
        <f>'1'!T58+'2'!T58+'3'!T58+'4'!T58+'5'!T58+'6'!T58+'7'!T58+'8'!T58+'9'!T58+'10'!T58+'11'!T58+'12'!T58</f>
        <v>0</v>
      </c>
      <c r="U58" s="91">
        <f>'1'!U58+'2'!U58+'3'!U58+'4'!U58+'5'!U58+'6'!U58+'7'!U58+'8'!U58+'9'!U58+'10'!U58+'11'!U58+'12'!U58</f>
        <v>0</v>
      </c>
      <c r="V58" s="91">
        <f>'1'!V58+'2'!V58+'3'!V58+'4'!V58+'5'!V58+'6'!V58+'7'!V58+'8'!V58+'9'!V58+'10'!V58+'11'!V58+'12'!V58</f>
        <v>0</v>
      </c>
      <c r="W58" s="91">
        <f>'1'!W58+'2'!W58+'3'!W58+'4'!W58+'5'!W58+'6'!W58+'7'!W58+'8'!W58+'9'!W58+'10'!W58+'11'!W58+'12'!W58</f>
        <v>0</v>
      </c>
      <c r="X58" s="91">
        <f>'1'!X58+'2'!X58+'3'!X58+'4'!X58+'5'!X58+'6'!X58+'7'!X58+'8'!X58+'9'!X58+'10'!X58+'11'!X58+'12'!X58</f>
        <v>0</v>
      </c>
      <c r="Y58" s="91">
        <f>'1'!Y58+'2'!Y58+'3'!Y58+'4'!Y58+'5'!Y58+'6'!Y58+'7'!Y58+'8'!Y58+'9'!Y58+'10'!Y58+'11'!Y58+'12'!Y58</f>
        <v>0</v>
      </c>
      <c r="Z58" s="91">
        <f>'1'!Z58+'2'!Z58+'3'!Z58+'4'!Z58+'5'!Z58+'6'!Z58+'7'!Z58+'8'!Z58+'9'!Z58+'10'!Z58+'11'!Z58+'12'!Z58</f>
        <v>0</v>
      </c>
      <c r="AA58" s="91">
        <f>'1'!AA58+'2'!AA58+'3'!AA58+'4'!AA58+'5'!AA58+'6'!AA58+'7'!AA58+'8'!AA58+'9'!AA58+'10'!AA58+'11'!AA58+'12'!AA58</f>
        <v>0</v>
      </c>
      <c r="AB58" s="91">
        <f>'1'!AB58+'2'!AB58+'3'!AB58+'4'!AB58+'5'!AB58+'6'!AB58+'7'!AB58+'8'!AB58+'9'!AB58+'10'!AB58+'11'!AB58+'12'!AB58</f>
        <v>0</v>
      </c>
      <c r="AC58" s="91">
        <f>'1'!AC58+'2'!AC58+'3'!AC58+'4'!AC58+'5'!AC58+'6'!AC58+'7'!AC58+'8'!AC58+'9'!AC58+'10'!AC58+'11'!AC58+'12'!AC58</f>
        <v>0</v>
      </c>
      <c r="AD58" s="91">
        <f>'1'!AD58+'2'!AD58+'3'!AD58+'4'!AD58+'5'!AD58+'6'!AD58+'7'!AD58+'8'!AD58+'9'!AD58+'10'!AD58+'11'!AD58+'12'!AD58</f>
        <v>0</v>
      </c>
      <c r="AE58" s="91">
        <f>'1'!AE58+'2'!AE58+'3'!AE58+'4'!AE58+'5'!AE58+'6'!AE58+'7'!AE58+'8'!AE58+'9'!AE58+'10'!AE58+'11'!AE58+'12'!AE58</f>
        <v>0</v>
      </c>
      <c r="AF58" s="91">
        <f>'1'!AF58+'2'!AF58+'3'!AF58+'4'!AF58+'5'!AF58+'6'!AF58+'7'!AF58+'8'!AF58+'9'!AF58+'10'!AF58+'11'!AF58+'12'!AF58</f>
        <v>0</v>
      </c>
      <c r="AG58" s="91">
        <f>'1'!AG58+'2'!AG58+'3'!AG58+'4'!AG58+'5'!AG58+'6'!AG58+'7'!AG58+'8'!AG58+'9'!AG58+'10'!AG58+'11'!AG58+'12'!AG58</f>
        <v>0</v>
      </c>
      <c r="AH58" s="91">
        <f>'1'!AH58+'2'!AH58+'3'!AH58+'4'!AH58+'5'!AH58+'6'!AH58+'7'!AH58+'8'!AH58+'9'!AH58+'10'!AH58+'11'!AH58+'12'!AH58</f>
        <v>0</v>
      </c>
      <c r="AI58" s="91">
        <f>'1'!AI58+'2'!AI58+'3'!AI58+'4'!AI58+'5'!AI58+'6'!AI58+'7'!AI58+'8'!AI58+'9'!AI58+'10'!AI58+'11'!AI58+'12'!AI58</f>
        <v>0</v>
      </c>
      <c r="AJ58" s="91">
        <f>'1'!AJ58+'2'!AJ58+'3'!AJ58+'4'!AJ58+'5'!AJ58+'6'!AJ58+'7'!AJ58+'8'!AJ58+'9'!AJ58+'10'!AJ58+'11'!AJ58+'12'!AJ58</f>
        <v>0</v>
      </c>
      <c r="AK58" s="91">
        <f>'1'!AK58+'2'!AK58+'3'!AK58+'4'!AK58+'5'!AK58+'6'!AK58+'7'!AK58+'8'!AK58+'9'!AK58+'10'!AK58+'11'!AK58+'12'!AK58</f>
        <v>0</v>
      </c>
      <c r="AL58" s="91">
        <f>'1'!AL58+'2'!AL58+'3'!AL58+'4'!AL58+'5'!AL58+'6'!AL58+'7'!AL58+'8'!AL58+'9'!AL58+'10'!AL58+'11'!AL58+'12'!AL58</f>
        <v>0</v>
      </c>
      <c r="AM58" s="91">
        <f>'1'!AM58+'2'!AM58+'3'!AM58+'4'!AM58+'5'!AM58+'6'!AM58+'7'!AM58+'8'!AM58+'9'!AM58+'10'!AM58+'11'!AM58+'12'!AM58</f>
        <v>0</v>
      </c>
      <c r="AN58" s="91">
        <f>'1'!AN58+'2'!AN58+'3'!AN58+'4'!AN58+'5'!AN58+'6'!AN58+'7'!AN58+'8'!AN58+'9'!AN58+'10'!AN58+'11'!AN58+'12'!AN58</f>
        <v>0</v>
      </c>
      <c r="AO58" s="91">
        <f>'1'!AO58+'2'!AO58+'3'!AO58+'4'!AO58+'5'!AO58+'6'!AO58+'7'!AO58+'8'!AO58+'9'!AO58+'10'!AO58+'11'!AO58+'12'!AO58</f>
        <v>0</v>
      </c>
      <c r="AP58" s="91">
        <f>'1'!AP58+'2'!AP58+'3'!AP58+'4'!AP58+'5'!AP58+'6'!AP58+'7'!AP58+'8'!AP58+'9'!AP58+'10'!AP58+'11'!AP58+'12'!AP58</f>
        <v>0</v>
      </c>
      <c r="AQ58" s="16">
        <f t="shared" si="3"/>
        <v>0</v>
      </c>
      <c r="AR58" s="17">
        <f t="shared" si="11"/>
        <v>0</v>
      </c>
      <c r="AS58" s="91">
        <f t="shared" si="15"/>
        <v>0</v>
      </c>
      <c r="AT58" s="91">
        <f>'1'!AT58+'2'!AT58+'3'!AT58+'4'!AT58+'5'!AT58+'6'!AT58+'7'!AT58+'8'!AT58+'9'!AT58+'10'!AT58+'11'!AT58+'12'!AT58</f>
        <v>0</v>
      </c>
      <c r="AU58" s="92">
        <f t="shared" si="16"/>
        <v>0</v>
      </c>
      <c r="AV58" s="92">
        <f t="shared" si="5"/>
        <v>0</v>
      </c>
      <c r="AW58" s="92">
        <f t="shared" si="17"/>
        <v>0</v>
      </c>
      <c r="AX58" s="92">
        <f t="shared" si="18"/>
        <v>0</v>
      </c>
      <c r="AY58" s="92">
        <f t="shared" si="36"/>
        <v>0</v>
      </c>
      <c r="AZ58" s="92">
        <f t="shared" si="36"/>
        <v>0</v>
      </c>
      <c r="BA58" s="95">
        <f t="shared" si="19"/>
        <v>0</v>
      </c>
      <c r="BB58" s="139"/>
      <c r="BC58"/>
    </row>
    <row r="59" spans="1:55" ht="15" customHeight="1" x14ac:dyDescent="0.25">
      <c r="A59" s="73" t="s">
        <v>125</v>
      </c>
      <c r="B59" s="123" t="s">
        <v>147</v>
      </c>
      <c r="C59" s="112">
        <v>30</v>
      </c>
      <c r="D59" s="121">
        <f>AT59*AU59*AW59</f>
        <v>0</v>
      </c>
      <c r="E59" s="16">
        <f>ROUND(AT59*AV59*AX59,4)</f>
        <v>0</v>
      </c>
      <c r="F59" s="91">
        <f>'1'!F59+'2'!F59+'3'!F59+'4'!F59+'5'!F59+'6'!F59+'7'!F59+'8'!F59+'9'!F59+'10'!F59+'11'!F59+'12'!F59</f>
        <v>0</v>
      </c>
      <c r="G59" s="91">
        <f>'1'!G59+'2'!G59+'3'!G59+'4'!G59+'5'!G59+'6'!G59+'7'!G59+'8'!G59+'9'!G59+'10'!G59+'11'!G59+'12'!G59</f>
        <v>0</v>
      </c>
      <c r="H59" s="135">
        <f>'1'!H59+'2'!H59+'3'!H59+'4'!H59+'5'!H59+'6'!H59+'7'!H59+'8'!H59+'9'!H59+'10'!H59+'11'!H59+'12'!H59</f>
        <v>0</v>
      </c>
      <c r="I59" s="135">
        <f>'1'!I59+'2'!I59+'3'!I59+'4'!I59+'5'!I59+'6'!I59+'7'!I59+'8'!I59+'9'!I59+'10'!I59+'11'!I59+'12'!I59</f>
        <v>0</v>
      </c>
      <c r="J59" s="7" t="s">
        <v>55</v>
      </c>
      <c r="K59" s="133">
        <f>'1'!K59+'2'!K59+'3'!K59+'4'!K59+'5'!K59+'6'!K59+'7'!K59+'8'!K59+'9'!K59+'10'!K59+'11'!K59+'12'!K59</f>
        <v>0</v>
      </c>
      <c r="L59" s="133">
        <f>'1'!L59+'2'!L59+'3'!L59+'4'!L59+'5'!L59+'6'!L59+'7'!L59+'8'!L59+'9'!L59+'10'!L59+'11'!L59+'12'!L59</f>
        <v>0</v>
      </c>
      <c r="M59" s="91">
        <f>'1'!M59+'2'!M59+'3'!M59+'4'!M59+'5'!M59+'6'!M59+'7'!M59+'8'!M59+'9'!M59+'10'!M59+'11'!M59+'12'!M59</f>
        <v>0</v>
      </c>
      <c r="N59" s="91">
        <f>'1'!N59+'2'!N59+'3'!N59+'4'!N59+'5'!N59+'6'!N59+'7'!N59+'8'!N59+'9'!N59+'10'!N59+'11'!N59+'12'!N59</f>
        <v>0</v>
      </c>
      <c r="O59" s="91">
        <f>'1'!O59+'2'!O59+'3'!O59+'4'!O59+'5'!O59+'6'!O59+'7'!O59+'8'!O59+'9'!O59+'10'!O59+'11'!O59+'12'!O59</f>
        <v>0</v>
      </c>
      <c r="P59" s="91">
        <f>'1'!P59+'2'!P59+'3'!P59+'4'!P59+'5'!P59+'6'!P59+'7'!P59+'8'!P59+'9'!P59+'10'!P59+'11'!P59+'12'!P59</f>
        <v>0</v>
      </c>
      <c r="Q59" s="91">
        <f>'1'!Q59+'2'!Q59+'3'!Q59+'4'!Q59+'5'!Q59+'6'!Q59+'7'!Q59+'8'!Q59+'9'!Q59+'10'!Q59+'11'!Q59+'12'!Q59</f>
        <v>0</v>
      </c>
      <c r="R59" s="91">
        <f>'1'!R59+'2'!R59+'3'!R59+'4'!R59+'5'!R59+'6'!R59+'7'!R59+'8'!R59+'9'!R59+'10'!R59+'11'!R59+'12'!R59</f>
        <v>0</v>
      </c>
      <c r="S59" s="91">
        <f>'1'!S59+'2'!S59+'3'!S59+'4'!S59+'5'!S59+'6'!S59+'7'!S59+'8'!S59+'9'!S59+'10'!S59+'11'!S59+'12'!S59</f>
        <v>0</v>
      </c>
      <c r="T59" s="91">
        <f>'1'!T59+'2'!T59+'3'!T59+'4'!T59+'5'!T59+'6'!T59+'7'!T59+'8'!T59+'9'!T59+'10'!T59+'11'!T59+'12'!T59</f>
        <v>0</v>
      </c>
      <c r="U59" s="91">
        <f>'1'!U59+'2'!U59+'3'!U59+'4'!U59+'5'!U59+'6'!U59+'7'!U59+'8'!U59+'9'!U59+'10'!U59+'11'!U59+'12'!U59</f>
        <v>0</v>
      </c>
      <c r="V59" s="91">
        <f>'1'!V59+'2'!V59+'3'!V59+'4'!V59+'5'!V59+'6'!V59+'7'!V59+'8'!V59+'9'!V59+'10'!V59+'11'!V59+'12'!V59</f>
        <v>0</v>
      </c>
      <c r="W59" s="91">
        <f>'1'!W59+'2'!W59+'3'!W59+'4'!W59+'5'!W59+'6'!W59+'7'!W59+'8'!W59+'9'!W59+'10'!W59+'11'!W59+'12'!W59</f>
        <v>0</v>
      </c>
      <c r="X59" s="91">
        <f>'1'!X59+'2'!X59+'3'!X59+'4'!X59+'5'!X59+'6'!X59+'7'!X59+'8'!X59+'9'!X59+'10'!X59+'11'!X59+'12'!X59</f>
        <v>0</v>
      </c>
      <c r="Y59" s="91">
        <f>'1'!Y59+'2'!Y59+'3'!Y59+'4'!Y59+'5'!Y59+'6'!Y59+'7'!Y59+'8'!Y59+'9'!Y59+'10'!Y59+'11'!Y59+'12'!Y59</f>
        <v>0</v>
      </c>
      <c r="Z59" s="91">
        <f>'1'!Z59+'2'!Z59+'3'!Z59+'4'!Z59+'5'!Z59+'6'!Z59+'7'!Z59+'8'!Z59+'9'!Z59+'10'!Z59+'11'!Z59+'12'!Z59</f>
        <v>0</v>
      </c>
      <c r="AA59" s="91">
        <f>'1'!AA59+'2'!AA59+'3'!AA59+'4'!AA59+'5'!AA59+'6'!AA59+'7'!AA59+'8'!AA59+'9'!AA59+'10'!AA59+'11'!AA59+'12'!AA59</f>
        <v>0</v>
      </c>
      <c r="AB59" s="91">
        <f>'1'!AB59+'2'!AB59+'3'!AB59+'4'!AB59+'5'!AB59+'6'!AB59+'7'!AB59+'8'!AB59+'9'!AB59+'10'!AB59+'11'!AB59+'12'!AB59</f>
        <v>0</v>
      </c>
      <c r="AC59" s="91">
        <f>'1'!AC59+'2'!AC59+'3'!AC59+'4'!AC59+'5'!AC59+'6'!AC59+'7'!AC59+'8'!AC59+'9'!AC59+'10'!AC59+'11'!AC59+'12'!AC59</f>
        <v>0</v>
      </c>
      <c r="AD59" s="91">
        <f>'1'!AD59+'2'!AD59+'3'!AD59+'4'!AD59+'5'!AD59+'6'!AD59+'7'!AD59+'8'!AD59+'9'!AD59+'10'!AD59+'11'!AD59+'12'!AD59</f>
        <v>0</v>
      </c>
      <c r="AE59" s="91">
        <f>'1'!AE59+'2'!AE59+'3'!AE59+'4'!AE59+'5'!AE59+'6'!AE59+'7'!AE59+'8'!AE59+'9'!AE59+'10'!AE59+'11'!AE59+'12'!AE59</f>
        <v>0</v>
      </c>
      <c r="AF59" s="91">
        <f>'1'!AF59+'2'!AF59+'3'!AF59+'4'!AF59+'5'!AF59+'6'!AF59+'7'!AF59+'8'!AF59+'9'!AF59+'10'!AF59+'11'!AF59+'12'!AF59</f>
        <v>0</v>
      </c>
      <c r="AG59" s="91">
        <f>'1'!AG59+'2'!AG59+'3'!AG59+'4'!AG59+'5'!AG59+'6'!AG59+'7'!AG59+'8'!AG59+'9'!AG59+'10'!AG59+'11'!AG59+'12'!AG59</f>
        <v>0</v>
      </c>
      <c r="AH59" s="91">
        <f>'1'!AH59+'2'!AH59+'3'!AH59+'4'!AH59+'5'!AH59+'6'!AH59+'7'!AH59+'8'!AH59+'9'!AH59+'10'!AH59+'11'!AH59+'12'!AH59</f>
        <v>0</v>
      </c>
      <c r="AI59" s="91">
        <f>'1'!AI59+'2'!AI59+'3'!AI59+'4'!AI59+'5'!AI59+'6'!AI59+'7'!AI59+'8'!AI59+'9'!AI59+'10'!AI59+'11'!AI59+'12'!AI59</f>
        <v>0</v>
      </c>
      <c r="AJ59" s="91">
        <f>'1'!AJ59+'2'!AJ59+'3'!AJ59+'4'!AJ59+'5'!AJ59+'6'!AJ59+'7'!AJ59+'8'!AJ59+'9'!AJ59+'10'!AJ59+'11'!AJ59+'12'!AJ59</f>
        <v>0</v>
      </c>
      <c r="AK59" s="91">
        <f>'1'!AK59+'2'!AK59+'3'!AK59+'4'!AK59+'5'!AK59+'6'!AK59+'7'!AK59+'8'!AK59+'9'!AK59+'10'!AK59+'11'!AK59+'12'!AK59</f>
        <v>0</v>
      </c>
      <c r="AL59" s="91">
        <f>'1'!AL59+'2'!AL59+'3'!AL59+'4'!AL59+'5'!AL59+'6'!AL59+'7'!AL59+'8'!AL59+'9'!AL59+'10'!AL59+'11'!AL59+'12'!AL59</f>
        <v>0</v>
      </c>
      <c r="AM59" s="91">
        <f>'1'!AM59+'2'!AM59+'3'!AM59+'4'!AM59+'5'!AM59+'6'!AM59+'7'!AM59+'8'!AM59+'9'!AM59+'10'!AM59+'11'!AM59+'12'!AM59</f>
        <v>0</v>
      </c>
      <c r="AN59" s="91">
        <f>'1'!AN59+'2'!AN59+'3'!AN59+'4'!AN59+'5'!AN59+'6'!AN59+'7'!AN59+'8'!AN59+'9'!AN59+'10'!AN59+'11'!AN59+'12'!AN59</f>
        <v>0</v>
      </c>
      <c r="AO59" s="91">
        <f>'1'!AO59+'2'!AO59+'3'!AO59+'4'!AO59+'5'!AO59+'6'!AO59+'7'!AO59+'8'!AO59+'9'!AO59+'10'!AO59+'11'!AO59+'12'!AO59</f>
        <v>0</v>
      </c>
      <c r="AP59" s="91">
        <f>'1'!AP59+'2'!AP59+'3'!AP59+'4'!AP59+'5'!AP59+'6'!AP59+'7'!AP59+'8'!AP59+'9'!AP59+'10'!AP59+'11'!AP59+'12'!AP59</f>
        <v>0</v>
      </c>
      <c r="AQ59" s="16">
        <f t="shared" si="3"/>
        <v>0</v>
      </c>
      <c r="AR59" s="17">
        <f t="shared" si="11"/>
        <v>0</v>
      </c>
      <c r="AS59" s="91">
        <f t="shared" si="15"/>
        <v>0</v>
      </c>
      <c r="AT59" s="91">
        <f>'1'!AT59+'2'!AT59+'3'!AT59+'4'!AT59+'5'!AT59+'6'!AT59+'7'!AT59+'8'!AT59+'9'!AT59+'10'!AT59+'11'!AT59+'12'!AT59</f>
        <v>0</v>
      </c>
      <c r="AU59" s="92">
        <f t="shared" si="16"/>
        <v>0</v>
      </c>
      <c r="AV59" s="92">
        <f t="shared" si="5"/>
        <v>0</v>
      </c>
      <c r="AW59" s="92">
        <f t="shared" si="17"/>
        <v>0</v>
      </c>
      <c r="AX59" s="92">
        <f t="shared" si="18"/>
        <v>0</v>
      </c>
      <c r="AY59" s="92">
        <f t="shared" si="36"/>
        <v>0</v>
      </c>
      <c r="AZ59" s="92">
        <f t="shared" si="36"/>
        <v>0</v>
      </c>
      <c r="BA59" s="95">
        <f t="shared" si="19"/>
        <v>0</v>
      </c>
      <c r="BB59" s="139"/>
      <c r="BC59"/>
    </row>
    <row r="60" spans="1:55" ht="15" customHeight="1" x14ac:dyDescent="0.25">
      <c r="A60" s="73" t="s">
        <v>151</v>
      </c>
      <c r="B60" s="148" t="s">
        <v>150</v>
      </c>
      <c r="C60" s="112">
        <v>32</v>
      </c>
      <c r="D60" s="121">
        <f t="shared" ref="D60:D61" si="37">AT60*AU60*AW60</f>
        <v>0</v>
      </c>
      <c r="E60" s="16">
        <f t="shared" ref="E60:E61" si="38">ROUND(AT60*AV60*AX60,4)</f>
        <v>0</v>
      </c>
      <c r="F60" s="91">
        <f>'1'!F60+'2'!F60+'3'!F60+'4'!F60+'5'!F60+'6'!F60+'7'!F60+'8'!F60+'9'!F60+'10'!F60+'11'!F60+'12'!F60</f>
        <v>0</v>
      </c>
      <c r="G60" s="91">
        <f>'1'!G60+'2'!G60+'3'!G60+'4'!G60+'5'!G60+'6'!G60+'7'!G60+'8'!G60+'9'!G60+'10'!G60+'11'!G60+'12'!G60</f>
        <v>0</v>
      </c>
      <c r="H60" s="135">
        <f>'1'!H60+'2'!H60+'3'!H60+'4'!H60+'5'!H60+'6'!H60+'7'!H60+'8'!H60+'9'!H60+'10'!H60+'11'!H60+'12'!H60</f>
        <v>0</v>
      </c>
      <c r="I60" s="135">
        <f>'1'!I60+'2'!I60+'3'!I60+'4'!I60+'5'!I60+'6'!I60+'7'!I60+'8'!I60+'9'!I60+'10'!I60+'11'!I60+'12'!I60</f>
        <v>0</v>
      </c>
      <c r="J60" s="7" t="s">
        <v>55</v>
      </c>
      <c r="K60" s="133">
        <f>'1'!K60+'2'!K60+'3'!K60+'4'!K60+'5'!K60+'6'!K60+'7'!K60+'8'!K60+'9'!K60+'10'!K60+'11'!K60+'12'!K60</f>
        <v>0</v>
      </c>
      <c r="L60" s="133">
        <f>'1'!L60+'2'!L60+'3'!L60+'4'!L60+'5'!L60+'6'!L60+'7'!L60+'8'!L60+'9'!L60+'10'!L60+'11'!L60+'12'!L60</f>
        <v>0</v>
      </c>
      <c r="M60" s="91">
        <f>'1'!M60+'2'!M60+'3'!M60+'4'!M60+'5'!M60+'6'!M60+'7'!M60+'8'!M60+'9'!M60+'10'!M60+'11'!M60+'12'!M60</f>
        <v>0</v>
      </c>
      <c r="N60" s="91">
        <f>'1'!N60+'2'!N60+'3'!N60+'4'!N60+'5'!N60+'6'!N60+'7'!N60+'8'!N60+'9'!N60+'10'!N60+'11'!N60+'12'!N60</f>
        <v>0</v>
      </c>
      <c r="O60" s="91">
        <f>'1'!O60+'2'!O60+'3'!O60+'4'!O60+'5'!O60+'6'!O60+'7'!O60+'8'!O60+'9'!O60+'10'!O60+'11'!O60+'12'!O60</f>
        <v>0</v>
      </c>
      <c r="P60" s="91">
        <f>'1'!P60+'2'!P60+'3'!P60+'4'!P60+'5'!P60+'6'!P60+'7'!P60+'8'!P60+'9'!P60+'10'!P60+'11'!P60+'12'!P60</f>
        <v>0</v>
      </c>
      <c r="Q60" s="91">
        <f>'1'!Q60+'2'!Q60+'3'!Q60+'4'!Q60+'5'!Q60+'6'!Q60+'7'!Q60+'8'!Q60+'9'!Q60+'10'!Q60+'11'!Q60+'12'!Q60</f>
        <v>0</v>
      </c>
      <c r="R60" s="91">
        <f>'1'!R60+'2'!R60+'3'!R60+'4'!R60+'5'!R60+'6'!R60+'7'!R60+'8'!R60+'9'!R60+'10'!R60+'11'!R60+'12'!R60</f>
        <v>0</v>
      </c>
      <c r="S60" s="91">
        <f>'1'!S60+'2'!S60+'3'!S60+'4'!S60+'5'!S60+'6'!S60+'7'!S60+'8'!S60+'9'!S60+'10'!S60+'11'!S60+'12'!S60</f>
        <v>0</v>
      </c>
      <c r="T60" s="91">
        <f>'1'!T60+'2'!T60+'3'!T60+'4'!T60+'5'!T60+'6'!T60+'7'!T60+'8'!T60+'9'!T60+'10'!T60+'11'!T60+'12'!T60</f>
        <v>0</v>
      </c>
      <c r="U60" s="91">
        <f>'1'!U60+'2'!U60+'3'!U60+'4'!U60+'5'!U60+'6'!U60+'7'!U60+'8'!U60+'9'!U60+'10'!U60+'11'!U60+'12'!U60</f>
        <v>0</v>
      </c>
      <c r="V60" s="91">
        <f>'1'!V60+'2'!V60+'3'!V60+'4'!V60+'5'!V60+'6'!V60+'7'!V60+'8'!V60+'9'!V60+'10'!V60+'11'!V60+'12'!V60</f>
        <v>0</v>
      </c>
      <c r="W60" s="91">
        <f>'1'!W60+'2'!W60+'3'!W60+'4'!W60+'5'!W60+'6'!W60+'7'!W60+'8'!W60+'9'!W60+'10'!W60+'11'!W60+'12'!W60</f>
        <v>0</v>
      </c>
      <c r="X60" s="91">
        <f>'1'!X60+'2'!X60+'3'!X60+'4'!X60+'5'!X60+'6'!X60+'7'!X60+'8'!X60+'9'!X60+'10'!X60+'11'!X60+'12'!X60</f>
        <v>0</v>
      </c>
      <c r="Y60" s="91">
        <f>'1'!Y60+'2'!Y60+'3'!Y60+'4'!Y60+'5'!Y60+'6'!Y60+'7'!Y60+'8'!Y60+'9'!Y60+'10'!Y60+'11'!Y60+'12'!Y60</f>
        <v>0</v>
      </c>
      <c r="Z60" s="91">
        <f>'1'!Z60+'2'!Z60+'3'!Z60+'4'!Z60+'5'!Z60+'6'!Z60+'7'!Z60+'8'!Z60+'9'!Z60+'10'!Z60+'11'!Z60+'12'!Z60</f>
        <v>0</v>
      </c>
      <c r="AA60" s="91">
        <f>'1'!AA60+'2'!AA60+'3'!AA60+'4'!AA60+'5'!AA60+'6'!AA60+'7'!AA60+'8'!AA60+'9'!AA60+'10'!AA60+'11'!AA60+'12'!AA60</f>
        <v>0</v>
      </c>
      <c r="AB60" s="91">
        <f>'1'!AB60+'2'!AB60+'3'!AB60+'4'!AB60+'5'!AB60+'6'!AB60+'7'!AB60+'8'!AB60+'9'!AB60+'10'!AB60+'11'!AB60+'12'!AB60</f>
        <v>0</v>
      </c>
      <c r="AC60" s="91">
        <f>'1'!AC60+'2'!AC60+'3'!AC60+'4'!AC60+'5'!AC60+'6'!AC60+'7'!AC60+'8'!AC60+'9'!AC60+'10'!AC60+'11'!AC60+'12'!AC60</f>
        <v>0</v>
      </c>
      <c r="AD60" s="91">
        <f>'1'!AD60+'2'!AD60+'3'!AD60+'4'!AD60+'5'!AD60+'6'!AD60+'7'!AD60+'8'!AD60+'9'!AD60+'10'!AD60+'11'!AD60+'12'!AD60</f>
        <v>0</v>
      </c>
      <c r="AE60" s="91">
        <f>'1'!AE60+'2'!AE60+'3'!AE60+'4'!AE60+'5'!AE60+'6'!AE60+'7'!AE60+'8'!AE60+'9'!AE60+'10'!AE60+'11'!AE60+'12'!AE60</f>
        <v>0</v>
      </c>
      <c r="AF60" s="91">
        <f>'1'!AF60+'2'!AF60+'3'!AF60+'4'!AF60+'5'!AF60+'6'!AF60+'7'!AF60+'8'!AF60+'9'!AF60+'10'!AF60+'11'!AF60+'12'!AF60</f>
        <v>0</v>
      </c>
      <c r="AG60" s="91">
        <f>'1'!AG60+'2'!AG60+'3'!AG60+'4'!AG60+'5'!AG60+'6'!AG60+'7'!AG60+'8'!AG60+'9'!AG60+'10'!AG60+'11'!AG60+'12'!AG60</f>
        <v>0</v>
      </c>
      <c r="AH60" s="91">
        <f>'1'!AH60+'2'!AH60+'3'!AH60+'4'!AH60+'5'!AH60+'6'!AH60+'7'!AH60+'8'!AH60+'9'!AH60+'10'!AH60+'11'!AH60+'12'!AH60</f>
        <v>0</v>
      </c>
      <c r="AI60" s="91">
        <f>'1'!AI60+'2'!AI60+'3'!AI60+'4'!AI60+'5'!AI60+'6'!AI60+'7'!AI60+'8'!AI60+'9'!AI60+'10'!AI60+'11'!AI60+'12'!AI60</f>
        <v>0</v>
      </c>
      <c r="AJ60" s="91">
        <f>'1'!AJ60+'2'!AJ60+'3'!AJ60+'4'!AJ60+'5'!AJ60+'6'!AJ60+'7'!AJ60+'8'!AJ60+'9'!AJ60+'10'!AJ60+'11'!AJ60+'12'!AJ60</f>
        <v>0</v>
      </c>
      <c r="AK60" s="91">
        <f>'1'!AK60+'2'!AK60+'3'!AK60+'4'!AK60+'5'!AK60+'6'!AK60+'7'!AK60+'8'!AK60+'9'!AK60+'10'!AK60+'11'!AK60+'12'!AK60</f>
        <v>0</v>
      </c>
      <c r="AL60" s="91">
        <f>'1'!AL60+'2'!AL60+'3'!AL60+'4'!AL60+'5'!AL60+'6'!AL60+'7'!AL60+'8'!AL60+'9'!AL60+'10'!AL60+'11'!AL60+'12'!AL60</f>
        <v>0</v>
      </c>
      <c r="AM60" s="91">
        <f>'1'!AM60+'2'!AM60+'3'!AM60+'4'!AM60+'5'!AM60+'6'!AM60+'7'!AM60+'8'!AM60+'9'!AM60+'10'!AM60+'11'!AM60+'12'!AM60</f>
        <v>0</v>
      </c>
      <c r="AN60" s="91">
        <f>'1'!AN60+'2'!AN60+'3'!AN60+'4'!AN60+'5'!AN60+'6'!AN60+'7'!AN60+'8'!AN60+'9'!AN60+'10'!AN60+'11'!AN60+'12'!AN60</f>
        <v>0</v>
      </c>
      <c r="AO60" s="91">
        <f>'1'!AO60+'2'!AO60+'3'!AO60+'4'!AO60+'5'!AO60+'6'!AO60+'7'!AO60+'8'!AO60+'9'!AO60+'10'!AO60+'11'!AO60+'12'!AO60</f>
        <v>0</v>
      </c>
      <c r="AP60" s="91">
        <f>'1'!AP60+'2'!AP60+'3'!AP60+'4'!AP60+'5'!AP60+'6'!AP60+'7'!AP60+'8'!AP60+'9'!AP60+'10'!AP60+'11'!AP60+'12'!AP60</f>
        <v>0</v>
      </c>
      <c r="AQ60" s="16">
        <f t="shared" ref="AQ60:AQ61" si="39">M60+O60+S60+U60+W60+AA60+Q60+Y60</f>
        <v>0</v>
      </c>
      <c r="AR60" s="17">
        <f t="shared" ref="AR60:AR61" si="40">N60+P60+R60+AC60+AD60+AE60+AF60+AG60+AH60+AI60+AJ60+AK60+AL60+AM60+AN60+AO60+AP60+T60+V60+AB60</f>
        <v>0</v>
      </c>
      <c r="AS60" s="91">
        <f t="shared" ref="AS60:AS61" si="41">AT60</f>
        <v>0</v>
      </c>
      <c r="AT60" s="91">
        <f>'1'!AT60+'2'!AT60+'3'!AT60+'4'!AT60+'5'!AT60+'6'!AT60+'7'!AT60+'8'!AT60+'9'!AT60+'10'!AT60+'11'!AT60+'12'!AT60</f>
        <v>0</v>
      </c>
      <c r="AU60" s="92">
        <f t="shared" ref="AU60:AU61" si="42">IF(AT60-AQ60=0,0,(AT60-M60-O60-Q60)/AT60)</f>
        <v>0</v>
      </c>
      <c r="AV60" s="92">
        <f t="shared" ref="AV60:AV61" si="43">IF(AT60=0,0,(AT60-N60-P60-R60-AC60-AD60-AE60-AF60-AG60-AH60-AI60-AJ60-AL60)/AT60)</f>
        <v>0</v>
      </c>
      <c r="AW60" s="92">
        <f t="shared" ref="AW60:AW61" si="44">IF(OR(AT60=0,AU60=0),0,((AT60*AU60)-S60-U60-W60-AA60-Y60)/(AT60*AU60))</f>
        <v>0</v>
      </c>
      <c r="AX60" s="92">
        <f t="shared" ref="AX60:AX61" si="45">IF(OR(AT60=0,AV60=0),0,((AT60*AV60)-AK60-AM60-AN60-AO60-AP60-T60-V60-X60-Z60-AB60)/(AT60*AV60))</f>
        <v>0</v>
      </c>
      <c r="AY60" s="92">
        <f t="shared" ref="AY60:AY61" si="46">IF(D60=0,0,K60/D60/24)</f>
        <v>0</v>
      </c>
      <c r="AZ60" s="92">
        <f t="shared" ref="AZ60:AZ61" si="47">IF(E60=0,0,L60/E60/24)</f>
        <v>0</v>
      </c>
      <c r="BA60" s="95">
        <f t="shared" ref="BA60:BA61" si="48">ROUND(AT60-E60-AR60,4)</f>
        <v>0</v>
      </c>
      <c r="BB60" s="139"/>
      <c r="BC60"/>
    </row>
    <row r="61" spans="1:55" ht="15" customHeight="1" thickBot="1" x14ac:dyDescent="0.3">
      <c r="A61" s="143" t="s">
        <v>152</v>
      </c>
      <c r="B61" s="125" t="s">
        <v>154</v>
      </c>
      <c r="C61" s="144">
        <v>24</v>
      </c>
      <c r="D61" s="122">
        <f t="shared" si="37"/>
        <v>0</v>
      </c>
      <c r="E61" s="63">
        <f t="shared" si="38"/>
        <v>0</v>
      </c>
      <c r="F61" s="64">
        <f>'1'!F61+'2'!F61+'3'!F61+'4'!F61+'5'!F61+'6'!F61+'7'!F61+'8'!F61+'9'!F61+'10'!F61+'11'!F61+'12'!F61</f>
        <v>0</v>
      </c>
      <c r="G61" s="64">
        <f>'1'!G61+'2'!G61+'3'!G61+'4'!G61+'5'!G61+'6'!G61+'7'!G61+'8'!G61+'9'!G61+'10'!G61+'11'!G61+'12'!G61</f>
        <v>0</v>
      </c>
      <c r="H61" s="136">
        <f>'1'!H61+'2'!H61+'3'!H61+'4'!H61+'5'!H61+'6'!H61+'7'!H61+'8'!H61+'9'!H61+'10'!H61+'11'!H61+'12'!H61</f>
        <v>0</v>
      </c>
      <c r="I61" s="136">
        <f>'1'!I61+'2'!I61+'3'!I61+'4'!I61+'5'!I61+'6'!I61+'7'!I61+'8'!I61+'9'!I61+'10'!I61+'11'!I61+'12'!I61</f>
        <v>0</v>
      </c>
      <c r="J61" s="66" t="s">
        <v>55</v>
      </c>
      <c r="K61" s="134">
        <f>'1'!K61+'2'!K61+'3'!K61+'4'!K61+'5'!K61+'6'!K61+'7'!K61+'8'!K61+'9'!K61+'10'!K61+'11'!K61+'12'!K61</f>
        <v>0</v>
      </c>
      <c r="L61" s="134">
        <f>'1'!L61+'2'!L61+'3'!L61+'4'!L61+'5'!L61+'6'!L61+'7'!L61+'8'!L61+'9'!L61+'10'!L61+'11'!L61+'12'!L61</f>
        <v>0</v>
      </c>
      <c r="M61" s="64">
        <f>'1'!M61+'2'!M61+'3'!M61+'4'!M61+'5'!M61+'6'!M61+'7'!M61+'8'!M61+'9'!M61+'10'!M61+'11'!M61+'12'!M61</f>
        <v>0</v>
      </c>
      <c r="N61" s="64">
        <f>'1'!N61+'2'!N61+'3'!N61+'4'!N61+'5'!N61+'6'!N61+'7'!N61+'8'!N61+'9'!N61+'10'!N61+'11'!N61+'12'!N61</f>
        <v>0</v>
      </c>
      <c r="O61" s="64">
        <f>'1'!O61+'2'!O61+'3'!O61+'4'!O61+'5'!O61+'6'!O61+'7'!O61+'8'!O61+'9'!O61+'10'!O61+'11'!O61+'12'!O61</f>
        <v>0</v>
      </c>
      <c r="P61" s="64">
        <f>'1'!P61+'2'!P61+'3'!P61+'4'!P61+'5'!P61+'6'!P61+'7'!P61+'8'!P61+'9'!P61+'10'!P61+'11'!P61+'12'!P61</f>
        <v>0</v>
      </c>
      <c r="Q61" s="64">
        <f>'1'!Q61+'2'!Q61+'3'!Q61+'4'!Q61+'5'!Q61+'6'!Q61+'7'!Q61+'8'!Q61+'9'!Q61+'10'!Q61+'11'!Q61+'12'!Q61</f>
        <v>0</v>
      </c>
      <c r="R61" s="64">
        <f>'1'!R61+'2'!R61+'3'!R61+'4'!R61+'5'!R61+'6'!R61+'7'!R61+'8'!R61+'9'!R61+'10'!R61+'11'!R61+'12'!R61</f>
        <v>0</v>
      </c>
      <c r="S61" s="64">
        <f>'1'!S61+'2'!S61+'3'!S61+'4'!S61+'5'!S61+'6'!S61+'7'!S61+'8'!S61+'9'!S61+'10'!S61+'11'!S61+'12'!S61</f>
        <v>0</v>
      </c>
      <c r="T61" s="64">
        <f>'1'!T61+'2'!T61+'3'!T61+'4'!T61+'5'!T61+'6'!T61+'7'!T61+'8'!T61+'9'!T61+'10'!T61+'11'!T61+'12'!T61</f>
        <v>0</v>
      </c>
      <c r="U61" s="64">
        <f>'1'!U61+'2'!U61+'3'!U61+'4'!U61+'5'!U61+'6'!U61+'7'!U61+'8'!U61+'9'!U61+'10'!U61+'11'!U61+'12'!U61</f>
        <v>0</v>
      </c>
      <c r="V61" s="64">
        <f>'1'!V61+'2'!V61+'3'!V61+'4'!V61+'5'!V61+'6'!V61+'7'!V61+'8'!V61+'9'!V61+'10'!V61+'11'!V61+'12'!V61</f>
        <v>0</v>
      </c>
      <c r="W61" s="64">
        <f>'1'!W61+'2'!W61+'3'!W61+'4'!W61+'5'!W61+'6'!W61+'7'!W61+'8'!W61+'9'!W61+'10'!W61+'11'!W61+'12'!W61</f>
        <v>0</v>
      </c>
      <c r="X61" s="64">
        <f>'1'!X61+'2'!X61+'3'!X61+'4'!X61+'5'!X61+'6'!X61+'7'!X61+'8'!X61+'9'!X61+'10'!X61+'11'!X61+'12'!X61</f>
        <v>0</v>
      </c>
      <c r="Y61" s="64">
        <f>'1'!Y61+'2'!Y61+'3'!Y61+'4'!Y61+'5'!Y61+'6'!Y61+'7'!Y61+'8'!Y61+'9'!Y61+'10'!Y61+'11'!Y61+'12'!Y61</f>
        <v>0</v>
      </c>
      <c r="Z61" s="64">
        <f>'1'!Z61+'2'!Z61+'3'!Z61+'4'!Z61+'5'!Z61+'6'!Z61+'7'!Z61+'8'!Z61+'9'!Z61+'10'!Z61+'11'!Z61+'12'!Z61</f>
        <v>0</v>
      </c>
      <c r="AA61" s="64">
        <f>'1'!AA61+'2'!AA61+'3'!AA61+'4'!AA61+'5'!AA61+'6'!AA61+'7'!AA61+'8'!AA61+'9'!AA61+'10'!AA61+'11'!AA61+'12'!AA61</f>
        <v>0</v>
      </c>
      <c r="AB61" s="64">
        <f>'1'!AB61+'2'!AB61+'3'!AB61+'4'!AB61+'5'!AB61+'6'!AB61+'7'!AB61+'8'!AB61+'9'!AB61+'10'!AB61+'11'!AB61+'12'!AB61</f>
        <v>0</v>
      </c>
      <c r="AC61" s="64">
        <f>'1'!AC61+'2'!AC61+'3'!AC61+'4'!AC61+'5'!AC61+'6'!AC61+'7'!AC61+'8'!AC61+'9'!AC61+'10'!AC61+'11'!AC61+'12'!AC61</f>
        <v>0</v>
      </c>
      <c r="AD61" s="64">
        <f>'1'!AD61+'2'!AD61+'3'!AD61+'4'!AD61+'5'!AD61+'6'!AD61+'7'!AD61+'8'!AD61+'9'!AD61+'10'!AD61+'11'!AD61+'12'!AD61</f>
        <v>0</v>
      </c>
      <c r="AE61" s="64">
        <f>'1'!AE61+'2'!AE61+'3'!AE61+'4'!AE61+'5'!AE61+'6'!AE61+'7'!AE61+'8'!AE61+'9'!AE61+'10'!AE61+'11'!AE61+'12'!AE61</f>
        <v>0</v>
      </c>
      <c r="AF61" s="64">
        <f>'1'!AF61+'2'!AF61+'3'!AF61+'4'!AF61+'5'!AF61+'6'!AF61+'7'!AF61+'8'!AF61+'9'!AF61+'10'!AF61+'11'!AF61+'12'!AF61</f>
        <v>0</v>
      </c>
      <c r="AG61" s="64">
        <f>'1'!AG61+'2'!AG61+'3'!AG61+'4'!AG61+'5'!AG61+'6'!AG61+'7'!AG61+'8'!AG61+'9'!AG61+'10'!AG61+'11'!AG61+'12'!AG61</f>
        <v>0</v>
      </c>
      <c r="AH61" s="64">
        <f>'1'!AH61+'2'!AH61+'3'!AH61+'4'!AH61+'5'!AH61+'6'!AH61+'7'!AH61+'8'!AH61+'9'!AH61+'10'!AH61+'11'!AH61+'12'!AH61</f>
        <v>0</v>
      </c>
      <c r="AI61" s="64">
        <f>'1'!AI61+'2'!AI61+'3'!AI61+'4'!AI61+'5'!AI61+'6'!AI61+'7'!AI61+'8'!AI61+'9'!AI61+'10'!AI61+'11'!AI61+'12'!AI61</f>
        <v>0</v>
      </c>
      <c r="AJ61" s="64">
        <f>'1'!AJ61+'2'!AJ61+'3'!AJ61+'4'!AJ61+'5'!AJ61+'6'!AJ61+'7'!AJ61+'8'!AJ61+'9'!AJ61+'10'!AJ61+'11'!AJ61+'12'!AJ61</f>
        <v>0</v>
      </c>
      <c r="AK61" s="64">
        <f>'1'!AK61+'2'!AK61+'3'!AK61+'4'!AK61+'5'!AK61+'6'!AK61+'7'!AK61+'8'!AK61+'9'!AK61+'10'!AK61+'11'!AK61+'12'!AK61</f>
        <v>0</v>
      </c>
      <c r="AL61" s="64">
        <f>'1'!AL61+'2'!AL61+'3'!AL61+'4'!AL61+'5'!AL61+'6'!AL61+'7'!AL61+'8'!AL61+'9'!AL61+'10'!AL61+'11'!AL61+'12'!AL61</f>
        <v>0</v>
      </c>
      <c r="AM61" s="64">
        <f>'1'!AM61+'2'!AM61+'3'!AM61+'4'!AM61+'5'!AM61+'6'!AM61+'7'!AM61+'8'!AM61+'9'!AM61+'10'!AM61+'11'!AM61+'12'!AM61</f>
        <v>0</v>
      </c>
      <c r="AN61" s="64">
        <f>'1'!AN61+'2'!AN61+'3'!AN61+'4'!AN61+'5'!AN61+'6'!AN61+'7'!AN61+'8'!AN61+'9'!AN61+'10'!AN61+'11'!AN61+'12'!AN61</f>
        <v>0</v>
      </c>
      <c r="AO61" s="64">
        <f>'1'!AO61+'2'!AO61+'3'!AO61+'4'!AO61+'5'!AO61+'6'!AO61+'7'!AO61+'8'!AO61+'9'!AO61+'10'!AO61+'11'!AO61+'12'!AO61</f>
        <v>0</v>
      </c>
      <c r="AP61" s="64">
        <f>'1'!AP61+'2'!AP61+'3'!AP61+'4'!AP61+'5'!AP61+'6'!AP61+'7'!AP61+'8'!AP61+'9'!AP61+'10'!AP61+'11'!AP61+'12'!AP61</f>
        <v>0</v>
      </c>
      <c r="AQ61" s="63">
        <f t="shared" si="39"/>
        <v>0</v>
      </c>
      <c r="AR61" s="149">
        <f t="shared" si="40"/>
        <v>0</v>
      </c>
      <c r="AS61" s="64">
        <f t="shared" si="41"/>
        <v>0</v>
      </c>
      <c r="AT61" s="64">
        <f>'1'!AT61+'2'!AT61+'3'!AT61+'4'!AT61+'5'!AT61+'6'!AT61+'7'!AT61+'8'!AT61+'9'!AT61+'10'!AT61+'11'!AT61+'12'!AT61</f>
        <v>0</v>
      </c>
      <c r="AU61" s="65">
        <f t="shared" si="42"/>
        <v>0</v>
      </c>
      <c r="AV61" s="65">
        <f t="shared" si="43"/>
        <v>0</v>
      </c>
      <c r="AW61" s="65">
        <f t="shared" si="44"/>
        <v>0</v>
      </c>
      <c r="AX61" s="65">
        <f t="shared" si="45"/>
        <v>0</v>
      </c>
      <c r="AY61" s="65">
        <f t="shared" si="46"/>
        <v>0</v>
      </c>
      <c r="AZ61" s="65">
        <f t="shared" si="47"/>
        <v>0</v>
      </c>
      <c r="BA61" s="151">
        <f t="shared" si="48"/>
        <v>0</v>
      </c>
      <c r="BB61" s="142"/>
      <c r="BC61"/>
    </row>
    <row r="62" spans="1:55" x14ac:dyDescent="0.25">
      <c r="C62" s="2"/>
      <c r="D62" s="3"/>
      <c r="F62" s="2"/>
      <c r="G62" s="2"/>
      <c r="H62" s="1"/>
      <c r="I62" s="1"/>
      <c r="M62" s="5"/>
      <c r="O62" s="4"/>
      <c r="P62" s="5"/>
      <c r="Q62" s="5"/>
      <c r="U62" s="2"/>
      <c r="V62" s="2"/>
      <c r="W62" s="2"/>
      <c r="X62" s="2"/>
      <c r="Y62" s="1"/>
      <c r="Z62" s="1"/>
      <c r="AA62" s="1"/>
      <c r="AB62" s="1"/>
    </row>
    <row r="63" spans="1:55" x14ac:dyDescent="0.25">
      <c r="A63" s="10"/>
      <c r="B63" s="10"/>
      <c r="C63" s="10"/>
      <c r="D63" s="3"/>
      <c r="F63" s="2"/>
      <c r="G63" s="2"/>
      <c r="H63" s="1"/>
      <c r="I63" s="1"/>
      <c r="M63" s="5"/>
      <c r="O63" s="4"/>
      <c r="P63" s="5"/>
      <c r="Q63" s="5"/>
      <c r="U63" s="2"/>
      <c r="V63" s="2"/>
      <c r="W63" s="2"/>
      <c r="X63" s="2"/>
      <c r="Y63" s="1"/>
      <c r="Z63" s="1"/>
      <c r="AA63" s="1"/>
      <c r="AB63" s="1"/>
    </row>
    <row r="64" spans="1:55" x14ac:dyDescent="0.2">
      <c r="A64" s="6" t="s">
        <v>126</v>
      </c>
      <c r="B64" s="6"/>
      <c r="C64" s="6"/>
      <c r="D64" s="6"/>
      <c r="F64" s="2"/>
      <c r="G64" s="2"/>
      <c r="H64" s="1"/>
      <c r="I64" s="1"/>
      <c r="M64" s="5"/>
      <c r="O64" s="4"/>
      <c r="P64" s="5"/>
      <c r="Q64" s="5"/>
      <c r="U64" s="2"/>
      <c r="V64" s="2"/>
      <c r="W64" s="2"/>
      <c r="X64" s="2"/>
      <c r="Y64" s="1"/>
      <c r="Z64" s="1"/>
      <c r="AA64" s="1"/>
      <c r="AB64" s="1"/>
    </row>
    <row r="65" spans="1:28" x14ac:dyDescent="0.2">
      <c r="A65" s="6"/>
      <c r="B65" s="6"/>
      <c r="C65" s="6"/>
      <c r="D65" s="6"/>
      <c r="F65" s="2"/>
      <c r="G65" s="2"/>
      <c r="H65" s="1"/>
      <c r="I65" s="1"/>
      <c r="M65" s="5"/>
      <c r="O65" s="4"/>
      <c r="P65" s="5"/>
      <c r="Q65" s="5"/>
      <c r="U65" s="2"/>
      <c r="V65" s="2"/>
      <c r="W65" s="2"/>
      <c r="X65" s="2"/>
      <c r="Y65" s="1"/>
      <c r="Z65" s="1"/>
      <c r="AA65" s="1"/>
      <c r="AB65" s="1"/>
    </row>
    <row r="66" spans="1:28" x14ac:dyDescent="0.2">
      <c r="A66" s="6" t="s">
        <v>128</v>
      </c>
      <c r="B66" s="6"/>
      <c r="C66" s="6"/>
      <c r="D66" s="6"/>
      <c r="F66" s="2"/>
      <c r="G66" s="2"/>
      <c r="H66" s="1"/>
      <c r="I66" s="1"/>
      <c r="M66" s="5"/>
      <c r="O66" s="4"/>
      <c r="P66" s="5"/>
      <c r="Q66" s="5"/>
      <c r="U66" s="2"/>
      <c r="V66" s="2"/>
      <c r="W66" s="2"/>
      <c r="X66" s="2"/>
      <c r="Y66" s="1"/>
      <c r="Z66" s="1"/>
      <c r="AA66" s="1"/>
      <c r="AB66" s="1"/>
    </row>
    <row r="67" spans="1:28" x14ac:dyDescent="0.2">
      <c r="A67" s="6"/>
      <c r="B67" s="6"/>
      <c r="C67" s="6"/>
      <c r="D67" s="6"/>
      <c r="F67" s="2"/>
      <c r="G67" s="2"/>
      <c r="H67" s="1"/>
      <c r="I67" s="1"/>
      <c r="M67" s="5"/>
      <c r="O67" s="4"/>
      <c r="P67" s="5"/>
      <c r="Q67" s="5"/>
      <c r="U67" s="2"/>
      <c r="V67" s="2"/>
      <c r="W67" s="2"/>
      <c r="X67" s="2"/>
      <c r="Y67" s="1"/>
      <c r="Z67" s="1"/>
      <c r="AA67" s="1"/>
      <c r="AB67" s="1"/>
    </row>
    <row r="68" spans="1:28" x14ac:dyDescent="0.2">
      <c r="A68" s="6" t="s">
        <v>127</v>
      </c>
      <c r="B68" s="6"/>
      <c r="C68" s="6"/>
      <c r="D68" s="6"/>
      <c r="F68" s="2"/>
      <c r="G68" s="2"/>
      <c r="H68" s="1"/>
      <c r="I68" s="1"/>
      <c r="M68" s="5"/>
      <c r="O68" s="4"/>
      <c r="P68" s="5"/>
      <c r="Q68" s="5"/>
      <c r="U68" s="2"/>
      <c r="V68" s="2"/>
      <c r="W68" s="2"/>
      <c r="X68" s="2"/>
      <c r="Y68" s="1"/>
      <c r="Z68" s="1"/>
      <c r="AA68" s="1"/>
      <c r="AB68" s="1"/>
    </row>
    <row r="69" spans="1:28" x14ac:dyDescent="0.25">
      <c r="A69" s="10"/>
      <c r="B69" s="10"/>
    </row>
    <row r="72" spans="1:28" x14ac:dyDescent="0.25">
      <c r="A72" s="10"/>
      <c r="B72" s="10"/>
    </row>
    <row r="73" spans="1:28" x14ac:dyDescent="0.25">
      <c r="A73" s="10"/>
      <c r="B73" s="10"/>
    </row>
    <row r="74" spans="1:28" x14ac:dyDescent="0.25">
      <c r="A74" s="10"/>
      <c r="B74" s="10"/>
    </row>
    <row r="75" spans="1:28" x14ac:dyDescent="0.25">
      <c r="A75" s="10"/>
      <c r="B75" s="10"/>
    </row>
    <row r="76" spans="1:28" x14ac:dyDescent="0.25">
      <c r="A76" s="10"/>
      <c r="B76" s="10"/>
    </row>
    <row r="77" spans="1:28" x14ac:dyDescent="0.25">
      <c r="A77" s="10"/>
      <c r="B77" s="10"/>
    </row>
    <row r="78" spans="1:28" x14ac:dyDescent="0.25">
      <c r="A78" s="10"/>
      <c r="B78" s="10"/>
    </row>
    <row r="79" spans="1:28" x14ac:dyDescent="0.25">
      <c r="A79" s="10"/>
      <c r="B79" s="10"/>
    </row>
  </sheetData>
  <mergeCells count="32">
    <mergeCell ref="AC14:AJ14"/>
    <mergeCell ref="AK14:AN14"/>
    <mergeCell ref="AO14:AO15"/>
    <mergeCell ref="AP14:AP15"/>
    <mergeCell ref="A7:BB7"/>
    <mergeCell ref="A9:BB9"/>
    <mergeCell ref="C12:C15"/>
    <mergeCell ref="D12:E14"/>
    <mergeCell ref="H12:I14"/>
    <mergeCell ref="J12:J15"/>
    <mergeCell ref="K12:L14"/>
    <mergeCell ref="M12:AP12"/>
    <mergeCell ref="AQ12:AR14"/>
    <mergeCell ref="AS12:AT14"/>
    <mergeCell ref="AU12:AV14"/>
    <mergeCell ref="AW12:AX14"/>
    <mergeCell ref="AY12:AZ14"/>
    <mergeCell ref="BA12:BA15"/>
    <mergeCell ref="BB12:BB15"/>
    <mergeCell ref="M13:AB13"/>
    <mergeCell ref="A12:A15"/>
    <mergeCell ref="B12:B15"/>
    <mergeCell ref="F12:G14"/>
    <mergeCell ref="M14:N14"/>
    <mergeCell ref="O14:P14"/>
    <mergeCell ref="Q14:R14"/>
    <mergeCell ref="S14:T14"/>
    <mergeCell ref="U14:V14"/>
    <mergeCell ref="W14:X14"/>
    <mergeCell ref="AC13:AP13"/>
    <mergeCell ref="Y14:Z14"/>
    <mergeCell ref="AA14:AB14"/>
  </mergeCells>
  <conditionalFormatting sqref="AQ18:AQ23 AQ25:AQ41 AQ43:AQ45 AQ47:AQ51 AQ53:AQ54 AQ56:AQ61">
    <cfRule type="expression" dxfId="7" priority="8" stopIfTrue="1">
      <formula>100*(1-AQ18/AP18)&gt;5</formula>
    </cfRule>
  </conditionalFormatting>
  <conditionalFormatting sqref="AS18 AS20:AS22">
    <cfRule type="expression" dxfId="6" priority="7" stopIfTrue="1">
      <formula>100*(1-AS18/AR18)&gt;5</formula>
    </cfRule>
  </conditionalFormatting>
  <conditionalFormatting sqref="AS19">
    <cfRule type="expression" dxfId="5" priority="6" stopIfTrue="1">
      <formula>100*(1-AS19/AR19)&gt;5</formula>
    </cfRule>
  </conditionalFormatting>
  <conditionalFormatting sqref="AQ24:AR24">
    <cfRule type="expression" dxfId="4" priority="5" stopIfTrue="1">
      <formula>100*(1-AQ24/AP24)&gt;5</formula>
    </cfRule>
  </conditionalFormatting>
  <conditionalFormatting sqref="AQ42:AR42">
    <cfRule type="expression" dxfId="3" priority="4" stopIfTrue="1">
      <formula>100*(1-AQ42/AP42)&gt;5</formula>
    </cfRule>
  </conditionalFormatting>
  <conditionalFormatting sqref="AQ46:AR46">
    <cfRule type="expression" dxfId="2" priority="3" stopIfTrue="1">
      <formula>100*(1-AQ46/AP46)&gt;5</formula>
    </cfRule>
  </conditionalFormatting>
  <conditionalFormatting sqref="AQ52:AR52">
    <cfRule type="expression" dxfId="1" priority="2" stopIfTrue="1">
      <formula>100*(1-AQ52/AP52)&gt;5</formula>
    </cfRule>
  </conditionalFormatting>
  <conditionalFormatting sqref="AQ55:AR55">
    <cfRule type="expression" dxfId="0" priority="1" stopIfTrue="1">
      <formula>100*(1-AQ55/AP55)&gt;5</formula>
    </cfRule>
  </conditionalFormatting>
  <pageMargins left="0.7" right="0.7" top="0.75" bottom="0.75" header="0.3" footer="0.3"/>
  <pageSetup paperSize="9" scale="49" fitToWidth="0" orientation="landscape" r:id="rId1"/>
  <ignoredErrors>
    <ignoredError sqref="D24:E55 AY42:AZ46 AY24:AZ24" formula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8"/>
  <sheetViews>
    <sheetView showZeros="0" zoomScaleNormal="100" workbookViewId="0"/>
  </sheetViews>
  <sheetFormatPr defaultRowHeight="15" outlineLevelRow="1" x14ac:dyDescent="0.25"/>
  <cols>
    <col min="1" max="1" width="9.5703125" bestFit="1" customWidth="1"/>
    <col min="2" max="2" width="31.140625" customWidth="1"/>
    <col min="3" max="3" width="31.7109375" customWidth="1"/>
    <col min="4" max="4" width="35.5703125" bestFit="1" customWidth="1"/>
    <col min="5" max="5" width="36" bestFit="1" customWidth="1"/>
  </cols>
  <sheetData>
    <row r="1" spans="1:8" ht="15.75" thickBot="1" x14ac:dyDescent="0.3">
      <c r="A1" s="26"/>
      <c r="B1" s="26"/>
      <c r="C1" s="26"/>
      <c r="D1" s="26"/>
      <c r="E1" s="26"/>
      <c r="F1" s="26"/>
      <c r="G1" s="26"/>
      <c r="H1" s="26"/>
    </row>
    <row r="2" spans="1:8" ht="30.75" thickBot="1" x14ac:dyDescent="0.3">
      <c r="A2" s="27"/>
      <c r="B2" s="28" t="s">
        <v>87</v>
      </c>
      <c r="C2" s="29" t="s">
        <v>88</v>
      </c>
      <c r="D2" s="30" t="s">
        <v>89</v>
      </c>
      <c r="E2" s="29" t="s">
        <v>90</v>
      </c>
      <c r="F2" s="26"/>
      <c r="G2" s="26"/>
      <c r="H2" s="26"/>
    </row>
    <row r="3" spans="1:8" x14ac:dyDescent="0.25">
      <c r="A3" s="31" t="s">
        <v>91</v>
      </c>
      <c r="B3" s="61">
        <f>'1'!$AU$17</f>
        <v>0</v>
      </c>
      <c r="C3" s="126">
        <f>'1'!$AV$17</f>
        <v>0</v>
      </c>
      <c r="D3" s="33">
        <f>'1'!$AW$17</f>
        <v>0</v>
      </c>
      <c r="E3" s="52">
        <f>'1'!$AX$17</f>
        <v>0</v>
      </c>
      <c r="F3" s="26"/>
      <c r="G3" s="26"/>
      <c r="H3" s="26"/>
    </row>
    <row r="4" spans="1:8" x14ac:dyDescent="0.25">
      <c r="A4" s="35" t="s">
        <v>92</v>
      </c>
      <c r="B4" s="61">
        <f>'2'!$AU$17</f>
        <v>0</v>
      </c>
      <c r="C4" s="126">
        <f>'2'!$AV$17</f>
        <v>0</v>
      </c>
      <c r="D4" s="37">
        <f>'2'!$AW$17</f>
        <v>0</v>
      </c>
      <c r="E4" s="54">
        <f>'2'!$AX$17</f>
        <v>0</v>
      </c>
      <c r="F4" s="26"/>
      <c r="G4" s="26"/>
      <c r="H4" s="26"/>
    </row>
    <row r="5" spans="1:8" x14ac:dyDescent="0.25">
      <c r="A5" s="35" t="s">
        <v>93</v>
      </c>
      <c r="B5" s="61">
        <f>'3'!$AU$17</f>
        <v>0</v>
      </c>
      <c r="C5" s="126">
        <f>'3'!$AV$17</f>
        <v>0</v>
      </c>
      <c r="D5" s="37">
        <f>'3'!$AW$17</f>
        <v>0</v>
      </c>
      <c r="E5" s="54">
        <f>'3'!$AX$17</f>
        <v>0</v>
      </c>
      <c r="F5" s="26"/>
      <c r="G5" s="26"/>
      <c r="H5" s="26"/>
    </row>
    <row r="6" spans="1:8" x14ac:dyDescent="0.25">
      <c r="A6" s="35" t="s">
        <v>94</v>
      </c>
      <c r="B6" s="61">
        <f>'4'!$AU$17</f>
        <v>0</v>
      </c>
      <c r="C6" s="126">
        <f>'4'!$AV$17</f>
        <v>0</v>
      </c>
      <c r="D6" s="37">
        <f>'4'!$AW$17</f>
        <v>0</v>
      </c>
      <c r="E6" s="54">
        <f>'4'!$AX$17</f>
        <v>0</v>
      </c>
      <c r="F6" s="26"/>
      <c r="G6" s="26"/>
      <c r="H6" s="26"/>
    </row>
    <row r="7" spans="1:8" x14ac:dyDescent="0.25">
      <c r="A7" s="35" t="s">
        <v>95</v>
      </c>
      <c r="B7" s="61">
        <f>'5'!$AU$17</f>
        <v>0</v>
      </c>
      <c r="C7" s="126">
        <f>'5'!$AV$17</f>
        <v>0</v>
      </c>
      <c r="D7" s="37">
        <f>'5'!$AW$17</f>
        <v>0</v>
      </c>
      <c r="E7" s="54">
        <f>'5'!$AX$17</f>
        <v>0</v>
      </c>
      <c r="F7" s="26"/>
      <c r="G7" s="26"/>
      <c r="H7" s="26"/>
    </row>
    <row r="8" spans="1:8" x14ac:dyDescent="0.25">
      <c r="A8" s="35" t="s">
        <v>96</v>
      </c>
      <c r="B8" s="61">
        <f>'6'!$AU$17</f>
        <v>0</v>
      </c>
      <c r="C8" s="126">
        <f>'6'!$AV$17</f>
        <v>0</v>
      </c>
      <c r="D8" s="37">
        <f>'6'!$AW$17</f>
        <v>0</v>
      </c>
      <c r="E8" s="54">
        <f>'6'!$AX$17</f>
        <v>0</v>
      </c>
      <c r="F8" s="26"/>
      <c r="G8" s="26"/>
      <c r="H8" s="26"/>
    </row>
    <row r="9" spans="1:8" x14ac:dyDescent="0.25">
      <c r="A9" s="35" t="s">
        <v>97</v>
      </c>
      <c r="B9" s="61">
        <f>'7'!$AU$17</f>
        <v>0</v>
      </c>
      <c r="C9" s="126">
        <f>'7'!$AV$17</f>
        <v>0</v>
      </c>
      <c r="D9" s="37">
        <f>'7'!$AW$17</f>
        <v>0</v>
      </c>
      <c r="E9" s="54">
        <f>'7'!$AX$17</f>
        <v>0</v>
      </c>
      <c r="F9" s="26"/>
      <c r="G9" s="26"/>
      <c r="H9" s="26"/>
    </row>
    <row r="10" spans="1:8" x14ac:dyDescent="0.25">
      <c r="A10" s="35" t="s">
        <v>98</v>
      </c>
      <c r="B10" s="61">
        <f>'8'!$AU$17</f>
        <v>0</v>
      </c>
      <c r="C10" s="126">
        <f>'8'!$AV$17</f>
        <v>0</v>
      </c>
      <c r="D10" s="37">
        <f>'8'!$AW$17</f>
        <v>0</v>
      </c>
      <c r="E10" s="54">
        <f>'8'!$AX$17</f>
        <v>0</v>
      </c>
      <c r="F10" s="26"/>
      <c r="G10" s="26"/>
      <c r="H10" s="26"/>
    </row>
    <row r="11" spans="1:8" x14ac:dyDescent="0.25">
      <c r="A11" s="35" t="s">
        <v>99</v>
      </c>
      <c r="B11" s="61">
        <f>'9'!$AU$17</f>
        <v>0</v>
      </c>
      <c r="C11" s="126">
        <f>'9'!$AV$17</f>
        <v>0</v>
      </c>
      <c r="D11" s="37">
        <f>'9'!$AW$17</f>
        <v>0</v>
      </c>
      <c r="E11" s="54">
        <f>'9'!$AX$17</f>
        <v>0</v>
      </c>
      <c r="F11" s="26"/>
      <c r="G11" s="26"/>
      <c r="H11" s="26"/>
    </row>
    <row r="12" spans="1:8" x14ac:dyDescent="0.25">
      <c r="A12" s="35" t="s">
        <v>100</v>
      </c>
      <c r="B12" s="61">
        <f>'10'!$AU$17</f>
        <v>0</v>
      </c>
      <c r="C12" s="126">
        <f>'10'!$AV$17</f>
        <v>0</v>
      </c>
      <c r="D12" s="37">
        <f>'10'!$AW$17</f>
        <v>0</v>
      </c>
      <c r="E12" s="54">
        <f>'10'!$AX$17</f>
        <v>0</v>
      </c>
      <c r="F12" s="26"/>
      <c r="G12" s="26"/>
      <c r="H12" s="26"/>
    </row>
    <row r="13" spans="1:8" x14ac:dyDescent="0.25">
      <c r="A13" s="35" t="s">
        <v>101</v>
      </c>
      <c r="B13" s="61">
        <f>'11'!$AU$17</f>
        <v>0</v>
      </c>
      <c r="C13" s="126">
        <f>'11'!$AV$17</f>
        <v>0</v>
      </c>
      <c r="D13" s="37">
        <f>'11'!$AW$17</f>
        <v>0</v>
      </c>
      <c r="E13" s="54">
        <f>'11'!$AX$17</f>
        <v>0</v>
      </c>
      <c r="F13" s="26"/>
      <c r="G13" s="26"/>
      <c r="H13" s="26"/>
    </row>
    <row r="14" spans="1:8" ht="15.75" thickBot="1" x14ac:dyDescent="0.3">
      <c r="A14" s="39" t="s">
        <v>102</v>
      </c>
      <c r="B14" s="62">
        <f>'12'!$AU$17</f>
        <v>0</v>
      </c>
      <c r="C14" s="127">
        <f>'12'!$AV$17</f>
        <v>0</v>
      </c>
      <c r="D14" s="41">
        <f>'12'!$AW$17</f>
        <v>0</v>
      </c>
      <c r="E14" s="56">
        <f>'12'!$AX$17</f>
        <v>0</v>
      </c>
      <c r="F14" s="26"/>
      <c r="G14" s="26"/>
      <c r="H14" s="26"/>
    </row>
    <row r="15" spans="1:8" x14ac:dyDescent="0.25">
      <c r="A15" s="26"/>
      <c r="B15" s="26"/>
      <c r="C15" s="26"/>
      <c r="D15" s="26"/>
      <c r="E15" s="26"/>
      <c r="F15" s="26"/>
      <c r="G15" s="26"/>
      <c r="H15" s="26"/>
    </row>
    <row r="16" spans="1:8" x14ac:dyDescent="0.25">
      <c r="A16" s="26"/>
      <c r="B16" s="26"/>
      <c r="C16" s="26"/>
      <c r="D16" s="26"/>
      <c r="E16" s="26"/>
      <c r="F16" s="26"/>
      <c r="G16" s="26"/>
      <c r="H16" s="26"/>
    </row>
    <row r="17" spans="1:8" x14ac:dyDescent="0.25">
      <c r="A17" s="26"/>
      <c r="B17" s="26"/>
      <c r="C17" s="26"/>
      <c r="D17" s="26"/>
      <c r="E17" s="26"/>
      <c r="F17" s="26"/>
      <c r="G17" s="26"/>
      <c r="H17" s="26"/>
    </row>
    <row r="18" spans="1:8" x14ac:dyDescent="0.25">
      <c r="A18" s="26"/>
      <c r="B18" s="26"/>
      <c r="C18" s="26"/>
      <c r="D18" s="26"/>
      <c r="E18" s="26"/>
      <c r="F18" s="26"/>
      <c r="G18" s="26"/>
      <c r="H18" s="26"/>
    </row>
    <row r="19" spans="1:8" x14ac:dyDescent="0.25">
      <c r="A19" s="26"/>
      <c r="B19" s="26"/>
      <c r="C19" s="26"/>
      <c r="D19" s="26"/>
      <c r="E19" s="26"/>
      <c r="F19" s="26"/>
      <c r="G19" s="26"/>
      <c r="H19" s="26"/>
    </row>
    <row r="20" spans="1:8" x14ac:dyDescent="0.25">
      <c r="A20" s="26"/>
      <c r="B20" s="26"/>
      <c r="C20" s="26"/>
      <c r="D20" s="26"/>
      <c r="E20" s="26"/>
      <c r="F20" s="26"/>
      <c r="G20" s="26"/>
      <c r="H20" s="26"/>
    </row>
    <row r="21" spans="1:8" x14ac:dyDescent="0.25">
      <c r="A21" s="26"/>
      <c r="B21" s="26"/>
      <c r="C21" s="26"/>
      <c r="D21" s="26"/>
      <c r="E21" s="26"/>
      <c r="F21" s="26"/>
      <c r="G21" s="26"/>
      <c r="H21" s="26"/>
    </row>
    <row r="22" spans="1:8" x14ac:dyDescent="0.25">
      <c r="A22" s="26"/>
      <c r="B22" s="26"/>
      <c r="C22" s="26"/>
      <c r="D22" s="26"/>
      <c r="E22" s="26"/>
      <c r="F22" s="26"/>
      <c r="G22" s="26"/>
      <c r="H22" s="26"/>
    </row>
    <row r="23" spans="1:8" x14ac:dyDescent="0.25">
      <c r="A23" s="26"/>
      <c r="B23" s="26"/>
      <c r="C23" s="26"/>
      <c r="D23" s="26"/>
      <c r="E23" s="26"/>
      <c r="F23" s="26"/>
      <c r="G23" s="26"/>
      <c r="H23" s="26"/>
    </row>
    <row r="24" spans="1:8" x14ac:dyDescent="0.25">
      <c r="A24" s="26"/>
      <c r="B24" s="26"/>
      <c r="C24" s="26"/>
      <c r="D24" s="26"/>
      <c r="E24" s="26"/>
      <c r="F24" s="26"/>
      <c r="G24" s="26"/>
      <c r="H24" s="26"/>
    </row>
    <row r="25" spans="1:8" x14ac:dyDescent="0.25">
      <c r="A25" s="26"/>
      <c r="B25" s="26"/>
      <c r="C25" s="26"/>
      <c r="D25" s="26"/>
      <c r="E25" s="26"/>
      <c r="F25" s="26"/>
      <c r="G25" s="26"/>
      <c r="H25" s="26"/>
    </row>
    <row r="26" spans="1:8" ht="69.75" customHeight="1" thickBot="1" x14ac:dyDescent="0.3">
      <c r="A26" s="26"/>
      <c r="B26" s="26"/>
      <c r="C26" s="26"/>
      <c r="D26" s="26"/>
      <c r="E26" s="26"/>
      <c r="F26" s="26"/>
      <c r="G26" s="26"/>
      <c r="H26" s="26"/>
    </row>
    <row r="27" spans="1:8" ht="31.5" hidden="1" customHeight="1" thickBot="1" x14ac:dyDescent="0.3">
      <c r="A27" s="27"/>
      <c r="B27" s="28" t="s">
        <v>103</v>
      </c>
      <c r="C27" s="43" t="s">
        <v>104</v>
      </c>
      <c r="D27" s="30" t="s">
        <v>105</v>
      </c>
      <c r="E27" s="29" t="s">
        <v>106</v>
      </c>
      <c r="F27" s="26"/>
      <c r="G27" s="26"/>
      <c r="H27" s="26"/>
    </row>
    <row r="28" spans="1:8" ht="15.75" hidden="1" thickBot="1" x14ac:dyDescent="0.3">
      <c r="A28" s="31" t="s">
        <v>91</v>
      </c>
      <c r="B28" s="33" t="s">
        <v>149</v>
      </c>
      <c r="C28" s="44" t="s">
        <v>149</v>
      </c>
      <c r="D28" s="44" t="s">
        <v>149</v>
      </c>
      <c r="E28" s="34" t="s">
        <v>149</v>
      </c>
      <c r="F28" s="26"/>
      <c r="G28" s="26"/>
      <c r="H28" s="26"/>
    </row>
    <row r="29" spans="1:8" ht="15.75" hidden="1" thickBot="1" x14ac:dyDescent="0.3">
      <c r="A29" s="35" t="s">
        <v>92</v>
      </c>
      <c r="B29" s="45" t="s">
        <v>149</v>
      </c>
      <c r="C29" s="32" t="s">
        <v>149</v>
      </c>
      <c r="D29" s="32" t="s">
        <v>149</v>
      </c>
      <c r="E29" s="46" t="s">
        <v>149</v>
      </c>
      <c r="F29" s="26"/>
      <c r="G29" s="26"/>
      <c r="H29" s="26"/>
    </row>
    <row r="30" spans="1:8" ht="15.75" hidden="1" thickBot="1" x14ac:dyDescent="0.3">
      <c r="A30" s="35" t="s">
        <v>93</v>
      </c>
      <c r="B30" s="37" t="s">
        <v>149</v>
      </c>
      <c r="C30" s="36" t="s">
        <v>149</v>
      </c>
      <c r="D30" s="36" t="s">
        <v>149</v>
      </c>
      <c r="E30" s="38" t="s">
        <v>149</v>
      </c>
      <c r="F30" s="26"/>
      <c r="G30" s="26"/>
      <c r="H30" s="26"/>
    </row>
    <row r="31" spans="1:8" ht="15.75" hidden="1" thickBot="1" x14ac:dyDescent="0.3">
      <c r="A31" s="35" t="s">
        <v>94</v>
      </c>
      <c r="B31" s="37" t="s">
        <v>149</v>
      </c>
      <c r="C31" s="36" t="s">
        <v>149</v>
      </c>
      <c r="D31" s="36" t="s">
        <v>149</v>
      </c>
      <c r="E31" s="38" t="s">
        <v>149</v>
      </c>
      <c r="F31" s="26"/>
      <c r="G31" s="26"/>
      <c r="H31" s="26"/>
    </row>
    <row r="32" spans="1:8" ht="15.75" hidden="1" thickBot="1" x14ac:dyDescent="0.3">
      <c r="A32" s="35" t="s">
        <v>95</v>
      </c>
      <c r="B32" s="37" t="s">
        <v>149</v>
      </c>
      <c r="C32" s="36" t="s">
        <v>149</v>
      </c>
      <c r="D32" s="36" t="s">
        <v>149</v>
      </c>
      <c r="E32" s="38" t="s">
        <v>149</v>
      </c>
      <c r="F32" s="26"/>
      <c r="G32" s="26"/>
      <c r="H32" s="26"/>
    </row>
    <row r="33" spans="1:8" ht="15.75" hidden="1" thickBot="1" x14ac:dyDescent="0.3">
      <c r="A33" s="35" t="s">
        <v>96</v>
      </c>
      <c r="B33" s="37" t="s">
        <v>149</v>
      </c>
      <c r="C33" s="36" t="s">
        <v>149</v>
      </c>
      <c r="D33" s="36" t="s">
        <v>149</v>
      </c>
      <c r="E33" s="38" t="s">
        <v>149</v>
      </c>
      <c r="F33" s="26"/>
      <c r="G33" s="26"/>
      <c r="H33" s="26"/>
    </row>
    <row r="34" spans="1:8" ht="15.75" hidden="1" thickBot="1" x14ac:dyDescent="0.3">
      <c r="A34" s="35" t="s">
        <v>97</v>
      </c>
      <c r="B34" s="37" t="s">
        <v>149</v>
      </c>
      <c r="C34" s="36" t="s">
        <v>149</v>
      </c>
      <c r="D34" s="36" t="s">
        <v>149</v>
      </c>
      <c r="E34" s="38" t="s">
        <v>149</v>
      </c>
      <c r="F34" s="26"/>
      <c r="G34" s="26"/>
      <c r="H34" s="26"/>
    </row>
    <row r="35" spans="1:8" ht="15.75" hidden="1" thickBot="1" x14ac:dyDescent="0.3">
      <c r="A35" s="35" t="s">
        <v>98</v>
      </c>
      <c r="B35" s="37" t="s">
        <v>149</v>
      </c>
      <c r="C35" s="36" t="s">
        <v>149</v>
      </c>
      <c r="D35" s="36" t="s">
        <v>149</v>
      </c>
      <c r="E35" s="38" t="s">
        <v>149</v>
      </c>
      <c r="F35" s="26"/>
      <c r="G35" s="26"/>
      <c r="H35" s="26"/>
    </row>
    <row r="36" spans="1:8" ht="15.75" hidden="1" thickBot="1" x14ac:dyDescent="0.3">
      <c r="A36" s="35" t="s">
        <v>99</v>
      </c>
      <c r="B36" s="37" t="s">
        <v>149</v>
      </c>
      <c r="C36" s="36" t="s">
        <v>149</v>
      </c>
      <c r="D36" s="36" t="s">
        <v>149</v>
      </c>
      <c r="E36" s="38" t="s">
        <v>149</v>
      </c>
      <c r="F36" s="26"/>
      <c r="G36" s="26"/>
      <c r="H36" s="26"/>
    </row>
    <row r="37" spans="1:8" ht="15.75" hidden="1" thickBot="1" x14ac:dyDescent="0.3">
      <c r="A37" s="35" t="s">
        <v>100</v>
      </c>
      <c r="B37" s="37" t="s">
        <v>149</v>
      </c>
      <c r="C37" s="36" t="s">
        <v>149</v>
      </c>
      <c r="D37" s="36" t="s">
        <v>149</v>
      </c>
      <c r="E37" s="38" t="s">
        <v>149</v>
      </c>
      <c r="F37" s="26"/>
      <c r="G37" s="26"/>
      <c r="H37" s="26"/>
    </row>
    <row r="38" spans="1:8" ht="15.75" hidden="1" thickBot="1" x14ac:dyDescent="0.3">
      <c r="A38" s="35" t="s">
        <v>101</v>
      </c>
      <c r="B38" s="37" t="s">
        <v>149</v>
      </c>
      <c r="C38" s="36" t="s">
        <v>149</v>
      </c>
      <c r="D38" s="36" t="s">
        <v>149</v>
      </c>
      <c r="E38" s="38" t="s">
        <v>149</v>
      </c>
      <c r="F38" s="26"/>
      <c r="G38" s="26"/>
      <c r="H38" s="26"/>
    </row>
    <row r="39" spans="1:8" ht="15.75" hidden="1" thickBot="1" x14ac:dyDescent="0.3">
      <c r="A39" s="39" t="s">
        <v>102</v>
      </c>
      <c r="B39" s="41" t="s">
        <v>149</v>
      </c>
      <c r="C39" s="40" t="s">
        <v>149</v>
      </c>
      <c r="D39" s="40" t="s">
        <v>149</v>
      </c>
      <c r="E39" s="42" t="s">
        <v>149</v>
      </c>
      <c r="F39" s="26"/>
      <c r="G39" s="26"/>
      <c r="H39" s="26"/>
    </row>
    <row r="40" spans="1:8" ht="15.75" hidden="1" thickBot="1" x14ac:dyDescent="0.3">
      <c r="A40" s="26"/>
      <c r="B40" s="26"/>
      <c r="C40" s="26"/>
      <c r="D40" s="26"/>
      <c r="E40" s="26"/>
      <c r="F40" s="26"/>
      <c r="G40" s="26"/>
      <c r="H40" s="26"/>
    </row>
    <row r="41" spans="1:8" ht="15.75" hidden="1" thickBot="1" x14ac:dyDescent="0.3">
      <c r="A41" s="26"/>
      <c r="B41" s="26"/>
      <c r="C41" s="26"/>
      <c r="D41" s="26"/>
      <c r="E41" s="26"/>
      <c r="F41" s="26"/>
      <c r="G41" s="26"/>
      <c r="H41" s="26"/>
    </row>
    <row r="42" spans="1:8" ht="15.75" hidden="1" thickBot="1" x14ac:dyDescent="0.3">
      <c r="A42" s="26"/>
      <c r="B42" s="26"/>
      <c r="C42" s="26"/>
      <c r="D42" s="26"/>
      <c r="E42" s="26"/>
      <c r="F42" s="26"/>
      <c r="G42" s="26"/>
      <c r="H42" s="26"/>
    </row>
    <row r="43" spans="1:8" ht="15.75" hidden="1" thickBot="1" x14ac:dyDescent="0.3">
      <c r="A43" s="26"/>
      <c r="B43" s="26"/>
      <c r="C43" s="26"/>
      <c r="D43" s="26"/>
      <c r="E43" s="26"/>
      <c r="F43" s="26"/>
      <c r="G43" s="26"/>
      <c r="H43" s="26"/>
    </row>
    <row r="44" spans="1:8" ht="15.75" hidden="1" thickBot="1" x14ac:dyDescent="0.3">
      <c r="A44" s="26"/>
      <c r="B44" s="26"/>
      <c r="C44" s="26"/>
      <c r="D44" s="26"/>
      <c r="E44" s="26"/>
      <c r="F44" s="26"/>
      <c r="G44" s="26"/>
      <c r="H44" s="26"/>
    </row>
    <row r="45" spans="1:8" ht="15.75" hidden="1" thickBot="1" x14ac:dyDescent="0.3">
      <c r="A45" s="26"/>
      <c r="B45" s="26"/>
      <c r="C45" s="26"/>
      <c r="D45" s="26"/>
      <c r="E45" s="26"/>
      <c r="F45" s="26"/>
      <c r="G45" s="26"/>
      <c r="H45" s="26"/>
    </row>
    <row r="46" spans="1:8" ht="15.75" hidden="1" thickBot="1" x14ac:dyDescent="0.3">
      <c r="A46" s="26"/>
      <c r="B46" s="26"/>
      <c r="C46" s="26"/>
      <c r="D46" s="26"/>
      <c r="E46" s="26"/>
      <c r="F46" s="26"/>
      <c r="G46" s="26"/>
      <c r="H46" s="26"/>
    </row>
    <row r="47" spans="1:8" ht="15.75" hidden="1" thickBot="1" x14ac:dyDescent="0.3">
      <c r="A47" s="26"/>
      <c r="B47" s="26"/>
      <c r="C47" s="26"/>
      <c r="D47" s="26"/>
      <c r="E47" s="26"/>
      <c r="F47" s="26"/>
      <c r="G47" s="26"/>
      <c r="H47" s="26"/>
    </row>
    <row r="48" spans="1:8" ht="15.75" hidden="1" thickBot="1" x14ac:dyDescent="0.3">
      <c r="A48" s="26"/>
      <c r="B48" s="26"/>
      <c r="C48" s="26"/>
      <c r="D48" s="26"/>
      <c r="E48" s="26"/>
      <c r="F48" s="26"/>
      <c r="G48" s="26"/>
      <c r="H48" s="26"/>
    </row>
    <row r="49" spans="1:8" ht="15.75" hidden="1" thickBot="1" x14ac:dyDescent="0.3">
      <c r="A49" s="26"/>
      <c r="B49" s="26"/>
      <c r="C49" s="26"/>
      <c r="D49" s="26"/>
      <c r="E49" s="26"/>
      <c r="F49" s="26"/>
      <c r="G49" s="26"/>
      <c r="H49" s="26"/>
    </row>
    <row r="50" spans="1:8" ht="15.75" hidden="1" thickBot="1" x14ac:dyDescent="0.3">
      <c r="A50" s="26"/>
      <c r="B50" s="26"/>
      <c r="C50" s="26"/>
      <c r="D50" s="26"/>
      <c r="E50" s="26"/>
      <c r="F50" s="26"/>
      <c r="G50" s="26"/>
      <c r="H50" s="26"/>
    </row>
    <row r="51" spans="1:8" ht="15.75" hidden="1" thickBot="1" x14ac:dyDescent="0.3">
      <c r="A51" s="26"/>
      <c r="B51" s="26"/>
      <c r="C51" s="26"/>
      <c r="D51" s="26"/>
      <c r="E51" s="26"/>
      <c r="F51" s="26"/>
      <c r="G51" s="26"/>
      <c r="H51" s="26"/>
    </row>
    <row r="52" spans="1:8" ht="15.75" hidden="1" thickBot="1" x14ac:dyDescent="0.3">
      <c r="A52" s="26"/>
      <c r="B52" s="26"/>
      <c r="C52" s="26"/>
      <c r="D52" s="26"/>
      <c r="E52" s="26"/>
      <c r="F52" s="26"/>
      <c r="G52" s="26"/>
      <c r="H52" s="26"/>
    </row>
    <row r="53" spans="1:8" ht="56.25" hidden="1" customHeight="1" thickBot="1" x14ac:dyDescent="0.3">
      <c r="A53" s="26"/>
      <c r="B53" s="26"/>
      <c r="C53" s="26"/>
      <c r="D53" s="26"/>
      <c r="E53" s="26"/>
      <c r="F53" s="26"/>
      <c r="G53" s="26"/>
      <c r="H53" s="26"/>
    </row>
    <row r="54" spans="1:8" ht="30.75" thickBot="1" x14ac:dyDescent="0.3">
      <c r="A54" s="27"/>
      <c r="B54" s="47" t="s">
        <v>107</v>
      </c>
      <c r="C54" s="48" t="s">
        <v>108</v>
      </c>
      <c r="D54" s="49" t="s">
        <v>109</v>
      </c>
      <c r="E54" s="50" t="s">
        <v>110</v>
      </c>
      <c r="F54" s="26"/>
      <c r="G54" s="26"/>
      <c r="H54" s="26"/>
    </row>
    <row r="55" spans="1:8" x14ac:dyDescent="0.25">
      <c r="A55" s="51" t="s">
        <v>91</v>
      </c>
      <c r="B55" s="33">
        <f>'1'!$AU$24</f>
        <v>0</v>
      </c>
      <c r="C55" s="128">
        <f>'1'!$AV$24</f>
        <v>0</v>
      </c>
      <c r="D55" s="33">
        <f>'1'!$AW$24</f>
        <v>0</v>
      </c>
      <c r="E55" s="52">
        <f>'1'!$AX$24</f>
        <v>0</v>
      </c>
      <c r="F55" s="26"/>
      <c r="G55" s="26"/>
      <c r="H55" s="26"/>
    </row>
    <row r="56" spans="1:8" x14ac:dyDescent="0.25">
      <c r="A56" s="53" t="s">
        <v>92</v>
      </c>
      <c r="B56" s="37">
        <f>'2'!$AU$24</f>
        <v>0</v>
      </c>
      <c r="C56" s="126">
        <f>'2'!$AV$24</f>
        <v>0</v>
      </c>
      <c r="D56" s="37">
        <f>'2'!$AW$24</f>
        <v>0</v>
      </c>
      <c r="E56" s="54">
        <f>'2'!$AX$24</f>
        <v>0</v>
      </c>
      <c r="F56" s="26"/>
      <c r="G56" s="26"/>
      <c r="H56" s="26"/>
    </row>
    <row r="57" spans="1:8" x14ac:dyDescent="0.25">
      <c r="A57" s="53" t="s">
        <v>93</v>
      </c>
      <c r="B57" s="37">
        <f>'3'!$AU$24</f>
        <v>0</v>
      </c>
      <c r="C57" s="126">
        <f>'3'!$AV$24</f>
        <v>0</v>
      </c>
      <c r="D57" s="37">
        <f>'3'!$AW$24</f>
        <v>0</v>
      </c>
      <c r="E57" s="54">
        <f>'3'!$AX$24</f>
        <v>0</v>
      </c>
      <c r="F57" s="26"/>
      <c r="G57" s="26"/>
      <c r="H57" s="26"/>
    </row>
    <row r="58" spans="1:8" x14ac:dyDescent="0.25">
      <c r="A58" s="53" t="s">
        <v>94</v>
      </c>
      <c r="B58" s="37">
        <f>'4'!$AU$24</f>
        <v>0</v>
      </c>
      <c r="C58" s="126">
        <f>'4'!$AV$24</f>
        <v>0</v>
      </c>
      <c r="D58" s="37">
        <f>'4'!$AW$24</f>
        <v>0</v>
      </c>
      <c r="E58" s="54">
        <f>'4'!$AX$24</f>
        <v>0</v>
      </c>
      <c r="F58" s="26"/>
      <c r="G58" s="26"/>
      <c r="H58" s="26"/>
    </row>
    <row r="59" spans="1:8" x14ac:dyDescent="0.25">
      <c r="A59" s="53" t="s">
        <v>95</v>
      </c>
      <c r="B59" s="37">
        <f>'5'!$AU$24</f>
        <v>0</v>
      </c>
      <c r="C59" s="126">
        <f>'5'!$AV$24</f>
        <v>0</v>
      </c>
      <c r="D59" s="37">
        <f>'5'!$AW$24</f>
        <v>0</v>
      </c>
      <c r="E59" s="54">
        <f>'5'!$AX$24</f>
        <v>0</v>
      </c>
      <c r="F59" s="26"/>
      <c r="G59" s="26"/>
      <c r="H59" s="26"/>
    </row>
    <row r="60" spans="1:8" x14ac:dyDescent="0.25">
      <c r="A60" s="53" t="s">
        <v>96</v>
      </c>
      <c r="B60" s="37">
        <f>'6'!$AU$24</f>
        <v>0</v>
      </c>
      <c r="C60" s="126">
        <f>'6'!$AV$24</f>
        <v>0</v>
      </c>
      <c r="D60" s="37">
        <f>'6'!$AW$24</f>
        <v>0</v>
      </c>
      <c r="E60" s="54">
        <f>'6'!$AX$24</f>
        <v>0</v>
      </c>
      <c r="F60" s="26"/>
      <c r="G60" s="26"/>
      <c r="H60" s="26"/>
    </row>
    <row r="61" spans="1:8" x14ac:dyDescent="0.25">
      <c r="A61" s="53" t="s">
        <v>97</v>
      </c>
      <c r="B61" s="37">
        <f>'7'!$AU$24</f>
        <v>0</v>
      </c>
      <c r="C61" s="126">
        <f>'7'!$AV$24</f>
        <v>0</v>
      </c>
      <c r="D61" s="37">
        <f>'7'!$AW$24</f>
        <v>0</v>
      </c>
      <c r="E61" s="54">
        <f>'7'!$AX$24</f>
        <v>0</v>
      </c>
      <c r="F61" s="26"/>
      <c r="G61" s="26"/>
      <c r="H61" s="26"/>
    </row>
    <row r="62" spans="1:8" x14ac:dyDescent="0.25">
      <c r="A62" s="53" t="s">
        <v>98</v>
      </c>
      <c r="B62" s="37">
        <f>'8'!$AU$24</f>
        <v>0</v>
      </c>
      <c r="C62" s="126">
        <f>'8'!$AV$24</f>
        <v>0</v>
      </c>
      <c r="D62" s="37">
        <f>'8'!$AW$24</f>
        <v>0</v>
      </c>
      <c r="E62" s="54">
        <f>'8'!$AX$24</f>
        <v>0</v>
      </c>
      <c r="F62" s="26"/>
      <c r="G62" s="26"/>
      <c r="H62" s="26"/>
    </row>
    <row r="63" spans="1:8" x14ac:dyDescent="0.25">
      <c r="A63" s="53" t="s">
        <v>99</v>
      </c>
      <c r="B63" s="37">
        <f>'9'!$AU$24</f>
        <v>0</v>
      </c>
      <c r="C63" s="126">
        <f>'9'!$AV$24</f>
        <v>0</v>
      </c>
      <c r="D63" s="37">
        <f>'9'!$AW$24</f>
        <v>0</v>
      </c>
      <c r="E63" s="54">
        <f>'9'!$AX$24</f>
        <v>0</v>
      </c>
      <c r="F63" s="26"/>
      <c r="G63" s="26"/>
      <c r="H63" s="26"/>
    </row>
    <row r="64" spans="1:8" x14ac:dyDescent="0.25">
      <c r="A64" s="53" t="s">
        <v>100</v>
      </c>
      <c r="B64" s="37">
        <f>'10'!$AU$24</f>
        <v>0</v>
      </c>
      <c r="C64" s="126">
        <f>'10'!$AV$24</f>
        <v>0</v>
      </c>
      <c r="D64" s="37">
        <f>'10'!$AW$24</f>
        <v>0</v>
      </c>
      <c r="E64" s="54">
        <f>'10'!$AX$24</f>
        <v>0</v>
      </c>
      <c r="F64" s="26"/>
      <c r="G64" s="26"/>
      <c r="H64" s="26"/>
    </row>
    <row r="65" spans="1:8" x14ac:dyDescent="0.25">
      <c r="A65" s="53" t="s">
        <v>101</v>
      </c>
      <c r="B65" s="37">
        <f>'11'!$AU$24</f>
        <v>0</v>
      </c>
      <c r="C65" s="126">
        <f>'11'!$AV$24</f>
        <v>0</v>
      </c>
      <c r="D65" s="37">
        <f>'11'!$AW$24</f>
        <v>0</v>
      </c>
      <c r="E65" s="54">
        <f>'11'!$AX$24</f>
        <v>0</v>
      </c>
      <c r="F65" s="26"/>
      <c r="G65" s="26"/>
      <c r="H65" s="26"/>
    </row>
    <row r="66" spans="1:8" ht="15.75" thickBot="1" x14ac:dyDescent="0.3">
      <c r="A66" s="55" t="s">
        <v>102</v>
      </c>
      <c r="B66" s="41">
        <f>'12'!$AU$24</f>
        <v>0</v>
      </c>
      <c r="C66" s="127">
        <f>'12'!$AV$24</f>
        <v>0</v>
      </c>
      <c r="D66" s="41">
        <f>'12'!$AW$24</f>
        <v>0</v>
      </c>
      <c r="E66" s="56">
        <f>'12'!$AX$24</f>
        <v>0</v>
      </c>
      <c r="F66" s="26"/>
      <c r="G66" s="26"/>
      <c r="H66" s="26"/>
    </row>
    <row r="67" spans="1:8" x14ac:dyDescent="0.25">
      <c r="A67" s="26"/>
      <c r="B67" s="26"/>
      <c r="C67" s="26"/>
      <c r="D67" s="26"/>
      <c r="E67" s="26"/>
      <c r="F67" s="26"/>
      <c r="G67" s="26"/>
      <c r="H67" s="26"/>
    </row>
    <row r="68" spans="1:8" x14ac:dyDescent="0.25">
      <c r="A68" s="26"/>
      <c r="B68" s="26"/>
      <c r="C68" s="26"/>
      <c r="D68" s="26"/>
      <c r="E68" s="26"/>
      <c r="F68" s="26"/>
      <c r="G68" s="26"/>
      <c r="H68" s="26"/>
    </row>
    <row r="69" spans="1:8" x14ac:dyDescent="0.25">
      <c r="A69" s="26"/>
      <c r="B69" s="26"/>
      <c r="C69" s="26"/>
      <c r="D69" s="26"/>
      <c r="E69" s="26"/>
      <c r="F69" s="26"/>
      <c r="G69" s="26"/>
      <c r="H69" s="26"/>
    </row>
    <row r="70" spans="1:8" x14ac:dyDescent="0.25">
      <c r="A70" s="26"/>
      <c r="B70" s="26"/>
      <c r="C70" s="26"/>
      <c r="D70" s="26"/>
      <c r="E70" s="26"/>
      <c r="F70" s="26"/>
      <c r="G70" s="26"/>
      <c r="H70" s="26"/>
    </row>
    <row r="71" spans="1:8" x14ac:dyDescent="0.25">
      <c r="A71" s="26"/>
      <c r="B71" s="26"/>
      <c r="C71" s="26"/>
      <c r="D71" s="26"/>
      <c r="E71" s="26"/>
      <c r="F71" s="26"/>
      <c r="G71" s="26"/>
      <c r="H71" s="26"/>
    </row>
    <row r="72" spans="1:8" x14ac:dyDescent="0.25">
      <c r="A72" s="26"/>
      <c r="B72" s="26"/>
      <c r="C72" s="26"/>
      <c r="D72" s="26"/>
      <c r="E72" s="26"/>
      <c r="F72" s="26"/>
      <c r="G72" s="26"/>
      <c r="H72" s="26"/>
    </row>
    <row r="73" spans="1:8" x14ac:dyDescent="0.25">
      <c r="A73" s="26"/>
      <c r="B73" s="26"/>
      <c r="C73" s="26"/>
      <c r="D73" s="26"/>
      <c r="E73" s="26"/>
      <c r="F73" s="26"/>
      <c r="G73" s="26"/>
      <c r="H73" s="26"/>
    </row>
    <row r="74" spans="1:8" x14ac:dyDescent="0.25">
      <c r="A74" s="26"/>
      <c r="B74" s="26"/>
      <c r="C74" s="26"/>
      <c r="D74" s="26"/>
      <c r="E74" s="26"/>
      <c r="F74" s="26"/>
      <c r="G74" s="26"/>
      <c r="H74" s="26"/>
    </row>
    <row r="75" spans="1:8" x14ac:dyDescent="0.25">
      <c r="A75" s="26"/>
      <c r="B75" s="26"/>
      <c r="C75" s="26"/>
      <c r="D75" s="26"/>
      <c r="E75" s="26"/>
      <c r="F75" s="26"/>
      <c r="G75" s="26"/>
      <c r="H75" s="26"/>
    </row>
    <row r="76" spans="1:8" x14ac:dyDescent="0.25">
      <c r="A76" s="26"/>
      <c r="B76" s="26"/>
      <c r="C76" s="26"/>
      <c r="D76" s="26"/>
      <c r="E76" s="26"/>
      <c r="F76" s="26"/>
      <c r="G76" s="26"/>
      <c r="H76" s="26"/>
    </row>
    <row r="77" spans="1:8" x14ac:dyDescent="0.25">
      <c r="A77" s="26"/>
      <c r="B77" s="26"/>
      <c r="C77" s="26"/>
      <c r="D77" s="26"/>
      <c r="E77" s="26"/>
      <c r="F77" s="26"/>
      <c r="G77" s="26"/>
      <c r="H77" s="26"/>
    </row>
    <row r="78" spans="1:8" x14ac:dyDescent="0.25">
      <c r="A78" s="26"/>
      <c r="B78" s="26"/>
      <c r="C78" s="26"/>
      <c r="D78" s="26"/>
      <c r="E78" s="26"/>
      <c r="F78" s="26"/>
      <c r="G78" s="26"/>
      <c r="H78" s="26"/>
    </row>
    <row r="79" spans="1:8" ht="76.5" customHeight="1" thickBot="1" x14ac:dyDescent="0.3">
      <c r="A79" s="26"/>
      <c r="B79" s="26"/>
      <c r="C79" s="26"/>
      <c r="D79" s="26"/>
      <c r="E79" s="26"/>
      <c r="F79" s="26"/>
      <c r="G79" s="26"/>
      <c r="H79" s="26"/>
    </row>
    <row r="80" spans="1:8" ht="30.75" outlineLevel="1" thickBot="1" x14ac:dyDescent="0.3">
      <c r="A80" s="27"/>
      <c r="B80" s="57" t="s">
        <v>111</v>
      </c>
      <c r="C80" s="58" t="s">
        <v>112</v>
      </c>
      <c r="D80" s="59" t="s">
        <v>113</v>
      </c>
      <c r="E80" s="58" t="s">
        <v>114</v>
      </c>
      <c r="F80" s="26"/>
      <c r="G80" s="26"/>
      <c r="H80" s="26"/>
    </row>
    <row r="81" spans="1:8" outlineLevel="1" x14ac:dyDescent="0.25">
      <c r="A81" s="51" t="s">
        <v>91</v>
      </c>
      <c r="B81" s="33">
        <f>'1'!$AU$46</f>
        <v>0</v>
      </c>
      <c r="C81" s="128">
        <f>'1'!$AV$46</f>
        <v>0</v>
      </c>
      <c r="D81" s="33">
        <f>'1'!$AW$46</f>
        <v>0</v>
      </c>
      <c r="E81" s="52">
        <f>'1'!$AX$46</f>
        <v>0</v>
      </c>
      <c r="F81" s="26"/>
      <c r="G81" s="26"/>
      <c r="H81" s="26"/>
    </row>
    <row r="82" spans="1:8" outlineLevel="1" x14ac:dyDescent="0.25">
      <c r="A82" s="53" t="s">
        <v>92</v>
      </c>
      <c r="B82" s="37">
        <f>'2'!$AU$46</f>
        <v>0</v>
      </c>
      <c r="C82" s="126">
        <f>'2'!$AV$46</f>
        <v>0</v>
      </c>
      <c r="D82" s="37">
        <f>'2'!$AW$46</f>
        <v>0</v>
      </c>
      <c r="E82" s="54">
        <f>'2'!$AX$46</f>
        <v>0</v>
      </c>
      <c r="F82" s="26"/>
      <c r="G82" s="26"/>
      <c r="H82" s="26"/>
    </row>
    <row r="83" spans="1:8" outlineLevel="1" x14ac:dyDescent="0.25">
      <c r="A83" s="53" t="s">
        <v>93</v>
      </c>
      <c r="B83" s="37">
        <f>'3'!$AU$46</f>
        <v>0</v>
      </c>
      <c r="C83" s="126">
        <f>'3'!$AV$46</f>
        <v>0</v>
      </c>
      <c r="D83" s="37">
        <f>'3'!$AW$46</f>
        <v>0</v>
      </c>
      <c r="E83" s="54">
        <f>'3'!$AX$46</f>
        <v>0</v>
      </c>
      <c r="F83" s="26"/>
      <c r="G83" s="26"/>
      <c r="H83" s="26"/>
    </row>
    <row r="84" spans="1:8" outlineLevel="1" x14ac:dyDescent="0.25">
      <c r="A84" s="53" t="s">
        <v>94</v>
      </c>
      <c r="B84" s="37">
        <f>'4'!$AU$46</f>
        <v>0</v>
      </c>
      <c r="C84" s="126">
        <f>'4'!$AV$46</f>
        <v>0</v>
      </c>
      <c r="D84" s="37">
        <f>'4'!$AW$46</f>
        <v>0</v>
      </c>
      <c r="E84" s="54">
        <f>'4'!$AX$46</f>
        <v>0</v>
      </c>
      <c r="F84" s="26"/>
      <c r="G84" s="26"/>
      <c r="H84" s="26"/>
    </row>
    <row r="85" spans="1:8" outlineLevel="1" x14ac:dyDescent="0.25">
      <c r="A85" s="53" t="s">
        <v>95</v>
      </c>
      <c r="B85" s="37">
        <f>'5'!$AU$46</f>
        <v>0</v>
      </c>
      <c r="C85" s="126">
        <f>'5'!$AV$46</f>
        <v>0</v>
      </c>
      <c r="D85" s="37">
        <f>'5'!$AW$46</f>
        <v>0</v>
      </c>
      <c r="E85" s="54">
        <f>'5'!$AX$46</f>
        <v>0</v>
      </c>
      <c r="F85" s="26"/>
      <c r="G85" s="26"/>
      <c r="H85" s="26"/>
    </row>
    <row r="86" spans="1:8" outlineLevel="1" x14ac:dyDescent="0.25">
      <c r="A86" s="53" t="s">
        <v>96</v>
      </c>
      <c r="B86" s="37">
        <f>'6'!$AU$46</f>
        <v>0</v>
      </c>
      <c r="C86" s="126">
        <f>'6'!$AV$46</f>
        <v>0</v>
      </c>
      <c r="D86" s="37">
        <f>'6'!$AW$46</f>
        <v>0</v>
      </c>
      <c r="E86" s="54">
        <f>'6'!$AX$46</f>
        <v>0</v>
      </c>
      <c r="F86" s="26"/>
      <c r="G86" s="26"/>
      <c r="H86" s="26"/>
    </row>
    <row r="87" spans="1:8" outlineLevel="1" x14ac:dyDescent="0.25">
      <c r="A87" s="53" t="s">
        <v>97</v>
      </c>
      <c r="B87" s="37">
        <f>'7'!$AU$46</f>
        <v>0</v>
      </c>
      <c r="C87" s="126">
        <f>'7'!$AV$46</f>
        <v>0</v>
      </c>
      <c r="D87" s="37">
        <f>'7'!$AW$46</f>
        <v>0</v>
      </c>
      <c r="E87" s="54">
        <f>'7'!$AX$46</f>
        <v>0</v>
      </c>
      <c r="F87" s="26"/>
      <c r="G87" s="26"/>
      <c r="H87" s="26"/>
    </row>
    <row r="88" spans="1:8" outlineLevel="1" x14ac:dyDescent="0.25">
      <c r="A88" s="53" t="s">
        <v>98</v>
      </c>
      <c r="B88" s="37">
        <f>'8'!$AU$46</f>
        <v>0</v>
      </c>
      <c r="C88" s="126">
        <f>'8'!$AV$46</f>
        <v>0</v>
      </c>
      <c r="D88" s="37">
        <f>'8'!$AW$46</f>
        <v>0</v>
      </c>
      <c r="E88" s="54">
        <f>'8'!$AX$46</f>
        <v>0</v>
      </c>
      <c r="F88" s="26"/>
      <c r="G88" s="26"/>
      <c r="H88" s="26"/>
    </row>
    <row r="89" spans="1:8" outlineLevel="1" x14ac:dyDescent="0.25">
      <c r="A89" s="53" t="s">
        <v>99</v>
      </c>
      <c r="B89" s="37">
        <f>'9'!$AU$46</f>
        <v>0</v>
      </c>
      <c r="C89" s="126">
        <f>'9'!$AV$46</f>
        <v>0</v>
      </c>
      <c r="D89" s="37">
        <f>'9'!$AW$46</f>
        <v>0</v>
      </c>
      <c r="E89" s="54">
        <f>'9'!$AX$46</f>
        <v>0</v>
      </c>
      <c r="F89" s="26"/>
      <c r="G89" s="26"/>
      <c r="H89" s="26"/>
    </row>
    <row r="90" spans="1:8" outlineLevel="1" x14ac:dyDescent="0.25">
      <c r="A90" s="53" t="s">
        <v>100</v>
      </c>
      <c r="B90" s="37">
        <f>'10'!$AU$46</f>
        <v>0</v>
      </c>
      <c r="C90" s="126">
        <f>'10'!$AV$46</f>
        <v>0</v>
      </c>
      <c r="D90" s="37">
        <f>'10'!$AW$46</f>
        <v>0</v>
      </c>
      <c r="E90" s="54">
        <f>'10'!$AX$46</f>
        <v>0</v>
      </c>
      <c r="F90" s="26"/>
      <c r="G90" s="26"/>
      <c r="H90" s="26"/>
    </row>
    <row r="91" spans="1:8" outlineLevel="1" x14ac:dyDescent="0.25">
      <c r="A91" s="53" t="s">
        <v>101</v>
      </c>
      <c r="B91" s="37">
        <f>'11'!$AU$46</f>
        <v>0</v>
      </c>
      <c r="C91" s="126">
        <f>'11'!$AV$46</f>
        <v>0</v>
      </c>
      <c r="D91" s="37">
        <f>'11'!$AW$46</f>
        <v>0</v>
      </c>
      <c r="E91" s="54">
        <f>'11'!$AX$46</f>
        <v>0</v>
      </c>
      <c r="F91" s="26"/>
      <c r="G91" s="26"/>
      <c r="H91" s="26"/>
    </row>
    <row r="92" spans="1:8" ht="15.75" outlineLevel="1" thickBot="1" x14ac:dyDescent="0.3">
      <c r="A92" s="55" t="s">
        <v>102</v>
      </c>
      <c r="B92" s="41">
        <f>'12'!$AU$46</f>
        <v>0</v>
      </c>
      <c r="C92" s="127">
        <f>'12'!$AV$46</f>
        <v>0</v>
      </c>
      <c r="D92" s="41">
        <f>'12'!$AW$46</f>
        <v>0</v>
      </c>
      <c r="E92" s="56">
        <f>'12'!$AX$46</f>
        <v>0</v>
      </c>
      <c r="F92" s="26"/>
      <c r="G92" s="26"/>
      <c r="H92" s="26"/>
    </row>
    <row r="93" spans="1:8" x14ac:dyDescent="0.25">
      <c r="A93" s="26"/>
      <c r="B93" s="26"/>
      <c r="C93" s="26"/>
      <c r="D93" s="26"/>
      <c r="E93" s="26"/>
      <c r="F93" s="26"/>
      <c r="G93" s="26"/>
      <c r="H93" s="26"/>
    </row>
    <row r="94" spans="1:8" x14ac:dyDescent="0.25">
      <c r="A94" s="26"/>
      <c r="B94" s="26"/>
      <c r="C94" s="26"/>
      <c r="D94" s="26"/>
      <c r="E94" s="26"/>
      <c r="F94" s="26"/>
      <c r="G94" s="26"/>
      <c r="H94" s="26"/>
    </row>
    <row r="95" spans="1:8" x14ac:dyDescent="0.25">
      <c r="A95" s="26"/>
      <c r="B95" s="26"/>
      <c r="C95" s="26"/>
      <c r="D95" s="26"/>
      <c r="E95" s="26"/>
      <c r="F95" s="26"/>
      <c r="G95" s="26"/>
      <c r="H95" s="26"/>
    </row>
    <row r="96" spans="1:8" x14ac:dyDescent="0.25">
      <c r="A96" s="26"/>
      <c r="B96" s="26"/>
      <c r="C96" s="26"/>
      <c r="D96" s="26"/>
      <c r="E96" s="26"/>
      <c r="F96" s="26"/>
      <c r="G96" s="26"/>
      <c r="H96" s="26"/>
    </row>
    <row r="97" spans="1:8" x14ac:dyDescent="0.25">
      <c r="A97" s="26"/>
      <c r="B97" s="26"/>
      <c r="C97" s="26"/>
      <c r="D97" s="26"/>
      <c r="E97" s="26"/>
      <c r="F97" s="26"/>
      <c r="G97" s="26"/>
      <c r="H97" s="26"/>
    </row>
    <row r="98" spans="1:8" x14ac:dyDescent="0.25">
      <c r="A98" s="26"/>
      <c r="B98" s="26"/>
      <c r="C98" s="26"/>
      <c r="D98" s="26"/>
      <c r="E98" s="26"/>
      <c r="F98" s="26"/>
      <c r="G98" s="26"/>
      <c r="H98" s="26"/>
    </row>
    <row r="99" spans="1:8" x14ac:dyDescent="0.25">
      <c r="A99" s="26"/>
      <c r="B99" s="26"/>
      <c r="C99" s="26"/>
      <c r="D99" s="26"/>
      <c r="E99" s="26"/>
      <c r="F99" s="26"/>
      <c r="G99" s="26"/>
      <c r="H99" s="26"/>
    </row>
    <row r="100" spans="1:8" x14ac:dyDescent="0.25">
      <c r="A100" s="26"/>
      <c r="B100" s="26"/>
      <c r="C100" s="26"/>
      <c r="D100" s="26"/>
      <c r="E100" s="26"/>
      <c r="F100" s="26"/>
      <c r="G100" s="26"/>
      <c r="H100" s="26"/>
    </row>
    <row r="101" spans="1:8" x14ac:dyDescent="0.25">
      <c r="A101" s="26"/>
      <c r="B101" s="26"/>
      <c r="C101" s="26"/>
      <c r="D101" s="26"/>
      <c r="E101" s="26"/>
      <c r="F101" s="26"/>
      <c r="G101" s="26"/>
      <c r="H101" s="26"/>
    </row>
    <row r="102" spans="1:8" x14ac:dyDescent="0.25">
      <c r="A102" s="26"/>
      <c r="B102" s="26"/>
      <c r="C102" s="26"/>
      <c r="D102" s="26"/>
      <c r="E102" s="26"/>
      <c r="F102" s="26"/>
      <c r="G102" s="26"/>
      <c r="H102" s="26"/>
    </row>
    <row r="103" spans="1:8" x14ac:dyDescent="0.25">
      <c r="A103" s="26"/>
      <c r="B103" s="26"/>
      <c r="C103" s="26"/>
      <c r="D103" s="26"/>
      <c r="E103" s="26"/>
      <c r="F103" s="26"/>
      <c r="G103" s="26"/>
      <c r="H103" s="26"/>
    </row>
    <row r="104" spans="1:8" x14ac:dyDescent="0.25">
      <c r="A104" s="26"/>
      <c r="B104" s="26"/>
      <c r="C104" s="26"/>
      <c r="D104" s="26"/>
      <c r="E104" s="26"/>
      <c r="F104" s="26"/>
      <c r="G104" s="26"/>
      <c r="H104" s="26"/>
    </row>
    <row r="105" spans="1:8" x14ac:dyDescent="0.25">
      <c r="A105" s="26"/>
      <c r="B105" s="26"/>
      <c r="C105" s="26"/>
      <c r="D105" s="26"/>
      <c r="E105" s="26"/>
      <c r="F105" s="26"/>
      <c r="G105" s="26"/>
      <c r="H105" s="26"/>
    </row>
    <row r="106" spans="1:8" ht="66" customHeight="1" thickBot="1" x14ac:dyDescent="0.3">
      <c r="A106" s="26"/>
      <c r="B106" s="26"/>
      <c r="C106" s="26"/>
      <c r="D106" s="26"/>
      <c r="E106" s="26"/>
      <c r="F106" s="26"/>
      <c r="G106" s="26"/>
      <c r="H106" s="26"/>
    </row>
    <row r="107" spans="1:8" ht="30.75" outlineLevel="1" thickBot="1" x14ac:dyDescent="0.3">
      <c r="A107" s="27"/>
      <c r="B107" s="57" t="s">
        <v>119</v>
      </c>
      <c r="C107" s="58" t="s">
        <v>120</v>
      </c>
      <c r="D107" s="59" t="s">
        <v>121</v>
      </c>
      <c r="E107" s="58" t="s">
        <v>122</v>
      </c>
      <c r="F107" s="26"/>
      <c r="G107" s="26"/>
      <c r="H107" s="26"/>
    </row>
    <row r="108" spans="1:8" outlineLevel="1" x14ac:dyDescent="0.25">
      <c r="A108" s="51" t="s">
        <v>91</v>
      </c>
      <c r="B108" s="33">
        <f>'1'!$AU$52</f>
        <v>0</v>
      </c>
      <c r="C108" s="128">
        <f>'1'!$AV$52</f>
        <v>0</v>
      </c>
      <c r="D108" s="33">
        <f>'1'!$AW$52</f>
        <v>0</v>
      </c>
      <c r="E108" s="52">
        <f>'1'!$AX$52</f>
        <v>0</v>
      </c>
      <c r="F108" s="26"/>
      <c r="G108" s="26"/>
      <c r="H108" s="26"/>
    </row>
    <row r="109" spans="1:8" outlineLevel="1" x14ac:dyDescent="0.25">
      <c r="A109" s="53" t="s">
        <v>92</v>
      </c>
      <c r="B109" s="37">
        <f>'2'!$AU$52</f>
        <v>0</v>
      </c>
      <c r="C109" s="126">
        <f>'2'!$AV$52</f>
        <v>0</v>
      </c>
      <c r="D109" s="37">
        <f>'2'!$AW$52</f>
        <v>0</v>
      </c>
      <c r="E109" s="54">
        <f>'2'!$AX$52</f>
        <v>0</v>
      </c>
      <c r="F109" s="26"/>
      <c r="G109" s="26"/>
      <c r="H109" s="26"/>
    </row>
    <row r="110" spans="1:8" outlineLevel="1" x14ac:dyDescent="0.25">
      <c r="A110" s="53" t="s">
        <v>93</v>
      </c>
      <c r="B110" s="37">
        <f>'3'!$AU$52</f>
        <v>0</v>
      </c>
      <c r="C110" s="126">
        <f>'3'!$AV$52</f>
        <v>0</v>
      </c>
      <c r="D110" s="37">
        <f>'3'!$AW$52</f>
        <v>0</v>
      </c>
      <c r="E110" s="54">
        <f>'3'!$AX$52</f>
        <v>0</v>
      </c>
      <c r="F110" s="26"/>
      <c r="G110" s="26"/>
      <c r="H110" s="26"/>
    </row>
    <row r="111" spans="1:8" outlineLevel="1" x14ac:dyDescent="0.25">
      <c r="A111" s="53" t="s">
        <v>94</v>
      </c>
      <c r="B111" s="37">
        <f>'4'!$AU$52</f>
        <v>0</v>
      </c>
      <c r="C111" s="126">
        <f>'4'!$AV$52</f>
        <v>0</v>
      </c>
      <c r="D111" s="37">
        <f>'4'!$AW$52</f>
        <v>0</v>
      </c>
      <c r="E111" s="54">
        <f>'4'!$AX$52</f>
        <v>0</v>
      </c>
      <c r="F111" s="26"/>
      <c r="G111" s="26"/>
      <c r="H111" s="26"/>
    </row>
    <row r="112" spans="1:8" outlineLevel="1" x14ac:dyDescent="0.25">
      <c r="A112" s="53" t="s">
        <v>95</v>
      </c>
      <c r="B112" s="37">
        <f>'5'!$AU$52</f>
        <v>0</v>
      </c>
      <c r="C112" s="126">
        <f>'5'!$AV$52</f>
        <v>0</v>
      </c>
      <c r="D112" s="37">
        <f>'5'!$AW$52</f>
        <v>0</v>
      </c>
      <c r="E112" s="54">
        <f>'5'!$AX$52</f>
        <v>0</v>
      </c>
      <c r="F112" s="26"/>
      <c r="G112" s="26"/>
      <c r="H112" s="26"/>
    </row>
    <row r="113" spans="1:8" outlineLevel="1" x14ac:dyDescent="0.25">
      <c r="A113" s="53" t="s">
        <v>96</v>
      </c>
      <c r="B113" s="37">
        <f>'6'!$AU$52</f>
        <v>0</v>
      </c>
      <c r="C113" s="126">
        <f>'6'!$AV$52</f>
        <v>0</v>
      </c>
      <c r="D113" s="37">
        <f>'6'!$AW$52</f>
        <v>0</v>
      </c>
      <c r="E113" s="54">
        <f>'6'!$AX$52</f>
        <v>0</v>
      </c>
      <c r="F113" s="26"/>
      <c r="G113" s="26"/>
      <c r="H113" s="26"/>
    </row>
    <row r="114" spans="1:8" outlineLevel="1" x14ac:dyDescent="0.25">
      <c r="A114" s="53" t="s">
        <v>97</v>
      </c>
      <c r="B114" s="37">
        <f>'7'!$AU$52</f>
        <v>0</v>
      </c>
      <c r="C114" s="126">
        <f>'7'!$AV$52</f>
        <v>0</v>
      </c>
      <c r="D114" s="37">
        <f>'7'!$AW$52</f>
        <v>0</v>
      </c>
      <c r="E114" s="54">
        <f>'7'!$AX$52</f>
        <v>0</v>
      </c>
      <c r="F114" s="26"/>
      <c r="G114" s="26"/>
      <c r="H114" s="26"/>
    </row>
    <row r="115" spans="1:8" outlineLevel="1" x14ac:dyDescent="0.25">
      <c r="A115" s="53" t="s">
        <v>98</v>
      </c>
      <c r="B115" s="37">
        <f>'8'!$AU$52</f>
        <v>0</v>
      </c>
      <c r="C115" s="126">
        <f>'8'!$AV$52</f>
        <v>0</v>
      </c>
      <c r="D115" s="37">
        <f>'8'!$AW$52</f>
        <v>0</v>
      </c>
      <c r="E115" s="54">
        <f>'8'!$AX$52</f>
        <v>0</v>
      </c>
      <c r="F115" s="26"/>
      <c r="G115" s="26"/>
      <c r="H115" s="26"/>
    </row>
    <row r="116" spans="1:8" outlineLevel="1" x14ac:dyDescent="0.25">
      <c r="A116" s="53" t="s">
        <v>99</v>
      </c>
      <c r="B116" s="37">
        <f>'9'!$AU$52</f>
        <v>0</v>
      </c>
      <c r="C116" s="126">
        <f>'9'!$AV$52</f>
        <v>0</v>
      </c>
      <c r="D116" s="37">
        <f>'9'!$AW$52</f>
        <v>0</v>
      </c>
      <c r="E116" s="54">
        <f>'9'!$AX$52</f>
        <v>0</v>
      </c>
      <c r="F116" s="26"/>
      <c r="G116" s="26"/>
      <c r="H116" s="26"/>
    </row>
    <row r="117" spans="1:8" outlineLevel="1" x14ac:dyDescent="0.25">
      <c r="A117" s="53" t="s">
        <v>100</v>
      </c>
      <c r="B117" s="37">
        <f>'10'!$AU$52</f>
        <v>0</v>
      </c>
      <c r="C117" s="126">
        <f>'10'!$AV$52</f>
        <v>0</v>
      </c>
      <c r="D117" s="37">
        <f>'10'!$AW$52</f>
        <v>0</v>
      </c>
      <c r="E117" s="54">
        <f>'10'!$AX$52</f>
        <v>0</v>
      </c>
      <c r="F117" s="26"/>
      <c r="G117" s="26"/>
      <c r="H117" s="26"/>
    </row>
    <row r="118" spans="1:8" outlineLevel="1" x14ac:dyDescent="0.25">
      <c r="A118" s="53" t="s">
        <v>101</v>
      </c>
      <c r="B118" s="37">
        <f>'11'!$AU$52</f>
        <v>0</v>
      </c>
      <c r="C118" s="126">
        <f>'11'!$AV$52</f>
        <v>0</v>
      </c>
      <c r="D118" s="37">
        <f>'11'!$AW$52</f>
        <v>0</v>
      </c>
      <c r="E118" s="54">
        <f>'11'!$AX$52</f>
        <v>0</v>
      </c>
      <c r="F118" s="26"/>
      <c r="G118" s="26"/>
      <c r="H118" s="26"/>
    </row>
    <row r="119" spans="1:8" ht="15.75" outlineLevel="1" thickBot="1" x14ac:dyDescent="0.3">
      <c r="A119" s="55" t="s">
        <v>102</v>
      </c>
      <c r="B119" s="41">
        <f>'12'!$AU$52</f>
        <v>0</v>
      </c>
      <c r="C119" s="127">
        <f>'12'!$AV$52</f>
        <v>0</v>
      </c>
      <c r="D119" s="41">
        <f>'12'!$AW$52</f>
        <v>0</v>
      </c>
      <c r="E119" s="56">
        <f>'12'!$AX$52</f>
        <v>0</v>
      </c>
      <c r="F119" s="26"/>
      <c r="G119" s="26"/>
      <c r="H119" s="26"/>
    </row>
    <row r="120" spans="1:8" x14ac:dyDescent="0.25">
      <c r="A120" s="26"/>
      <c r="B120" s="26"/>
      <c r="C120" s="26"/>
      <c r="D120" s="26"/>
      <c r="E120" s="26"/>
      <c r="F120" s="26"/>
      <c r="G120" s="26"/>
      <c r="H120" s="26"/>
    </row>
    <row r="121" spans="1:8" x14ac:dyDescent="0.25">
      <c r="A121" s="26"/>
      <c r="B121" s="26"/>
      <c r="C121" s="26"/>
      <c r="D121" s="26"/>
      <c r="E121" s="26"/>
      <c r="F121" s="26"/>
      <c r="G121" s="26"/>
      <c r="H121" s="26"/>
    </row>
    <row r="122" spans="1:8" x14ac:dyDescent="0.25">
      <c r="A122" s="26"/>
      <c r="B122" s="26"/>
      <c r="C122" s="26"/>
      <c r="D122" s="26"/>
      <c r="E122" s="26"/>
      <c r="F122" s="26"/>
      <c r="G122" s="26"/>
      <c r="H122" s="26"/>
    </row>
    <row r="123" spans="1:8" x14ac:dyDescent="0.25">
      <c r="A123" s="26"/>
      <c r="B123" s="26"/>
      <c r="C123" s="26"/>
      <c r="D123" s="26"/>
      <c r="E123" s="26"/>
      <c r="F123" s="26"/>
      <c r="G123" s="26"/>
      <c r="H123" s="26"/>
    </row>
    <row r="124" spans="1:8" x14ac:dyDescent="0.25">
      <c r="A124" s="26"/>
      <c r="B124" s="26"/>
      <c r="C124" s="26"/>
      <c r="D124" s="26"/>
      <c r="E124" s="26"/>
      <c r="F124" s="26"/>
      <c r="G124" s="26"/>
      <c r="H124" s="26"/>
    </row>
    <row r="125" spans="1:8" x14ac:dyDescent="0.25">
      <c r="A125" s="26"/>
      <c r="B125" s="26"/>
      <c r="C125" s="26"/>
      <c r="D125" s="26"/>
      <c r="E125" s="26"/>
      <c r="F125" s="26"/>
      <c r="G125" s="26"/>
      <c r="H125" s="26"/>
    </row>
    <row r="126" spans="1:8" x14ac:dyDescent="0.25">
      <c r="A126" s="26"/>
      <c r="B126" s="26"/>
      <c r="C126" s="26"/>
      <c r="D126" s="26"/>
      <c r="E126" s="26"/>
      <c r="F126" s="26"/>
      <c r="G126" s="26"/>
      <c r="H126" s="26"/>
    </row>
    <row r="127" spans="1:8" x14ac:dyDescent="0.25">
      <c r="A127" s="26"/>
      <c r="B127" s="26"/>
      <c r="C127" s="26"/>
      <c r="D127" s="26"/>
      <c r="E127" s="26"/>
      <c r="F127" s="26"/>
      <c r="G127" s="26"/>
      <c r="H127" s="26"/>
    </row>
    <row r="128" spans="1:8" x14ac:dyDescent="0.25">
      <c r="A128" s="26"/>
      <c r="B128" s="26"/>
      <c r="C128" s="26"/>
      <c r="D128" s="26"/>
      <c r="E128" s="26"/>
      <c r="F128" s="26"/>
      <c r="G128" s="26"/>
      <c r="H128" s="26"/>
    </row>
    <row r="129" spans="1:8" x14ac:dyDescent="0.25">
      <c r="A129" s="26"/>
      <c r="B129" s="26"/>
      <c r="C129" s="26"/>
      <c r="D129" s="26"/>
      <c r="E129" s="26"/>
      <c r="F129" s="26"/>
      <c r="G129" s="26"/>
      <c r="H129" s="26"/>
    </row>
    <row r="130" spans="1:8" x14ac:dyDescent="0.25">
      <c r="A130" s="26"/>
      <c r="B130" s="26"/>
      <c r="C130" s="26"/>
      <c r="D130" s="26"/>
      <c r="E130" s="26"/>
      <c r="F130" s="26"/>
      <c r="G130" s="26"/>
      <c r="H130" s="26"/>
    </row>
    <row r="131" spans="1:8" x14ac:dyDescent="0.25">
      <c r="A131" s="26"/>
      <c r="B131" s="26"/>
      <c r="C131" s="26"/>
      <c r="D131" s="26"/>
      <c r="E131" s="26"/>
      <c r="F131" s="26"/>
      <c r="G131" s="26"/>
      <c r="H131" s="26"/>
    </row>
    <row r="132" spans="1:8" x14ac:dyDescent="0.25">
      <c r="A132" s="26"/>
      <c r="B132" s="26"/>
      <c r="C132" s="26"/>
      <c r="D132" s="26"/>
      <c r="E132" s="26"/>
      <c r="F132" s="26"/>
      <c r="G132" s="26"/>
      <c r="H132" s="26"/>
    </row>
    <row r="133" spans="1:8" ht="51.75" customHeight="1" thickBot="1" x14ac:dyDescent="0.3">
      <c r="A133" s="26"/>
      <c r="B133" s="26"/>
      <c r="C133" s="26"/>
      <c r="D133" s="26"/>
      <c r="E133" s="26"/>
      <c r="F133" s="26"/>
      <c r="G133" s="26"/>
      <c r="H133" s="26"/>
    </row>
    <row r="134" spans="1:8" ht="30.75" outlineLevel="1" thickBot="1" x14ac:dyDescent="0.3">
      <c r="A134" s="60"/>
      <c r="B134" s="59" t="s">
        <v>115</v>
      </c>
      <c r="C134" s="58" t="s">
        <v>116</v>
      </c>
      <c r="D134" s="59" t="s">
        <v>117</v>
      </c>
      <c r="E134" s="58" t="s">
        <v>118</v>
      </c>
      <c r="F134" s="26"/>
      <c r="G134" s="26"/>
      <c r="H134" s="26"/>
    </row>
    <row r="135" spans="1:8" outlineLevel="1" x14ac:dyDescent="0.25">
      <c r="A135" s="51" t="s">
        <v>91</v>
      </c>
      <c r="B135" s="33">
        <f>'1'!$AU$55</f>
        <v>0</v>
      </c>
      <c r="C135" s="128">
        <f>'1'!$AV$55</f>
        <v>0</v>
      </c>
      <c r="D135" s="33">
        <f>'1'!$AW$55</f>
        <v>0</v>
      </c>
      <c r="E135" s="52">
        <f>'1'!$AX$55</f>
        <v>0</v>
      </c>
      <c r="F135" s="26"/>
      <c r="G135" s="26"/>
      <c r="H135" s="26"/>
    </row>
    <row r="136" spans="1:8" outlineLevel="1" x14ac:dyDescent="0.25">
      <c r="A136" s="53" t="s">
        <v>92</v>
      </c>
      <c r="B136" s="37">
        <f>'2'!$AU$55</f>
        <v>0</v>
      </c>
      <c r="C136" s="126">
        <f>'2'!$AV$55</f>
        <v>0</v>
      </c>
      <c r="D136" s="37">
        <f>'2'!$AW$55</f>
        <v>0</v>
      </c>
      <c r="E136" s="54">
        <f>'2'!$AX$55</f>
        <v>0</v>
      </c>
      <c r="F136" s="26"/>
      <c r="G136" s="26"/>
      <c r="H136" s="26"/>
    </row>
    <row r="137" spans="1:8" outlineLevel="1" x14ac:dyDescent="0.25">
      <c r="A137" s="53" t="s">
        <v>93</v>
      </c>
      <c r="B137" s="37">
        <f>'3'!$AU$55</f>
        <v>0</v>
      </c>
      <c r="C137" s="126">
        <f>'3'!$AV$55</f>
        <v>0</v>
      </c>
      <c r="D137" s="37">
        <f>'3'!$AW$55</f>
        <v>0</v>
      </c>
      <c r="E137" s="54">
        <f>'3'!$AX$55</f>
        <v>0</v>
      </c>
      <c r="F137" s="26"/>
      <c r="G137" s="26"/>
      <c r="H137" s="26"/>
    </row>
    <row r="138" spans="1:8" outlineLevel="1" x14ac:dyDescent="0.25">
      <c r="A138" s="53" t="s">
        <v>94</v>
      </c>
      <c r="B138" s="37">
        <f>'4'!$AU$55</f>
        <v>0</v>
      </c>
      <c r="C138" s="126">
        <f>'4'!$AV$55</f>
        <v>0</v>
      </c>
      <c r="D138" s="37">
        <f>'4'!$AW$55</f>
        <v>0</v>
      </c>
      <c r="E138" s="54">
        <f>'4'!$AX$55</f>
        <v>0</v>
      </c>
      <c r="F138" s="26"/>
      <c r="G138" s="26"/>
      <c r="H138" s="26"/>
    </row>
    <row r="139" spans="1:8" outlineLevel="1" x14ac:dyDescent="0.25">
      <c r="A139" s="53" t="s">
        <v>95</v>
      </c>
      <c r="B139" s="37">
        <f>'5'!$AU$55</f>
        <v>0</v>
      </c>
      <c r="C139" s="126">
        <f>'5'!$AV$55</f>
        <v>0</v>
      </c>
      <c r="D139" s="37">
        <f>'5'!$AW$55</f>
        <v>0</v>
      </c>
      <c r="E139" s="54">
        <f>'5'!$AX$55</f>
        <v>0</v>
      </c>
      <c r="F139" s="26"/>
      <c r="G139" s="26"/>
      <c r="H139" s="26"/>
    </row>
    <row r="140" spans="1:8" outlineLevel="1" x14ac:dyDescent="0.25">
      <c r="A140" s="53" t="s">
        <v>96</v>
      </c>
      <c r="B140" s="37">
        <f>'6'!$AU$55</f>
        <v>0</v>
      </c>
      <c r="C140" s="126">
        <f>'6'!$AV$55</f>
        <v>0</v>
      </c>
      <c r="D140" s="37">
        <f>'6'!$AW$55</f>
        <v>0</v>
      </c>
      <c r="E140" s="54">
        <f>'6'!$AX$55</f>
        <v>0</v>
      </c>
      <c r="F140" s="26"/>
      <c r="G140" s="26"/>
      <c r="H140" s="26"/>
    </row>
    <row r="141" spans="1:8" outlineLevel="1" x14ac:dyDescent="0.25">
      <c r="A141" s="53" t="s">
        <v>97</v>
      </c>
      <c r="B141" s="37">
        <f>'7'!$AU$55</f>
        <v>0</v>
      </c>
      <c r="C141" s="126">
        <f>'7'!$AV$55</f>
        <v>0</v>
      </c>
      <c r="D141" s="37">
        <f>'7'!$AW$55</f>
        <v>0</v>
      </c>
      <c r="E141" s="54">
        <f>'7'!$AX$55</f>
        <v>0</v>
      </c>
      <c r="F141" s="26"/>
      <c r="G141" s="26"/>
      <c r="H141" s="26"/>
    </row>
    <row r="142" spans="1:8" outlineLevel="1" x14ac:dyDescent="0.25">
      <c r="A142" s="53" t="s">
        <v>98</v>
      </c>
      <c r="B142" s="37">
        <f>'8'!$AU$55</f>
        <v>0</v>
      </c>
      <c r="C142" s="126">
        <f>'8'!$AV$55</f>
        <v>0</v>
      </c>
      <c r="D142" s="37">
        <f>'8'!$AW$55</f>
        <v>0</v>
      </c>
      <c r="E142" s="54">
        <f>'8'!$AX$55</f>
        <v>0</v>
      </c>
      <c r="F142" s="26"/>
      <c r="G142" s="26"/>
      <c r="H142" s="26"/>
    </row>
    <row r="143" spans="1:8" outlineLevel="1" x14ac:dyDescent="0.25">
      <c r="A143" s="53" t="s">
        <v>99</v>
      </c>
      <c r="B143" s="37">
        <f>'9'!$AU$55</f>
        <v>0</v>
      </c>
      <c r="C143" s="126">
        <f>'9'!$AV$55</f>
        <v>0</v>
      </c>
      <c r="D143" s="37">
        <f>'9'!$AW$55</f>
        <v>0</v>
      </c>
      <c r="E143" s="54">
        <f>'9'!$AX$55</f>
        <v>0</v>
      </c>
      <c r="F143" s="26"/>
      <c r="G143" s="26"/>
      <c r="H143" s="26"/>
    </row>
    <row r="144" spans="1:8" outlineLevel="1" x14ac:dyDescent="0.25">
      <c r="A144" s="53" t="s">
        <v>100</v>
      </c>
      <c r="B144" s="37">
        <f>'10'!$AU$55</f>
        <v>0</v>
      </c>
      <c r="C144" s="126">
        <f>'10'!$AV$55</f>
        <v>0</v>
      </c>
      <c r="D144" s="37">
        <f>'10'!$AW$55</f>
        <v>0</v>
      </c>
      <c r="E144" s="54">
        <f>'10'!$AX$55</f>
        <v>0</v>
      </c>
      <c r="F144" s="26"/>
      <c r="G144" s="26"/>
      <c r="H144" s="26"/>
    </row>
    <row r="145" spans="1:8" outlineLevel="1" x14ac:dyDescent="0.25">
      <c r="A145" s="53" t="s">
        <v>101</v>
      </c>
      <c r="B145" s="37">
        <f>'11'!$AU$55</f>
        <v>0</v>
      </c>
      <c r="C145" s="126">
        <f>'11'!$AV$55</f>
        <v>0</v>
      </c>
      <c r="D145" s="37">
        <f>'11'!$AW$55</f>
        <v>0</v>
      </c>
      <c r="E145" s="54">
        <f>'11'!$AX$55</f>
        <v>0</v>
      </c>
      <c r="F145" s="26"/>
      <c r="G145" s="26"/>
      <c r="H145" s="26"/>
    </row>
    <row r="146" spans="1:8" ht="15.75" outlineLevel="1" thickBot="1" x14ac:dyDescent="0.3">
      <c r="A146" s="55" t="s">
        <v>102</v>
      </c>
      <c r="B146" s="41">
        <f>'12'!$AU$55</f>
        <v>0</v>
      </c>
      <c r="C146" s="127">
        <f>'12'!$AV$55</f>
        <v>0</v>
      </c>
      <c r="D146" s="41">
        <f>'12'!$AW$55</f>
        <v>0</v>
      </c>
      <c r="E146" s="56">
        <f>'12'!$AX$55</f>
        <v>0</v>
      </c>
      <c r="F146" s="26"/>
      <c r="G146" s="26"/>
      <c r="H146" s="26"/>
    </row>
    <row r="147" spans="1:8" x14ac:dyDescent="0.25">
      <c r="A147" s="26"/>
      <c r="B147" s="26"/>
      <c r="C147" s="26"/>
      <c r="D147" s="26"/>
      <c r="E147" s="26"/>
      <c r="F147" s="26"/>
      <c r="G147" s="26"/>
      <c r="H147" s="26"/>
    </row>
    <row r="148" spans="1:8" x14ac:dyDescent="0.25">
      <c r="A148" s="26"/>
      <c r="B148" s="26"/>
      <c r="C148" s="26"/>
      <c r="D148" s="26"/>
      <c r="E148" s="26"/>
      <c r="F148" s="26"/>
      <c r="G148" s="26"/>
      <c r="H148" s="26"/>
    </row>
    <row r="149" spans="1:8" x14ac:dyDescent="0.25">
      <c r="A149" s="26"/>
      <c r="B149" s="26"/>
      <c r="C149" s="26"/>
      <c r="D149" s="26"/>
      <c r="E149" s="26"/>
      <c r="F149" s="26"/>
      <c r="G149" s="26"/>
      <c r="H149" s="26"/>
    </row>
    <row r="150" spans="1:8" x14ac:dyDescent="0.25">
      <c r="A150" s="26"/>
      <c r="B150" s="26"/>
      <c r="C150" s="26"/>
      <c r="D150" s="26"/>
      <c r="E150" s="26"/>
      <c r="F150" s="26"/>
      <c r="G150" s="26"/>
      <c r="H150" s="26"/>
    </row>
    <row r="151" spans="1:8" x14ac:dyDescent="0.25">
      <c r="A151" s="26"/>
      <c r="B151" s="26"/>
      <c r="C151" s="26"/>
      <c r="D151" s="26"/>
      <c r="E151" s="26"/>
      <c r="F151" s="26"/>
      <c r="G151" s="26"/>
      <c r="H151" s="26"/>
    </row>
    <row r="152" spans="1:8" x14ac:dyDescent="0.25">
      <c r="A152" s="26"/>
      <c r="B152" s="26"/>
      <c r="C152" s="26"/>
      <c r="D152" s="26"/>
      <c r="E152" s="26"/>
      <c r="F152" s="26"/>
      <c r="G152" s="26"/>
      <c r="H152" s="26"/>
    </row>
    <row r="153" spans="1:8" x14ac:dyDescent="0.25">
      <c r="A153" s="26"/>
      <c r="B153" s="26"/>
      <c r="C153" s="26"/>
      <c r="D153" s="26"/>
      <c r="E153" s="26"/>
      <c r="F153" s="26"/>
      <c r="G153" s="26"/>
      <c r="H153" s="26"/>
    </row>
    <row r="154" spans="1:8" x14ac:dyDescent="0.25">
      <c r="A154" s="26"/>
      <c r="B154" s="26"/>
      <c r="C154" s="26"/>
      <c r="D154" s="26"/>
      <c r="E154" s="26"/>
      <c r="F154" s="26"/>
      <c r="G154" s="26"/>
      <c r="H154" s="26"/>
    </row>
    <row r="155" spans="1:8" x14ac:dyDescent="0.25">
      <c r="A155" s="26"/>
      <c r="B155" s="26"/>
      <c r="C155" s="26"/>
      <c r="D155" s="26"/>
      <c r="E155" s="26"/>
      <c r="F155" s="26"/>
      <c r="G155" s="26"/>
      <c r="H155" s="26"/>
    </row>
    <row r="156" spans="1:8" x14ac:dyDescent="0.25">
      <c r="A156" s="26"/>
      <c r="B156" s="26"/>
      <c r="C156" s="26"/>
      <c r="D156" s="26"/>
      <c r="E156" s="26"/>
      <c r="F156" s="26"/>
      <c r="G156" s="26"/>
      <c r="H156" s="26"/>
    </row>
    <row r="157" spans="1:8" x14ac:dyDescent="0.25">
      <c r="A157" s="26"/>
      <c r="B157" s="26"/>
      <c r="C157" s="26"/>
      <c r="D157" s="26"/>
      <c r="E157" s="26"/>
      <c r="F157" s="26"/>
      <c r="G157" s="26"/>
      <c r="H157" s="26"/>
    </row>
    <row r="158" spans="1:8" x14ac:dyDescent="0.25">
      <c r="A158" s="26"/>
      <c r="B158" s="26"/>
      <c r="C158" s="26"/>
      <c r="D158" s="26"/>
      <c r="E158" s="26"/>
      <c r="F158" s="26"/>
      <c r="G158" s="26"/>
      <c r="H158" s="26"/>
    </row>
    <row r="159" spans="1:8" x14ac:dyDescent="0.25">
      <c r="A159" s="26"/>
      <c r="B159" s="26"/>
      <c r="C159" s="26"/>
      <c r="D159" s="26"/>
      <c r="E159" s="26"/>
      <c r="F159" s="26"/>
      <c r="G159" s="26"/>
      <c r="H159" s="26"/>
    </row>
    <row r="160" spans="1:8" x14ac:dyDescent="0.25">
      <c r="A160" s="26"/>
      <c r="B160" s="26"/>
      <c r="C160" s="26"/>
      <c r="D160" s="26"/>
      <c r="E160" s="26"/>
      <c r="F160" s="26"/>
      <c r="G160" s="26"/>
      <c r="H160" s="26"/>
    </row>
    <row r="161" spans="1:8" x14ac:dyDescent="0.25">
      <c r="A161" s="26"/>
      <c r="B161" s="26"/>
      <c r="C161" s="26"/>
      <c r="D161" s="26"/>
      <c r="E161" s="26"/>
      <c r="F161" s="26"/>
      <c r="G161" s="26"/>
      <c r="H161" s="26"/>
    </row>
    <row r="162" spans="1:8" x14ac:dyDescent="0.25">
      <c r="A162" s="26"/>
      <c r="B162" s="26"/>
      <c r="C162" s="26"/>
      <c r="D162" s="26"/>
      <c r="E162" s="26"/>
      <c r="F162" s="26"/>
      <c r="G162" s="26"/>
      <c r="H162" s="26"/>
    </row>
    <row r="163" spans="1:8" x14ac:dyDescent="0.25">
      <c r="A163" s="26"/>
      <c r="B163" s="26"/>
      <c r="C163" s="26"/>
      <c r="D163" s="26"/>
      <c r="E163" s="26"/>
      <c r="F163" s="26"/>
      <c r="G163" s="26"/>
      <c r="H163" s="26"/>
    </row>
    <row r="164" spans="1:8" x14ac:dyDescent="0.25">
      <c r="A164" s="26"/>
      <c r="B164" s="26"/>
      <c r="C164" s="26"/>
      <c r="D164" s="26"/>
      <c r="E164" s="26"/>
      <c r="F164" s="26"/>
      <c r="G164" s="26"/>
      <c r="H164" s="26"/>
    </row>
    <row r="165" spans="1:8" x14ac:dyDescent="0.25">
      <c r="A165" s="26"/>
      <c r="B165" s="26"/>
      <c r="C165" s="26"/>
      <c r="D165" s="26"/>
      <c r="E165" s="26"/>
      <c r="F165" s="26"/>
      <c r="G165" s="26"/>
      <c r="H165" s="26"/>
    </row>
    <row r="166" spans="1:8" x14ac:dyDescent="0.25">
      <c r="A166" s="26"/>
      <c r="B166" s="26"/>
      <c r="C166" s="26"/>
      <c r="D166" s="26"/>
      <c r="E166" s="26"/>
      <c r="F166" s="26"/>
      <c r="G166" s="26"/>
      <c r="H166" s="26"/>
    </row>
    <row r="167" spans="1:8" x14ac:dyDescent="0.25">
      <c r="A167" s="26"/>
      <c r="B167" s="26"/>
      <c r="C167" s="26"/>
      <c r="D167" s="26"/>
      <c r="E167" s="26"/>
      <c r="F167" s="26"/>
      <c r="G167" s="26"/>
      <c r="H167" s="26"/>
    </row>
    <row r="168" spans="1:8" x14ac:dyDescent="0.25">
      <c r="A168" s="26"/>
      <c r="B168" s="26"/>
      <c r="C168" s="26"/>
      <c r="D168" s="26"/>
      <c r="E168" s="26"/>
      <c r="F168" s="26"/>
      <c r="G168" s="26"/>
      <c r="H168" s="26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20</vt:i4>
      </vt:variant>
    </vt:vector>
  </HeadingPairs>
  <TitlesOfParts>
    <vt:vector size="2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1й квартал</vt:lpstr>
      <vt:lpstr>2й квартал</vt:lpstr>
      <vt:lpstr>3й квартал</vt:lpstr>
      <vt:lpstr>4й квартал</vt:lpstr>
      <vt:lpstr>2е полугодие</vt:lpstr>
      <vt:lpstr>1е полугодие</vt:lpstr>
      <vt:lpstr>Годовой</vt:lpstr>
      <vt:lpstr>Графики</vt:lpstr>
    </vt:vector>
  </TitlesOfParts>
  <Company>Computer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Кузнецов Иван Андреевич</dc:creator>
  <cp:lastModifiedBy>Кузнецов Иван Андреевич</cp:lastModifiedBy>
  <cp:lastPrinted>2019-08-28T03:48:55Z</cp:lastPrinted>
  <dcterms:created xsi:type="dcterms:W3CDTF">2011-05-23T06:16:09Z</dcterms:created>
  <dcterms:modified xsi:type="dcterms:W3CDTF">2025-02-03T11:27:32Z</dcterms:modified>
</cp:coreProperties>
</file>